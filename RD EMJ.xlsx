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vkoy/Desktop/Research/RD pilot study/EMJ/"/>
    </mc:Choice>
  </mc:AlternateContent>
  <xr:revisionPtr revIDLastSave="0" documentId="13_ncr:1_{95F7B2F4-73E0-894F-B1E8-568D10B2B682}" xr6:coauthVersionLast="47" xr6:coauthVersionMax="47" xr10:uidLastSave="{00000000-0000-0000-0000-000000000000}"/>
  <bookViews>
    <workbookView xWindow="0" yWindow="740" windowWidth="34560" windowHeight="21600" activeTab="1" xr2:uid="{EE498B94-C9F3-854E-9528-045621CFD35A}"/>
  </bookViews>
  <sheets>
    <sheet name="Tosa" sheetId="1" r:id="rId1"/>
    <sheet name="Genji" sheetId="2" r:id="rId2"/>
    <sheet name="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C11" i="3"/>
  <c r="D11" i="3"/>
  <c r="B12" i="3"/>
  <c r="C12" i="3"/>
  <c r="D12" i="3"/>
  <c r="B13" i="3"/>
  <c r="C13" i="3"/>
  <c r="D13" i="3"/>
  <c r="B14" i="3"/>
  <c r="C14" i="3"/>
  <c r="D14" i="3"/>
  <c r="B15" i="3"/>
  <c r="C15" i="3"/>
  <c r="D15" i="3"/>
  <c r="B2" i="3"/>
  <c r="C2" i="3"/>
  <c r="D2" i="3"/>
  <c r="B3" i="3"/>
  <c r="C3" i="3"/>
  <c r="D3" i="3"/>
  <c r="B4" i="3"/>
  <c r="C4" i="3"/>
  <c r="D4" i="3"/>
  <c r="B5" i="3"/>
  <c r="C5" i="3"/>
  <c r="D5" i="3"/>
  <c r="B6" i="3"/>
  <c r="C6" i="3"/>
  <c r="D6" i="3"/>
  <c r="B107" i="2"/>
  <c r="K102" i="2"/>
  <c r="J102" i="2"/>
  <c r="E102" i="2"/>
  <c r="B104" i="2" s="1"/>
  <c r="F102" i="2"/>
  <c r="G102" i="2"/>
  <c r="H102" i="2"/>
  <c r="I102" i="2"/>
  <c r="D102" i="2"/>
  <c r="D108" i="1"/>
  <c r="E108" i="1"/>
  <c r="F108" i="1"/>
  <c r="G108" i="1"/>
  <c r="H108" i="1"/>
  <c r="I108" i="1"/>
  <c r="B103" i="2" l="1"/>
  <c r="B105" i="2"/>
  <c r="B106" i="2"/>
  <c r="B113" i="1"/>
  <c r="B109" i="1"/>
  <c r="B110" i="1"/>
  <c r="B111" i="1"/>
  <c r="B112" i="1"/>
</calcChain>
</file>

<file path=xl/sharedStrings.xml><?xml version="1.0" encoding="utf-8"?>
<sst xmlns="http://schemas.openxmlformats.org/spreadsheetml/2006/main" count="634" uniqueCount="588">
  <si>
    <t>Clause</t>
  </si>
  <si>
    <t>Translation</t>
  </si>
  <si>
    <t>Predicate</t>
  </si>
  <si>
    <t>~Ø-Verbal</t>
  </si>
  <si>
    <t>ACT-ARG</t>
  </si>
  <si>
    <t>NON-ARG</t>
  </si>
  <si>
    <t>V-ARG-Ø-ARG</t>
  </si>
  <si>
    <t>GAP-NON-ARG</t>
  </si>
  <si>
    <t>GAP-ACT-ARG</t>
  </si>
  <si>
    <t>comments</t>
  </si>
  <si>
    <t>Totals</t>
  </si>
  <si>
    <t>RD2</t>
  </si>
  <si>
    <t>ACT-ARG/~Ø-Verbal</t>
  </si>
  <si>
    <t>RD2+</t>
  </si>
  <si>
    <t>(ACT-ARG+V-ARG-Ø-ARG)/~Ø-Verbal</t>
  </si>
  <si>
    <t>RD2++</t>
  </si>
  <si>
    <t>(ACT-ARG+GAP-ACT-ARG)/~Ø-Verbal</t>
  </si>
  <si>
    <t>RD2+++</t>
  </si>
  <si>
    <t>(ACT-ARG+V-ARG-Ø-ARG+GAP-ACT-ARG)/~Ø-Verbal</t>
  </si>
  <si>
    <t>RD2-</t>
  </si>
  <si>
    <t>V-ARG-Ø-ARG/~Ø-Verbal</t>
  </si>
  <si>
    <t>Sore no toshi (Jōhei yonen) no shihasu no hatsuka amari ichinichi no, inu no toki ni kadode su.</t>
  </si>
  <si>
    <t>Nijūsannichi, Yagi no Yasukyō to iu hito ari.</t>
  </si>
  <si>
    <t>"Miyako e to omou mo mono no kanashiki wa kaeranu hito no areba narikeri."</t>
  </si>
  <si>
    <t>"Aru mono to wasuretsutsu nao naki hito o izura to tou zo kanashikarikeri."</t>
  </si>
  <si>
    <t>"Oshi to omou hito ya tomaru to ashikamo no uchimurete koso ware wa kikeredo."</t>
  </si>
  <si>
    <t>"Sao sase do soko o shiranu watatsumi no fukaki kokoro o kimi ni miru kana."</t>
  </si>
  <si>
    <t xml:space="preserve">Otoko mo sunaru </t>
  </si>
  <si>
    <t>nikki to iu mono o, onna mo shite mimu</t>
  </si>
  <si>
    <t>tote suru nari.</t>
  </si>
  <si>
    <t xml:space="preserve">Sono yoshi isasaka mono ni kakitsuku. </t>
  </si>
  <si>
    <t>rei no koto domo mina shi oete,</t>
  </si>
  <si>
    <t>Aru hito agata no yonen gonen hatete</t>
  </si>
  <si>
    <t>geyu nado torite</t>
  </si>
  <si>
    <t>sumu</t>
  </si>
  <si>
    <t xml:space="preserve"> tachi yori idete</t>
  </si>
  <si>
    <t xml:space="preserve"> beki tokoro e wataru.</t>
  </si>
  <si>
    <t xml:space="preserve"> fune ni noru</t>
  </si>
  <si>
    <t xml:space="preserve"> okuri su</t>
  </si>
  <si>
    <t xml:space="preserve"> wakaregataku omohite</t>
  </si>
  <si>
    <t xml:space="preserve">sono hi shikashika ni tokaku shitsutsu </t>
  </si>
  <si>
    <t>Nijūnichi, Izumi no kuni made to tairaka ni negaitatsu.</t>
  </si>
  <si>
    <t>Kore zo tadashiki yō nite uma no hanamuke shitaru.</t>
  </si>
  <si>
    <t>Nijūyokka, Kōji uma no hanamuke shi ni idemaseri.</t>
  </si>
  <si>
    <t>Ari to aru jōge warawa made yoishirete,</t>
  </si>
  <si>
    <t>Yamato uta, aruji mo marauto mo koto hito mo ihiaherikeri.</t>
  </si>
  <si>
    <t>Kara uta wa kore ni wa e kakazu.</t>
  </si>
  <si>
    <t>Yamato uta aruji no mori no yomerikeri:</t>
  </si>
  <si>
    <t>Aru hitobito mo e taenu.</t>
  </si>
  <si>
    <t>Kono aida ni aru hito no kakite idaseru uta:</t>
  </si>
  <si>
    <t>Mata, aru toki ni wa:</t>
  </si>
  <si>
    <t>One year, on the twenty-first day of the twelfth month, a certain personage left home at the Hour of the Dog (8:00 PM).</t>
  </si>
  <si>
    <t>This was the beginning of this modest record.</t>
  </si>
  <si>
    <t>Including many who had served him faithfully during the past years.</t>
  </si>
  <si>
    <t xml:space="preserve">It is generally a man who writes </t>
  </si>
  <si>
    <t xml:space="preserve">He had just completed the usual period of four or five years as Governor of a Province. </t>
  </si>
  <si>
    <t xml:space="preserve">Everything had been wound up, documents, </t>
  </si>
  <si>
    <t xml:space="preserve">&amp;c., had been handed over. </t>
  </si>
  <si>
    <t xml:space="preserve">He was now about to go down to the place of embarkation. </t>
  </si>
  <si>
    <t xml:space="preserve">travel on shipboard. </t>
  </si>
  <si>
    <t xml:space="preserve">For he was to </t>
  </si>
  <si>
    <t>came to see him off.</t>
  </si>
  <si>
    <t>Toshigoro yoku kurabeshitsuru</t>
  </si>
  <si>
    <t>[These loyal attendants] sorrowed at the thought of losing him</t>
  </si>
  <si>
    <t xml:space="preserve"> that day There was endless bustle and confusion</t>
  </si>
  <si>
    <t>22nd day—He prayed for a calm voyage to the Land of Izumi</t>
  </si>
  <si>
    <t xml:space="preserve">and so with one thing and another </t>
  </si>
  <si>
    <t>the night drew on.”</t>
  </si>
  <si>
    <t>although he was to travel by sea</t>
  </si>
  <si>
    <t>Fujiwara no Kotozane funaji naredo</t>
  </si>
  <si>
    <t xml:space="preserve"> uma no hanamuke su.</t>
  </si>
  <si>
    <t>Fujiwara no Tokisanē came to turn his horse's head'</t>
  </si>
  <si>
    <t xml:space="preserve">Jōchūge nagara yoihamasugite </t>
  </si>
  <si>
    <t>ito ayashiku shiho umi no hotori nite azareaeri.</t>
  </si>
  <si>
    <t>Upper, middle, and lower classes all drank too heavily</t>
  </si>
  <si>
    <t>and, wonderful to relate, there they were on the edge of the salt sea itself all useless and incompetent!</t>
  </si>
  <si>
    <t>23 JAN. A certain man, called Yagi no Yasunori</t>
  </si>
  <si>
    <t>Kono hito kuni ni kanarazu shimo iitsukau</t>
  </si>
  <si>
    <t xml:space="preserve"> mono ni mo arazaru nari.</t>
  </si>
  <si>
    <t xml:space="preserve">although he was </t>
  </si>
  <si>
    <t>of too high rank to have been one of his regular attendants in the Province</t>
  </si>
  <si>
    <t>openly made him a farewell present</t>
  </si>
  <si>
    <t>Kamigara ni ya aramu</t>
  </si>
  <si>
    <t>, kuni no hito no kokoro no tsune to shite ima wa tote mie zanaru.</t>
  </si>
  <si>
    <t>Perhaps he had not made a very good Governor</t>
  </si>
  <si>
    <t>but still, the country-folk usually on an occasion like this just said good-bye, and then disappeared</t>
  </si>
  <si>
    <t xml:space="preserve">Kokoro aru </t>
  </si>
  <si>
    <t>mono wa hajizuki nan kikeru.</t>
  </si>
  <si>
    <t>and here was a kind heart</t>
  </si>
  <si>
    <t xml:space="preserve"> which was not ashamed to come back again</t>
  </si>
  <si>
    <t>This word of praise for him due to the present he brought!</t>
  </si>
  <si>
    <t xml:space="preserve"> is not</t>
  </si>
  <si>
    <t>24th day.—The Chief Priest made him a farewell present</t>
  </si>
  <si>
    <t>and accordingly everybody, high and low, even the very boys, got so intoxicated</t>
  </si>
  <si>
    <t xml:space="preserve">Ichimonji o dani shiranu </t>
  </si>
  <si>
    <t>mono shiga, ashi wa jūmonji ni fumite zo</t>
  </si>
  <si>
    <t>asobu.</t>
  </si>
  <si>
    <t>that those who did not know how to write one word</t>
  </si>
  <si>
    <t>found that their feet had trodden the word ten' in the sand</t>
  </si>
  <si>
    <t>playfully</t>
  </si>
  <si>
    <t xml:space="preserve">Nijūgonichi, Mori no tachi yori yobi </t>
  </si>
  <si>
    <t>ni fumi motekeri.</t>
  </si>
  <si>
    <t xml:space="preserve">25th day.— from Government House, asking him to go and call. </t>
  </si>
  <si>
    <t>A written invitation arrived</t>
  </si>
  <si>
    <t>He accordingly went to call</t>
  </si>
  <si>
    <t>Yobarete</t>
  </si>
  <si>
    <t xml:space="preserve"> itarite </t>
  </si>
  <si>
    <t xml:space="preserve">hi hitohi yo hitoyo tokaku asobu </t>
  </si>
  <si>
    <t>yō nite akerikeri.</t>
  </si>
  <si>
    <t xml:space="preserve">and, what with one thing and another, </t>
  </si>
  <si>
    <t>all day and all night passed away pleasantly</t>
  </si>
  <si>
    <t>till at last the day broke</t>
  </si>
  <si>
    <t>onokora made ni mono kazuketari.</t>
  </si>
  <si>
    <t>26th day.—Still at Government House, where the entertainment grew boisterous</t>
  </si>
  <si>
    <t xml:space="preserve">Nijūrokunichi, nao mori no tachi nite aruji shinonoshirite </t>
  </si>
  <si>
    <t xml:space="preserve">the host and even the servants became uproarious. </t>
  </si>
  <si>
    <t>Kara uta koe agete</t>
  </si>
  <si>
    <t xml:space="preserve"> ihikeri.</t>
  </si>
  <si>
    <t>and the host, the visitor and the other guests recited Japanese verses</t>
  </si>
  <si>
    <t xml:space="preserve">With loud voices Chinese poems </t>
  </si>
  <si>
    <t>were declaimed</t>
  </si>
  <si>
    <t>The Chinese poems are not recorded here</t>
  </si>
  <si>
    <t>but the following is the Japanese verse composed by the Governor, as host</t>
  </si>
  <si>
    <t>From the Capital Far I came</t>
  </si>
  <si>
    <t>"Miyako idete</t>
  </si>
  <si>
    <t xml:space="preserve"> kimi ni ahamu</t>
  </si>
  <si>
    <t xml:space="preserve"> to see my Lord</t>
  </si>
  <si>
    <t xml:space="preserve"> across the sea, 'twas all in vain</t>
  </si>
  <si>
    <t>For we now must part again</t>
  </si>
  <si>
    <t xml:space="preserve">tokoshimono wo koshikai mo naku </t>
  </si>
  <si>
    <t>wakarenuru kana."</t>
  </si>
  <si>
    <t>in reply</t>
  </si>
  <si>
    <t xml:space="preserve">Kaeru </t>
  </si>
  <si>
    <t>mae no mori no yomerikeri:</t>
  </si>
  <si>
    <t xml:space="preserve">Whereupon the former Governor' composed this </t>
  </si>
  <si>
    <t>"Shiratahe no namiji o tōku yukihahite</t>
  </si>
  <si>
    <t xml:space="preserve"> ware ni nibeki wa tare naranaku ni."</t>
  </si>
  <si>
    <t>I, too, traveled far O'er the stormy road of waves White with crested foam</t>
  </si>
  <si>
    <t>Scare, I think, another man Would have faced the risks we ran</t>
  </si>
  <si>
    <t>There were also verses composed by many others</t>
  </si>
  <si>
    <t>Koto hitobito no mo arikere do</t>
  </si>
  <si>
    <t>sakashiki mo nakarubeshi.</t>
  </si>
  <si>
    <t>but they were quite worthless</t>
  </si>
  <si>
    <t xml:space="preserve">mae no mori mo ima no mo morotomoni orite, </t>
  </si>
  <si>
    <t xml:space="preserve">ima no aruji mo mae no mo te torikawashite </t>
  </si>
  <si>
    <t xml:space="preserve"> koto shite idenikeri.</t>
  </si>
  <si>
    <t>Having recited these</t>
  </si>
  <si>
    <t>the late and the present Governors descended together</t>
  </si>
  <si>
    <t>the present and the late hosts hand in hand</t>
  </si>
  <si>
    <t xml:space="preserve"> went forth</t>
  </si>
  <si>
    <t>in good fellowship and the best of spirits</t>
  </si>
  <si>
    <t>27th day.—They started from Ōtsu and began to row to Urato</t>
  </si>
  <si>
    <t xml:space="preserve">Kaku aru uchi ni </t>
  </si>
  <si>
    <t xml:space="preserve">Kyō nite umaretarishi </t>
  </si>
  <si>
    <t>onago koko nite niwaka ni usenishikaba,</t>
  </si>
  <si>
    <t>NA</t>
  </si>
  <si>
    <t xml:space="preserve"> who had been born in the Capital</t>
  </si>
  <si>
    <t>His little daughter, had died a short time previously in the Province very suddenly</t>
  </si>
  <si>
    <t xml:space="preserve">Kono goro no shuttatsu isogi o miredo </t>
  </si>
  <si>
    <t>nanigoto mo e iwazu.</t>
  </si>
  <si>
    <t>and now, when, as we see he was departing in haste</t>
  </si>
  <si>
    <t>what was he to say</t>
  </si>
  <si>
    <t xml:space="preserve">Kyō e kaeru </t>
  </si>
  <si>
    <t>to return with him to the Capital</t>
  </si>
  <si>
    <t>It was more than most men could bear</t>
  </si>
  <si>
    <t>but in this case a certain personage' dragged out the following verse</t>
  </si>
  <si>
    <t>Though I now return To my home, the Capital, Sad it is to think One for whom I mourn in vain Never will return again</t>
  </si>
  <si>
    <t>He composed the following also upon the same occasion:</t>
  </si>
  <si>
    <t>Could I e'er forget What is past, I still should grieve If she were not here; Seeking for her, I should say, 'Where's my little girl today?</t>
  </si>
  <si>
    <t xml:space="preserve">To ihikeru </t>
  </si>
  <si>
    <t>ma ni Shika no Saki to iu tokoro ni mori no warakara mata koto hito kore kare sake nani do motte oikite,</t>
  </si>
  <si>
    <t>'Such were his words.</t>
  </si>
  <si>
    <t>hurried down to the shore</t>
  </si>
  <si>
    <t xml:space="preserve">Iso ni ori ite </t>
  </si>
  <si>
    <t>wakaregatanaki koto o iu.</t>
  </si>
  <si>
    <t>At a place named Cape Kago the Governor's brother,8 some strangers and many others with sake and other good things</t>
  </si>
  <si>
    <t>to bid a sad farewell</t>
  </si>
  <si>
    <t xml:space="preserve">Mori no tachi no hitobito no naka ni kono kuru </t>
  </si>
  <si>
    <t xml:space="preserve">hitobito zo kokoro aru </t>
  </si>
  <si>
    <t>yō ni wa iware honomeku.</t>
  </si>
  <si>
    <t>and all the people from Government House, who had come here</t>
  </si>
  <si>
    <t>in the kindness of their hearts</t>
  </si>
  <si>
    <t xml:space="preserve">, spoke softly </t>
  </si>
  <si>
    <t>To express their grief at parting</t>
  </si>
  <si>
    <t>Kaku wakaregatanaki ihite,</t>
  </si>
  <si>
    <t>uta:</t>
  </si>
  <si>
    <t>these good people clustered together upon the sea-shore and [which was as heavy as a net full of fishes]</t>
  </si>
  <si>
    <t>dragged out the following verse,</t>
  </si>
  <si>
    <t>Like a flock of ducks9 Here among the reeds are we; Deeply we regret Thy departure, and we would Keep thee with us, if we could</t>
  </si>
  <si>
    <t>On this the traveler with the greatest appreciation replied</t>
  </si>
  <si>
    <t>Sounding with my pole Bottom is there none; and thus Like the Sea-God's realm, Bottomless my loving heart, When I think we now must part</t>
  </si>
  <si>
    <t>To ihite arikereba,</t>
  </si>
  <si>
    <t xml:space="preserve"> ito itaku medete </t>
  </si>
  <si>
    <t xml:space="preserve">yuku </t>
  </si>
  <si>
    <t>hito no yomerikeri:</t>
  </si>
  <si>
    <t>now remorselessly said they must get away at once</t>
  </si>
  <si>
    <t>Hayaku inamu tote</t>
  </si>
  <si>
    <t xml:space="preserve">for the tide was full, </t>
  </si>
  <si>
    <t xml:space="preserve"> "Shio michinu. </t>
  </si>
  <si>
    <t>Kaze mo fukinubeshi"</t>
  </si>
  <si>
    <t xml:space="preserve"> to sawageba</t>
  </si>
  <si>
    <t xml:space="preserve"> fune ni norinamu to su.</t>
  </si>
  <si>
    <t xml:space="preserve">the wind might blow </t>
  </si>
  <si>
    <t xml:space="preserve">he feared </t>
  </si>
  <si>
    <t>they would have a rough tossing in the ship</t>
  </si>
  <si>
    <t>sunaru</t>
  </si>
  <si>
    <t>what is called a Diary, but now a woman will see what she can do.</t>
  </si>
  <si>
    <t>shitemimu</t>
  </si>
  <si>
    <t>surunari</t>
  </si>
  <si>
    <t>kadode su</t>
  </si>
  <si>
    <t>kakitsuku</t>
  </si>
  <si>
    <t>hatete</t>
  </si>
  <si>
    <t>shioete</t>
  </si>
  <si>
    <t>torite</t>
  </si>
  <si>
    <t>idete</t>
  </si>
  <si>
    <t>noru</t>
  </si>
  <si>
    <t>wataru</t>
  </si>
  <si>
    <t>shiru</t>
  </si>
  <si>
    <t>shiranu</t>
  </si>
  <si>
    <t>Kare kore shiru/shiranu</t>
  </si>
  <si>
    <t>both friends and strangers</t>
  </si>
  <si>
    <t>okuri su</t>
  </si>
  <si>
    <t>kurabeshitsuru</t>
  </si>
  <si>
    <t>not sure whether internal heads should be treated the same way as other heads</t>
  </si>
  <si>
    <t>omohite</t>
  </si>
  <si>
    <t>?</t>
  </si>
  <si>
    <t>shitsutsu</t>
  </si>
  <si>
    <t>nonoshiru</t>
  </si>
  <si>
    <t>yofukenu</t>
  </si>
  <si>
    <t xml:space="preserve"> uchi ni yofukenu.</t>
  </si>
  <si>
    <t>negaitsutsu</t>
  </si>
  <si>
    <t>naredo</t>
  </si>
  <si>
    <t>hanamuke su</t>
  </si>
  <si>
    <t xml:space="preserve"> yoihamasugite </t>
  </si>
  <si>
    <t>azareaeri</t>
  </si>
  <si>
    <t>ari</t>
  </si>
  <si>
    <t>iitsukau</t>
  </si>
  <si>
    <t>nari</t>
  </si>
  <si>
    <t>shitaru</t>
  </si>
  <si>
    <t>aramu</t>
  </si>
  <si>
    <t>miezanaru</t>
  </si>
  <si>
    <t>aru</t>
  </si>
  <si>
    <t>kikeru</t>
  </si>
  <si>
    <t>homuru</t>
  </si>
  <si>
    <t xml:space="preserve">mono ni yorite homuru </t>
  </si>
  <si>
    <t>Kore wa […] ni shimo arazaru.</t>
  </si>
  <si>
    <t>arazaru</t>
  </si>
  <si>
    <t>idemaseri</t>
  </si>
  <si>
    <t>yoishirete</t>
  </si>
  <si>
    <t>fumite zo</t>
  </si>
  <si>
    <t>asobu</t>
  </si>
  <si>
    <t>yobi</t>
  </si>
  <si>
    <t>motekeri</t>
  </si>
  <si>
    <t>yobarete</t>
  </si>
  <si>
    <t>itarite</t>
  </si>
  <si>
    <t>akerikeri</t>
  </si>
  <si>
    <t>shinonoshirite</t>
  </si>
  <si>
    <t>kazuketari</t>
  </si>
  <si>
    <t>agete</t>
  </si>
  <si>
    <t>ihikeri</t>
  </si>
  <si>
    <t>ihiaherikeri</t>
  </si>
  <si>
    <t>e kakazu</t>
  </si>
  <si>
    <t>yomerikeri</t>
  </si>
  <si>
    <t>arikeredo</t>
  </si>
  <si>
    <t>nakarubeshi</t>
  </si>
  <si>
    <t>ihite</t>
  </si>
  <si>
    <t xml:space="preserve">To kaku ihite </t>
  </si>
  <si>
    <t>orite</t>
  </si>
  <si>
    <t>toriwakashite</t>
  </si>
  <si>
    <t>yokenaru</t>
  </si>
  <si>
    <t>ehi goto ni kokoro yokenaru</t>
  </si>
  <si>
    <t>idenikeri</t>
  </si>
  <si>
    <t>kogidzu</t>
  </si>
  <si>
    <t xml:space="preserve">Nijūshichinichi, Urado o sashite </t>
  </si>
  <si>
    <t>Ōtsu yori kogidzu.</t>
  </si>
  <si>
    <t>sashite</t>
  </si>
  <si>
    <t>umaretarishi</t>
  </si>
  <si>
    <t>usenishikaba</t>
  </si>
  <si>
    <t>miredo</t>
  </si>
  <si>
    <t>e iwazu</t>
  </si>
  <si>
    <t>kaeru</t>
  </si>
  <si>
    <t>kanashibikoiru</t>
  </si>
  <si>
    <t xml:space="preserve">ni onago no naki </t>
  </si>
  <si>
    <t>nomizo kanashibi koiru.</t>
  </si>
  <si>
    <t>All his love was changed to grief</t>
  </si>
  <si>
    <t xml:space="preserve">, for he will now have no little daughter </t>
  </si>
  <si>
    <t>naki</t>
  </si>
  <si>
    <t>not sure if this is a transitive construction</t>
  </si>
  <si>
    <t>e taenu</t>
  </si>
  <si>
    <t>kakite idaseru</t>
  </si>
  <si>
    <t>ihikeru</t>
  </si>
  <si>
    <t>motte oikite</t>
  </si>
  <si>
    <t>ori ite</t>
  </si>
  <si>
    <t>iu</t>
  </si>
  <si>
    <t>kuru</t>
  </si>
  <si>
    <t>iware honomeku</t>
  </si>
  <si>
    <t>nihii daseru</t>
  </si>
  <si>
    <t xml:space="preserve"> kano hitobito no kuchiami mo moromochi nite kono umibe nite nihii </t>
  </si>
  <si>
    <t xml:space="preserve">daseru </t>
  </si>
  <si>
    <t>daseru</t>
  </si>
  <si>
    <t>To iu ma ni kajitori monomo [...] onore shi sake o kuraitsureba,</t>
  </si>
  <si>
    <t xml:space="preserve"> aware mo shirade</t>
  </si>
  <si>
    <t>The steersman, who had himself been […] eating and drinking sake while all this was going on</t>
  </si>
  <si>
    <t xml:space="preserve"> freely</t>
  </si>
  <si>
    <t>kuraitsureba</t>
  </si>
  <si>
    <t>shirade</t>
  </si>
  <si>
    <t>inamu</t>
  </si>
  <si>
    <t>michinu</t>
  </si>
  <si>
    <t>fukinubeshi</t>
  </si>
  <si>
    <t>sawageba</t>
  </si>
  <si>
    <t>norinamu</t>
  </si>
  <si>
    <t>not sure whether internal heads should be treated the same way as other heads/ kare kore</t>
  </si>
  <si>
    <t>Izure no Ohotoki ni ka. Nyōgo, Kōi amata saburai tamai keru</t>
  </si>
  <si>
    <t xml:space="preserve">naka ni, ito yangotonaki kiwa ni wa aranu ga </t>
  </si>
  <si>
    <t>Hajime yori, ware wa to omoiagari tamai keru</t>
  </si>
  <si>
    <t xml:space="preserve">o-kata gata, mezamashiki mono ni otoshime </t>
  </si>
  <si>
    <t>sonemi tamau</t>
  </si>
  <si>
    <t>Onaji hodo, sore yori gerō no Kōi-tachi wa, mashite yasukarazu</t>
  </si>
  <si>
    <t>urami o ou</t>
  </si>
  <si>
    <t>tsumori ni ya ari kemu</t>
  </si>
  <si>
    <t>ito atsushiku nariyuki</t>
  </si>
  <si>
    <t>monogokorobosoge ni sato-gachinaru o</t>
  </si>
  <si>
    <t>iyoiyo akazu</t>
  </si>
  <si>
    <t xml:space="preserve">aware naru </t>
  </si>
  <si>
    <t>mono ni obobosete</t>
  </si>
  <si>
    <t>hito no soshiri o mo e habakara se tamawazu</t>
  </si>
  <si>
    <t xml:space="preserve">yo no tameshi ni mo narinubeki </t>
  </si>
  <si>
    <t>o-motenashi nari</t>
  </si>
  <si>
    <t>Kandachime, Uebito nado mo, ainaku me o sobame tsutsu</t>
  </si>
  <si>
    <t>ashikarikere to</t>
  </si>
  <si>
    <t>yōyō ame no shita ni mo ajikinau</t>
  </si>
  <si>
    <t>hito no motenayami-gusa ni narite</t>
  </si>
  <si>
    <t xml:space="preserve">Yōkihi no tameshi mo hikiide </t>
  </si>
  <si>
    <t>tsubeu nariyuku ni</t>
  </si>
  <si>
    <t>ito hashitanaki koto ōkaredo</t>
  </si>
  <si>
    <t>majirai tamau</t>
  </si>
  <si>
    <t>Chichi no Dainagon wa nakunari te</t>
  </si>
  <si>
    <t>Haha Kita no Kata namu inishie no hito no yoshi aru nite</t>
  </si>
  <si>
    <t xml:space="preserve">o-kata gata ni mo otorazu </t>
  </si>
  <si>
    <t>nanigoto no gishiki o mo motenashi tamai keredo</t>
  </si>
  <si>
    <t>kokorobosoge nari</t>
  </si>
  <si>
    <t>Saki no yo ni mo, on-chigiri ya fukakari kemu</t>
  </si>
  <si>
    <t>tama no Onokomiko sae umare tamainu</t>
  </si>
  <si>
    <t xml:space="preserve">isogi mairase te </t>
  </si>
  <si>
    <t xml:space="preserve">utagai naki </t>
  </si>
  <si>
    <t>Mōke no Kimi to yo ni mo te kashizuki kikoeyuredo</t>
  </si>
  <si>
    <t>kono on-niōi ni wa, narabi tamau beku mo</t>
  </si>
  <si>
    <t>arazari kereba</t>
  </si>
  <si>
    <t>koto kagiri nashi</t>
  </si>
  <si>
    <t>kiwa ni wa arazari ki</t>
  </si>
  <si>
    <t>Jōzu mekashi keredo</t>
  </si>
  <si>
    <t>Aru toki ni wa Ōtonogomori sugushite</t>
  </si>
  <si>
    <t>yagate saburawase tamainando</t>
  </si>
  <si>
    <t>anagachi ni o-mae sarazu</t>
  </si>
  <si>
    <t>kono Onoko umare tamai te nochi wa</t>
  </si>
  <si>
    <t>nameri to Ichi no Miko no Nyōgo wa oboshi utagaweri</t>
  </si>
  <si>
    <t>Hito yori saki ni mairi tamai te</t>
  </si>
  <si>
    <t>yangotonaki on-omoi nabete narazu</t>
  </si>
  <si>
    <t>Onokotachi nado mo owasimaseba</t>
  </si>
  <si>
    <t>Kashikoki on-kage o ba tanomi</t>
  </si>
  <si>
    <t>kike nagara</t>
  </si>
  <si>
    <t>otoshime</t>
  </si>
  <si>
    <t xml:space="preserve">kizu o motome tamau </t>
  </si>
  <si>
    <t>hito wa ōku</t>
  </si>
  <si>
    <t>wa ga mi wa kayowaku</t>
  </si>
  <si>
    <t>monoomoi o zo shi tamau</t>
  </si>
  <si>
    <t>Amata no o-kata gata o sugisase tamai tsutsu</t>
  </si>
  <si>
    <t>on-okuri mukae no hito no kinu no suso taegata u</t>
  </si>
  <si>
    <t>masanaki kotodomo ari</t>
  </si>
  <si>
    <t>Medō no to o sashikome</t>
  </si>
  <si>
    <t>konata kanata kokoro o awasete</t>
  </si>
  <si>
    <t xml:space="preserve">hashi taname wazurawase tamau </t>
  </si>
  <si>
    <t>toki mo ōkari</t>
  </si>
  <si>
    <t>Koto ni fure te</t>
  </si>
  <si>
    <t>kazu shirazu</t>
  </si>
  <si>
    <t>kurushiki koto nomi masareba</t>
  </si>
  <si>
    <t xml:space="preserve">ito itau </t>
  </si>
  <si>
    <t>omoiwabi taru o</t>
  </si>
  <si>
    <t>ito do aware to on-ramji te</t>
  </si>
  <si>
    <t xml:space="preserve">Kōraudono ni moto yori saburai tamau </t>
  </si>
  <si>
    <t>Kōi no Zōshi o, hoka ni utsusa se tamai te</t>
  </si>
  <si>
    <t>Uetsubone ni tamawasu</t>
  </si>
  <si>
    <t xml:space="preserve">Sono urami, mashite yaramu </t>
  </si>
  <si>
    <t>kata nashi</t>
  </si>
  <si>
    <t>one who, though she was not of high birth</t>
  </si>
  <si>
    <t>enjoyed the full tide of Royal favor</t>
  </si>
  <si>
    <t>and her equals and inferiors were more indignant still.</t>
  </si>
  <si>
    <t xml:space="preserve">[her superiors, each one of whom] gazed upon her disdainfully </t>
  </si>
  <si>
    <t xml:space="preserve">with malignant eyes, </t>
  </si>
  <si>
    <t>Asayū no miyazuki ni tsukete mo,</t>
  </si>
  <si>
    <t>hito no kokoro o ugokashi</t>
  </si>
  <si>
    <t>The way she waited on him day after day</t>
  </si>
  <si>
    <t>only stirred up feeling against her</t>
  </si>
  <si>
    <t xml:space="preserve">burden of resentment </t>
  </si>
  <si>
    <t xml:space="preserve">affected her health </t>
  </si>
  <si>
    <t>was what</t>
  </si>
  <si>
    <t>and obliged her often to withdraw in misery to her home</t>
  </si>
  <si>
    <t>who could less and less do without her</t>
  </si>
  <si>
    <t xml:space="preserve">ignored his critics </t>
  </si>
  <si>
    <t>until his behavior seemed bound</t>
  </si>
  <si>
    <t>to be the talk of all</t>
  </si>
  <si>
    <t xml:space="preserve"> saburai tamai keru</t>
  </si>
  <si>
    <t>aranu</t>
  </si>
  <si>
    <t xml:space="preserve"> tokimeki tamau</t>
  </si>
  <si>
    <t>NMLZ head</t>
  </si>
  <si>
    <t>ari keri</t>
  </si>
  <si>
    <t>there was</t>
  </si>
  <si>
    <t>omoiagari tamai keru</t>
  </si>
  <si>
    <t xml:space="preserve">otoshime </t>
  </si>
  <si>
    <t>yasukarazu</t>
  </si>
  <si>
    <t>tsukete mo</t>
  </si>
  <si>
    <t>ugokashi</t>
  </si>
  <si>
    <t>ou</t>
  </si>
  <si>
    <t xml:space="preserve"> ari kemu</t>
  </si>
  <si>
    <t xml:space="preserve"> nariyuki</t>
  </si>
  <si>
    <t xml:space="preserve"> sato-gachinaru</t>
  </si>
  <si>
    <t>akazu</t>
  </si>
  <si>
    <t xml:space="preserve">naru </t>
  </si>
  <si>
    <t>obobosete</t>
  </si>
  <si>
    <t>habakara se tamawazu</t>
  </si>
  <si>
    <t xml:space="preserve">Morokoshi ni mo, shikaru koto no okori ni koso yo mo midare </t>
  </si>
  <si>
    <t>even in China such things had led to disorder and ruin</t>
  </si>
  <si>
    <t>From this sad spectacle</t>
  </si>
  <si>
    <t>the senior nobles and privy gentlemen could only avert their eyes</t>
  </si>
  <si>
    <t>sobametsutsu</t>
  </si>
  <si>
    <t xml:space="preserve">narinubeki </t>
  </si>
  <si>
    <t>midare</t>
  </si>
  <si>
    <t>and as discontent spread through the realm</t>
  </si>
  <si>
    <t>chichi no Dainagon wa nakunari te</t>
  </si>
  <si>
    <t>with many a painful consequence for the lady herself</t>
  </si>
  <si>
    <t>narite</t>
  </si>
  <si>
    <t>ajikinau</t>
  </si>
  <si>
    <t xml:space="preserve">hikiide </t>
  </si>
  <si>
    <t>ashikarikere</t>
  </si>
  <si>
    <t>nakunari te</t>
  </si>
  <si>
    <t xml:space="preserve">the example of Yokihi^ came more and more to mind </t>
  </si>
  <si>
    <t>nariyuku</t>
  </si>
  <si>
    <t>ōkaredo</t>
  </si>
  <si>
    <t xml:space="preserve">naki </t>
  </si>
  <si>
    <t>tanomi ni te</t>
  </si>
  <si>
    <t>with many a painful consequence</t>
  </si>
  <si>
    <t>katajikenaki on-kokorobae no tagui na</t>
  </si>
  <si>
    <t>[ki] o tanomi ni te</t>
  </si>
  <si>
    <t>The Grand Counsellor, her father, was gone</t>
  </si>
  <si>
    <t>aru nite</t>
  </si>
  <si>
    <t xml:space="preserve">gu shi </t>
  </si>
  <si>
    <t xml:space="preserve">oya uchigu shi </t>
  </si>
  <si>
    <t>sashiatarite yo no oboe hanayakana ru</t>
  </si>
  <si>
    <t>hanayakana ru</t>
  </si>
  <si>
    <t>and it was her mother, a lady from an old family,</t>
  </si>
  <si>
    <t>whose parents were both alive</t>
  </si>
  <si>
    <t>and who enjoyed general esteem</t>
  </si>
  <si>
    <t xml:space="preserve">no less than others </t>
  </si>
  <si>
    <t xml:space="preserve">give to court events </t>
  </si>
  <si>
    <t xml:space="preserve">otorazu </t>
  </si>
  <si>
    <t xml:space="preserve">motenashi tamai </t>
  </si>
  <si>
    <t>toritate te wa kabashiki on-ushiromi shi nakereba</t>
  </si>
  <si>
    <t>nakereba</t>
  </si>
  <si>
    <t xml:space="preserve">koto aru </t>
  </si>
  <si>
    <t xml:space="preserve">toki wa nao yori-dokoro naku </t>
  </si>
  <si>
    <t xml:space="preserve">naku </t>
  </si>
  <si>
    <t>when the time came to support her</t>
  </si>
  <si>
    <t>weakness of her position</t>
  </si>
  <si>
    <t>His Majesty must have had a deep bond with her in past lives as well</t>
  </si>
  <si>
    <t>fukakari kemu</t>
  </si>
  <si>
    <t>NOM EXH MORPH</t>
  </si>
  <si>
    <t>yo ni naku</t>
  </si>
  <si>
    <t>kiyora naru</t>
  </si>
  <si>
    <t xml:space="preserve"> naku</t>
  </si>
  <si>
    <t>naru</t>
  </si>
  <si>
    <t>umare tamainu</t>
  </si>
  <si>
    <t>tamai te</t>
  </si>
  <si>
    <t>Itsushika to kokoromotona gara se tamai te</t>
  </si>
  <si>
    <t>for he was desperate to see him</t>
  </si>
  <si>
    <t>isogi mairase te</t>
  </si>
  <si>
    <t>He had [the child] brought in straight away</t>
  </si>
  <si>
    <t>go-ran-suru nite</t>
  </si>
  <si>
    <t>go-ran-suru</t>
  </si>
  <si>
    <t>yose omoku</t>
  </si>
  <si>
    <t xml:space="preserve"> chigo no o-katachi nari</t>
  </si>
  <si>
    <t>Ichi no miko wa Udaijin no nyōgo no ohara nite yose omoku</t>
  </si>
  <si>
    <t>Mezurakanaru</t>
  </si>
  <si>
    <t>kikoeyuredo</t>
  </si>
  <si>
    <t>narabi tamau</t>
  </si>
  <si>
    <t xml:space="preserve">he was astonished </t>
  </si>
  <si>
    <t>by his beauty</t>
  </si>
  <si>
    <t>His elder son, born to his Consort the daughter of the Minister of the Right</t>
  </si>
  <si>
    <t>was feted by all as the undoubted future Heir Apparent</t>
  </si>
  <si>
    <t>kashizuki tamau</t>
  </si>
  <si>
    <t>still accorded him all due respect</t>
  </si>
  <si>
    <t>ōkata no yangotonaki on-omoi nite,</t>
  </si>
  <si>
    <t xml:space="preserve">kono Kimi o ba, watakushimono ni obobosashi </t>
  </si>
  <si>
    <t>nite</t>
  </si>
  <si>
    <t xml:space="preserve">obobosashi </t>
  </si>
  <si>
    <t>lavished his private affection on the new arrival</t>
  </si>
  <si>
    <t>kagiri nashi</t>
  </si>
  <si>
    <t>rival his brother in looks</t>
  </si>
  <si>
    <t xml:space="preserve">could not </t>
  </si>
  <si>
    <t xml:space="preserve">Hajime yori, oshinabete no Ue Miyazukahi shi tamau beki </t>
  </si>
  <si>
    <t xml:space="preserve">shi tamau beki </t>
  </si>
  <si>
    <t xml:space="preserve"> to enter His Majesty's common service</t>
  </si>
  <si>
    <t>Her rank had never permitted her</t>
  </si>
  <si>
    <t>arazari ki</t>
  </si>
  <si>
    <t>Oboe ito yangotonaku</t>
  </si>
  <si>
    <t>yangotonaku</t>
  </si>
  <si>
    <t xml:space="preserve">and her noble bearing </t>
  </si>
  <si>
    <t>her fine reputation</t>
  </si>
  <si>
    <t>mekashi</t>
  </si>
  <si>
    <t xml:space="preserve">His insistence on keeping her with him </t>
  </si>
  <si>
    <t>matsuwasase tamau</t>
  </si>
  <si>
    <t>warinaku matsuwasase tamau</t>
  </si>
  <si>
    <t xml:space="preserve">amari ni sarubeki on-asobi no ori-ori nanigoto ni mo, yū aru </t>
  </si>
  <si>
    <t xml:space="preserve">aru </t>
  </si>
  <si>
    <t>mainoborase tamau</t>
  </si>
  <si>
    <t>koto no fushibushi ni wa, mazu mainoborase tamau</t>
  </si>
  <si>
    <t>Sometimes, after oversleeping a little</t>
  </si>
  <si>
    <t>Ōtonogomori sugushite</t>
  </si>
  <si>
    <t>saburawase tamainando</t>
  </si>
  <si>
    <t>he would command her to stay on with him</t>
  </si>
  <si>
    <t>and this refusal to let her go</t>
  </si>
  <si>
    <t>sarazu</t>
  </si>
  <si>
    <t>motenasase tamai</t>
  </si>
  <si>
    <t>motenasase tamai shi</t>
  </si>
  <si>
    <t>hodo ni onozukara karuki kata ni mo mie shi o</t>
  </si>
  <si>
    <t>mie shi</t>
  </si>
  <si>
    <t>made her seem to deserve contempt</t>
  </si>
  <si>
    <t>umare tamai te</t>
  </si>
  <si>
    <t>but after the birth</t>
  </si>
  <si>
    <t xml:space="preserve">he was so attentive </t>
  </si>
  <si>
    <t>ito kokorokoto ni omobosi</t>
  </si>
  <si>
    <t>oki te tareba</t>
  </si>
  <si>
    <t>omobosi</t>
  </si>
  <si>
    <t>ib.</t>
  </si>
  <si>
    <t xml:space="preserve">owasu beki </t>
  </si>
  <si>
    <t>Bō ni mo, yōsezu wa, kono Onoko no owasu beki</t>
  </si>
  <si>
    <t xml:space="preserve">that the mother of his firstborn feared </t>
  </si>
  <si>
    <t>oboshi utagaweri</t>
  </si>
  <si>
    <t>that he might appoint</t>
  </si>
  <si>
    <t xml:space="preserve"> mairi tamai te</t>
  </si>
  <si>
    <t>nabete narazu</t>
  </si>
  <si>
    <t xml:space="preserve"> owasimaseba</t>
  </si>
  <si>
    <t>for whom he had high regard</t>
  </si>
  <si>
    <t>and it was she whose reproaches most troubled him and whom he could least bear to hurt</t>
  </si>
  <si>
    <t>kike sase tamai keru</t>
  </si>
  <si>
    <t>kono o-kata no on-isame o nomizo nao wazurawashiku kokorogurushū omoi</t>
  </si>
  <si>
    <t>tanomi</t>
  </si>
  <si>
    <t>Despite her faith in His Majesty's sovereign protection</t>
  </si>
  <si>
    <t xml:space="preserve">motome tamau </t>
  </si>
  <si>
    <t>so many belittled her</t>
  </si>
  <si>
    <t>and sought to find fault with her</t>
  </si>
  <si>
    <t>ōku</t>
  </si>
  <si>
    <t xml:space="preserve"> kayowaku</t>
  </si>
  <si>
    <t>mono hakanaki arisama ni te</t>
  </si>
  <si>
    <t xml:space="preserve">nakanaka naru </t>
  </si>
  <si>
    <t>ni te</t>
  </si>
  <si>
    <t>she began in her distress to waste away</t>
  </si>
  <si>
    <t>far from flourishing</t>
  </si>
  <si>
    <t>shi tamau</t>
  </si>
  <si>
    <t>She lived in the Kiritsubo</t>
  </si>
  <si>
    <t xml:space="preserve">Mi-tsubone wa Kiritsubo nari. </t>
  </si>
  <si>
    <t xml:space="preserve">His Majesty had to pass many others </t>
  </si>
  <si>
    <t>sugisase tamai</t>
  </si>
  <si>
    <t>tsukushi tamau</t>
  </si>
  <si>
    <t>mie tari</t>
  </si>
  <si>
    <t xml:space="preserve">on his constant visits to her, and </t>
  </si>
  <si>
    <t>no wonder they took offense</t>
  </si>
  <si>
    <t>himanaki o-maewatari ni, hito no on-kokoro o tsukushi tama</t>
  </si>
  <si>
    <t>...u mo geni kotowari to mie tari</t>
  </si>
  <si>
    <t>Mainobori tamau</t>
  </si>
  <si>
    <t>when she went to him</t>
  </si>
  <si>
    <t>Mainobori tama-</t>
  </si>
  <si>
    <t xml:space="preserve">On the far too frequent occasions </t>
  </si>
  <si>
    <t>uchishikiru</t>
  </si>
  <si>
    <t>...u ni mo amari uchishikiru</t>
  </si>
  <si>
    <t>ori-ori wa Uchihashi, Watadono, koko kashiko no michi ni, ayashiki waza o shi tsutsu</t>
  </si>
  <si>
    <t>shi tsutsu</t>
  </si>
  <si>
    <t>taegata u</t>
  </si>
  <si>
    <t>one that horribly fouled the skirts of the gentlewomen who accompanied her or who came forward to receive her</t>
  </si>
  <si>
    <t xml:space="preserve">there might be a nasty surprise </t>
  </si>
  <si>
    <t xml:space="preserve">Mata aru toki wa esaranu </t>
  </si>
  <si>
    <t>Сomment</t>
  </si>
  <si>
    <t>In the reign of a certain Emperor, whose name is unknown to us, there was, among the Niogo and Kôyi of the Imperial Court</t>
  </si>
  <si>
    <t>sugurete tokimeki tama-</t>
  </si>
  <si>
    <t>...u ari keri</t>
  </si>
  <si>
    <t xml:space="preserve">Hence […] had always been thinking — "I shall be the one," </t>
  </si>
  <si>
    <t>GENJI</t>
  </si>
  <si>
    <t>TOSA</t>
  </si>
  <si>
    <t>REL vs Shushi-kei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</si>
</sst>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4"/>
      <color rgb="FF000000"/>
      <name val="-webkit-standard"/>
    </font>
    <font>
      <sz val="12"/>
      <color rgb="FFFF0000"/>
      <name val="Aptos Narrow"/>
      <scheme val="minor"/>
    </font>
    <font>
      <sz val="12"/>
      <color rgb="FFFF0000"/>
      <name val="Calibri"/>
      <family val="2"/>
    </font>
    <font>
      <sz val="12"/>
      <color rgb="FFFF0000"/>
      <name val="Aptos Narrow (Body)"/>
    </font>
    <font>
      <sz val="12"/>
      <color rgb="FF000000"/>
      <name val="-webkit-standard"/>
    </font>
    <font>
      <sz val="12"/>
      <color rgb="FF000000"/>
      <name val="Calibri"/>
      <family val="2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4" xfId="0" applyFont="1" applyBorder="1"/>
    <xf numFmtId="0" fontId="1" fillId="0" borderId="0" xfId="0" applyFont="1"/>
    <xf numFmtId="0" fontId="0" fillId="0" borderId="9" xfId="0" applyBorder="1"/>
    <xf numFmtId="0" fontId="2" fillId="0" borderId="9" xfId="0" applyFont="1" applyBorder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4" xfId="0" applyFont="1" applyBorder="1"/>
    <xf numFmtId="0" fontId="6" fillId="0" borderId="4" xfId="0" applyFont="1" applyBorder="1"/>
    <xf numFmtId="0" fontId="1" fillId="0" borderId="5" xfId="0" applyFont="1" applyBorder="1"/>
    <xf numFmtId="0" fontId="0" fillId="0" borderId="10" xfId="0" applyBorder="1"/>
    <xf numFmtId="0" fontId="0" fillId="0" borderId="11" xfId="0" applyBorder="1"/>
    <xf numFmtId="0" fontId="9" fillId="0" borderId="6" xfId="0" applyFont="1" applyBorder="1"/>
    <xf numFmtId="0" fontId="8" fillId="0" borderId="5" xfId="0" applyFont="1" applyBorder="1"/>
    <xf numFmtId="0" fontId="0" fillId="7" borderId="0" xfId="0" applyFill="1"/>
    <xf numFmtId="0" fontId="10" fillId="0" borderId="0" xfId="0" applyFont="1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10" fillId="0" borderId="4" xfId="0" applyFont="1" applyBorder="1"/>
    <xf numFmtId="0" fontId="10" fillId="0" borderId="4" xfId="0" applyFont="1" applyBorder="1" applyAlignment="1">
      <alignment horizontal="right"/>
    </xf>
    <xf numFmtId="0" fontId="5" fillId="0" borderId="4" xfId="0" applyFont="1" applyBorder="1"/>
    <xf numFmtId="0" fontId="11" fillId="0" borderId="4" xfId="0" applyFont="1" applyBorder="1" applyAlignment="1">
      <alignment vertical="center"/>
    </xf>
    <xf numFmtId="0" fontId="10" fillId="0" borderId="6" xfId="0" applyFont="1" applyBorder="1"/>
    <xf numFmtId="0" fontId="2" fillId="0" borderId="7" xfId="0" applyFont="1" applyBorder="1"/>
    <xf numFmtId="0" fontId="0" fillId="0" borderId="15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79E7-12F2-7C4E-B784-6102ACF164D0}">
  <dimension ref="A1:K152"/>
  <sheetViews>
    <sheetView topLeftCell="A91" zoomScale="107" workbookViewId="0">
      <selection activeCell="B127" sqref="B127"/>
    </sheetView>
  </sheetViews>
  <sheetFormatPr baseColWidth="10" defaultRowHeight="16"/>
  <cols>
    <col min="1" max="1" width="54.5" customWidth="1"/>
    <col min="2" max="2" width="83.5" customWidth="1"/>
  </cols>
  <sheetData>
    <row r="1" spans="1:11" ht="17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1">
      <c r="A2" s="4" t="s">
        <v>27</v>
      </c>
      <c r="B2" s="9" t="s">
        <v>54</v>
      </c>
      <c r="C2" t="s">
        <v>205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 s="5"/>
      <c r="K2" s="8"/>
    </row>
    <row r="3" spans="1:11">
      <c r="A3" s="4" t="s">
        <v>28</v>
      </c>
      <c r="B3" s="9" t="s">
        <v>206</v>
      </c>
      <c r="C3" t="s">
        <v>207</v>
      </c>
      <c r="D3">
        <v>1</v>
      </c>
      <c r="E3">
        <v>2</v>
      </c>
      <c r="F3">
        <v>0</v>
      </c>
      <c r="G3">
        <v>0</v>
      </c>
      <c r="H3">
        <v>0</v>
      </c>
      <c r="I3">
        <v>0</v>
      </c>
      <c r="J3" s="5"/>
      <c r="K3" s="8"/>
    </row>
    <row r="4" spans="1:11">
      <c r="A4" s="4" t="s">
        <v>29</v>
      </c>
      <c r="B4" s="9" t="s">
        <v>155</v>
      </c>
      <c r="C4" t="s">
        <v>208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 s="5"/>
      <c r="K4" s="8"/>
    </row>
    <row r="5" spans="1:11">
      <c r="A5" s="4" t="s">
        <v>21</v>
      </c>
      <c r="B5" s="9" t="s">
        <v>51</v>
      </c>
      <c r="C5" t="s">
        <v>209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 s="5"/>
      <c r="K5" s="8"/>
    </row>
    <row r="6" spans="1:11">
      <c r="A6" s="4" t="s">
        <v>30</v>
      </c>
      <c r="B6" s="9" t="s">
        <v>52</v>
      </c>
      <c r="C6" t="s">
        <v>210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 s="5"/>
      <c r="K6" s="8"/>
    </row>
    <row r="7" spans="1:11">
      <c r="A7" s="4" t="s">
        <v>32</v>
      </c>
      <c r="B7" s="9" t="s">
        <v>55</v>
      </c>
      <c r="C7" t="s">
        <v>211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 s="5"/>
      <c r="K7" s="8"/>
    </row>
    <row r="8" spans="1:11">
      <c r="A8" s="4" t="s">
        <v>31</v>
      </c>
      <c r="B8" s="9" t="s">
        <v>56</v>
      </c>
      <c r="C8" t="s">
        <v>212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 s="5"/>
    </row>
    <row r="9" spans="1:11">
      <c r="A9" s="4" t="s">
        <v>33</v>
      </c>
      <c r="B9" s="9" t="s">
        <v>57</v>
      </c>
      <c r="C9" t="s">
        <v>213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 s="5"/>
      <c r="K9" s="8"/>
    </row>
    <row r="10" spans="1:11">
      <c r="A10" s="4" t="s">
        <v>34</v>
      </c>
      <c r="B10" s="9"/>
      <c r="C10" t="s">
        <v>34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 s="5"/>
      <c r="K10" s="8"/>
    </row>
    <row r="11" spans="1:11">
      <c r="A11" s="4" t="s">
        <v>35</v>
      </c>
      <c r="B11" s="9" t="s">
        <v>58</v>
      </c>
      <c r="C11" t="s">
        <v>214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 s="5"/>
    </row>
    <row r="12" spans="1:11">
      <c r="A12" s="4" t="s">
        <v>37</v>
      </c>
      <c r="B12" s="9" t="s">
        <v>59</v>
      </c>
      <c r="C12" t="s">
        <v>215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 s="5"/>
      <c r="K12" s="8"/>
    </row>
    <row r="13" spans="1:11">
      <c r="A13" s="4" t="s">
        <v>36</v>
      </c>
      <c r="B13" s="9" t="s">
        <v>60</v>
      </c>
      <c r="C13" t="s">
        <v>216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 s="5"/>
      <c r="K13" s="8"/>
    </row>
    <row r="14" spans="1:11" ht="18">
      <c r="A14" s="4" t="s">
        <v>219</v>
      </c>
      <c r="B14" s="20" t="s">
        <v>220</v>
      </c>
      <c r="C14" t="s">
        <v>217</v>
      </c>
      <c r="D14">
        <v>1</v>
      </c>
      <c r="E14">
        <v>1</v>
      </c>
      <c r="F14">
        <v>0</v>
      </c>
      <c r="G14">
        <v>0</v>
      </c>
      <c r="H14">
        <v>0</v>
      </c>
      <c r="I14" s="11">
        <v>0</v>
      </c>
      <c r="J14" s="25" t="s">
        <v>311</v>
      </c>
      <c r="K14" s="8"/>
    </row>
    <row r="15" spans="1:11">
      <c r="A15" s="4" t="s">
        <v>38</v>
      </c>
      <c r="B15" s="9" t="s">
        <v>61</v>
      </c>
      <c r="C15" t="s">
        <v>221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 s="5"/>
    </row>
    <row r="16" spans="1:11" ht="18">
      <c r="A16" s="4" t="s">
        <v>62</v>
      </c>
      <c r="B16" s="20" t="s">
        <v>53</v>
      </c>
      <c r="C16" t="s">
        <v>222</v>
      </c>
      <c r="D16">
        <v>1</v>
      </c>
      <c r="E16">
        <v>0</v>
      </c>
      <c r="F16">
        <v>1</v>
      </c>
      <c r="G16">
        <v>0</v>
      </c>
      <c r="H16">
        <v>0</v>
      </c>
      <c r="I16" s="11">
        <v>0</v>
      </c>
      <c r="J16" s="25" t="s">
        <v>223</v>
      </c>
      <c r="K16" s="8"/>
    </row>
    <row r="17" spans="1:11" ht="18">
      <c r="A17" s="4" t="s">
        <v>39</v>
      </c>
      <c r="B17" s="20" t="s">
        <v>63</v>
      </c>
      <c r="C17" t="s">
        <v>224</v>
      </c>
      <c r="D17">
        <v>1</v>
      </c>
      <c r="E17" s="11">
        <v>0</v>
      </c>
      <c r="F17">
        <v>0</v>
      </c>
      <c r="G17">
        <v>0</v>
      </c>
      <c r="H17">
        <v>0</v>
      </c>
      <c r="I17">
        <v>0</v>
      </c>
      <c r="J17" s="25" t="s">
        <v>225</v>
      </c>
    </row>
    <row r="18" spans="1:11">
      <c r="A18" s="4" t="s">
        <v>40</v>
      </c>
      <c r="B18" s="9" t="s">
        <v>64</v>
      </c>
      <c r="C18" t="s">
        <v>226</v>
      </c>
      <c r="D18">
        <v>1</v>
      </c>
      <c r="E18">
        <v>1</v>
      </c>
      <c r="F18">
        <v>2</v>
      </c>
      <c r="G18">
        <v>0</v>
      </c>
      <c r="H18">
        <v>0</v>
      </c>
      <c r="I18">
        <v>0</v>
      </c>
      <c r="J18" s="5"/>
      <c r="K18" s="8"/>
    </row>
    <row r="19" spans="1:11">
      <c r="A19" s="4" t="s">
        <v>227</v>
      </c>
      <c r="B19" s="9" t="s">
        <v>66</v>
      </c>
      <c r="C19" t="s">
        <v>227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 s="5"/>
    </row>
    <row r="20" spans="1:11">
      <c r="A20" s="4" t="s">
        <v>229</v>
      </c>
      <c r="B20" s="9" t="s">
        <v>67</v>
      </c>
      <c r="C20" t="s">
        <v>228</v>
      </c>
      <c r="D20">
        <v>1</v>
      </c>
      <c r="E20">
        <v>0</v>
      </c>
      <c r="F20">
        <v>1</v>
      </c>
      <c r="G20">
        <v>0</v>
      </c>
      <c r="H20">
        <v>0</v>
      </c>
      <c r="I20">
        <v>0</v>
      </c>
      <c r="J20" s="5"/>
    </row>
    <row r="21" spans="1:11">
      <c r="A21" s="23" t="s">
        <v>41</v>
      </c>
      <c r="B21" s="14" t="s">
        <v>65</v>
      </c>
      <c r="C21" t="s">
        <v>230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 s="5"/>
      <c r="K21" s="8"/>
    </row>
    <row r="22" spans="1:11">
      <c r="A22" s="23" t="s">
        <v>69</v>
      </c>
      <c r="B22" s="14" t="s">
        <v>68</v>
      </c>
      <c r="C22" t="s">
        <v>231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 s="5"/>
      <c r="K22" s="8"/>
    </row>
    <row r="23" spans="1:11">
      <c r="A23" s="23" t="s">
        <v>70</v>
      </c>
      <c r="B23" s="14" t="s">
        <v>71</v>
      </c>
      <c r="C23" t="s">
        <v>232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 s="5"/>
      <c r="K23" s="8"/>
    </row>
    <row r="24" spans="1:11">
      <c r="A24" s="23" t="s">
        <v>72</v>
      </c>
      <c r="B24" s="14" t="s">
        <v>74</v>
      </c>
      <c r="C24" t="s">
        <v>233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 s="5"/>
      <c r="K24" s="8"/>
    </row>
    <row r="25" spans="1:11">
      <c r="A25" s="23" t="s">
        <v>73</v>
      </c>
      <c r="B25" s="14" t="s">
        <v>75</v>
      </c>
      <c r="C25" t="s">
        <v>234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 s="5"/>
      <c r="K25" s="8"/>
    </row>
    <row r="26" spans="1:11">
      <c r="A26" s="23" t="s">
        <v>22</v>
      </c>
      <c r="B26" s="14" t="s">
        <v>76</v>
      </c>
      <c r="C26" t="s">
        <v>235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 s="5"/>
    </row>
    <row r="27" spans="1:11">
      <c r="A27" s="23" t="s">
        <v>77</v>
      </c>
      <c r="B27" s="14" t="s">
        <v>80</v>
      </c>
      <c r="C27" t="s">
        <v>236</v>
      </c>
      <c r="D27">
        <v>1</v>
      </c>
      <c r="E27">
        <v>2</v>
      </c>
      <c r="F27">
        <v>0</v>
      </c>
      <c r="G27">
        <v>0</v>
      </c>
      <c r="H27">
        <v>0</v>
      </c>
      <c r="I27">
        <v>0</v>
      </c>
      <c r="J27" s="5"/>
      <c r="K27" s="8"/>
    </row>
    <row r="28" spans="1:11">
      <c r="A28" s="23" t="s">
        <v>78</v>
      </c>
      <c r="B28" s="14" t="s">
        <v>79</v>
      </c>
      <c r="C28" t="s">
        <v>237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 s="5"/>
      <c r="K28" s="8"/>
    </row>
    <row r="29" spans="1:11">
      <c r="A29" s="23" t="s">
        <v>42</v>
      </c>
      <c r="B29" s="14" t="s">
        <v>81</v>
      </c>
      <c r="C29" t="s">
        <v>238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 s="5"/>
    </row>
    <row r="30" spans="1:11">
      <c r="A30" s="23" t="s">
        <v>82</v>
      </c>
      <c r="B30" s="9" t="s">
        <v>84</v>
      </c>
      <c r="C30" t="s">
        <v>239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 s="5"/>
      <c r="K30" s="8"/>
    </row>
    <row r="31" spans="1:11">
      <c r="A31" s="23" t="s">
        <v>83</v>
      </c>
      <c r="B31" s="9" t="s">
        <v>85</v>
      </c>
      <c r="C31" t="s">
        <v>240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 s="5"/>
      <c r="K31" s="8"/>
    </row>
    <row r="32" spans="1:11">
      <c r="A32" s="23" t="s">
        <v>86</v>
      </c>
      <c r="B32" s="14" t="s">
        <v>88</v>
      </c>
      <c r="C32" t="s">
        <v>241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 s="5"/>
    </row>
    <row r="33" spans="1:11">
      <c r="A33" s="23" t="s">
        <v>87</v>
      </c>
      <c r="B33" s="14" t="s">
        <v>89</v>
      </c>
      <c r="C33" t="s">
        <v>242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 s="5"/>
    </row>
    <row r="34" spans="1:11">
      <c r="A34" s="23" t="s">
        <v>244</v>
      </c>
      <c r="B34" s="14" t="s">
        <v>90</v>
      </c>
      <c r="C34" t="s">
        <v>243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 s="5"/>
      <c r="K34" s="8"/>
    </row>
    <row r="35" spans="1:11">
      <c r="A35" s="23" t="s">
        <v>245</v>
      </c>
      <c r="B35" s="14" t="s">
        <v>91</v>
      </c>
      <c r="C35" t="s">
        <v>246</v>
      </c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 s="5"/>
      <c r="K35" s="8"/>
    </row>
    <row r="36" spans="1:11">
      <c r="A36" s="23" t="s">
        <v>43</v>
      </c>
      <c r="B36" s="14" t="s">
        <v>92</v>
      </c>
      <c r="C36" t="s">
        <v>247</v>
      </c>
      <c r="D36">
        <v>1</v>
      </c>
      <c r="E36">
        <v>2</v>
      </c>
      <c r="F36">
        <v>1</v>
      </c>
      <c r="G36">
        <v>0</v>
      </c>
      <c r="H36">
        <v>0</v>
      </c>
      <c r="I36">
        <v>0</v>
      </c>
      <c r="J36" s="5"/>
    </row>
    <row r="37" spans="1:11">
      <c r="A37" s="23" t="s">
        <v>44</v>
      </c>
      <c r="B37" s="14" t="s">
        <v>93</v>
      </c>
      <c r="C37" t="s">
        <v>248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 s="5"/>
      <c r="K37" s="8"/>
    </row>
    <row r="38" spans="1:11">
      <c r="A38" s="23" t="s">
        <v>94</v>
      </c>
      <c r="B38" s="14" t="s">
        <v>97</v>
      </c>
      <c r="C38" t="s">
        <v>218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 s="5"/>
      <c r="K38" s="8"/>
    </row>
    <row r="39" spans="1:11">
      <c r="A39" s="23" t="s">
        <v>95</v>
      </c>
      <c r="B39" s="9" t="s">
        <v>98</v>
      </c>
      <c r="C39" t="s">
        <v>249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 s="5"/>
      <c r="K39" s="8"/>
    </row>
    <row r="40" spans="1:11">
      <c r="A40" s="23" t="s">
        <v>96</v>
      </c>
      <c r="B40" s="9" t="s">
        <v>99</v>
      </c>
      <c r="C40" t="s">
        <v>250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 s="5"/>
      <c r="K40" s="8"/>
    </row>
    <row r="41" spans="1:11">
      <c r="A41" s="23" t="s">
        <v>100</v>
      </c>
      <c r="B41" s="14" t="s">
        <v>102</v>
      </c>
      <c r="C41" t="s">
        <v>251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 s="5"/>
    </row>
    <row r="42" spans="1:11">
      <c r="A42" s="23" t="s">
        <v>101</v>
      </c>
      <c r="B42" s="9" t="s">
        <v>103</v>
      </c>
      <c r="C42" t="s">
        <v>252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 s="5"/>
    </row>
    <row r="43" spans="1:11">
      <c r="A43" s="23" t="s">
        <v>105</v>
      </c>
      <c r="B43" s="14" t="s">
        <v>104</v>
      </c>
      <c r="C43" t="s">
        <v>253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 s="5"/>
      <c r="K43" s="8"/>
    </row>
    <row r="44" spans="1:11">
      <c r="A44" s="23" t="s">
        <v>106</v>
      </c>
      <c r="B44" s="14" t="s">
        <v>109</v>
      </c>
      <c r="C44" t="s">
        <v>254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 s="5"/>
      <c r="K44" s="8"/>
    </row>
    <row r="45" spans="1:11">
      <c r="A45" s="23" t="s">
        <v>107</v>
      </c>
      <c r="B45" s="14" t="s">
        <v>110</v>
      </c>
      <c r="C45" t="s">
        <v>250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 s="5"/>
      <c r="K45" s="8"/>
    </row>
    <row r="46" spans="1:11">
      <c r="A46" s="23" t="s">
        <v>108</v>
      </c>
      <c r="B46" s="14" t="s">
        <v>111</v>
      </c>
      <c r="C46" t="s">
        <v>255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s="5"/>
      <c r="K46" s="8"/>
    </row>
    <row r="47" spans="1:11">
      <c r="A47" s="23" t="s">
        <v>114</v>
      </c>
      <c r="B47" s="14" t="s">
        <v>113</v>
      </c>
      <c r="C47" t="s">
        <v>256</v>
      </c>
      <c r="D47">
        <v>1</v>
      </c>
      <c r="E47">
        <v>1</v>
      </c>
      <c r="F47">
        <v>2</v>
      </c>
      <c r="G47">
        <v>0</v>
      </c>
      <c r="H47">
        <v>0</v>
      </c>
      <c r="I47">
        <v>0</v>
      </c>
      <c r="J47" s="5"/>
      <c r="K47" s="8"/>
    </row>
    <row r="48" spans="1:11">
      <c r="A48" s="23" t="s">
        <v>112</v>
      </c>
      <c r="B48" s="14" t="s">
        <v>115</v>
      </c>
      <c r="C48" t="s">
        <v>257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 s="5"/>
      <c r="K48" s="8"/>
    </row>
    <row r="49" spans="1:11">
      <c r="A49" s="23" t="s">
        <v>116</v>
      </c>
      <c r="B49" s="14" t="s">
        <v>119</v>
      </c>
      <c r="C49" t="s">
        <v>258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 s="5"/>
      <c r="K49" s="8"/>
    </row>
    <row r="50" spans="1:11">
      <c r="A50" s="23" t="s">
        <v>117</v>
      </c>
      <c r="B50" s="9" t="s">
        <v>120</v>
      </c>
      <c r="C50" t="s">
        <v>259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 s="5"/>
      <c r="K50" s="8"/>
    </row>
    <row r="51" spans="1:11">
      <c r="A51" s="23" t="s">
        <v>45</v>
      </c>
      <c r="B51" s="14" t="s">
        <v>118</v>
      </c>
      <c r="C51" t="s">
        <v>260</v>
      </c>
      <c r="D51">
        <v>1</v>
      </c>
      <c r="E51">
        <v>2</v>
      </c>
      <c r="F51">
        <v>0</v>
      </c>
      <c r="G51">
        <v>0</v>
      </c>
      <c r="H51">
        <v>0</v>
      </c>
      <c r="I51">
        <v>0</v>
      </c>
      <c r="J51" s="5"/>
    </row>
    <row r="52" spans="1:11">
      <c r="A52" s="23" t="s">
        <v>46</v>
      </c>
      <c r="B52" s="14" t="s">
        <v>121</v>
      </c>
      <c r="C52" t="s">
        <v>261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 s="5"/>
      <c r="K52" s="8"/>
    </row>
    <row r="53" spans="1:11">
      <c r="A53" s="23" t="s">
        <v>47</v>
      </c>
      <c r="B53" s="14" t="s">
        <v>122</v>
      </c>
      <c r="C53" t="s">
        <v>262</v>
      </c>
      <c r="D53">
        <v>1</v>
      </c>
      <c r="E53">
        <v>2</v>
      </c>
      <c r="F53">
        <v>0</v>
      </c>
      <c r="G53">
        <v>0</v>
      </c>
      <c r="H53">
        <v>0</v>
      </c>
      <c r="I53">
        <v>0</v>
      </c>
      <c r="J53" s="5"/>
    </row>
    <row r="54" spans="1:11">
      <c r="A54" s="24" t="s">
        <v>124</v>
      </c>
      <c r="B54" s="21" t="s">
        <v>123</v>
      </c>
      <c r="J54" s="5"/>
      <c r="K54" s="8"/>
    </row>
    <row r="55" spans="1:11">
      <c r="A55" s="24" t="s">
        <v>125</v>
      </c>
      <c r="B55" s="21" t="s">
        <v>126</v>
      </c>
      <c r="J55" s="5"/>
      <c r="K55" s="8"/>
    </row>
    <row r="56" spans="1:11">
      <c r="A56" s="24" t="s">
        <v>129</v>
      </c>
      <c r="B56" s="21" t="s">
        <v>127</v>
      </c>
      <c r="J56" s="5"/>
      <c r="K56" s="8"/>
    </row>
    <row r="57" spans="1:11">
      <c r="A57" s="24" t="s">
        <v>130</v>
      </c>
      <c r="B57" s="21" t="s">
        <v>128</v>
      </c>
      <c r="J57" s="5"/>
      <c r="K57" s="8"/>
    </row>
    <row r="58" spans="1:11">
      <c r="A58" s="24" t="s">
        <v>132</v>
      </c>
      <c r="B58" s="21" t="s">
        <v>131</v>
      </c>
      <c r="J58" s="5"/>
    </row>
    <row r="59" spans="1:11">
      <c r="A59" s="24" t="s">
        <v>133</v>
      </c>
      <c r="B59" s="21" t="s">
        <v>134</v>
      </c>
      <c r="J59" s="5"/>
    </row>
    <row r="60" spans="1:11">
      <c r="A60" s="24" t="s">
        <v>135</v>
      </c>
      <c r="B60" s="22" t="s">
        <v>137</v>
      </c>
      <c r="J60" s="5"/>
      <c r="K60" s="8"/>
    </row>
    <row r="61" spans="1:11">
      <c r="A61" s="24" t="s">
        <v>136</v>
      </c>
      <c r="B61" s="21" t="s">
        <v>138</v>
      </c>
      <c r="J61" s="5"/>
      <c r="K61" s="8"/>
    </row>
    <row r="62" spans="1:11">
      <c r="A62" s="23" t="s">
        <v>140</v>
      </c>
      <c r="B62" s="14" t="s">
        <v>139</v>
      </c>
      <c r="C62" t="s">
        <v>263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 s="5"/>
    </row>
    <row r="63" spans="1:11">
      <c r="A63" s="23" t="s">
        <v>141</v>
      </c>
      <c r="B63" s="14" t="s">
        <v>142</v>
      </c>
      <c r="C63" t="s">
        <v>264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 s="5"/>
    </row>
    <row r="64" spans="1:11">
      <c r="A64" s="23" t="s">
        <v>266</v>
      </c>
      <c r="B64" s="14" t="s">
        <v>146</v>
      </c>
      <c r="C64" t="s">
        <v>265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 s="5"/>
      <c r="K64" s="8"/>
    </row>
    <row r="65" spans="1:11">
      <c r="A65" s="23" t="s">
        <v>143</v>
      </c>
      <c r="B65" s="14" t="s">
        <v>147</v>
      </c>
      <c r="C65" t="s">
        <v>267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 s="5"/>
      <c r="K65" s="8"/>
    </row>
    <row r="66" spans="1:11">
      <c r="A66" s="23" t="s">
        <v>144</v>
      </c>
      <c r="B66" s="14" t="s">
        <v>148</v>
      </c>
      <c r="C66" t="s">
        <v>268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 s="5"/>
      <c r="K66" s="8"/>
    </row>
    <row r="67" spans="1:11">
      <c r="A67" s="23" t="s">
        <v>270</v>
      </c>
      <c r="B67" s="14" t="s">
        <v>150</v>
      </c>
      <c r="C67" t="s">
        <v>269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 s="5"/>
      <c r="K67" s="8"/>
    </row>
    <row r="68" spans="1:11">
      <c r="A68" s="23" t="s">
        <v>145</v>
      </c>
      <c r="B68" s="9" t="s">
        <v>149</v>
      </c>
      <c r="C68" t="s">
        <v>271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 s="5"/>
      <c r="K68" s="8"/>
    </row>
    <row r="69" spans="1:11">
      <c r="A69" s="4" t="s">
        <v>273</v>
      </c>
      <c r="B69" s="14" t="s">
        <v>151</v>
      </c>
      <c r="C69" t="s">
        <v>275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 s="5"/>
      <c r="K69" s="8"/>
    </row>
    <row r="70" spans="1:11">
      <c r="A70" s="4" t="s">
        <v>274</v>
      </c>
      <c r="B70" s="14"/>
      <c r="C70" t="s">
        <v>272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 s="5"/>
      <c r="K70" s="8"/>
    </row>
    <row r="71" spans="1:11">
      <c r="A71" s="4" t="s">
        <v>152</v>
      </c>
      <c r="B71" s="9" t="s">
        <v>155</v>
      </c>
      <c r="C71" t="s">
        <v>241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 s="5"/>
      <c r="K71" s="8"/>
    </row>
    <row r="72" spans="1:11">
      <c r="A72" s="4" t="s">
        <v>153</v>
      </c>
      <c r="B72" s="14" t="s">
        <v>156</v>
      </c>
      <c r="C72" t="s">
        <v>276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 s="5"/>
      <c r="K72" s="8"/>
    </row>
    <row r="73" spans="1:11">
      <c r="A73" s="4" t="s">
        <v>154</v>
      </c>
      <c r="B73" s="9" t="s">
        <v>157</v>
      </c>
      <c r="C73" t="s">
        <v>277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 s="5"/>
      <c r="K73" s="8"/>
    </row>
    <row r="74" spans="1:11">
      <c r="A74" s="4" t="s">
        <v>158</v>
      </c>
      <c r="B74" s="14" t="s">
        <v>160</v>
      </c>
      <c r="C74" t="s">
        <v>278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 s="5"/>
    </row>
    <row r="75" spans="1:11">
      <c r="A75" s="4" t="s">
        <v>159</v>
      </c>
      <c r="B75" s="14" t="s">
        <v>161</v>
      </c>
      <c r="C75" t="s">
        <v>279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 s="5"/>
    </row>
    <row r="76" spans="1:11">
      <c r="A76" s="4" t="s">
        <v>162</v>
      </c>
      <c r="B76" s="14" t="s">
        <v>163</v>
      </c>
      <c r="C76" t="s">
        <v>280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 s="5"/>
      <c r="K76" s="8"/>
    </row>
    <row r="77" spans="1:11">
      <c r="A77" s="4" t="s">
        <v>282</v>
      </c>
      <c r="B77" s="9" t="s">
        <v>284</v>
      </c>
      <c r="C77" t="s">
        <v>286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 s="5"/>
      <c r="K77" s="8"/>
    </row>
    <row r="78" spans="1:11">
      <c r="A78" s="4" t="s">
        <v>283</v>
      </c>
      <c r="B78" s="9" t="s">
        <v>285</v>
      </c>
      <c r="C78" t="s">
        <v>281</v>
      </c>
      <c r="D78">
        <v>1</v>
      </c>
      <c r="E78" s="11">
        <v>1</v>
      </c>
      <c r="F78">
        <v>0</v>
      </c>
      <c r="G78">
        <v>0</v>
      </c>
      <c r="H78">
        <v>0</v>
      </c>
      <c r="I78">
        <v>0</v>
      </c>
      <c r="J78" s="29" t="s">
        <v>287</v>
      </c>
      <c r="K78" s="8"/>
    </row>
    <row r="79" spans="1:11">
      <c r="A79" s="4" t="s">
        <v>48</v>
      </c>
      <c r="B79" s="14" t="s">
        <v>164</v>
      </c>
      <c r="C79" t="s">
        <v>288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 s="5"/>
    </row>
    <row r="80" spans="1:11">
      <c r="A80" s="4" t="s">
        <v>49</v>
      </c>
      <c r="B80" s="14" t="s">
        <v>165</v>
      </c>
      <c r="C80" t="s">
        <v>289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 s="5"/>
      <c r="K80" s="8"/>
    </row>
    <row r="81" spans="1:11">
      <c r="A81" s="10" t="s">
        <v>23</v>
      </c>
      <c r="B81" s="21" t="s">
        <v>166</v>
      </c>
      <c r="J81" s="5"/>
    </row>
    <row r="82" spans="1:11">
      <c r="A82" s="10" t="s">
        <v>50</v>
      </c>
      <c r="B82" s="21" t="s">
        <v>167</v>
      </c>
      <c r="J82" s="5"/>
      <c r="K82" s="8"/>
    </row>
    <row r="83" spans="1:11">
      <c r="A83" s="10" t="s">
        <v>24</v>
      </c>
      <c r="B83" s="21" t="s">
        <v>168</v>
      </c>
      <c r="J83" s="5"/>
    </row>
    <row r="84" spans="1:11">
      <c r="A84" s="4" t="s">
        <v>169</v>
      </c>
      <c r="B84" s="14" t="s">
        <v>171</v>
      </c>
      <c r="C84" t="s">
        <v>290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s="5"/>
      <c r="K84" s="8"/>
    </row>
    <row r="85" spans="1:11">
      <c r="A85" s="4" t="s">
        <v>170</v>
      </c>
      <c r="B85" s="9" t="s">
        <v>175</v>
      </c>
      <c r="C85" t="s">
        <v>291</v>
      </c>
      <c r="D85">
        <v>1</v>
      </c>
      <c r="E85" s="11">
        <v>3</v>
      </c>
      <c r="F85">
        <v>0</v>
      </c>
      <c r="G85">
        <v>0</v>
      </c>
      <c r="H85">
        <v>0</v>
      </c>
      <c r="I85">
        <v>0</v>
      </c>
      <c r="J85" s="5"/>
      <c r="K85" s="8"/>
    </row>
    <row r="86" spans="1:11">
      <c r="A86" s="4" t="s">
        <v>173</v>
      </c>
      <c r="B86" s="9" t="s">
        <v>172</v>
      </c>
      <c r="C86" t="s">
        <v>292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 s="5"/>
      <c r="K86" s="8"/>
    </row>
    <row r="87" spans="1:11">
      <c r="A87" s="4" t="s">
        <v>174</v>
      </c>
      <c r="B87" s="14" t="s">
        <v>176</v>
      </c>
      <c r="C87" t="s">
        <v>293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 s="5"/>
      <c r="K87" s="8"/>
    </row>
    <row r="88" spans="1:11">
      <c r="A88" s="4" t="s">
        <v>177</v>
      </c>
      <c r="B88" s="14" t="s">
        <v>180</v>
      </c>
      <c r="C88" t="s">
        <v>294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 s="5"/>
      <c r="K88" s="8"/>
    </row>
    <row r="89" spans="1:11">
      <c r="A89" s="4" t="s">
        <v>178</v>
      </c>
      <c r="B89" s="9" t="s">
        <v>181</v>
      </c>
      <c r="C89" t="s">
        <v>241</v>
      </c>
      <c r="D89">
        <v>1</v>
      </c>
      <c r="E89">
        <v>2</v>
      </c>
      <c r="F89">
        <v>0</v>
      </c>
      <c r="G89">
        <v>0</v>
      </c>
      <c r="H89">
        <v>0</v>
      </c>
      <c r="I89">
        <v>0</v>
      </c>
      <c r="J89" s="5"/>
      <c r="K89" s="8"/>
    </row>
    <row r="90" spans="1:11">
      <c r="A90" s="4" t="s">
        <v>179</v>
      </c>
      <c r="B90" s="9" t="s">
        <v>182</v>
      </c>
      <c r="C90" t="s">
        <v>295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 s="5"/>
      <c r="K90" s="8"/>
    </row>
    <row r="91" spans="1:11">
      <c r="A91" s="4" t="s">
        <v>184</v>
      </c>
      <c r="B91" s="9" t="s">
        <v>183</v>
      </c>
      <c r="C91" t="s">
        <v>265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 s="5"/>
      <c r="K91" s="8"/>
    </row>
    <row r="92" spans="1:11">
      <c r="A92" s="4" t="s">
        <v>297</v>
      </c>
      <c r="B92" s="14" t="s">
        <v>186</v>
      </c>
      <c r="C92" t="s">
        <v>296</v>
      </c>
      <c r="D92">
        <v>1</v>
      </c>
      <c r="E92">
        <v>2</v>
      </c>
      <c r="F92">
        <v>1</v>
      </c>
      <c r="G92">
        <v>0</v>
      </c>
      <c r="H92">
        <v>0</v>
      </c>
      <c r="I92">
        <v>0</v>
      </c>
      <c r="J92" s="5"/>
      <c r="K92" s="8"/>
    </row>
    <row r="93" spans="1:11">
      <c r="A93" s="4" t="s">
        <v>298</v>
      </c>
      <c r="B93" s="14" t="s">
        <v>187</v>
      </c>
      <c r="C93" t="s">
        <v>299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 s="5"/>
      <c r="K93" s="8"/>
    </row>
    <row r="94" spans="1:11">
      <c r="A94" s="4" t="s">
        <v>185</v>
      </c>
      <c r="B94" s="14"/>
      <c r="J94" s="5"/>
      <c r="K94" s="8"/>
    </row>
    <row r="95" spans="1:11" s="11" customFormat="1">
      <c r="A95" s="10" t="s">
        <v>25</v>
      </c>
      <c r="B95" s="21" t="s">
        <v>188</v>
      </c>
      <c r="J95" s="25"/>
    </row>
    <row r="96" spans="1:11" s="11" customFormat="1">
      <c r="A96" s="10" t="s">
        <v>191</v>
      </c>
      <c r="B96" s="21" t="s">
        <v>189</v>
      </c>
      <c r="J96" s="25"/>
    </row>
    <row r="97" spans="1:11" s="11" customFormat="1">
      <c r="A97" s="10" t="s">
        <v>192</v>
      </c>
      <c r="B97" s="21"/>
      <c r="J97" s="25"/>
    </row>
    <row r="98" spans="1:11" s="11" customFormat="1">
      <c r="A98" s="10" t="s">
        <v>193</v>
      </c>
      <c r="B98" s="21"/>
      <c r="J98" s="25"/>
    </row>
    <row r="99" spans="1:11" s="11" customFormat="1">
      <c r="A99" s="10" t="s">
        <v>194</v>
      </c>
      <c r="B99" s="21"/>
      <c r="J99" s="25"/>
    </row>
    <row r="100" spans="1:11" s="11" customFormat="1">
      <c r="A100" s="10" t="s">
        <v>26</v>
      </c>
      <c r="B100" s="21" t="s">
        <v>190</v>
      </c>
      <c r="J100" s="25"/>
    </row>
    <row r="101" spans="1:11">
      <c r="A101" s="4" t="s">
        <v>300</v>
      </c>
      <c r="B101" s="14" t="s">
        <v>302</v>
      </c>
      <c r="C101" t="s">
        <v>304</v>
      </c>
      <c r="D101">
        <v>1</v>
      </c>
      <c r="E101">
        <v>2</v>
      </c>
      <c r="F101">
        <v>1</v>
      </c>
      <c r="G101">
        <v>0</v>
      </c>
      <c r="H101">
        <v>0</v>
      </c>
      <c r="I101">
        <v>0</v>
      </c>
      <c r="J101" s="5"/>
      <c r="K101" s="8"/>
    </row>
    <row r="102" spans="1:11">
      <c r="A102" s="4" t="s">
        <v>301</v>
      </c>
      <c r="B102" s="14" t="s">
        <v>303</v>
      </c>
      <c r="C102" t="s">
        <v>305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 s="5"/>
      <c r="K102" s="8"/>
    </row>
    <row r="103" spans="1:11" ht="15" customHeight="1">
      <c r="A103" s="4" t="s">
        <v>196</v>
      </c>
      <c r="B103" s="14" t="s">
        <v>195</v>
      </c>
      <c r="C103" t="s">
        <v>306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 s="5"/>
    </row>
    <row r="104" spans="1:11">
      <c r="A104" s="4" t="s">
        <v>198</v>
      </c>
      <c r="B104" s="14" t="s">
        <v>197</v>
      </c>
      <c r="C104" t="s">
        <v>307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 s="5"/>
    </row>
    <row r="105" spans="1:11">
      <c r="A105" s="4" t="s">
        <v>199</v>
      </c>
      <c r="B105" s="14" t="s">
        <v>202</v>
      </c>
      <c r="C105" t="s">
        <v>308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 s="5"/>
    </row>
    <row r="106" spans="1:11">
      <c r="A106" s="4" t="s">
        <v>200</v>
      </c>
      <c r="B106" s="14" t="s">
        <v>203</v>
      </c>
      <c r="C106" t="s">
        <v>309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 s="5"/>
    </row>
    <row r="107" spans="1:11" s="12" customFormat="1" ht="17" thickBot="1">
      <c r="A107" s="26" t="s">
        <v>201</v>
      </c>
      <c r="B107" s="13" t="s">
        <v>204</v>
      </c>
      <c r="C107" s="12" t="s">
        <v>310</v>
      </c>
      <c r="D107" s="12">
        <v>1</v>
      </c>
      <c r="E107" s="12">
        <v>1</v>
      </c>
      <c r="F107" s="12">
        <v>0</v>
      </c>
      <c r="G107" s="12">
        <v>0</v>
      </c>
      <c r="H107" s="12">
        <v>0</v>
      </c>
      <c r="I107" s="12">
        <v>0</v>
      </c>
      <c r="J107" s="27"/>
    </row>
    <row r="108" spans="1:11" ht="18" thickTop="1" thickBot="1">
      <c r="A108" s="28" t="s">
        <v>10</v>
      </c>
      <c r="B108" s="6"/>
      <c r="C108" s="6"/>
      <c r="D108" s="6">
        <f>SUM(D2:D107)</f>
        <v>88</v>
      </c>
      <c r="E108" s="6">
        <f t="shared" ref="E108:I108" si="0">SUM(E2:E107)</f>
        <v>72</v>
      </c>
      <c r="F108" s="6">
        <f t="shared" si="0"/>
        <v>26</v>
      </c>
      <c r="G108" s="6">
        <f t="shared" si="0"/>
        <v>0</v>
      </c>
      <c r="H108" s="6">
        <f t="shared" si="0"/>
        <v>0</v>
      </c>
      <c r="I108" s="6">
        <f t="shared" si="0"/>
        <v>7</v>
      </c>
      <c r="J108" s="7"/>
    </row>
    <row r="109" spans="1:11" ht="15" customHeight="1">
      <c r="A109" s="15" t="s">
        <v>11</v>
      </c>
      <c r="B109" s="30">
        <f>E108/D108</f>
        <v>0.81818181818181823</v>
      </c>
      <c r="C109" t="s">
        <v>12</v>
      </c>
    </row>
    <row r="110" spans="1:11">
      <c r="A110" s="17" t="s">
        <v>13</v>
      </c>
      <c r="B110" s="16">
        <f>(E108+G108)/D108</f>
        <v>0.81818181818181823</v>
      </c>
      <c r="C110" t="s">
        <v>14</v>
      </c>
    </row>
    <row r="111" spans="1:11">
      <c r="A111" s="18" t="s">
        <v>15</v>
      </c>
      <c r="B111" s="16">
        <f>(E108+I108)/D108</f>
        <v>0.89772727272727271</v>
      </c>
      <c r="C111" t="s">
        <v>16</v>
      </c>
    </row>
    <row r="112" spans="1:11">
      <c r="A112" s="19" t="s">
        <v>17</v>
      </c>
      <c r="B112" s="16">
        <f>(E108+I108+G108)/D108</f>
        <v>0.89772727272727271</v>
      </c>
      <c r="C112" t="s">
        <v>18</v>
      </c>
    </row>
    <row r="113" spans="1:11">
      <c r="A113" t="s">
        <v>19</v>
      </c>
      <c r="B113" s="30">
        <f>G108/D108</f>
        <v>0</v>
      </c>
      <c r="C113" t="s">
        <v>20</v>
      </c>
    </row>
    <row r="114" spans="1:11">
      <c r="B114" s="14"/>
    </row>
    <row r="115" spans="1:11">
      <c r="B115" s="9"/>
      <c r="K115" s="8"/>
    </row>
    <row r="116" spans="1:11">
      <c r="B116" s="9"/>
    </row>
    <row r="117" spans="1:11">
      <c r="B117" s="9"/>
    </row>
    <row r="118" spans="1:11">
      <c r="B118" s="9"/>
    </row>
    <row r="119" spans="1:11">
      <c r="B119" s="9"/>
    </row>
    <row r="120" spans="1:11">
      <c r="B120" s="9"/>
    </row>
    <row r="121" spans="1:11">
      <c r="B121" s="9"/>
    </row>
    <row r="122" spans="1:11">
      <c r="B122" s="9"/>
    </row>
    <row r="123" spans="1:11">
      <c r="B123" s="9"/>
    </row>
    <row r="124" spans="1:11">
      <c r="B124" s="9"/>
    </row>
    <row r="125" spans="1:11">
      <c r="B125" s="9"/>
    </row>
    <row r="126" spans="1:11">
      <c r="B126" s="9"/>
    </row>
    <row r="127" spans="1:11">
      <c r="B127" s="9"/>
    </row>
    <row r="128" spans="1:11">
      <c r="B128" s="9"/>
    </row>
    <row r="129" spans="2:2">
      <c r="B129" s="9"/>
    </row>
    <row r="130" spans="2:2">
      <c r="B130" s="9"/>
    </row>
    <row r="131" spans="2:2">
      <c r="B131" s="9"/>
    </row>
    <row r="132" spans="2:2">
      <c r="B132" s="9"/>
    </row>
    <row r="133" spans="2:2">
      <c r="B133" s="9"/>
    </row>
    <row r="134" spans="2:2">
      <c r="B134" s="9"/>
    </row>
    <row r="135" spans="2:2">
      <c r="B135" s="9"/>
    </row>
    <row r="136" spans="2:2">
      <c r="B136" s="9"/>
    </row>
    <row r="137" spans="2:2">
      <c r="B137" s="9"/>
    </row>
    <row r="138" spans="2:2">
      <c r="B138" s="9"/>
    </row>
    <row r="139" spans="2:2">
      <c r="B139" s="9"/>
    </row>
    <row r="140" spans="2:2">
      <c r="B140" s="9"/>
    </row>
    <row r="141" spans="2:2">
      <c r="B141" s="9"/>
    </row>
    <row r="142" spans="2:2">
      <c r="B142" s="9"/>
    </row>
    <row r="143" spans="2:2">
      <c r="B143" s="9"/>
    </row>
    <row r="144" spans="2:2">
      <c r="B144" s="9"/>
    </row>
    <row r="145" spans="2:2">
      <c r="B145" s="9"/>
    </row>
    <row r="146" spans="2:2">
      <c r="B146" s="9"/>
    </row>
    <row r="147" spans="2:2">
      <c r="B147" s="9"/>
    </row>
    <row r="148" spans="2:2">
      <c r="B148" s="9"/>
    </row>
    <row r="149" spans="2:2">
      <c r="B149" s="9"/>
    </row>
    <row r="150" spans="2:2">
      <c r="B150" s="9"/>
    </row>
    <row r="151" spans="2:2">
      <c r="B151" s="9"/>
    </row>
    <row r="152" spans="2:2">
      <c r="B152" s="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680C-E4D7-0446-A46E-1A9724A28577}">
  <dimension ref="A1:L135"/>
  <sheetViews>
    <sheetView tabSelected="1" zoomScale="125" workbookViewId="0">
      <selection activeCell="A73" sqref="A73"/>
    </sheetView>
  </sheetViews>
  <sheetFormatPr baseColWidth="10" defaultRowHeight="16"/>
  <sheetData>
    <row r="1" spans="1:12" ht="17" thickBo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404</v>
      </c>
      <c r="K1" s="46" t="s">
        <v>465</v>
      </c>
      <c r="L1" s="47" t="s">
        <v>580</v>
      </c>
    </row>
    <row r="2" spans="1:12">
      <c r="A2" s="40" t="s">
        <v>312</v>
      </c>
      <c r="B2" s="32" t="s">
        <v>581</v>
      </c>
      <c r="C2" s="33" t="s">
        <v>401</v>
      </c>
      <c r="D2" s="33">
        <v>1</v>
      </c>
      <c r="E2" s="33">
        <v>0</v>
      </c>
      <c r="F2" s="33">
        <v>2</v>
      </c>
      <c r="G2" s="33">
        <v>1</v>
      </c>
      <c r="H2" s="33">
        <v>1</v>
      </c>
      <c r="I2" s="33">
        <v>0</v>
      </c>
      <c r="J2" s="33"/>
      <c r="K2" s="33"/>
      <c r="L2" s="48"/>
    </row>
    <row r="3" spans="1:12">
      <c r="A3" s="40" t="s">
        <v>313</v>
      </c>
      <c r="B3" s="32" t="s">
        <v>384</v>
      </c>
      <c r="C3" s="33" t="s">
        <v>402</v>
      </c>
      <c r="D3" s="33">
        <v>1</v>
      </c>
      <c r="E3" s="33">
        <v>1</v>
      </c>
      <c r="F3" s="33">
        <v>0</v>
      </c>
      <c r="G3" s="33">
        <v>0</v>
      </c>
      <c r="H3" s="33">
        <v>0</v>
      </c>
      <c r="I3" s="33">
        <v>0</v>
      </c>
      <c r="J3" s="33"/>
      <c r="K3" s="33"/>
      <c r="L3" s="48"/>
    </row>
    <row r="4" spans="1:12">
      <c r="A4" s="40" t="s">
        <v>582</v>
      </c>
      <c r="B4" s="33" t="s">
        <v>385</v>
      </c>
      <c r="C4" s="33" t="s">
        <v>403</v>
      </c>
      <c r="D4" s="33">
        <v>1</v>
      </c>
      <c r="E4" s="33">
        <v>0</v>
      </c>
      <c r="F4" s="33">
        <v>0</v>
      </c>
      <c r="G4" s="33">
        <v>1</v>
      </c>
      <c r="H4" s="33">
        <v>0</v>
      </c>
      <c r="I4" s="33">
        <v>1</v>
      </c>
      <c r="J4" s="33">
        <v>1</v>
      </c>
      <c r="K4" s="33"/>
      <c r="L4" s="48"/>
    </row>
    <row r="5" spans="1:12">
      <c r="A5" s="40" t="s">
        <v>583</v>
      </c>
      <c r="B5" s="33" t="s">
        <v>406</v>
      </c>
      <c r="C5" s="33" t="s">
        <v>405</v>
      </c>
      <c r="D5" s="33">
        <v>1</v>
      </c>
      <c r="E5" s="33">
        <v>1</v>
      </c>
      <c r="F5" s="33">
        <v>0</v>
      </c>
      <c r="G5" s="33">
        <v>0</v>
      </c>
      <c r="H5" s="33">
        <v>0</v>
      </c>
      <c r="I5" s="33">
        <v>0</v>
      </c>
      <c r="J5" s="33"/>
      <c r="K5" s="33"/>
      <c r="L5" s="48"/>
    </row>
    <row r="6" spans="1:12">
      <c r="A6" s="40" t="s">
        <v>314</v>
      </c>
      <c r="B6" s="32" t="s">
        <v>584</v>
      </c>
      <c r="C6" s="33" t="s">
        <v>407</v>
      </c>
      <c r="D6" s="33">
        <v>1</v>
      </c>
      <c r="E6" s="33">
        <v>1</v>
      </c>
      <c r="F6" s="33">
        <v>1</v>
      </c>
      <c r="G6" s="33">
        <v>1</v>
      </c>
      <c r="H6" s="33">
        <v>0</v>
      </c>
      <c r="I6" s="33">
        <v>1</v>
      </c>
      <c r="J6" s="33"/>
      <c r="K6" s="33"/>
      <c r="L6" s="48"/>
    </row>
    <row r="7" spans="1:12">
      <c r="A7" s="40" t="s">
        <v>315</v>
      </c>
      <c r="B7" s="34" t="s">
        <v>387</v>
      </c>
      <c r="C7" s="33" t="s">
        <v>408</v>
      </c>
      <c r="D7" s="33">
        <v>1</v>
      </c>
      <c r="E7" s="33">
        <v>1</v>
      </c>
      <c r="F7" s="33">
        <v>1</v>
      </c>
      <c r="G7" s="33">
        <v>0</v>
      </c>
      <c r="H7" s="33">
        <v>0</v>
      </c>
      <c r="I7" s="33">
        <v>0</v>
      </c>
      <c r="J7" s="33"/>
      <c r="K7" s="33"/>
      <c r="L7" s="48"/>
    </row>
    <row r="8" spans="1:12">
      <c r="A8" s="4" t="s">
        <v>316</v>
      </c>
      <c r="B8" s="34" t="s">
        <v>388</v>
      </c>
      <c r="C8" s="33" t="s">
        <v>316</v>
      </c>
      <c r="D8" s="33">
        <v>1</v>
      </c>
      <c r="E8" s="33">
        <v>0</v>
      </c>
      <c r="F8" s="33">
        <v>0</v>
      </c>
      <c r="G8" s="33">
        <v>1</v>
      </c>
      <c r="H8" s="33">
        <v>0</v>
      </c>
      <c r="I8" s="33">
        <v>0</v>
      </c>
      <c r="J8" s="33"/>
      <c r="K8" s="33"/>
      <c r="L8" s="48"/>
    </row>
    <row r="9" spans="1:12">
      <c r="A9" s="40" t="s">
        <v>317</v>
      </c>
      <c r="B9" s="33" t="s">
        <v>386</v>
      </c>
      <c r="C9" s="33" t="s">
        <v>409</v>
      </c>
      <c r="D9" s="33">
        <v>1</v>
      </c>
      <c r="E9" s="33">
        <v>1</v>
      </c>
      <c r="F9" s="33">
        <v>1</v>
      </c>
      <c r="G9" s="33">
        <v>0</v>
      </c>
      <c r="H9" s="33">
        <v>0</v>
      </c>
      <c r="I9" s="33">
        <v>0</v>
      </c>
      <c r="J9" s="33"/>
      <c r="K9" s="33"/>
      <c r="L9" s="48"/>
    </row>
    <row r="10" spans="1:12">
      <c r="A10" s="40" t="s">
        <v>389</v>
      </c>
      <c r="B10" s="34" t="s">
        <v>391</v>
      </c>
      <c r="C10" s="33" t="s">
        <v>410</v>
      </c>
      <c r="D10" s="33">
        <v>1</v>
      </c>
      <c r="E10" s="33">
        <v>1</v>
      </c>
      <c r="F10" s="33">
        <v>0</v>
      </c>
      <c r="G10" s="33">
        <v>0</v>
      </c>
      <c r="H10" s="33">
        <v>0</v>
      </c>
      <c r="I10" s="33">
        <v>0</v>
      </c>
      <c r="J10" s="33"/>
      <c r="K10" s="33"/>
      <c r="L10" s="48"/>
    </row>
    <row r="11" spans="1:12">
      <c r="A11" s="40" t="s">
        <v>390</v>
      </c>
      <c r="B11" s="32" t="s">
        <v>392</v>
      </c>
      <c r="C11" s="33" t="s">
        <v>411</v>
      </c>
      <c r="D11" s="33">
        <v>1</v>
      </c>
      <c r="E11" s="33">
        <v>1</v>
      </c>
      <c r="F11" s="33">
        <v>0</v>
      </c>
      <c r="G11" s="33">
        <v>0</v>
      </c>
      <c r="H11" s="33">
        <v>0</v>
      </c>
      <c r="I11" s="33">
        <v>0</v>
      </c>
      <c r="J11" s="33"/>
      <c r="K11" s="33"/>
      <c r="L11" s="48"/>
    </row>
    <row r="12" spans="1:12">
      <c r="A12" s="40" t="s">
        <v>318</v>
      </c>
      <c r="B12" s="32" t="s">
        <v>393</v>
      </c>
      <c r="C12" s="33" t="s">
        <v>412</v>
      </c>
      <c r="D12" s="33">
        <v>1</v>
      </c>
      <c r="E12" s="33">
        <v>1</v>
      </c>
      <c r="F12" s="33">
        <v>0</v>
      </c>
      <c r="G12" s="33">
        <v>0</v>
      </c>
      <c r="H12" s="33">
        <v>1</v>
      </c>
      <c r="I12" s="33">
        <v>0</v>
      </c>
      <c r="J12" s="33"/>
      <c r="K12" s="33"/>
      <c r="L12" s="48"/>
    </row>
    <row r="13" spans="1:12">
      <c r="A13" s="40" t="s">
        <v>319</v>
      </c>
      <c r="B13" s="32" t="s">
        <v>395</v>
      </c>
      <c r="C13" s="33" t="s">
        <v>413</v>
      </c>
      <c r="D13" s="33">
        <v>1</v>
      </c>
      <c r="E13" s="33">
        <v>1</v>
      </c>
      <c r="F13" s="33">
        <v>0</v>
      </c>
      <c r="G13" s="33">
        <v>0</v>
      </c>
      <c r="H13" s="33">
        <v>0</v>
      </c>
      <c r="I13" s="33">
        <v>0</v>
      </c>
      <c r="J13" s="33"/>
      <c r="K13" s="33"/>
      <c r="L13" s="48"/>
    </row>
    <row r="14" spans="1:12">
      <c r="A14" s="40" t="s">
        <v>320</v>
      </c>
      <c r="B14" s="32" t="s">
        <v>394</v>
      </c>
      <c r="C14" s="33" t="s">
        <v>414</v>
      </c>
      <c r="D14" s="33">
        <v>1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/>
      <c r="K14" s="33"/>
      <c r="L14" s="48"/>
    </row>
    <row r="15" spans="1:12">
      <c r="A15" s="40" t="s">
        <v>321</v>
      </c>
      <c r="B15" s="32" t="s">
        <v>396</v>
      </c>
      <c r="C15" s="33" t="s">
        <v>415</v>
      </c>
      <c r="D15" s="33">
        <v>1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1</v>
      </c>
      <c r="K15" s="33"/>
      <c r="L15" s="48"/>
    </row>
    <row r="16" spans="1:12">
      <c r="A16" s="40" t="s">
        <v>322</v>
      </c>
      <c r="B16" s="32" t="s">
        <v>397</v>
      </c>
      <c r="C16" s="33" t="s">
        <v>416</v>
      </c>
      <c r="D16" s="33">
        <v>1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/>
      <c r="K16" s="33"/>
      <c r="L16" s="48"/>
    </row>
    <row r="17" spans="1:12">
      <c r="A17" s="40" t="s">
        <v>323</v>
      </c>
      <c r="B17" s="33"/>
      <c r="C17" s="33" t="s">
        <v>417</v>
      </c>
      <c r="D17" s="33">
        <v>1</v>
      </c>
      <c r="E17" s="33">
        <v>0</v>
      </c>
      <c r="F17" s="33">
        <v>0</v>
      </c>
      <c r="G17" s="33">
        <v>0</v>
      </c>
      <c r="H17" s="33">
        <v>0</v>
      </c>
      <c r="I17" s="33">
        <v>1</v>
      </c>
      <c r="J17" s="33"/>
      <c r="K17" s="33"/>
      <c r="L17" s="48"/>
    </row>
    <row r="18" spans="1:12">
      <c r="A18" s="40" t="s">
        <v>324</v>
      </c>
      <c r="B18" s="33"/>
      <c r="C18" s="33" t="s">
        <v>418</v>
      </c>
      <c r="D18" s="33">
        <v>1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/>
      <c r="K18" s="33"/>
      <c r="L18" s="48"/>
    </row>
    <row r="19" spans="1:12">
      <c r="A19" s="40" t="s">
        <v>325</v>
      </c>
      <c r="B19" s="32" t="s">
        <v>398</v>
      </c>
      <c r="C19" s="33" t="s">
        <v>419</v>
      </c>
      <c r="D19" s="33">
        <v>1</v>
      </c>
      <c r="E19" s="33">
        <v>1</v>
      </c>
      <c r="F19" s="33">
        <v>0</v>
      </c>
      <c r="G19" s="33">
        <v>1</v>
      </c>
      <c r="H19" s="33">
        <v>0</v>
      </c>
      <c r="I19" s="33">
        <v>0</v>
      </c>
      <c r="J19" s="33"/>
      <c r="K19" s="33"/>
      <c r="L19" s="48"/>
    </row>
    <row r="20" spans="1:12">
      <c r="A20" s="40" t="s">
        <v>326</v>
      </c>
      <c r="B20" s="32" t="s">
        <v>399</v>
      </c>
      <c r="C20" s="33" t="s">
        <v>425</v>
      </c>
      <c r="D20" s="33">
        <v>1</v>
      </c>
      <c r="E20" s="33">
        <v>1</v>
      </c>
      <c r="F20" s="33">
        <v>0</v>
      </c>
      <c r="G20" s="33">
        <v>0</v>
      </c>
      <c r="H20" s="33">
        <v>0</v>
      </c>
      <c r="I20" s="33">
        <v>1</v>
      </c>
      <c r="J20" s="33"/>
      <c r="K20" s="33"/>
      <c r="L20" s="48"/>
    </row>
    <row r="21" spans="1:12">
      <c r="A21" s="40" t="s">
        <v>327</v>
      </c>
      <c r="B21" s="33" t="s">
        <v>400</v>
      </c>
      <c r="C21" s="33" t="s">
        <v>237</v>
      </c>
      <c r="D21" s="33">
        <v>1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/>
      <c r="K21" s="33"/>
      <c r="L21" s="48"/>
    </row>
    <row r="22" spans="1:12">
      <c r="A22" s="40" t="s">
        <v>328</v>
      </c>
      <c r="B22" s="33" t="s">
        <v>423</v>
      </c>
      <c r="C22" s="34" t="s">
        <v>424</v>
      </c>
      <c r="D22" s="33">
        <v>1</v>
      </c>
      <c r="E22" s="33">
        <v>2</v>
      </c>
      <c r="F22" s="33">
        <v>0</v>
      </c>
      <c r="G22" s="33">
        <v>0</v>
      </c>
      <c r="H22" s="33">
        <v>0</v>
      </c>
      <c r="I22" s="33">
        <v>0</v>
      </c>
      <c r="J22" s="33"/>
      <c r="K22" s="33"/>
      <c r="L22" s="48"/>
    </row>
    <row r="23" spans="1:12">
      <c r="A23" s="40" t="s">
        <v>428</v>
      </c>
      <c r="B23" s="33" t="s">
        <v>422</v>
      </c>
      <c r="C23" s="32" t="s">
        <v>434</v>
      </c>
      <c r="D23" s="33">
        <v>1</v>
      </c>
      <c r="E23" s="33">
        <v>1</v>
      </c>
      <c r="F23" s="33">
        <v>0</v>
      </c>
      <c r="G23" s="33">
        <v>0</v>
      </c>
      <c r="H23" s="33">
        <v>0</v>
      </c>
      <c r="I23" s="33">
        <v>0</v>
      </c>
      <c r="J23" s="33"/>
      <c r="K23" s="33"/>
      <c r="L23" s="48"/>
    </row>
    <row r="24" spans="1:12">
      <c r="A24" s="40" t="s">
        <v>420</v>
      </c>
      <c r="B24" s="33" t="s">
        <v>421</v>
      </c>
      <c r="C24" s="34" t="s">
        <v>426</v>
      </c>
      <c r="D24" s="33">
        <v>1</v>
      </c>
      <c r="E24" s="33">
        <v>1</v>
      </c>
      <c r="F24" s="33">
        <v>2</v>
      </c>
      <c r="G24" s="33">
        <v>0</v>
      </c>
      <c r="H24" s="33">
        <v>0</v>
      </c>
      <c r="I24" s="33">
        <v>0</v>
      </c>
      <c r="J24" s="33"/>
      <c r="K24" s="33"/>
      <c r="L24" s="48"/>
    </row>
    <row r="25" spans="1:12">
      <c r="A25" s="40" t="s">
        <v>329</v>
      </c>
      <c r="B25" s="33"/>
      <c r="C25" s="33" t="s">
        <v>433</v>
      </c>
      <c r="D25" s="33">
        <v>1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/>
      <c r="K25" s="33"/>
      <c r="L25" s="48"/>
    </row>
    <row r="26" spans="1:12">
      <c r="A26" s="40" t="s">
        <v>330</v>
      </c>
      <c r="B26" s="33" t="s">
        <v>427</v>
      </c>
      <c r="C26" s="34" t="s">
        <v>431</v>
      </c>
      <c r="D26" s="33">
        <v>1</v>
      </c>
      <c r="E26" s="33">
        <v>0</v>
      </c>
      <c r="F26" s="33">
        <v>1</v>
      </c>
      <c r="G26" s="33">
        <v>0</v>
      </c>
      <c r="H26" s="33">
        <v>0</v>
      </c>
      <c r="I26" s="33">
        <v>0</v>
      </c>
      <c r="J26" s="33"/>
      <c r="K26" s="33"/>
      <c r="L26" s="48"/>
    </row>
    <row r="27" spans="1:12">
      <c r="A27" s="40" t="s">
        <v>331</v>
      </c>
      <c r="B27" s="33" t="s">
        <v>429</v>
      </c>
      <c r="C27" s="32" t="s">
        <v>430</v>
      </c>
      <c r="D27" s="33">
        <v>1</v>
      </c>
      <c r="E27" s="33">
        <v>1</v>
      </c>
      <c r="F27" s="33">
        <v>0</v>
      </c>
      <c r="G27" s="33">
        <v>0</v>
      </c>
      <c r="H27" s="33">
        <v>0</v>
      </c>
      <c r="I27" s="33">
        <v>0</v>
      </c>
      <c r="J27" s="33"/>
      <c r="K27" s="33"/>
      <c r="L27" s="48"/>
    </row>
    <row r="28" spans="1:12">
      <c r="A28" s="40" t="s">
        <v>332</v>
      </c>
      <c r="B28" s="34" t="s">
        <v>435</v>
      </c>
      <c r="C28" s="34" t="s">
        <v>432</v>
      </c>
      <c r="D28" s="33">
        <v>1</v>
      </c>
      <c r="E28" s="33">
        <v>1</v>
      </c>
      <c r="F28" s="33">
        <v>0</v>
      </c>
      <c r="G28" s="33">
        <v>0</v>
      </c>
      <c r="H28" s="33">
        <v>0</v>
      </c>
      <c r="I28" s="33">
        <v>0</v>
      </c>
      <c r="J28" s="33"/>
      <c r="K28" s="33"/>
      <c r="L28" s="48"/>
    </row>
    <row r="29" spans="1:12">
      <c r="A29" s="41" t="s">
        <v>333</v>
      </c>
      <c r="B29" s="32"/>
      <c r="C29" s="32" t="s">
        <v>436</v>
      </c>
      <c r="D29" s="33">
        <v>1</v>
      </c>
      <c r="E29" s="34">
        <v>0</v>
      </c>
      <c r="F29" s="33">
        <v>0</v>
      </c>
      <c r="G29" s="33">
        <v>0</v>
      </c>
      <c r="H29" s="33">
        <v>0</v>
      </c>
      <c r="I29" s="33">
        <v>0</v>
      </c>
      <c r="J29" s="33"/>
      <c r="K29" s="33"/>
      <c r="L29" s="48"/>
    </row>
    <row r="30" spans="1:12">
      <c r="A30" s="40" t="s">
        <v>334</v>
      </c>
      <c r="B30" s="33" t="s">
        <v>440</v>
      </c>
      <c r="C30" s="33" t="s">
        <v>437</v>
      </c>
      <c r="D30" s="33">
        <v>1</v>
      </c>
      <c r="E30" s="32">
        <v>1</v>
      </c>
      <c r="F30" s="33">
        <v>0</v>
      </c>
      <c r="G30" s="33">
        <v>0</v>
      </c>
      <c r="H30" s="33">
        <v>0</v>
      </c>
      <c r="I30" s="33">
        <v>0</v>
      </c>
      <c r="J30" s="33"/>
      <c r="K30" s="33"/>
      <c r="L30" s="48"/>
    </row>
    <row r="31" spans="1:12">
      <c r="A31" s="40" t="s">
        <v>441</v>
      </c>
      <c r="B31" s="33"/>
      <c r="C31" s="33" t="s">
        <v>438</v>
      </c>
      <c r="D31" s="33">
        <v>1</v>
      </c>
      <c r="E31" s="33">
        <v>1</v>
      </c>
      <c r="F31" s="33">
        <v>0</v>
      </c>
      <c r="G31" s="33">
        <v>0</v>
      </c>
      <c r="H31" s="33">
        <v>0</v>
      </c>
      <c r="I31" s="33">
        <v>0</v>
      </c>
      <c r="J31" s="33"/>
      <c r="K31" s="33"/>
      <c r="L31" s="48"/>
    </row>
    <row r="32" spans="1:12">
      <c r="A32" s="40" t="s">
        <v>442</v>
      </c>
      <c r="B32" s="33"/>
      <c r="C32" s="33" t="s">
        <v>439</v>
      </c>
      <c r="D32" s="33">
        <v>1</v>
      </c>
      <c r="E32" s="33">
        <v>1</v>
      </c>
      <c r="F32" s="33">
        <v>0</v>
      </c>
      <c r="G32" s="33">
        <v>0</v>
      </c>
      <c r="H32" s="33">
        <v>0</v>
      </c>
      <c r="I32" s="33">
        <v>0</v>
      </c>
      <c r="J32" s="33"/>
      <c r="K32" s="33"/>
      <c r="L32" s="48"/>
    </row>
    <row r="33" spans="1:12">
      <c r="A33" s="40" t="s">
        <v>335</v>
      </c>
      <c r="B33" s="33"/>
      <c r="C33" s="33" t="s">
        <v>335</v>
      </c>
      <c r="D33" s="33">
        <v>1</v>
      </c>
      <c r="E33" s="33">
        <v>0</v>
      </c>
      <c r="F33" s="33">
        <v>0</v>
      </c>
      <c r="G33" s="33">
        <v>1</v>
      </c>
      <c r="H33" s="33">
        <v>0</v>
      </c>
      <c r="I33" s="33">
        <v>0</v>
      </c>
      <c r="J33" s="33"/>
      <c r="K33" s="33"/>
      <c r="L33" s="48"/>
    </row>
    <row r="34" spans="1:12">
      <c r="A34" s="40" t="s">
        <v>336</v>
      </c>
      <c r="B34" s="32" t="s">
        <v>443</v>
      </c>
      <c r="C34" s="33" t="s">
        <v>434</v>
      </c>
      <c r="D34" s="33">
        <v>1</v>
      </c>
      <c r="E34" s="33">
        <v>1</v>
      </c>
      <c r="F34" s="33">
        <v>0</v>
      </c>
      <c r="G34" s="33">
        <v>0</v>
      </c>
      <c r="H34" s="33">
        <v>0</v>
      </c>
      <c r="I34" s="33">
        <v>0</v>
      </c>
      <c r="J34" s="33"/>
      <c r="K34" s="33"/>
      <c r="L34" s="48"/>
    </row>
    <row r="35" spans="1:12">
      <c r="A35" s="40" t="s">
        <v>337</v>
      </c>
      <c r="B35" s="34" t="s">
        <v>449</v>
      </c>
      <c r="C35" s="33" t="s">
        <v>444</v>
      </c>
      <c r="D35" s="33">
        <v>1</v>
      </c>
      <c r="E35" s="33">
        <v>1</v>
      </c>
      <c r="F35" s="33">
        <v>0</v>
      </c>
      <c r="G35" s="33">
        <v>0</v>
      </c>
      <c r="H35" s="33">
        <v>0</v>
      </c>
      <c r="I35" s="33">
        <v>0</v>
      </c>
      <c r="J35" s="33"/>
      <c r="K35" s="33"/>
      <c r="L35" s="48"/>
    </row>
    <row r="36" spans="1:12">
      <c r="A36" s="40" t="s">
        <v>446</v>
      </c>
      <c r="B36" s="34" t="s">
        <v>450</v>
      </c>
      <c r="C36" s="33" t="s">
        <v>445</v>
      </c>
      <c r="D36" s="33">
        <v>1</v>
      </c>
      <c r="E36" s="33">
        <v>1</v>
      </c>
      <c r="F36" s="33">
        <v>0</v>
      </c>
      <c r="G36" s="33">
        <v>0</v>
      </c>
      <c r="H36" s="33">
        <v>0</v>
      </c>
      <c r="I36" s="33">
        <v>0</v>
      </c>
      <c r="J36" s="33"/>
      <c r="K36" s="33"/>
      <c r="L36" s="48"/>
    </row>
    <row r="37" spans="1:12">
      <c r="A37" s="40" t="s">
        <v>447</v>
      </c>
      <c r="B37" s="32" t="s">
        <v>451</v>
      </c>
      <c r="C37" s="33" t="s">
        <v>448</v>
      </c>
      <c r="D37" s="33">
        <v>1</v>
      </c>
      <c r="E37" s="33">
        <v>1</v>
      </c>
      <c r="F37" s="33">
        <v>0</v>
      </c>
      <c r="G37" s="33">
        <v>0</v>
      </c>
      <c r="H37" s="33">
        <v>1</v>
      </c>
      <c r="I37" s="33">
        <v>0</v>
      </c>
      <c r="J37" s="33"/>
      <c r="K37" s="33"/>
      <c r="L37" s="48"/>
    </row>
    <row r="38" spans="1:12">
      <c r="A38" s="40" t="s">
        <v>338</v>
      </c>
      <c r="B38" s="32" t="s">
        <v>452</v>
      </c>
      <c r="C38" s="33" t="s">
        <v>454</v>
      </c>
      <c r="D38" s="33">
        <v>1</v>
      </c>
      <c r="E38" s="33">
        <v>1</v>
      </c>
      <c r="F38" s="33">
        <v>0</v>
      </c>
      <c r="G38" s="33">
        <v>0</v>
      </c>
      <c r="H38" s="33">
        <v>0</v>
      </c>
      <c r="I38" s="33">
        <v>0</v>
      </c>
      <c r="J38" s="33"/>
      <c r="K38" s="33"/>
      <c r="L38" s="48"/>
    </row>
    <row r="39" spans="1:12">
      <c r="A39" s="40" t="s">
        <v>339</v>
      </c>
      <c r="B39" s="33" t="s">
        <v>453</v>
      </c>
      <c r="C39" s="33" t="s">
        <v>455</v>
      </c>
      <c r="D39" s="33">
        <v>1</v>
      </c>
      <c r="E39" s="33">
        <v>1</v>
      </c>
      <c r="F39" s="33">
        <v>0</v>
      </c>
      <c r="G39" s="33">
        <v>1</v>
      </c>
      <c r="H39" s="33">
        <v>0</v>
      </c>
      <c r="I39" s="33">
        <v>0</v>
      </c>
      <c r="J39" s="33"/>
      <c r="K39" s="33"/>
      <c r="L39" s="48"/>
    </row>
    <row r="40" spans="1:12">
      <c r="A40" s="40" t="s">
        <v>456</v>
      </c>
      <c r="B40" s="33"/>
      <c r="C40" s="33" t="s">
        <v>457</v>
      </c>
      <c r="D40" s="33">
        <v>1</v>
      </c>
      <c r="E40" s="33">
        <v>1</v>
      </c>
      <c r="F40" s="33">
        <v>0</v>
      </c>
      <c r="G40" s="33">
        <v>0</v>
      </c>
      <c r="H40" s="33">
        <v>0</v>
      </c>
      <c r="I40" s="33">
        <v>0</v>
      </c>
      <c r="J40" s="33"/>
      <c r="K40" s="33"/>
      <c r="L40" s="48"/>
    </row>
    <row r="41" spans="1:12">
      <c r="A41" s="40" t="s">
        <v>458</v>
      </c>
      <c r="B41" s="33"/>
      <c r="C41" s="33" t="s">
        <v>241</v>
      </c>
      <c r="D41" s="33">
        <v>1</v>
      </c>
      <c r="E41" s="33">
        <v>1</v>
      </c>
      <c r="F41" s="33">
        <v>0</v>
      </c>
      <c r="G41" s="33">
        <v>0</v>
      </c>
      <c r="H41" s="33">
        <v>1</v>
      </c>
      <c r="I41" s="33">
        <v>0</v>
      </c>
      <c r="J41" s="33"/>
      <c r="K41" s="33"/>
      <c r="L41" s="48"/>
    </row>
    <row r="42" spans="1:12">
      <c r="A42" s="40" t="s">
        <v>459</v>
      </c>
      <c r="B42" s="32" t="s">
        <v>461</v>
      </c>
      <c r="C42" s="33" t="s">
        <v>460</v>
      </c>
      <c r="D42" s="33">
        <v>1</v>
      </c>
      <c r="E42" s="33">
        <v>1</v>
      </c>
      <c r="F42" s="33">
        <v>0</v>
      </c>
      <c r="G42" s="33">
        <v>0</v>
      </c>
      <c r="H42" s="33">
        <v>0</v>
      </c>
      <c r="I42" s="33">
        <v>0</v>
      </c>
      <c r="J42" s="33"/>
      <c r="K42" s="33"/>
      <c r="L42" s="48"/>
    </row>
    <row r="43" spans="1:12">
      <c r="A43" s="40" t="s">
        <v>340</v>
      </c>
      <c r="B43" s="34" t="s">
        <v>462</v>
      </c>
      <c r="C43" s="33" t="s">
        <v>237</v>
      </c>
      <c r="D43" s="33">
        <v>1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/>
      <c r="K43" s="33"/>
      <c r="L43" s="48"/>
    </row>
    <row r="44" spans="1:12" ht="17" customHeight="1">
      <c r="A44" s="40" t="s">
        <v>341</v>
      </c>
      <c r="B44" s="35" t="s">
        <v>463</v>
      </c>
      <c r="C44" s="33" t="s">
        <v>464</v>
      </c>
      <c r="D44" s="33">
        <v>1</v>
      </c>
      <c r="E44" s="33">
        <v>1</v>
      </c>
      <c r="F44" s="33">
        <v>0</v>
      </c>
      <c r="G44" s="33">
        <v>0</v>
      </c>
      <c r="H44" s="33">
        <v>0</v>
      </c>
      <c r="I44" s="33">
        <v>0</v>
      </c>
      <c r="J44" s="33"/>
      <c r="K44" s="33">
        <v>1</v>
      </c>
      <c r="L44" s="48"/>
    </row>
    <row r="45" spans="1:12">
      <c r="A45" s="40" t="s">
        <v>466</v>
      </c>
      <c r="B45" s="33"/>
      <c r="C45" s="33" t="s">
        <v>468</v>
      </c>
      <c r="D45" s="33">
        <v>1</v>
      </c>
      <c r="E45" s="33">
        <v>1</v>
      </c>
      <c r="F45" s="33">
        <v>0</v>
      </c>
      <c r="G45" s="33">
        <v>0</v>
      </c>
      <c r="H45" s="33">
        <v>0</v>
      </c>
      <c r="I45" s="33">
        <v>1</v>
      </c>
      <c r="J45" s="33"/>
      <c r="K45" s="33"/>
      <c r="L45" s="48"/>
    </row>
    <row r="46" spans="1:12">
      <c r="A46" s="40" t="s">
        <v>467</v>
      </c>
      <c r="B46" s="33"/>
      <c r="C46" s="33" t="s">
        <v>469</v>
      </c>
      <c r="D46" s="33">
        <v>1</v>
      </c>
      <c r="E46" s="33">
        <v>0</v>
      </c>
      <c r="F46" s="33">
        <v>0</v>
      </c>
      <c r="G46" s="33">
        <v>0</v>
      </c>
      <c r="H46" s="33">
        <v>0</v>
      </c>
      <c r="I46" s="33">
        <v>1</v>
      </c>
      <c r="J46" s="33"/>
      <c r="K46" s="33"/>
      <c r="L46" s="48"/>
    </row>
    <row r="47" spans="1:12">
      <c r="A47" s="40" t="s">
        <v>342</v>
      </c>
      <c r="B47" s="33"/>
      <c r="C47" s="33" t="s">
        <v>470</v>
      </c>
      <c r="D47" s="33">
        <v>1</v>
      </c>
      <c r="E47" s="33">
        <v>1</v>
      </c>
      <c r="F47" s="33">
        <v>0</v>
      </c>
      <c r="G47" s="33">
        <v>0</v>
      </c>
      <c r="H47" s="33">
        <v>0</v>
      </c>
      <c r="I47" s="33">
        <v>0</v>
      </c>
      <c r="J47" s="33"/>
      <c r="K47" s="33">
        <v>1</v>
      </c>
      <c r="L47" s="48" t="s">
        <v>587</v>
      </c>
    </row>
    <row r="48" spans="1:12">
      <c r="A48" s="40" t="s">
        <v>472</v>
      </c>
      <c r="B48" s="33" t="s">
        <v>473</v>
      </c>
      <c r="C48" s="33" t="s">
        <v>471</v>
      </c>
      <c r="D48" s="33">
        <v>1</v>
      </c>
      <c r="E48" s="33">
        <v>0</v>
      </c>
      <c r="F48" s="33">
        <v>1</v>
      </c>
      <c r="G48" s="33">
        <v>1</v>
      </c>
      <c r="H48" s="33">
        <v>0</v>
      </c>
      <c r="I48" s="33">
        <v>0</v>
      </c>
      <c r="J48" s="33"/>
      <c r="K48" s="33"/>
      <c r="L48" s="48"/>
    </row>
    <row r="49" spans="1:12">
      <c r="A49" s="40" t="s">
        <v>343</v>
      </c>
      <c r="B49" s="32" t="s">
        <v>475</v>
      </c>
      <c r="C49" s="33" t="s">
        <v>474</v>
      </c>
      <c r="D49" s="33">
        <v>1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/>
      <c r="K49" s="33"/>
      <c r="L49" s="48"/>
    </row>
    <row r="50" spans="1:12">
      <c r="A50" s="40" t="s">
        <v>476</v>
      </c>
      <c r="B50" s="33"/>
      <c r="C50" s="33" t="s">
        <v>477</v>
      </c>
      <c r="D50" s="33">
        <v>1</v>
      </c>
      <c r="E50" s="33">
        <v>0</v>
      </c>
      <c r="F50" s="33">
        <v>0</v>
      </c>
      <c r="G50" s="33">
        <v>1</v>
      </c>
      <c r="H50" s="33">
        <v>0</v>
      </c>
      <c r="I50" s="33">
        <v>0</v>
      </c>
      <c r="J50" s="33"/>
      <c r="K50" s="33"/>
      <c r="L50" s="48"/>
    </row>
    <row r="51" spans="1:12" ht="18">
      <c r="A51" s="42" t="s">
        <v>481</v>
      </c>
      <c r="B51" s="32" t="s">
        <v>484</v>
      </c>
      <c r="C51" s="33" t="s">
        <v>481</v>
      </c>
      <c r="D51" s="33">
        <v>1</v>
      </c>
      <c r="E51" s="33">
        <v>0</v>
      </c>
      <c r="F51" s="33">
        <v>0</v>
      </c>
      <c r="G51" s="33">
        <v>0</v>
      </c>
      <c r="H51" s="33">
        <v>0</v>
      </c>
      <c r="I51" s="33">
        <v>1</v>
      </c>
      <c r="J51" s="33"/>
      <c r="K51" s="33"/>
      <c r="L51" s="48"/>
    </row>
    <row r="52" spans="1:12">
      <c r="A52" s="40" t="s">
        <v>479</v>
      </c>
      <c r="B52" s="32" t="s">
        <v>485</v>
      </c>
      <c r="C52" s="33" t="s">
        <v>237</v>
      </c>
      <c r="D52" s="33">
        <v>1</v>
      </c>
      <c r="E52" s="33">
        <v>1</v>
      </c>
      <c r="F52" s="33">
        <v>0</v>
      </c>
      <c r="G52" s="33">
        <v>0</v>
      </c>
      <c r="H52" s="33">
        <v>0</v>
      </c>
      <c r="I52" s="33">
        <v>0</v>
      </c>
      <c r="J52" s="33"/>
      <c r="K52" s="33">
        <v>2</v>
      </c>
      <c r="L52" s="48"/>
    </row>
    <row r="53" spans="1:12">
      <c r="A53" s="40" t="s">
        <v>480</v>
      </c>
      <c r="B53" s="34" t="s">
        <v>486</v>
      </c>
      <c r="C53" s="33" t="s">
        <v>478</v>
      </c>
      <c r="D53" s="33">
        <v>1</v>
      </c>
      <c r="E53" s="33">
        <v>1</v>
      </c>
      <c r="F53" s="33">
        <v>1</v>
      </c>
      <c r="G53" s="33">
        <v>0</v>
      </c>
      <c r="H53" s="33">
        <v>0</v>
      </c>
      <c r="I53" s="33">
        <v>0</v>
      </c>
      <c r="J53" s="33"/>
      <c r="K53" s="33"/>
      <c r="L53" s="48"/>
    </row>
    <row r="54" spans="1:12">
      <c r="A54" s="40" t="s">
        <v>344</v>
      </c>
      <c r="B54" s="32"/>
      <c r="C54" s="33" t="s">
        <v>438</v>
      </c>
      <c r="D54" s="33">
        <v>1</v>
      </c>
      <c r="E54" s="33">
        <v>1</v>
      </c>
      <c r="F54" s="33">
        <v>0</v>
      </c>
      <c r="G54" s="33">
        <v>0</v>
      </c>
      <c r="H54" s="33">
        <v>0</v>
      </c>
      <c r="I54" s="33">
        <v>0</v>
      </c>
      <c r="J54" s="33"/>
      <c r="K54" s="33"/>
      <c r="L54" s="48"/>
    </row>
    <row r="55" spans="1:12">
      <c r="A55" s="40" t="s">
        <v>345</v>
      </c>
      <c r="B55" s="32" t="s">
        <v>487</v>
      </c>
      <c r="C55" s="33" t="s">
        <v>482</v>
      </c>
      <c r="D55" s="33">
        <v>1</v>
      </c>
      <c r="E55" s="33">
        <v>1</v>
      </c>
      <c r="F55" s="33">
        <v>1</v>
      </c>
      <c r="G55" s="33">
        <v>0</v>
      </c>
      <c r="H55" s="33">
        <v>0</v>
      </c>
      <c r="I55" s="33">
        <v>0</v>
      </c>
      <c r="J55" s="33"/>
      <c r="K55" s="33"/>
      <c r="L55" s="48"/>
    </row>
    <row r="56" spans="1:12">
      <c r="A56" s="40" t="s">
        <v>346</v>
      </c>
      <c r="B56" s="32" t="s">
        <v>496</v>
      </c>
      <c r="C56" s="33" t="s">
        <v>483</v>
      </c>
      <c r="D56" s="33">
        <v>1</v>
      </c>
      <c r="E56" s="33">
        <v>1</v>
      </c>
      <c r="F56" s="33">
        <v>0</v>
      </c>
      <c r="G56" s="33">
        <v>1</v>
      </c>
      <c r="H56" s="33">
        <v>0</v>
      </c>
      <c r="I56" s="33">
        <v>0</v>
      </c>
      <c r="J56" s="33"/>
      <c r="K56" s="33">
        <v>1</v>
      </c>
      <c r="L56" s="48"/>
    </row>
    <row r="57" spans="1:12">
      <c r="A57" s="40" t="s">
        <v>347</v>
      </c>
      <c r="B57" s="33" t="s">
        <v>497</v>
      </c>
      <c r="C57" s="33" t="s">
        <v>347</v>
      </c>
      <c r="D57" s="33">
        <v>1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/>
      <c r="K57" s="33"/>
      <c r="L57" s="48"/>
    </row>
    <row r="58" spans="1:12">
      <c r="A58" s="40" t="s">
        <v>490</v>
      </c>
      <c r="B58" s="33" t="s">
        <v>489</v>
      </c>
      <c r="C58" s="34" t="s">
        <v>492</v>
      </c>
      <c r="D58" s="33">
        <v>1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/>
      <c r="K58" s="33"/>
      <c r="L58" s="48"/>
    </row>
    <row r="59" spans="1:12">
      <c r="A59" s="40" t="s">
        <v>491</v>
      </c>
      <c r="B59" s="34" t="s">
        <v>494</v>
      </c>
      <c r="C59" s="34" t="s">
        <v>493</v>
      </c>
      <c r="D59" s="33">
        <v>1</v>
      </c>
      <c r="E59" s="33">
        <v>1</v>
      </c>
      <c r="F59" s="33">
        <v>0</v>
      </c>
      <c r="G59" s="33">
        <v>1</v>
      </c>
      <c r="H59" s="33">
        <v>0</v>
      </c>
      <c r="I59" s="33">
        <v>0</v>
      </c>
      <c r="J59" s="33"/>
      <c r="K59" s="33"/>
      <c r="L59" s="48"/>
    </row>
    <row r="60" spans="1:12">
      <c r="A60" s="40" t="s">
        <v>488</v>
      </c>
      <c r="B60" s="32"/>
      <c r="C60" s="32" t="s">
        <v>488</v>
      </c>
      <c r="D60" s="33">
        <v>1</v>
      </c>
      <c r="E60" s="33">
        <v>0</v>
      </c>
      <c r="F60" s="33">
        <v>0</v>
      </c>
      <c r="G60" s="33">
        <v>1</v>
      </c>
      <c r="H60" s="33">
        <v>0</v>
      </c>
      <c r="I60" s="33">
        <v>0</v>
      </c>
      <c r="J60" s="33"/>
      <c r="K60" s="33"/>
      <c r="L60" s="48"/>
    </row>
    <row r="61" spans="1:12">
      <c r="A61" s="40" t="s">
        <v>348</v>
      </c>
      <c r="B61" s="33"/>
      <c r="C61" s="33" t="s">
        <v>495</v>
      </c>
      <c r="D61" s="33">
        <v>1</v>
      </c>
      <c r="E61" s="33">
        <v>1</v>
      </c>
      <c r="F61" s="33">
        <v>0</v>
      </c>
      <c r="G61" s="33">
        <v>0</v>
      </c>
      <c r="H61" s="33">
        <v>0</v>
      </c>
      <c r="I61" s="33">
        <v>0</v>
      </c>
      <c r="J61" s="33"/>
      <c r="K61" s="33"/>
      <c r="L61" s="48"/>
    </row>
    <row r="62" spans="1:12">
      <c r="A62" s="40" t="s">
        <v>498</v>
      </c>
      <c r="B62" s="33" t="s">
        <v>500</v>
      </c>
      <c r="C62" s="33" t="s">
        <v>499</v>
      </c>
      <c r="D62" s="33">
        <v>1</v>
      </c>
      <c r="E62" s="33">
        <v>1</v>
      </c>
      <c r="F62" s="33">
        <v>0</v>
      </c>
      <c r="G62" s="33">
        <v>1</v>
      </c>
      <c r="H62" s="33">
        <v>0</v>
      </c>
      <c r="I62" s="33">
        <v>1</v>
      </c>
      <c r="J62" s="33"/>
      <c r="K62" s="33"/>
      <c r="L62" s="48"/>
    </row>
    <row r="63" spans="1:12">
      <c r="A63" s="40" t="s">
        <v>349</v>
      </c>
      <c r="B63" s="33" t="s">
        <v>501</v>
      </c>
      <c r="C63" s="33" t="s">
        <v>502</v>
      </c>
      <c r="D63" s="33">
        <v>1</v>
      </c>
      <c r="E63" s="33">
        <v>1</v>
      </c>
      <c r="F63" s="33">
        <v>0</v>
      </c>
      <c r="G63" s="33">
        <v>0</v>
      </c>
      <c r="H63" s="33">
        <v>0</v>
      </c>
      <c r="I63" s="33">
        <v>0</v>
      </c>
      <c r="J63" s="33"/>
      <c r="K63" s="33"/>
      <c r="L63" s="48"/>
    </row>
    <row r="64" spans="1:12">
      <c r="A64" s="40" t="s">
        <v>503</v>
      </c>
      <c r="B64" s="33" t="s">
        <v>506</v>
      </c>
      <c r="C64" s="33" t="s">
        <v>504</v>
      </c>
      <c r="D64" s="33">
        <v>1</v>
      </c>
      <c r="E64" s="33">
        <v>1</v>
      </c>
      <c r="F64" s="33">
        <v>0</v>
      </c>
      <c r="G64" s="33">
        <v>0</v>
      </c>
      <c r="H64" s="33">
        <v>0</v>
      </c>
      <c r="I64" s="33">
        <v>0</v>
      </c>
      <c r="J64" s="33"/>
      <c r="K64" s="33"/>
      <c r="L64" s="48"/>
    </row>
    <row r="65" spans="1:12">
      <c r="A65" s="40" t="s">
        <v>350</v>
      </c>
      <c r="B65" s="32" t="s">
        <v>505</v>
      </c>
      <c r="C65" s="33" t="s">
        <v>507</v>
      </c>
      <c r="D65" s="33">
        <v>1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/>
      <c r="K65" s="33"/>
      <c r="L65" s="48"/>
    </row>
    <row r="66" spans="1:12">
      <c r="A66" s="40" t="s">
        <v>510</v>
      </c>
      <c r="B66" s="32" t="s">
        <v>508</v>
      </c>
      <c r="C66" s="33" t="s">
        <v>509</v>
      </c>
      <c r="D66" s="33">
        <v>1</v>
      </c>
      <c r="E66" s="33">
        <v>0</v>
      </c>
      <c r="F66" s="33">
        <v>0</v>
      </c>
      <c r="G66" s="33">
        <v>1</v>
      </c>
      <c r="H66" s="33">
        <v>1</v>
      </c>
      <c r="I66" s="33">
        <v>0</v>
      </c>
      <c r="J66" s="33"/>
      <c r="K66" s="33"/>
      <c r="L66" s="48"/>
    </row>
    <row r="67" spans="1:12">
      <c r="A67" s="40" t="s">
        <v>511</v>
      </c>
      <c r="B67" s="33"/>
      <c r="C67" s="33" t="s">
        <v>512</v>
      </c>
      <c r="D67" s="33">
        <v>1</v>
      </c>
      <c r="E67" s="33">
        <v>1</v>
      </c>
      <c r="F67" s="33">
        <v>1</v>
      </c>
      <c r="G67" s="33">
        <v>0</v>
      </c>
      <c r="H67" s="33">
        <v>0</v>
      </c>
      <c r="I67" s="33">
        <v>0</v>
      </c>
      <c r="J67" s="33"/>
      <c r="K67" s="33"/>
      <c r="L67" s="48"/>
    </row>
    <row r="68" spans="1:12">
      <c r="A68" s="40" t="s">
        <v>514</v>
      </c>
      <c r="B68" s="33"/>
      <c r="C68" s="33" t="s">
        <v>513</v>
      </c>
      <c r="D68" s="33">
        <v>1</v>
      </c>
      <c r="E68" s="33">
        <v>0</v>
      </c>
      <c r="F68" s="33">
        <v>0</v>
      </c>
      <c r="G68" s="33">
        <v>1</v>
      </c>
      <c r="H68" s="33">
        <v>0</v>
      </c>
      <c r="I68" s="33">
        <v>0</v>
      </c>
      <c r="J68" s="33"/>
      <c r="K68" s="33"/>
      <c r="L68" s="48"/>
    </row>
    <row r="69" spans="1:12" ht="16" customHeight="1">
      <c r="A69" s="40" t="s">
        <v>351</v>
      </c>
      <c r="B69" s="36" t="s">
        <v>515</v>
      </c>
      <c r="C69" s="33" t="s">
        <v>516</v>
      </c>
      <c r="D69" s="33">
        <v>1</v>
      </c>
      <c r="E69" s="33">
        <v>0</v>
      </c>
      <c r="F69" s="33">
        <v>1</v>
      </c>
      <c r="G69" s="33">
        <v>1</v>
      </c>
      <c r="H69" s="33">
        <v>0</v>
      </c>
      <c r="I69" s="33">
        <v>0</v>
      </c>
      <c r="J69" s="33"/>
      <c r="K69" s="33">
        <v>0</v>
      </c>
      <c r="L69" s="48"/>
    </row>
    <row r="70" spans="1:12">
      <c r="A70" s="40" t="s">
        <v>352</v>
      </c>
      <c r="B70" s="34" t="s">
        <v>518</v>
      </c>
      <c r="C70" s="33" t="s">
        <v>517</v>
      </c>
      <c r="D70" s="33">
        <v>1</v>
      </c>
      <c r="E70" s="33">
        <v>0</v>
      </c>
      <c r="F70" s="33">
        <v>1</v>
      </c>
      <c r="G70" s="33">
        <v>0</v>
      </c>
      <c r="H70" s="33">
        <v>0</v>
      </c>
      <c r="I70" s="33">
        <v>0</v>
      </c>
      <c r="J70" s="33"/>
      <c r="K70" s="33"/>
      <c r="L70" s="48"/>
    </row>
    <row r="71" spans="1:12">
      <c r="A71" s="40" t="s">
        <v>353</v>
      </c>
      <c r="B71" s="32" t="s">
        <v>519</v>
      </c>
      <c r="C71" s="33" t="s">
        <v>520</v>
      </c>
      <c r="D71" s="33">
        <v>1</v>
      </c>
      <c r="E71" s="33">
        <v>0</v>
      </c>
      <c r="F71" s="33">
        <v>1</v>
      </c>
      <c r="G71" s="33">
        <v>0</v>
      </c>
      <c r="H71" s="33">
        <v>0</v>
      </c>
      <c r="I71" s="33">
        <v>0</v>
      </c>
      <c r="J71" s="33"/>
      <c r="K71" s="33"/>
      <c r="L71" s="48"/>
    </row>
    <row r="72" spans="1:12">
      <c r="A72" s="40" t="s">
        <v>522</v>
      </c>
      <c r="B72" s="33"/>
      <c r="C72" s="33" t="s">
        <v>521</v>
      </c>
      <c r="D72" s="33">
        <v>1</v>
      </c>
      <c r="E72" s="33">
        <v>0</v>
      </c>
      <c r="F72" s="33">
        <v>0</v>
      </c>
      <c r="G72" s="33">
        <v>1</v>
      </c>
      <c r="H72" s="33">
        <v>1</v>
      </c>
      <c r="I72" s="33">
        <v>0</v>
      </c>
      <c r="J72" s="33"/>
      <c r="K72" s="33"/>
      <c r="L72" s="48"/>
    </row>
    <row r="73" spans="1:12">
      <c r="A73" s="40" t="s">
        <v>523</v>
      </c>
      <c r="B73" s="33" t="s">
        <v>525</v>
      </c>
      <c r="C73" s="33" t="s">
        <v>524</v>
      </c>
      <c r="D73" s="33">
        <v>1</v>
      </c>
      <c r="E73" s="33">
        <v>1</v>
      </c>
      <c r="F73" s="33">
        <v>0</v>
      </c>
      <c r="G73" s="33">
        <v>0</v>
      </c>
      <c r="H73" s="33">
        <v>0</v>
      </c>
      <c r="I73" s="33">
        <v>0</v>
      </c>
      <c r="J73" s="33">
        <v>1</v>
      </c>
      <c r="K73" s="33"/>
      <c r="L73" s="48"/>
    </row>
    <row r="74" spans="1:12">
      <c r="A74" s="40" t="s">
        <v>354</v>
      </c>
      <c r="B74" s="32" t="s">
        <v>527</v>
      </c>
      <c r="C74" s="33" t="s">
        <v>526</v>
      </c>
      <c r="D74" s="33">
        <v>1</v>
      </c>
      <c r="E74" s="33">
        <v>1</v>
      </c>
      <c r="F74" s="33">
        <v>0</v>
      </c>
      <c r="G74" s="33">
        <v>0</v>
      </c>
      <c r="H74" s="33">
        <v>0</v>
      </c>
      <c r="I74" s="33">
        <v>0</v>
      </c>
      <c r="J74" s="33"/>
      <c r="K74" s="33"/>
      <c r="L74" s="48"/>
    </row>
    <row r="75" spans="1:12">
      <c r="A75" s="40" t="s">
        <v>529</v>
      </c>
      <c r="B75" s="32" t="s">
        <v>528</v>
      </c>
      <c r="C75" s="33" t="s">
        <v>531</v>
      </c>
      <c r="D75" s="33">
        <v>1</v>
      </c>
      <c r="E75" s="33">
        <v>0</v>
      </c>
      <c r="F75" s="33">
        <v>0</v>
      </c>
      <c r="G75" s="33">
        <v>1</v>
      </c>
      <c r="H75" s="33">
        <v>0</v>
      </c>
      <c r="I75" s="33">
        <v>0</v>
      </c>
      <c r="J75" s="33"/>
      <c r="K75" s="33"/>
      <c r="L75" s="48"/>
    </row>
    <row r="76" spans="1:12">
      <c r="A76" s="40" t="s">
        <v>530</v>
      </c>
      <c r="B76" s="32" t="s">
        <v>532</v>
      </c>
      <c r="C76" s="33" t="s">
        <v>530</v>
      </c>
      <c r="D76" s="33">
        <v>1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/>
      <c r="K76" s="33"/>
      <c r="L76" s="48"/>
    </row>
    <row r="77" spans="1:12">
      <c r="A77" s="40" t="s">
        <v>534</v>
      </c>
      <c r="B77" s="33"/>
      <c r="C77" s="33" t="s">
        <v>533</v>
      </c>
      <c r="D77" s="33">
        <v>1</v>
      </c>
      <c r="E77" s="33">
        <v>1</v>
      </c>
      <c r="F77" s="33">
        <v>1</v>
      </c>
      <c r="G77" s="33">
        <v>0</v>
      </c>
      <c r="H77" s="33">
        <v>0</v>
      </c>
      <c r="I77" s="33">
        <v>0</v>
      </c>
      <c r="J77" s="33"/>
      <c r="K77" s="33"/>
      <c r="L77" s="48"/>
    </row>
    <row r="78" spans="1:12">
      <c r="A78" s="40" t="s">
        <v>355</v>
      </c>
      <c r="B78" s="32" t="s">
        <v>535</v>
      </c>
      <c r="C78" s="33" t="s">
        <v>536</v>
      </c>
      <c r="D78" s="33">
        <v>1</v>
      </c>
      <c r="E78" s="33">
        <v>1</v>
      </c>
      <c r="F78" s="33">
        <v>0</v>
      </c>
      <c r="G78" s="33">
        <v>0</v>
      </c>
      <c r="H78" s="33">
        <v>0</v>
      </c>
      <c r="I78" s="33">
        <v>0</v>
      </c>
      <c r="J78" s="33"/>
      <c r="K78" s="33"/>
      <c r="L78" s="48"/>
    </row>
    <row r="79" spans="1:12">
      <c r="A79" s="40" t="s">
        <v>356</v>
      </c>
      <c r="B79" s="34" t="s">
        <v>537</v>
      </c>
      <c r="C79" s="33" t="s">
        <v>538</v>
      </c>
      <c r="D79" s="33">
        <v>1</v>
      </c>
      <c r="E79" s="33">
        <v>0</v>
      </c>
      <c r="F79" s="33">
        <v>1</v>
      </c>
      <c r="G79" s="33">
        <v>1</v>
      </c>
      <c r="H79" s="33">
        <v>0</v>
      </c>
      <c r="I79" s="33">
        <v>0</v>
      </c>
      <c r="J79" s="33"/>
      <c r="K79" s="33"/>
      <c r="L79" s="48"/>
    </row>
    <row r="80" spans="1:12">
      <c r="A80" s="40" t="s">
        <v>357</v>
      </c>
      <c r="B80" s="34" t="s">
        <v>541</v>
      </c>
      <c r="C80" s="33" t="s">
        <v>539</v>
      </c>
      <c r="D80" s="33">
        <v>1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/>
      <c r="K80" s="33">
        <v>1</v>
      </c>
      <c r="L80" s="48"/>
    </row>
    <row r="81" spans="1:12">
      <c r="A81" s="40" t="s">
        <v>358</v>
      </c>
      <c r="B81" s="32"/>
      <c r="C81" s="33" t="s">
        <v>540</v>
      </c>
      <c r="D81" s="33">
        <v>1</v>
      </c>
      <c r="E81" s="33">
        <v>1</v>
      </c>
      <c r="F81" s="33">
        <v>0</v>
      </c>
      <c r="G81" s="33">
        <v>0</v>
      </c>
      <c r="H81" s="33">
        <v>0</v>
      </c>
      <c r="I81" s="33">
        <v>0</v>
      </c>
      <c r="J81" s="33"/>
      <c r="K81" s="33"/>
      <c r="L81" s="48"/>
    </row>
    <row r="82" spans="1:12" ht="18" customHeight="1">
      <c r="A82" s="40" t="s">
        <v>544</v>
      </c>
      <c r="B82" s="37" t="s">
        <v>542</v>
      </c>
      <c r="C82" s="33"/>
      <c r="D82" s="33">
        <v>1</v>
      </c>
      <c r="E82" s="33">
        <v>1</v>
      </c>
      <c r="F82" s="33">
        <v>0</v>
      </c>
      <c r="G82" s="33">
        <v>0</v>
      </c>
      <c r="H82" s="33">
        <v>0</v>
      </c>
      <c r="I82" s="33">
        <v>0</v>
      </c>
      <c r="J82" s="33"/>
      <c r="K82" s="33"/>
      <c r="L82" s="48"/>
    </row>
    <row r="83" spans="1:12">
      <c r="A83" s="40" t="s">
        <v>543</v>
      </c>
      <c r="B83" s="32"/>
      <c r="C83" s="33" t="s">
        <v>543</v>
      </c>
      <c r="D83" s="33">
        <v>1</v>
      </c>
      <c r="E83" s="33">
        <v>0</v>
      </c>
      <c r="F83" s="33">
        <v>0</v>
      </c>
      <c r="G83" s="33">
        <v>1</v>
      </c>
      <c r="H83" s="33">
        <v>0</v>
      </c>
      <c r="I83" s="33">
        <v>0</v>
      </c>
      <c r="J83" s="33"/>
      <c r="K83" s="33"/>
      <c r="L83" s="48"/>
    </row>
    <row r="84" spans="1:12">
      <c r="A84" s="40" t="s">
        <v>359</v>
      </c>
      <c r="B84" s="32" t="s">
        <v>546</v>
      </c>
      <c r="C84" s="33" t="s">
        <v>545</v>
      </c>
      <c r="D84" s="33">
        <v>1</v>
      </c>
      <c r="E84" s="33">
        <v>1</v>
      </c>
      <c r="F84" s="33">
        <v>0</v>
      </c>
      <c r="G84" s="33">
        <v>0</v>
      </c>
      <c r="H84" s="33">
        <v>0</v>
      </c>
      <c r="I84" s="33">
        <v>0</v>
      </c>
      <c r="J84" s="33"/>
      <c r="K84" s="33"/>
      <c r="L84" s="48"/>
    </row>
    <row r="85" spans="1:12">
      <c r="A85" s="40" t="s">
        <v>360</v>
      </c>
      <c r="B85" s="32" t="s">
        <v>532</v>
      </c>
      <c r="C85" s="33" t="s">
        <v>360</v>
      </c>
      <c r="D85" s="33">
        <v>1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/>
      <c r="K85" s="33"/>
      <c r="L85" s="48"/>
    </row>
    <row r="86" spans="1:12">
      <c r="A86" s="40" t="s">
        <v>361</v>
      </c>
      <c r="B86" s="34" t="s">
        <v>548</v>
      </c>
      <c r="C86" s="33" t="s">
        <v>361</v>
      </c>
      <c r="D86" s="33">
        <v>1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/>
      <c r="K86" s="33"/>
      <c r="L86" s="48"/>
    </row>
    <row r="87" spans="1:12">
      <c r="A87" s="40" t="s">
        <v>362</v>
      </c>
      <c r="B87" s="32" t="s">
        <v>549</v>
      </c>
      <c r="C87" s="33" t="s">
        <v>547</v>
      </c>
      <c r="D87" s="33">
        <v>1</v>
      </c>
      <c r="E87" s="33">
        <v>1</v>
      </c>
      <c r="F87" s="33">
        <v>0</v>
      </c>
      <c r="G87" s="33">
        <v>1</v>
      </c>
      <c r="H87" s="33">
        <v>1</v>
      </c>
      <c r="I87" s="33">
        <v>0</v>
      </c>
      <c r="J87" s="33"/>
      <c r="K87" s="33"/>
      <c r="L87" s="48"/>
    </row>
    <row r="88" spans="1:12">
      <c r="A88" s="40" t="s">
        <v>363</v>
      </c>
      <c r="B88" s="33"/>
      <c r="C88" s="33" t="s">
        <v>550</v>
      </c>
      <c r="D88" s="33">
        <v>1</v>
      </c>
      <c r="E88" s="33">
        <v>1</v>
      </c>
      <c r="F88" s="33">
        <v>0</v>
      </c>
      <c r="G88" s="33">
        <v>0</v>
      </c>
      <c r="H88" s="33">
        <v>0</v>
      </c>
      <c r="I88" s="33">
        <v>0</v>
      </c>
      <c r="J88" s="33"/>
      <c r="K88" s="33"/>
      <c r="L88" s="48"/>
    </row>
    <row r="89" spans="1:12">
      <c r="A89" s="40" t="s">
        <v>364</v>
      </c>
      <c r="B89" s="32" t="s">
        <v>556</v>
      </c>
      <c r="C89" s="33" t="s">
        <v>551</v>
      </c>
      <c r="D89" s="33">
        <v>1</v>
      </c>
      <c r="E89" s="33">
        <v>1</v>
      </c>
      <c r="F89" s="33">
        <v>0</v>
      </c>
      <c r="G89" s="33">
        <v>0</v>
      </c>
      <c r="H89" s="33">
        <v>0</v>
      </c>
      <c r="I89" s="33">
        <v>0</v>
      </c>
      <c r="J89" s="33"/>
      <c r="K89" s="33">
        <v>1</v>
      </c>
      <c r="L89" s="48"/>
    </row>
    <row r="90" spans="1:12">
      <c r="A90" s="40" t="s">
        <v>552</v>
      </c>
      <c r="B90" s="32" t="s">
        <v>555</v>
      </c>
      <c r="C90" s="33" t="s">
        <v>554</v>
      </c>
      <c r="D90" s="33">
        <v>1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/>
      <c r="K90" s="33"/>
      <c r="L90" s="48"/>
    </row>
    <row r="91" spans="1:12">
      <c r="A91" s="40" t="s">
        <v>553</v>
      </c>
      <c r="B91" s="33"/>
      <c r="C91" s="33" t="s">
        <v>553</v>
      </c>
      <c r="D91" s="33">
        <v>1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/>
      <c r="K91" s="33"/>
      <c r="L91" s="48"/>
    </row>
    <row r="92" spans="1:12">
      <c r="A92" s="43" t="s">
        <v>365</v>
      </c>
      <c r="B92" s="33"/>
      <c r="C92" s="33" t="s">
        <v>557</v>
      </c>
      <c r="D92" s="33">
        <v>1</v>
      </c>
      <c r="E92" s="33">
        <v>1</v>
      </c>
      <c r="F92" s="33">
        <v>0</v>
      </c>
      <c r="G92" s="33">
        <v>1</v>
      </c>
      <c r="H92" s="33">
        <v>0</v>
      </c>
      <c r="I92" s="33">
        <v>0</v>
      </c>
      <c r="J92" s="33"/>
      <c r="K92" s="33"/>
      <c r="L92" s="48"/>
    </row>
    <row r="93" spans="1:12">
      <c r="A93" s="40" t="s">
        <v>559</v>
      </c>
      <c r="B93" s="32" t="s">
        <v>558</v>
      </c>
      <c r="C93" s="33" t="s">
        <v>237</v>
      </c>
      <c r="D93" s="33">
        <v>1</v>
      </c>
      <c r="E93" s="33">
        <v>1</v>
      </c>
      <c r="F93" s="33">
        <v>0</v>
      </c>
      <c r="G93" s="33">
        <v>0</v>
      </c>
      <c r="H93" s="33">
        <v>0</v>
      </c>
      <c r="I93" s="33">
        <v>0</v>
      </c>
      <c r="J93" s="33"/>
      <c r="K93" s="33"/>
      <c r="L93" s="48"/>
    </row>
    <row r="94" spans="1:12">
      <c r="A94" s="40" t="s">
        <v>366</v>
      </c>
      <c r="B94" s="34" t="s">
        <v>560</v>
      </c>
      <c r="C94" s="33" t="s">
        <v>561</v>
      </c>
      <c r="D94" s="33">
        <v>1</v>
      </c>
      <c r="E94" s="33">
        <v>1</v>
      </c>
      <c r="F94" s="33">
        <v>0</v>
      </c>
      <c r="G94" s="33">
        <v>1</v>
      </c>
      <c r="H94" s="33">
        <v>0</v>
      </c>
      <c r="I94" s="33">
        <v>0</v>
      </c>
      <c r="J94" s="33"/>
      <c r="K94" s="33"/>
      <c r="L94" s="48"/>
    </row>
    <row r="95" spans="1:12">
      <c r="A95" s="40" t="s">
        <v>566</v>
      </c>
      <c r="B95" s="32" t="s">
        <v>564</v>
      </c>
      <c r="C95" s="33" t="s">
        <v>562</v>
      </c>
      <c r="D95" s="33">
        <v>1</v>
      </c>
      <c r="E95" s="33">
        <v>1</v>
      </c>
      <c r="F95" s="33">
        <v>1</v>
      </c>
      <c r="G95" s="33">
        <v>1</v>
      </c>
      <c r="H95" s="33">
        <v>0</v>
      </c>
      <c r="I95" s="33">
        <v>0</v>
      </c>
      <c r="J95" s="33"/>
      <c r="K95" s="33"/>
      <c r="L95" s="48"/>
    </row>
    <row r="96" spans="1:12">
      <c r="A96" s="40" t="s">
        <v>567</v>
      </c>
      <c r="B96" s="33" t="s">
        <v>565</v>
      </c>
      <c r="C96" s="33" t="s">
        <v>563</v>
      </c>
      <c r="D96" s="33">
        <v>1</v>
      </c>
      <c r="E96" s="33">
        <v>2</v>
      </c>
      <c r="F96" s="33">
        <v>0</v>
      </c>
      <c r="G96" s="33">
        <v>0</v>
      </c>
      <c r="H96" s="33">
        <v>0</v>
      </c>
      <c r="I96" s="33">
        <v>1</v>
      </c>
      <c r="J96" s="33">
        <v>1</v>
      </c>
      <c r="K96" s="33"/>
      <c r="L96" s="48"/>
    </row>
    <row r="97" spans="1:12">
      <c r="A97" s="40" t="s">
        <v>570</v>
      </c>
      <c r="B97" s="34" t="s">
        <v>569</v>
      </c>
      <c r="C97" s="33" t="s">
        <v>568</v>
      </c>
      <c r="D97" s="33">
        <v>1</v>
      </c>
      <c r="E97" s="33">
        <v>0</v>
      </c>
      <c r="F97" s="33">
        <v>0</v>
      </c>
      <c r="G97" s="33">
        <v>1</v>
      </c>
      <c r="H97" s="33">
        <v>0</v>
      </c>
      <c r="I97" s="33">
        <v>1</v>
      </c>
      <c r="J97" s="33">
        <v>1</v>
      </c>
      <c r="K97" s="33"/>
      <c r="L97" s="48"/>
    </row>
    <row r="98" spans="1:12">
      <c r="A98" s="40" t="s">
        <v>573</v>
      </c>
      <c r="B98" s="32" t="s">
        <v>571</v>
      </c>
      <c r="C98" s="33" t="s">
        <v>572</v>
      </c>
      <c r="D98" s="33">
        <v>1</v>
      </c>
      <c r="E98" s="33">
        <v>0</v>
      </c>
      <c r="F98" s="33">
        <v>0</v>
      </c>
      <c r="G98" s="33">
        <v>0</v>
      </c>
      <c r="H98" s="33">
        <v>1</v>
      </c>
      <c r="I98" s="33">
        <v>0</v>
      </c>
      <c r="J98" s="33"/>
      <c r="K98" s="33"/>
      <c r="L98" s="48"/>
    </row>
    <row r="99" spans="1:12">
      <c r="A99" s="40" t="s">
        <v>574</v>
      </c>
      <c r="B99" s="33"/>
      <c r="C99" s="33" t="s">
        <v>575</v>
      </c>
      <c r="D99" s="33">
        <v>1</v>
      </c>
      <c r="E99" s="33">
        <v>1</v>
      </c>
      <c r="F99" s="33">
        <v>2</v>
      </c>
      <c r="G99" s="33">
        <v>0</v>
      </c>
      <c r="H99" s="33">
        <v>0</v>
      </c>
      <c r="I99" s="33">
        <v>0</v>
      </c>
      <c r="J99" s="33"/>
      <c r="K99" s="33"/>
      <c r="L99" s="48"/>
    </row>
    <row r="100" spans="1:12">
      <c r="A100" s="40" t="s">
        <v>367</v>
      </c>
      <c r="B100" s="34" t="s">
        <v>577</v>
      </c>
      <c r="C100" s="33" t="s">
        <v>576</v>
      </c>
      <c r="D100" s="33">
        <v>1</v>
      </c>
      <c r="E100" s="33">
        <v>1</v>
      </c>
      <c r="F100" s="33">
        <v>0</v>
      </c>
      <c r="G100" s="33">
        <v>0</v>
      </c>
      <c r="H100" s="33">
        <v>0</v>
      </c>
      <c r="I100" s="33">
        <v>1</v>
      </c>
      <c r="J100" s="33"/>
      <c r="K100" s="33"/>
      <c r="L100" s="48"/>
    </row>
    <row r="101" spans="1:12" ht="17" thickBot="1">
      <c r="A101" s="44" t="s">
        <v>368</v>
      </c>
      <c r="B101" s="45" t="s">
        <v>578</v>
      </c>
      <c r="C101" s="6" t="s">
        <v>235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/>
      <c r="K101" s="6"/>
      <c r="L101" s="49"/>
    </row>
    <row r="102" spans="1:12" ht="17" thickBot="1">
      <c r="A102" s="28" t="s">
        <v>10</v>
      </c>
      <c r="B102" s="6"/>
      <c r="C102" s="6"/>
      <c r="D102" s="6">
        <f>SUM(D2:D101)</f>
        <v>100</v>
      </c>
      <c r="E102" s="6">
        <f t="shared" ref="E102:I102" si="0">SUM(E2:E101)</f>
        <v>62</v>
      </c>
      <c r="F102" s="6">
        <f t="shared" si="0"/>
        <v>20</v>
      </c>
      <c r="G102" s="6">
        <f t="shared" si="0"/>
        <v>25</v>
      </c>
      <c r="H102" s="6">
        <f t="shared" si="0"/>
        <v>8</v>
      </c>
      <c r="I102" s="6">
        <f t="shared" si="0"/>
        <v>11</v>
      </c>
      <c r="J102" s="7">
        <f>SUM(J2:J101)</f>
        <v>5</v>
      </c>
      <c r="K102" s="6">
        <f t="shared" ref="K102:L102" si="1">SUM(K2:K101)</f>
        <v>7</v>
      </c>
      <c r="L102" s="49"/>
    </row>
    <row r="103" spans="1:12">
      <c r="A103" s="15" t="s">
        <v>11</v>
      </c>
      <c r="B103" s="30">
        <f>E102/D102</f>
        <v>0.62</v>
      </c>
      <c r="C103" t="s">
        <v>12</v>
      </c>
    </row>
    <row r="104" spans="1:12">
      <c r="A104" s="17" t="s">
        <v>13</v>
      </c>
      <c r="B104" s="16">
        <f>(E102+G102)/D102</f>
        <v>0.87</v>
      </c>
      <c r="C104" t="s">
        <v>14</v>
      </c>
    </row>
    <row r="105" spans="1:12">
      <c r="A105" s="18" t="s">
        <v>15</v>
      </c>
      <c r="B105" s="16">
        <f>(E102+I102)/D102</f>
        <v>0.73</v>
      </c>
      <c r="C105" t="s">
        <v>16</v>
      </c>
    </row>
    <row r="106" spans="1:12">
      <c r="A106" s="19" t="s">
        <v>17</v>
      </c>
      <c r="B106" s="16">
        <f>(E102+I102+G102)/D102</f>
        <v>0.98</v>
      </c>
      <c r="C106" t="s">
        <v>18</v>
      </c>
    </row>
    <row r="107" spans="1:12">
      <c r="A107" t="s">
        <v>19</v>
      </c>
      <c r="B107" s="30">
        <f>G102/D102</f>
        <v>0.25</v>
      </c>
      <c r="C107" t="s">
        <v>20</v>
      </c>
    </row>
    <row r="108" spans="1:12">
      <c r="A108" s="31"/>
    </row>
    <row r="109" spans="1:12">
      <c r="A109" s="31"/>
    </row>
    <row r="110" spans="1:12">
      <c r="A110" s="31"/>
    </row>
    <row r="111" spans="1:12">
      <c r="A111" s="31"/>
    </row>
    <row r="112" spans="1:12">
      <c r="A112" s="31"/>
    </row>
    <row r="113" spans="1:1">
      <c r="A113" s="31"/>
    </row>
    <row r="114" spans="1:1">
      <c r="A114" s="31"/>
    </row>
    <row r="115" spans="1:1">
      <c r="A115" s="31"/>
    </row>
    <row r="116" spans="1:1">
      <c r="A116" s="31"/>
    </row>
    <row r="117" spans="1:1">
      <c r="A117" s="31"/>
    </row>
    <row r="120" spans="1:1">
      <c r="A120" s="31" t="s">
        <v>579</v>
      </c>
    </row>
    <row r="121" spans="1:1">
      <c r="A121" t="s">
        <v>369</v>
      </c>
    </row>
    <row r="122" spans="1:1">
      <c r="A122" s="31" t="s">
        <v>370</v>
      </c>
    </row>
    <row r="123" spans="1:1">
      <c r="A123" s="31" t="s">
        <v>371</v>
      </c>
    </row>
    <row r="124" spans="1:1">
      <c r="A124" s="31" t="s">
        <v>372</v>
      </c>
    </row>
    <row r="125" spans="1:1">
      <c r="A125" s="31" t="s">
        <v>373</v>
      </c>
    </row>
    <row r="126" spans="1:1">
      <c r="A126" s="31" t="s">
        <v>374</v>
      </c>
    </row>
    <row r="127" spans="1:1">
      <c r="A127" s="31" t="s">
        <v>375</v>
      </c>
    </row>
    <row r="128" spans="1:1">
      <c r="A128" s="31" t="s">
        <v>376</v>
      </c>
    </row>
    <row r="129" spans="1:1">
      <c r="A129" s="31" t="s">
        <v>377</v>
      </c>
    </row>
    <row r="130" spans="1:1">
      <c r="A130" s="31" t="s">
        <v>378</v>
      </c>
    </row>
    <row r="131" spans="1:1">
      <c r="A131" s="31" t="s">
        <v>379</v>
      </c>
    </row>
    <row r="132" spans="1:1">
      <c r="A132" s="31" t="s">
        <v>380</v>
      </c>
    </row>
    <row r="133" spans="1:1">
      <c r="A133" s="31" t="s">
        <v>381</v>
      </c>
    </row>
    <row r="134" spans="1:1">
      <c r="A134" s="31" t="s">
        <v>382</v>
      </c>
    </row>
    <row r="135" spans="1:1">
      <c r="A135" s="31" t="s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A1D4-22C4-D743-A426-94DF112D1497}">
  <dimension ref="B1:D15"/>
  <sheetViews>
    <sheetView workbookViewId="0">
      <selection activeCell="B8" sqref="B8"/>
    </sheetView>
  </sheetViews>
  <sheetFormatPr baseColWidth="10" defaultRowHeight="16"/>
  <sheetData>
    <row r="1" spans="2:4">
      <c r="B1" t="s">
        <v>586</v>
      </c>
    </row>
    <row r="2" spans="2:4">
      <c r="B2" t="str">
        <f>Tosa!A109</f>
        <v>RD2</v>
      </c>
      <c r="C2">
        <f>Tosa!B109</f>
        <v>0.81818181818181823</v>
      </c>
      <c r="D2" t="str">
        <f>Tosa!C109</f>
        <v>ACT-ARG/~Ø-Verbal</v>
      </c>
    </row>
    <row r="3" spans="2:4">
      <c r="B3" t="str">
        <f>Tosa!A110</f>
        <v>RD2+</v>
      </c>
      <c r="C3">
        <f>Tosa!B110</f>
        <v>0.81818181818181823</v>
      </c>
      <c r="D3" t="str">
        <f>Tosa!C110</f>
        <v>(ACT-ARG+V-ARG-Ø-ARG)/~Ø-Verbal</v>
      </c>
    </row>
    <row r="4" spans="2:4">
      <c r="B4" t="str">
        <f>Tosa!A111</f>
        <v>RD2++</v>
      </c>
      <c r="C4">
        <f>Tosa!B111</f>
        <v>0.89772727272727271</v>
      </c>
      <c r="D4" t="str">
        <f>Tosa!C111</f>
        <v>(ACT-ARG+GAP-ACT-ARG)/~Ø-Verbal</v>
      </c>
    </row>
    <row r="5" spans="2:4">
      <c r="B5" t="str">
        <f>Tosa!A112</f>
        <v>RD2+++</v>
      </c>
      <c r="C5">
        <f>Tosa!B112</f>
        <v>0.89772727272727271</v>
      </c>
      <c r="D5" t="str">
        <f>Tosa!C112</f>
        <v>(ACT-ARG+V-ARG-Ø-ARG+GAP-ACT-ARG)/~Ø-Verbal</v>
      </c>
    </row>
    <row r="6" spans="2:4">
      <c r="B6" t="str">
        <f>Tosa!A113</f>
        <v>RD2-</v>
      </c>
      <c r="C6">
        <f>Tosa!B113</f>
        <v>0</v>
      </c>
      <c r="D6" t="str">
        <f>Tosa!C113</f>
        <v>V-ARG-Ø-ARG/~Ø-Verbal</v>
      </c>
    </row>
    <row r="10" spans="2:4">
      <c r="B10" t="s">
        <v>585</v>
      </c>
    </row>
    <row r="11" spans="2:4">
      <c r="B11" t="str">
        <f>Genji!A103</f>
        <v>RD2</v>
      </c>
      <c r="C11">
        <f>Genji!B103</f>
        <v>0.62</v>
      </c>
      <c r="D11" t="str">
        <f>Genji!C103</f>
        <v>ACT-ARG/~Ø-Verbal</v>
      </c>
    </row>
    <row r="12" spans="2:4">
      <c r="B12" t="str">
        <f>Genji!A104</f>
        <v>RD2+</v>
      </c>
      <c r="C12">
        <f>Genji!B104</f>
        <v>0.87</v>
      </c>
      <c r="D12" t="str">
        <f>Genji!C104</f>
        <v>(ACT-ARG+V-ARG-Ø-ARG)/~Ø-Verbal</v>
      </c>
    </row>
    <row r="13" spans="2:4">
      <c r="B13" t="str">
        <f>Genji!A105</f>
        <v>RD2++</v>
      </c>
      <c r="C13">
        <f>Genji!B105</f>
        <v>0.73</v>
      </c>
      <c r="D13" t="str">
        <f>Genji!C105</f>
        <v>(ACT-ARG+GAP-ACT-ARG)/~Ø-Verbal</v>
      </c>
    </row>
    <row r="14" spans="2:4">
      <c r="B14" t="str">
        <f>Genji!A106</f>
        <v>RD2+++</v>
      </c>
      <c r="C14">
        <f>Genji!B106</f>
        <v>0.98</v>
      </c>
      <c r="D14" t="str">
        <f>Genji!C106</f>
        <v>(ACT-ARG+V-ARG-Ø-ARG+GAP-ACT-ARG)/~Ø-Verbal</v>
      </c>
    </row>
    <row r="15" spans="2:4">
      <c r="B15" t="str">
        <f>Genji!A107</f>
        <v>RD2-</v>
      </c>
      <c r="C15">
        <f>Genji!B107</f>
        <v>0.25</v>
      </c>
      <c r="D15" t="str">
        <f>Genji!C107</f>
        <v>V-ARG-Ø-ARG/~Ø-Verbal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Tosa</vt:lpstr>
      <vt:lpstr>Genji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Artemii Kuznetsov</dc:creator>
  <cp:lastModifiedBy>Artemii Kuznetsov</cp:lastModifiedBy>
  <dcterms:created xsi:type="dcterms:W3CDTF">2024-12-06T13:54:08Z</dcterms:created>
  <dcterms:modified xsi:type="dcterms:W3CDTF">2025-02-11T08:22:01Z</dcterms:modified>
</cp:coreProperties>
</file>