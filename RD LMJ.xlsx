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tables/table1.xml" ContentType="application/vnd.openxmlformats-officedocument.spreadsheetml.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24226"/>
  <mc:AlternateContent xmlns:mc="http://schemas.openxmlformats.org/markup-compatibility/2006">
    <mc:Choice Requires="x15">
      <x15ac:absPath xmlns:x15ac="http://schemas.microsoft.com/office/spreadsheetml/2010/11/ac" url="/Users/levkoy/Desktop/Research/RD pilot study/LMJ/"/>
    </mc:Choice>
  </mc:AlternateContent>
  <xr:revisionPtr revIDLastSave="0" documentId="8_{53734B57-B7B8-F64C-AF40-2F57135D201C}" xr6:coauthVersionLast="47" xr6:coauthVersionMax="47" xr10:uidLastSave="{00000000-0000-0000-0000-000000000000}"/>
  <bookViews>
    <workbookView xWindow="0" yWindow="740" windowWidth="34560" windowHeight="21600" activeTab="1" xr2:uid="{00000000-000D-0000-FFFF-FFFF00000000}"/>
  </bookViews>
  <sheets>
    <sheet name="Isopo" sheetId="2" r:id="rId1"/>
    <sheet name="Heike Chapter 2" sheetId="1" r:id="rId2"/>
    <sheet name="Prelim Analysis" sheetId="12" r:id="rId3"/>
    <sheet name="RD vs argument realisation" sheetId="21" r:id="rId4"/>
    <sheet name="Exaltation vs pro-drop" sheetId="33" r:id="rId5"/>
    <sheet name="LVC vs RD" sheetId="43" r:id="rId6"/>
    <sheet name="Other" sheetId="3" r:id="rId7"/>
  </sheets>
  <externalReferences>
    <externalReference r:id="rId8"/>
  </externalReferences>
  <definedNames>
    <definedName name="_xlnm._FilterDatabase" localSheetId="1" hidden="1">'Heike Chapter 2'!$A$1:$AK$160</definedName>
    <definedName name="_xlnm._FilterDatabase" localSheetId="0" hidden="1">Isopo!$D$1:$D$131</definedName>
  </definedNames>
  <calcPr calcId="191029"/>
  <pivotCaches>
    <pivotCache cacheId="18" r:id="rId9"/>
    <pivotCache cacheId="11" r:id="rId10"/>
    <pivotCache cacheId="12" r:id="rId11"/>
    <pivotCache cacheId="97" r:id="rId12"/>
    <pivotCache cacheId="37" r:id="rId13"/>
    <pivotCache cacheId="98" r:id="rId14"/>
    <pivotCache cacheId="80" r:id="rId15"/>
    <pivotCache cacheId="110"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3" i="1" l="1"/>
  <c r="K160" i="1"/>
  <c r="L160" i="1"/>
  <c r="N160" i="1"/>
  <c r="O160" i="1"/>
  <c r="P160" i="1"/>
  <c r="S160" i="1"/>
  <c r="T160" i="1"/>
  <c r="U160" i="1"/>
  <c r="V160" i="1"/>
  <c r="W160" i="1"/>
  <c r="X160" i="1"/>
  <c r="Y160" i="1"/>
  <c r="Z160" i="1"/>
  <c r="AA160" i="1"/>
  <c r="AK160" i="1"/>
  <c r="W25" i="21"/>
  <c r="X25" i="21"/>
  <c r="AB24" i="21"/>
  <c r="AV3" i="1"/>
  <c r="AV4" i="1"/>
  <c r="AV5" i="1"/>
  <c r="AV6" i="1"/>
  <c r="AV7" i="1"/>
  <c r="AV8" i="1"/>
  <c r="AV9" i="1"/>
  <c r="AV10" i="1"/>
  <c r="AV11" i="1"/>
  <c r="AV12" i="1"/>
  <c r="AV13" i="1"/>
  <c r="AV14" i="1"/>
  <c r="AV15" i="1"/>
  <c r="AV16" i="1"/>
  <c r="AV17" i="1"/>
  <c r="AV18" i="1"/>
  <c r="AV19" i="1"/>
  <c r="AV20" i="1"/>
  <c r="AV21" i="1"/>
  <c r="AV22" i="1"/>
  <c r="AV23" i="1"/>
  <c r="AV24" i="1"/>
  <c r="AV25" i="1"/>
  <c r="AV26" i="1"/>
  <c r="AV27" i="1"/>
  <c r="AV28" i="1"/>
  <c r="AV29" i="1"/>
  <c r="AV30" i="1"/>
  <c r="AV31" i="1"/>
  <c r="AV32" i="1"/>
  <c r="AV33" i="1"/>
  <c r="AV34" i="1"/>
  <c r="AV35" i="1"/>
  <c r="AV36" i="1"/>
  <c r="AV37" i="1"/>
  <c r="AV38" i="1"/>
  <c r="AV39" i="1"/>
  <c r="AV40" i="1"/>
  <c r="AV41" i="1"/>
  <c r="AV42" i="1"/>
  <c r="AV43" i="1"/>
  <c r="AV44" i="1"/>
  <c r="AV45" i="1"/>
  <c r="AV46" i="1"/>
  <c r="AV47" i="1"/>
  <c r="AV48" i="1"/>
  <c r="AV49" i="1"/>
  <c r="AV50" i="1"/>
  <c r="AV51" i="1"/>
  <c r="AV52" i="1"/>
  <c r="AV53" i="1"/>
  <c r="AV54" i="1"/>
  <c r="AV55" i="1"/>
  <c r="AV56" i="1"/>
  <c r="AV57" i="1"/>
  <c r="AV58" i="1"/>
  <c r="AV59" i="1"/>
  <c r="AV60" i="1"/>
  <c r="AV61" i="1"/>
  <c r="AV62" i="1"/>
  <c r="AV63" i="1"/>
  <c r="AV64" i="1"/>
  <c r="AV65" i="1"/>
  <c r="AV66" i="1"/>
  <c r="AV67" i="1"/>
  <c r="AV68" i="1"/>
  <c r="AV69" i="1"/>
  <c r="AV70" i="1"/>
  <c r="AV71" i="1"/>
  <c r="AV72" i="1"/>
  <c r="AV73" i="1"/>
  <c r="AV74" i="1"/>
  <c r="AV75" i="1"/>
  <c r="AV76" i="1"/>
  <c r="AV77" i="1"/>
  <c r="AV78" i="1"/>
  <c r="AV79" i="1"/>
  <c r="AV80" i="1"/>
  <c r="AV81" i="1"/>
  <c r="AV82" i="1"/>
  <c r="AV83" i="1"/>
  <c r="AV84" i="1"/>
  <c r="AV85" i="1"/>
  <c r="AV86" i="1"/>
  <c r="AV87" i="1"/>
  <c r="AV88" i="1"/>
  <c r="AV89" i="1"/>
  <c r="AV90" i="1"/>
  <c r="AV91" i="1"/>
  <c r="AV92" i="1"/>
  <c r="AV93" i="1"/>
  <c r="AV94" i="1"/>
  <c r="AV95" i="1"/>
  <c r="AV96" i="1"/>
  <c r="AV97" i="1"/>
  <c r="AV98" i="1"/>
  <c r="AV99" i="1"/>
  <c r="AV100" i="1"/>
  <c r="AV101" i="1"/>
  <c r="AV102" i="1"/>
  <c r="AV103" i="1"/>
  <c r="AV104" i="1"/>
  <c r="AV105" i="1"/>
  <c r="AV106" i="1"/>
  <c r="AV107" i="1"/>
  <c r="AV108" i="1"/>
  <c r="AV109" i="1"/>
  <c r="AV110" i="1"/>
  <c r="AV111" i="1"/>
  <c r="AV112" i="1"/>
  <c r="AV113" i="1"/>
  <c r="AV114" i="1"/>
  <c r="AV115" i="1"/>
  <c r="AV116" i="1"/>
  <c r="AV117" i="1"/>
  <c r="AV118" i="1"/>
  <c r="AV119" i="1"/>
  <c r="AV120" i="1"/>
  <c r="AV121" i="1"/>
  <c r="AV122" i="1"/>
  <c r="AV123" i="1"/>
  <c r="AV124" i="1"/>
  <c r="AV125" i="1"/>
  <c r="AV126" i="1"/>
  <c r="AV127" i="1"/>
  <c r="AV128" i="1"/>
  <c r="AV129" i="1"/>
  <c r="AV130" i="1"/>
  <c r="AV131" i="1"/>
  <c r="AV132" i="1"/>
  <c r="AV133" i="1"/>
  <c r="AV134" i="1"/>
  <c r="AV135" i="1"/>
  <c r="AV136" i="1"/>
  <c r="AV137" i="1"/>
  <c r="AV138" i="1"/>
  <c r="AV139" i="1"/>
  <c r="AV140" i="1"/>
  <c r="AV141" i="1"/>
  <c r="AV142" i="1"/>
  <c r="AV143" i="1"/>
  <c r="AV144" i="1"/>
  <c r="AV145" i="1"/>
  <c r="AV146" i="1"/>
  <c r="AV147" i="1"/>
  <c r="AV148" i="1"/>
  <c r="AV149" i="1"/>
  <c r="AV150" i="1"/>
  <c r="AV151" i="1"/>
  <c r="AV152" i="1"/>
  <c r="AV153" i="1"/>
  <c r="AV154" i="1"/>
  <c r="AV155" i="1"/>
  <c r="AV156" i="1"/>
  <c r="AV157" i="1"/>
  <c r="AV158" i="1"/>
  <c r="AV159" i="1"/>
  <c r="AV2" i="1"/>
  <c r="AU3" i="1"/>
  <c r="AU4" i="1"/>
  <c r="AU5" i="1"/>
  <c r="AU6" i="1"/>
  <c r="AU7" i="1"/>
  <c r="AU8" i="1"/>
  <c r="AU9" i="1"/>
  <c r="AU10" i="1"/>
  <c r="AU11" i="1"/>
  <c r="AU12" i="1"/>
  <c r="AU13" i="1"/>
  <c r="AU14" i="1"/>
  <c r="AU15" i="1"/>
  <c r="AU16" i="1"/>
  <c r="AU17" i="1"/>
  <c r="AU18" i="1"/>
  <c r="AU19" i="1"/>
  <c r="AU20" i="1"/>
  <c r="AU21" i="1"/>
  <c r="AU22" i="1"/>
  <c r="AU23" i="1"/>
  <c r="AU24" i="1"/>
  <c r="AU25" i="1"/>
  <c r="AU26" i="1"/>
  <c r="AU27" i="1"/>
  <c r="AU28" i="1"/>
  <c r="AU29" i="1"/>
  <c r="AU30" i="1"/>
  <c r="AU31" i="1"/>
  <c r="AU32" i="1"/>
  <c r="AU33" i="1"/>
  <c r="AU34" i="1"/>
  <c r="AU35" i="1"/>
  <c r="AU36" i="1"/>
  <c r="AU37" i="1"/>
  <c r="AU38" i="1"/>
  <c r="AU39" i="1"/>
  <c r="AU40" i="1"/>
  <c r="AU41" i="1"/>
  <c r="AU42" i="1"/>
  <c r="AU43" i="1"/>
  <c r="AU44" i="1"/>
  <c r="AU45" i="1"/>
  <c r="AU46" i="1"/>
  <c r="AU47" i="1"/>
  <c r="AU48" i="1"/>
  <c r="AU49" i="1"/>
  <c r="AU50" i="1"/>
  <c r="AU51" i="1"/>
  <c r="AU52" i="1"/>
  <c r="AU53" i="1"/>
  <c r="AU54" i="1"/>
  <c r="AU55" i="1"/>
  <c r="AU56" i="1"/>
  <c r="AU57" i="1"/>
  <c r="AU58" i="1"/>
  <c r="AU59" i="1"/>
  <c r="AU60" i="1"/>
  <c r="AU61" i="1"/>
  <c r="AU62" i="1"/>
  <c r="AU63" i="1"/>
  <c r="AU64" i="1"/>
  <c r="AU65" i="1"/>
  <c r="AU66" i="1"/>
  <c r="AU67" i="1"/>
  <c r="AU68" i="1"/>
  <c r="AU69" i="1"/>
  <c r="AU70" i="1"/>
  <c r="AU71" i="1"/>
  <c r="AU72" i="1"/>
  <c r="AU73" i="1"/>
  <c r="AU74" i="1"/>
  <c r="AU75" i="1"/>
  <c r="AU76" i="1"/>
  <c r="AU77" i="1"/>
  <c r="AU78" i="1"/>
  <c r="AU79" i="1"/>
  <c r="AU80" i="1"/>
  <c r="AU81" i="1"/>
  <c r="AU82" i="1"/>
  <c r="AU83" i="1"/>
  <c r="AU84" i="1"/>
  <c r="AU85" i="1"/>
  <c r="AU86" i="1"/>
  <c r="AU87" i="1"/>
  <c r="AU88" i="1"/>
  <c r="AU89" i="1"/>
  <c r="AU90" i="1"/>
  <c r="AU91" i="1"/>
  <c r="AU92" i="1"/>
  <c r="AU93" i="1"/>
  <c r="AU94" i="1"/>
  <c r="AU95" i="1"/>
  <c r="AU96" i="1"/>
  <c r="AU97" i="1"/>
  <c r="AU98" i="1"/>
  <c r="AU99" i="1"/>
  <c r="AU100" i="1"/>
  <c r="AU101" i="1"/>
  <c r="AU102" i="1"/>
  <c r="AU103" i="1"/>
  <c r="AU104" i="1"/>
  <c r="AU105" i="1"/>
  <c r="AU106" i="1"/>
  <c r="AU107" i="1"/>
  <c r="AU108" i="1"/>
  <c r="AU109" i="1"/>
  <c r="AU110" i="1"/>
  <c r="AU111" i="1"/>
  <c r="AU112" i="1"/>
  <c r="AU113" i="1"/>
  <c r="AU114" i="1"/>
  <c r="AU115" i="1"/>
  <c r="AU116" i="1"/>
  <c r="AU117" i="1"/>
  <c r="AU118" i="1"/>
  <c r="AU119" i="1"/>
  <c r="AU120" i="1"/>
  <c r="AU121" i="1"/>
  <c r="AU122" i="1"/>
  <c r="AU123" i="1"/>
  <c r="AU124" i="1"/>
  <c r="AU125" i="1"/>
  <c r="AU126" i="1"/>
  <c r="AU127" i="1"/>
  <c r="AU128" i="1"/>
  <c r="AU129" i="1"/>
  <c r="AU130" i="1"/>
  <c r="AU131" i="1"/>
  <c r="AU132" i="1"/>
  <c r="AU133" i="1"/>
  <c r="AU134" i="1"/>
  <c r="AU135" i="1"/>
  <c r="AU136" i="1"/>
  <c r="AU137" i="1"/>
  <c r="AU138" i="1"/>
  <c r="AU139" i="1"/>
  <c r="AU140" i="1"/>
  <c r="AU141" i="1"/>
  <c r="AU142" i="1"/>
  <c r="AU143" i="1"/>
  <c r="AU144" i="1"/>
  <c r="AU145" i="1"/>
  <c r="AU146" i="1"/>
  <c r="AU147" i="1"/>
  <c r="AU148" i="1"/>
  <c r="AU149" i="1"/>
  <c r="AU150" i="1"/>
  <c r="AU151" i="1"/>
  <c r="AU152" i="1"/>
  <c r="AU153" i="1"/>
  <c r="AU154" i="1"/>
  <c r="AU155" i="1"/>
  <c r="AU156" i="1"/>
  <c r="AU157" i="1"/>
  <c r="AU158" i="1"/>
  <c r="AU159" i="1"/>
  <c r="AU2" i="1"/>
  <c r="B39" i="21"/>
  <c r="C40" i="21"/>
  <c r="B40" i="21"/>
  <c r="C39" i="21"/>
  <c r="AQ159" i="1"/>
  <c r="AR159" i="1" s="1"/>
  <c r="AP30" i="1"/>
  <c r="AQ29" i="1" s="1"/>
  <c r="AR29" i="1" s="1"/>
  <c r="AP31" i="1"/>
  <c r="AP32" i="1"/>
  <c r="AQ31" i="1" s="1"/>
  <c r="AP33" i="1"/>
  <c r="AP34" i="1"/>
  <c r="AP35" i="1"/>
  <c r="AQ34" i="1" s="1"/>
  <c r="AR34" i="1" s="1"/>
  <c r="AP36" i="1"/>
  <c r="AP37" i="1"/>
  <c r="AP38" i="1"/>
  <c r="AP39" i="1"/>
  <c r="AQ38" i="1" s="1"/>
  <c r="AR38" i="1" s="1"/>
  <c r="AP40" i="1"/>
  <c r="AP41" i="1"/>
  <c r="AP42" i="1"/>
  <c r="AP43" i="1"/>
  <c r="AP44" i="1"/>
  <c r="AP45" i="1"/>
  <c r="AQ44" i="1" s="1"/>
  <c r="AR44" i="1" s="1"/>
  <c r="AP46" i="1"/>
  <c r="AP47" i="1"/>
  <c r="AQ46" i="1" s="1"/>
  <c r="AR46" i="1" s="1"/>
  <c r="AP48" i="1"/>
  <c r="AP49" i="1"/>
  <c r="AP50" i="1"/>
  <c r="AP51" i="1"/>
  <c r="AP52" i="1"/>
  <c r="AP53" i="1"/>
  <c r="AP54" i="1"/>
  <c r="AP55" i="1"/>
  <c r="AP56" i="1"/>
  <c r="AP57" i="1"/>
  <c r="AP58" i="1"/>
  <c r="AP59" i="1"/>
  <c r="AP60" i="1"/>
  <c r="AP61" i="1"/>
  <c r="AP62" i="1"/>
  <c r="AP63" i="1"/>
  <c r="AP64" i="1"/>
  <c r="AP65" i="1"/>
  <c r="AP66" i="1"/>
  <c r="AP67" i="1"/>
  <c r="AP68" i="1"/>
  <c r="AP69" i="1"/>
  <c r="AP70" i="1"/>
  <c r="AQ69" i="1" s="1"/>
  <c r="AR69" i="1" s="1"/>
  <c r="AP71" i="1"/>
  <c r="AP72" i="1"/>
  <c r="AP73" i="1"/>
  <c r="AP74" i="1"/>
  <c r="AP75" i="1"/>
  <c r="AP76" i="1"/>
  <c r="AP77" i="1"/>
  <c r="AP78" i="1"/>
  <c r="AP79" i="1"/>
  <c r="AP80" i="1"/>
  <c r="AQ79" i="1" s="1"/>
  <c r="AP81" i="1"/>
  <c r="AP82" i="1"/>
  <c r="AP83" i="1"/>
  <c r="AP84" i="1"/>
  <c r="AP85" i="1"/>
  <c r="AP86" i="1"/>
  <c r="AP87" i="1"/>
  <c r="AP88" i="1"/>
  <c r="AP89" i="1"/>
  <c r="AP90" i="1"/>
  <c r="AP91" i="1"/>
  <c r="AP92" i="1"/>
  <c r="AP93" i="1"/>
  <c r="AP94" i="1"/>
  <c r="AP95" i="1"/>
  <c r="AP96" i="1"/>
  <c r="AP97" i="1"/>
  <c r="AP98" i="1"/>
  <c r="AP99" i="1"/>
  <c r="AP100" i="1"/>
  <c r="AP101" i="1"/>
  <c r="AP102" i="1"/>
  <c r="AP103" i="1"/>
  <c r="AP104" i="1"/>
  <c r="AP105" i="1"/>
  <c r="AP106" i="1"/>
  <c r="AP107" i="1"/>
  <c r="AP108" i="1"/>
  <c r="AP109" i="1"/>
  <c r="AP110" i="1"/>
  <c r="AP111" i="1"/>
  <c r="AQ110" i="1" s="1"/>
  <c r="AR110" i="1" s="1"/>
  <c r="AP112" i="1"/>
  <c r="AQ111" i="1" s="1"/>
  <c r="AR111" i="1" s="1"/>
  <c r="AP113" i="1"/>
  <c r="AP114" i="1"/>
  <c r="AP115" i="1"/>
  <c r="AP116" i="1"/>
  <c r="AP117" i="1"/>
  <c r="AQ116" i="1" s="1"/>
  <c r="AR116" i="1" s="1"/>
  <c r="AP118" i="1"/>
  <c r="AQ117" i="1" s="1"/>
  <c r="AR117" i="1" s="1"/>
  <c r="AP119" i="1"/>
  <c r="AP120" i="1"/>
  <c r="AP121" i="1"/>
  <c r="AP122" i="1"/>
  <c r="AP123" i="1"/>
  <c r="AQ122" i="1" s="1"/>
  <c r="AR122" i="1" s="1"/>
  <c r="AP124" i="1"/>
  <c r="AP125" i="1"/>
  <c r="AP126" i="1"/>
  <c r="AP127" i="1"/>
  <c r="AP128" i="1"/>
  <c r="AP129" i="1"/>
  <c r="AP130" i="1"/>
  <c r="AQ129" i="1" s="1"/>
  <c r="AP131" i="1"/>
  <c r="AP132" i="1"/>
  <c r="AP133" i="1"/>
  <c r="AP134" i="1"/>
  <c r="AP135" i="1"/>
  <c r="AP136" i="1"/>
  <c r="AQ135" i="1" s="1"/>
  <c r="AR135" i="1" s="1"/>
  <c r="AP137" i="1"/>
  <c r="AP138" i="1"/>
  <c r="AP139" i="1"/>
  <c r="AP140" i="1"/>
  <c r="AP141" i="1"/>
  <c r="AP142" i="1"/>
  <c r="AP143" i="1"/>
  <c r="AP144" i="1"/>
  <c r="AP145" i="1"/>
  <c r="AP146" i="1"/>
  <c r="AP147" i="1"/>
  <c r="AP148" i="1"/>
  <c r="AP149" i="1"/>
  <c r="AQ148" i="1" s="1"/>
  <c r="AR148" i="1" s="1"/>
  <c r="AP150" i="1"/>
  <c r="AP151" i="1"/>
  <c r="AP152" i="1"/>
  <c r="AQ151" i="1" s="1"/>
  <c r="AR151" i="1" s="1"/>
  <c r="AP153" i="1"/>
  <c r="AP154" i="1"/>
  <c r="AQ153" i="1" s="1"/>
  <c r="AR153" i="1" s="1"/>
  <c r="AP155" i="1"/>
  <c r="AP156" i="1"/>
  <c r="AP157" i="1"/>
  <c r="AP158" i="1"/>
  <c r="AP159" i="1"/>
  <c r="AP3" i="1"/>
  <c r="AP4" i="1"/>
  <c r="AP5" i="1"/>
  <c r="AQ4" i="1" s="1"/>
  <c r="AR4" i="1" s="1"/>
  <c r="AP6" i="1"/>
  <c r="AP7" i="1"/>
  <c r="AP8" i="1"/>
  <c r="AQ7" i="1" s="1"/>
  <c r="AP9" i="1"/>
  <c r="AQ8" i="1" s="1"/>
  <c r="AR8" i="1" s="1"/>
  <c r="AP10" i="1"/>
  <c r="AP11" i="1"/>
  <c r="AQ10" i="1" s="1"/>
  <c r="AR10" i="1" s="1"/>
  <c r="AP12" i="1"/>
  <c r="AP13" i="1"/>
  <c r="AP14" i="1"/>
  <c r="AP15" i="1"/>
  <c r="AP16" i="1"/>
  <c r="AP17" i="1"/>
  <c r="AP18" i="1"/>
  <c r="AP19" i="1"/>
  <c r="AQ18" i="1" s="1"/>
  <c r="AR18" i="1" s="1"/>
  <c r="AP20" i="1"/>
  <c r="AP21" i="1"/>
  <c r="AP22" i="1"/>
  <c r="AP23" i="1"/>
  <c r="AP24" i="1"/>
  <c r="AP25" i="1"/>
  <c r="AP26" i="1"/>
  <c r="AP27" i="1"/>
  <c r="AP28" i="1"/>
  <c r="AP29" i="1"/>
  <c r="AP2" i="1"/>
  <c r="AO3"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AO59" i="1"/>
  <c r="AO60" i="1"/>
  <c r="AO61" i="1"/>
  <c r="AO62" i="1"/>
  <c r="AO63" i="1"/>
  <c r="AO64" i="1"/>
  <c r="AO65" i="1"/>
  <c r="AO66" i="1"/>
  <c r="AO67" i="1"/>
  <c r="AO68" i="1"/>
  <c r="AO69" i="1"/>
  <c r="AO70" i="1"/>
  <c r="AO71" i="1"/>
  <c r="AO72" i="1"/>
  <c r="AO73" i="1"/>
  <c r="AO74" i="1"/>
  <c r="AO75" i="1"/>
  <c r="AO76" i="1"/>
  <c r="AO77" i="1"/>
  <c r="AO78" i="1"/>
  <c r="AO79" i="1"/>
  <c r="AO80" i="1"/>
  <c r="AO81" i="1"/>
  <c r="AO82" i="1"/>
  <c r="AO83" i="1"/>
  <c r="AO84" i="1"/>
  <c r="AO85" i="1"/>
  <c r="AO86" i="1"/>
  <c r="AO87" i="1"/>
  <c r="AO88" i="1"/>
  <c r="AO89" i="1"/>
  <c r="AO90" i="1"/>
  <c r="AO91" i="1"/>
  <c r="AO92" i="1"/>
  <c r="AO93" i="1"/>
  <c r="AO94" i="1"/>
  <c r="AO95" i="1"/>
  <c r="AO96" i="1"/>
  <c r="AO97" i="1"/>
  <c r="AO98" i="1"/>
  <c r="AO99" i="1"/>
  <c r="AO100" i="1"/>
  <c r="AO101" i="1"/>
  <c r="AO102" i="1"/>
  <c r="AO103" i="1"/>
  <c r="AO104" i="1"/>
  <c r="AO105" i="1"/>
  <c r="AO106" i="1"/>
  <c r="AO107" i="1"/>
  <c r="AO108" i="1"/>
  <c r="AO109" i="1"/>
  <c r="AO110" i="1"/>
  <c r="AO111" i="1"/>
  <c r="AO112" i="1"/>
  <c r="AO113" i="1"/>
  <c r="AO114" i="1"/>
  <c r="AO115" i="1"/>
  <c r="AO116" i="1"/>
  <c r="AO117" i="1"/>
  <c r="AO118" i="1"/>
  <c r="AO119" i="1"/>
  <c r="AO120" i="1"/>
  <c r="AO121" i="1"/>
  <c r="AO122" i="1"/>
  <c r="AO123" i="1"/>
  <c r="AO124" i="1"/>
  <c r="AO125" i="1"/>
  <c r="AO126" i="1"/>
  <c r="AO127" i="1"/>
  <c r="AO128" i="1"/>
  <c r="AO129" i="1"/>
  <c r="AO130" i="1"/>
  <c r="AO131" i="1"/>
  <c r="AO132" i="1"/>
  <c r="AO133" i="1"/>
  <c r="AO134" i="1"/>
  <c r="AO135" i="1"/>
  <c r="AO136" i="1"/>
  <c r="AO137" i="1"/>
  <c r="AO138" i="1"/>
  <c r="AO139" i="1"/>
  <c r="AO140" i="1"/>
  <c r="AO141" i="1"/>
  <c r="AO142" i="1"/>
  <c r="AO143" i="1"/>
  <c r="AO144" i="1"/>
  <c r="AO145" i="1"/>
  <c r="AO146" i="1"/>
  <c r="AO147" i="1"/>
  <c r="AO148" i="1"/>
  <c r="AO149" i="1"/>
  <c r="AO150" i="1"/>
  <c r="AO151" i="1"/>
  <c r="AO152" i="1"/>
  <c r="AO153" i="1"/>
  <c r="AO154" i="1"/>
  <c r="AO155" i="1"/>
  <c r="AO156" i="1"/>
  <c r="AO157" i="1"/>
  <c r="AO158" i="1"/>
  <c r="AO159" i="1"/>
  <c r="AO2"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3" i="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2" i="1"/>
  <c r="AD17" i="1"/>
  <c r="AD19" i="1"/>
  <c r="AD20" i="1"/>
  <c r="AD21" i="1"/>
  <c r="AD23" i="1"/>
  <c r="AD24" i="1"/>
  <c r="AD25" i="1"/>
  <c r="AD26" i="1"/>
  <c r="AD28" i="1"/>
  <c r="AD29" i="1"/>
  <c r="AD30" i="1"/>
  <c r="AD31" i="1"/>
  <c r="AD32" i="1"/>
  <c r="AD33" i="1"/>
  <c r="AD34" i="1"/>
  <c r="AD35" i="1"/>
  <c r="AD37" i="1"/>
  <c r="AD38" i="1"/>
  <c r="AD39" i="1"/>
  <c r="AD40" i="1"/>
  <c r="AD41" i="1"/>
  <c r="AD42" i="1"/>
  <c r="AD43" i="1"/>
  <c r="AD44" i="1"/>
  <c r="AD45" i="1"/>
  <c r="AD47" i="1"/>
  <c r="AD48" i="1"/>
  <c r="AD49" i="1"/>
  <c r="AD50" i="1"/>
  <c r="AD51" i="1"/>
  <c r="AD52" i="1"/>
  <c r="AD53" i="1"/>
  <c r="AD54" i="1"/>
  <c r="AD56" i="1"/>
  <c r="AD57" i="1"/>
  <c r="AD58" i="1"/>
  <c r="AD59" i="1"/>
  <c r="AD61" i="1"/>
  <c r="AD63" i="1"/>
  <c r="AD64" i="1"/>
  <c r="AD65" i="1"/>
  <c r="AD66" i="1"/>
  <c r="AD67" i="1"/>
  <c r="AD68" i="1"/>
  <c r="AD70" i="1"/>
  <c r="AD72" i="1"/>
  <c r="AD73" i="1"/>
  <c r="AD74" i="1"/>
  <c r="AD75" i="1"/>
  <c r="AD76" i="1"/>
  <c r="AD77" i="1"/>
  <c r="AD78" i="1"/>
  <c r="AD79" i="1"/>
  <c r="AD80" i="1"/>
  <c r="AD81" i="1"/>
  <c r="AD82" i="1"/>
  <c r="AD83" i="1"/>
  <c r="AD84" i="1"/>
  <c r="AD85" i="1"/>
  <c r="AD86" i="1"/>
  <c r="AD87" i="1"/>
  <c r="AD88" i="1"/>
  <c r="AD90" i="1"/>
  <c r="AD91" i="1"/>
  <c r="AD92" i="1"/>
  <c r="AD93" i="1"/>
  <c r="AD95" i="1"/>
  <c r="AD96" i="1"/>
  <c r="AD98" i="1"/>
  <c r="AD99" i="1"/>
  <c r="AD100" i="1"/>
  <c r="AD101" i="1"/>
  <c r="AD102" i="1"/>
  <c r="AD103" i="1"/>
  <c r="AD104" i="1"/>
  <c r="AD105" i="1"/>
  <c r="AD106" i="1"/>
  <c r="AD108" i="1"/>
  <c r="AD109" i="1"/>
  <c r="AD110" i="1"/>
  <c r="AD111" i="1"/>
  <c r="AD112" i="1"/>
  <c r="AD113" i="1"/>
  <c r="AD115" i="1"/>
  <c r="AD117" i="1"/>
  <c r="AD118" i="1"/>
  <c r="AD119" i="1"/>
  <c r="AD120" i="1"/>
  <c r="AD121" i="1"/>
  <c r="AD123" i="1"/>
  <c r="AD124" i="1"/>
  <c r="AD126" i="1"/>
  <c r="AD127" i="1"/>
  <c r="AD128" i="1"/>
  <c r="AD129" i="1"/>
  <c r="AD130" i="1"/>
  <c r="AD131" i="1"/>
  <c r="AD132" i="1"/>
  <c r="AD133" i="1"/>
  <c r="AD135" i="1"/>
  <c r="AD136" i="1"/>
  <c r="AD137" i="1"/>
  <c r="AD138" i="1"/>
  <c r="AD139" i="1"/>
  <c r="AD140" i="1"/>
  <c r="AD141" i="1"/>
  <c r="AD142" i="1"/>
  <c r="AD143" i="1"/>
  <c r="AD145" i="1"/>
  <c r="AD146" i="1"/>
  <c r="AD147" i="1"/>
  <c r="AD148" i="1"/>
  <c r="AD149" i="1"/>
  <c r="AD150" i="1"/>
  <c r="AD152" i="1"/>
  <c r="AD153" i="1"/>
  <c r="AD154" i="1"/>
  <c r="AD155" i="1"/>
  <c r="AD156" i="1"/>
  <c r="AD157" i="1"/>
  <c r="AD158" i="1"/>
  <c r="AD159" i="1"/>
  <c r="AD4" i="1"/>
  <c r="AD5" i="1"/>
  <c r="AD6" i="1"/>
  <c r="AD7" i="1"/>
  <c r="AD8" i="1"/>
  <c r="AD9" i="1"/>
  <c r="AD10" i="1"/>
  <c r="AD11" i="1"/>
  <c r="AD12" i="1"/>
  <c r="AD13" i="1"/>
  <c r="AD14" i="1"/>
  <c r="AD15" i="1"/>
  <c r="AD16" i="1"/>
  <c r="AD2" i="1"/>
  <c r="R18" i="21"/>
  <c r="R19" i="21"/>
  <c r="R20" i="21"/>
  <c r="R17" i="21"/>
  <c r="S20" i="21"/>
  <c r="P21" i="21"/>
  <c r="N21" i="21"/>
  <c r="L21" i="21"/>
  <c r="F21" i="21"/>
  <c r="D21" i="21"/>
  <c r="B21" i="21"/>
  <c r="R21" i="21" s="1"/>
  <c r="C21" i="21"/>
  <c r="E21" i="21"/>
  <c r="G21" i="21"/>
  <c r="I21" i="21"/>
  <c r="K21" i="21"/>
  <c r="M21" i="21"/>
  <c r="O21" i="21"/>
  <c r="Q21" i="21"/>
  <c r="S18" i="21"/>
  <c r="S19" i="21"/>
  <c r="S17" i="21"/>
  <c r="Q11" i="21"/>
  <c r="O11" i="21"/>
  <c r="M11" i="21"/>
  <c r="K11" i="21"/>
  <c r="I11" i="21"/>
  <c r="E11" i="21"/>
  <c r="C11" i="21"/>
  <c r="B11" i="21"/>
  <c r="D11" i="21"/>
  <c r="G11" i="21"/>
  <c r="S7" i="21"/>
  <c r="S8" i="21"/>
  <c r="S9" i="21"/>
  <c r="S10" i="21"/>
  <c r="J11" i="21"/>
  <c r="S6" i="21"/>
  <c r="R10" i="21"/>
  <c r="R8" i="21"/>
  <c r="R9" i="21"/>
  <c r="R7" i="21"/>
  <c r="R6" i="21"/>
  <c r="F11" i="21"/>
  <c r="H11" i="21"/>
  <c r="L11" i="21"/>
  <c r="N11" i="21"/>
  <c r="P11" i="21"/>
  <c r="B123" i="12"/>
  <c r="C123" i="12"/>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2" i="1"/>
  <c r="AM2" i="1" a="1"/>
  <c r="AM2" i="1" s="1"/>
  <c r="AK2" i="1"/>
  <c r="AK3" i="1"/>
  <c r="AK4" i="1"/>
  <c r="AK5" i="1"/>
  <c r="AK6" i="1"/>
  <c r="AK7" i="1"/>
  <c r="AK8" i="1"/>
  <c r="AK9" i="1"/>
  <c r="AK10" i="1"/>
  <c r="AK11" i="1"/>
  <c r="AK12" i="1"/>
  <c r="AK13" i="1"/>
  <c r="AK14" i="1"/>
  <c r="AK15" i="1"/>
  <c r="AK16" i="1"/>
  <c r="AK17" i="1"/>
  <c r="AK18" i="1"/>
  <c r="AK19" i="1"/>
  <c r="AK20"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K65" i="1"/>
  <c r="AK66" i="1"/>
  <c r="AK67" i="1"/>
  <c r="AK68" i="1"/>
  <c r="AK69" i="1"/>
  <c r="AK70" i="1"/>
  <c r="AK71" i="1"/>
  <c r="AK72" i="1"/>
  <c r="AK73" i="1"/>
  <c r="AK74" i="1"/>
  <c r="AK75" i="1"/>
  <c r="AK76" i="1"/>
  <c r="AK77" i="1"/>
  <c r="AK78" i="1"/>
  <c r="AK79" i="1"/>
  <c r="AK80" i="1"/>
  <c r="AK81" i="1"/>
  <c r="AK82" i="1"/>
  <c r="AK83" i="1"/>
  <c r="AK84" i="1"/>
  <c r="AK85" i="1"/>
  <c r="AK86" i="1"/>
  <c r="AK87" i="1"/>
  <c r="AK88" i="1"/>
  <c r="AK89" i="1"/>
  <c r="AK91" i="1"/>
  <c r="AK92" i="1"/>
  <c r="AK93" i="1"/>
  <c r="AK94" i="1"/>
  <c r="AK95" i="1"/>
  <c r="AK96" i="1"/>
  <c r="AK97" i="1"/>
  <c r="AK98" i="1"/>
  <c r="AK99" i="1"/>
  <c r="AK100" i="1"/>
  <c r="AK101" i="1"/>
  <c r="AK102" i="1"/>
  <c r="AK104" i="1"/>
  <c r="AK105" i="1"/>
  <c r="AK106" i="1"/>
  <c r="AK107" i="1"/>
  <c r="AK108" i="1"/>
  <c r="AK109" i="1"/>
  <c r="AK110" i="1"/>
  <c r="AK111" i="1"/>
  <c r="AK112" i="1"/>
  <c r="AK113" i="1"/>
  <c r="AK114" i="1"/>
  <c r="AK115" i="1"/>
  <c r="AK116" i="1"/>
  <c r="AK117" i="1"/>
  <c r="AK118" i="1"/>
  <c r="AK119" i="1"/>
  <c r="AK120" i="1"/>
  <c r="AK121" i="1"/>
  <c r="AK122" i="1"/>
  <c r="AK123" i="1"/>
  <c r="AK124" i="1"/>
  <c r="AK125" i="1"/>
  <c r="AK126" i="1"/>
  <c r="AK127" i="1"/>
  <c r="AK128" i="1"/>
  <c r="AK129" i="1"/>
  <c r="AK130" i="1"/>
  <c r="AK131" i="1"/>
  <c r="AK132" i="1"/>
  <c r="AK133" i="1"/>
  <c r="AK134" i="1"/>
  <c r="AK136" i="1"/>
  <c r="AK137" i="1"/>
  <c r="AK138" i="1"/>
  <c r="AK139" i="1"/>
  <c r="AK140" i="1"/>
  <c r="AK141" i="1"/>
  <c r="AK142" i="1"/>
  <c r="AK143" i="1"/>
  <c r="AK144" i="1"/>
  <c r="AK145" i="1"/>
  <c r="AK146" i="1"/>
  <c r="AK147" i="1"/>
  <c r="AK148" i="1"/>
  <c r="AK149" i="1"/>
  <c r="AK150" i="1"/>
  <c r="AK151" i="1"/>
  <c r="AK152" i="1"/>
  <c r="AK153" i="1"/>
  <c r="AK154" i="1"/>
  <c r="AK155" i="1"/>
  <c r="AK156" i="1"/>
  <c r="AK157" i="1"/>
  <c r="AK158" i="1"/>
  <c r="AK159" i="1"/>
  <c r="C78" i="3"/>
  <c r="C79" i="3"/>
  <c r="H77" i="3"/>
  <c r="J77" i="3"/>
  <c r="G77" i="3"/>
  <c r="F4" i="3"/>
  <c r="H4" i="3"/>
  <c r="F5" i="3"/>
  <c r="H5" i="3"/>
  <c r="F6" i="3"/>
  <c r="H6" i="3"/>
  <c r="F7" i="3"/>
  <c r="H7" i="3"/>
  <c r="F8" i="3"/>
  <c r="H8" i="3"/>
  <c r="B4" i="3"/>
  <c r="C4" i="3"/>
  <c r="D4" i="3"/>
  <c r="B5" i="3"/>
  <c r="C5" i="3"/>
  <c r="D5" i="3"/>
  <c r="B6" i="3"/>
  <c r="C6" i="3"/>
  <c r="D6" i="3"/>
  <c r="B7" i="3"/>
  <c r="C7" i="3"/>
  <c r="D7" i="3"/>
  <c r="B8" i="3"/>
  <c r="C8" i="3"/>
  <c r="D8" i="3"/>
  <c r="D26" i="3"/>
  <c r="E26" i="3"/>
  <c r="F26" i="3"/>
  <c r="G26" i="3"/>
  <c r="H26" i="3"/>
  <c r="I26" i="3"/>
  <c r="J26" i="3"/>
  <c r="D36" i="3"/>
  <c r="E36" i="3"/>
  <c r="C38" i="3" s="1"/>
  <c r="E52" i="3" s="1"/>
  <c r="F36" i="3"/>
  <c r="G36" i="3"/>
  <c r="H36" i="3"/>
  <c r="I36" i="3"/>
  <c r="J36" i="3"/>
  <c r="D47" i="3"/>
  <c r="E47" i="3"/>
  <c r="F47" i="3"/>
  <c r="G47" i="3"/>
  <c r="H47" i="3"/>
  <c r="I47" i="3"/>
  <c r="J47" i="3"/>
  <c r="C48" i="3"/>
  <c r="C49" i="3"/>
  <c r="C52" i="3"/>
  <c r="D52" i="3"/>
  <c r="F52" i="3"/>
  <c r="C53" i="3"/>
  <c r="D53" i="3"/>
  <c r="E53" i="3"/>
  <c r="F53" i="3"/>
  <c r="C54" i="3"/>
  <c r="D54" i="3"/>
  <c r="F54" i="3"/>
  <c r="G10" i="2"/>
  <c r="E102" i="2"/>
  <c r="F102" i="2"/>
  <c r="G102" i="2"/>
  <c r="H102" i="2"/>
  <c r="I102" i="2"/>
  <c r="J102" i="2"/>
  <c r="K102" i="2"/>
  <c r="L102" i="2"/>
  <c r="M102" i="2"/>
  <c r="B103" i="2"/>
  <c r="B104" i="2"/>
  <c r="B105" i="2"/>
  <c r="B106" i="2"/>
  <c r="B107" i="2"/>
  <c r="AQ30" i="1" l="1"/>
  <c r="AR30" i="1" s="1"/>
  <c r="AQ32" i="1"/>
  <c r="AQ33" i="1"/>
  <c r="AR33" i="1" s="1"/>
  <c r="AQ35" i="1"/>
  <c r="AR35" i="1" s="1"/>
  <c r="AQ36" i="1"/>
  <c r="AR36" i="1" s="1"/>
  <c r="AQ37" i="1"/>
  <c r="AQ39" i="1"/>
  <c r="AR39" i="1" s="1"/>
  <c r="AQ40" i="1"/>
  <c r="AQ41" i="1"/>
  <c r="AR41" i="1" s="1"/>
  <c r="AQ42" i="1"/>
  <c r="AQ43" i="1"/>
  <c r="AR43" i="1" s="1"/>
  <c r="AQ45" i="1"/>
  <c r="AR45" i="1" s="1"/>
  <c r="AQ47" i="1"/>
  <c r="AR47" i="1" s="1"/>
  <c r="AQ48" i="1"/>
  <c r="AR48" i="1" s="1"/>
  <c r="AQ49" i="1"/>
  <c r="AQ50" i="1"/>
  <c r="AR50" i="1" s="1"/>
  <c r="AQ51" i="1"/>
  <c r="AR51" i="1" s="1"/>
  <c r="AQ52" i="1"/>
  <c r="AQ53" i="1"/>
  <c r="AR53" i="1" s="1"/>
  <c r="AQ54" i="1"/>
  <c r="AQ55" i="1"/>
  <c r="AR55" i="1" s="1"/>
  <c r="AQ56" i="1"/>
  <c r="AR56" i="1" s="1"/>
  <c r="AQ57" i="1"/>
  <c r="AQ58" i="1"/>
  <c r="AQ59" i="1"/>
  <c r="AQ60" i="1"/>
  <c r="AR60" i="1" s="1"/>
  <c r="AQ61" i="1"/>
  <c r="AR61" i="1" s="1"/>
  <c r="AQ62" i="1"/>
  <c r="AR62" i="1" s="1"/>
  <c r="AQ63" i="1"/>
  <c r="AQ64" i="1"/>
  <c r="AQ65" i="1"/>
  <c r="AQ66" i="1"/>
  <c r="AQ67" i="1"/>
  <c r="AR67" i="1" s="1"/>
  <c r="AQ68" i="1"/>
  <c r="AR68" i="1" s="1"/>
  <c r="AQ70" i="1"/>
  <c r="AR70" i="1" s="1"/>
  <c r="AQ71" i="1"/>
  <c r="AR71" i="1" s="1"/>
  <c r="AQ72" i="1"/>
  <c r="AR72" i="1" s="1"/>
  <c r="AQ73" i="1"/>
  <c r="AQ74" i="1"/>
  <c r="AQ75" i="1"/>
  <c r="AR75" i="1" s="1"/>
  <c r="AQ76" i="1"/>
  <c r="AQ77" i="1"/>
  <c r="AQ78" i="1"/>
  <c r="AQ80" i="1"/>
  <c r="AR80" i="1" s="1"/>
  <c r="AQ81" i="1"/>
  <c r="AR81" i="1" s="1"/>
  <c r="AQ82" i="1"/>
  <c r="AQ83" i="1"/>
  <c r="AQ84" i="1"/>
  <c r="AQ85" i="1"/>
  <c r="AR85" i="1" s="1"/>
  <c r="AQ86" i="1"/>
  <c r="AQ87" i="1"/>
  <c r="AR87" i="1" s="1"/>
  <c r="AQ88" i="1"/>
  <c r="AR88" i="1" s="1"/>
  <c r="AQ89" i="1"/>
  <c r="AR89" i="1" s="1"/>
  <c r="AQ90" i="1"/>
  <c r="AQ91" i="1"/>
  <c r="AQ92" i="1"/>
  <c r="AQ93" i="1"/>
  <c r="AQ94" i="1"/>
  <c r="AR94" i="1" s="1"/>
  <c r="AQ95" i="1"/>
  <c r="AR95" i="1" s="1"/>
  <c r="AQ96" i="1"/>
  <c r="AR96" i="1" s="1"/>
  <c r="AQ97" i="1"/>
  <c r="AR97" i="1" s="1"/>
  <c r="AQ98" i="1"/>
  <c r="AR98" i="1" s="1"/>
  <c r="AQ99" i="1"/>
  <c r="AR99" i="1" s="1"/>
  <c r="AQ100" i="1"/>
  <c r="AQ101" i="1"/>
  <c r="AQ102" i="1"/>
  <c r="AR102" i="1" s="1"/>
  <c r="AQ103" i="1"/>
  <c r="AR103" i="1" s="1"/>
  <c r="AQ104" i="1"/>
  <c r="AQ105" i="1"/>
  <c r="AQ106" i="1"/>
  <c r="AR106" i="1" s="1"/>
  <c r="AQ107" i="1"/>
  <c r="AR107" i="1" s="1"/>
  <c r="AQ108" i="1"/>
  <c r="AR108" i="1" s="1"/>
  <c r="AQ109" i="1"/>
  <c r="AR109" i="1" s="1"/>
  <c r="AQ112" i="1"/>
  <c r="AR112" i="1" s="1"/>
  <c r="AQ113" i="1"/>
  <c r="AR113" i="1" s="1"/>
  <c r="AQ114" i="1"/>
  <c r="AQ115" i="1"/>
  <c r="AR115" i="1" s="1"/>
  <c r="AQ118" i="1"/>
  <c r="AR118" i="1" s="1"/>
  <c r="AQ119" i="1"/>
  <c r="AQ120" i="1"/>
  <c r="AQ121" i="1"/>
  <c r="AQ123" i="1"/>
  <c r="AR123" i="1" s="1"/>
  <c r="AQ124" i="1"/>
  <c r="AR124" i="1" s="1"/>
  <c r="AQ125" i="1"/>
  <c r="AR125" i="1" s="1"/>
  <c r="AQ126" i="1"/>
  <c r="AR126" i="1" s="1"/>
  <c r="AQ127" i="1"/>
  <c r="AQ128" i="1"/>
  <c r="AQ130" i="1"/>
  <c r="AR130" i="1" s="1"/>
  <c r="AQ131" i="1"/>
  <c r="AR131" i="1" s="1"/>
  <c r="AQ132" i="1"/>
  <c r="AR132" i="1" s="1"/>
  <c r="AQ133" i="1"/>
  <c r="AR133" i="1" s="1"/>
  <c r="AQ134" i="1"/>
  <c r="AR134" i="1" s="1"/>
  <c r="AQ136" i="1"/>
  <c r="AR136" i="1" s="1"/>
  <c r="AQ137" i="1"/>
  <c r="AQ138" i="1"/>
  <c r="AQ139" i="1"/>
  <c r="AQ140" i="1"/>
  <c r="AQ141" i="1"/>
  <c r="AQ142" i="1"/>
  <c r="AR142" i="1" s="1"/>
  <c r="AQ143" i="1"/>
  <c r="AR143" i="1" s="1"/>
  <c r="AQ144" i="1"/>
  <c r="AR144" i="1" s="1"/>
  <c r="AQ145" i="1"/>
  <c r="AR145" i="1" s="1"/>
  <c r="AQ146" i="1"/>
  <c r="AQ147" i="1"/>
  <c r="AQ149" i="1"/>
  <c r="AR149" i="1" s="1"/>
  <c r="AQ150" i="1"/>
  <c r="AR150" i="1" s="1"/>
  <c r="AQ152" i="1"/>
  <c r="AR152" i="1" s="1"/>
  <c r="AQ154" i="1"/>
  <c r="AR154" i="1" s="1"/>
  <c r="AQ155" i="1"/>
  <c r="AQ156" i="1"/>
  <c r="AR156" i="1" s="1"/>
  <c r="AQ157" i="1"/>
  <c r="AR157" i="1" s="1"/>
  <c r="AQ158" i="1"/>
  <c r="AR158" i="1" s="1"/>
  <c r="AQ2" i="1"/>
  <c r="AR2" i="1" s="1"/>
  <c r="AQ3" i="1"/>
  <c r="AR3" i="1" s="1"/>
  <c r="AQ5" i="1"/>
  <c r="AR5" i="1" s="1"/>
  <c r="AQ6" i="1"/>
  <c r="AQ9" i="1"/>
  <c r="AR9" i="1" s="1"/>
  <c r="AQ11" i="1"/>
  <c r="AQ12" i="1"/>
  <c r="AR12" i="1" s="1"/>
  <c r="AQ13" i="1"/>
  <c r="AR13" i="1" s="1"/>
  <c r="AQ14" i="1"/>
  <c r="AR14" i="1" s="1"/>
  <c r="AQ15" i="1"/>
  <c r="AQ16" i="1"/>
  <c r="AQ17" i="1"/>
  <c r="AR17" i="1" s="1"/>
  <c r="AQ19" i="1"/>
  <c r="AR19" i="1" s="1"/>
  <c r="AQ20" i="1"/>
  <c r="AQ21" i="1"/>
  <c r="AR21" i="1" s="1"/>
  <c r="AQ22" i="1"/>
  <c r="AR22" i="1" s="1"/>
  <c r="AQ23" i="1"/>
  <c r="AR23" i="1" s="1"/>
  <c r="AQ24" i="1"/>
  <c r="AQ25" i="1"/>
  <c r="AQ26" i="1"/>
  <c r="AR26" i="1" s="1"/>
  <c r="AQ27" i="1"/>
  <c r="AR27" i="1" s="1"/>
  <c r="AQ28" i="1"/>
  <c r="AR28" i="1" s="1"/>
  <c r="AM74" i="1" a="1"/>
  <c r="AM74" i="1" s="1"/>
  <c r="AM78" i="1" a="1"/>
  <c r="AM78" i="1" s="1"/>
  <c r="AM140" i="1" a="1"/>
  <c r="AM140" i="1" s="1"/>
  <c r="AM144" i="1" a="1"/>
  <c r="AM144" i="1" s="1"/>
  <c r="AM149" i="1" a="1"/>
  <c r="AM149" i="1" s="1"/>
  <c r="AM73" i="1" a="1"/>
  <c r="AM73" i="1" s="1"/>
  <c r="AM77" i="1" a="1"/>
  <c r="AM77" i="1" s="1"/>
  <c r="AM136" i="1" a="1"/>
  <c r="AM136" i="1" s="1"/>
  <c r="AM145" i="1" a="1"/>
  <c r="AM145" i="1" s="1"/>
  <c r="AM71" i="1" a="1"/>
  <c r="AM71" i="1" s="1"/>
  <c r="AM76" i="1" a="1"/>
  <c r="AM76" i="1" s="1"/>
  <c r="AM113" i="1" a="1"/>
  <c r="AM113" i="1" s="1"/>
  <c r="AM142" i="1" a="1"/>
  <c r="AM142" i="1" s="1"/>
  <c r="AM147" i="1" a="1"/>
  <c r="AM147" i="1" s="1"/>
  <c r="AM70" i="1" a="1"/>
  <c r="AM70" i="1" s="1"/>
  <c r="AM72" i="1" a="1"/>
  <c r="AM72" i="1" s="1"/>
  <c r="AM75" i="1" a="1"/>
  <c r="AM75" i="1" s="1"/>
  <c r="AM112" i="1" a="1"/>
  <c r="AM112" i="1" s="1"/>
  <c r="AM141" i="1" a="1"/>
  <c r="AM141" i="1" s="1"/>
  <c r="AM146" i="1" a="1"/>
  <c r="AM146" i="1" s="1"/>
  <c r="AM79" i="1" a="1"/>
  <c r="AM79" i="1" s="1"/>
  <c r="AM104" i="1" a="1"/>
  <c r="AM104" i="1" s="1"/>
  <c r="AM105" i="1" a="1"/>
  <c r="AM105" i="1" s="1"/>
  <c r="AM106" i="1" a="1"/>
  <c r="AM106" i="1" s="1"/>
  <c r="AM107" i="1" a="1"/>
  <c r="AM107" i="1" s="1"/>
  <c r="AM108" i="1" a="1"/>
  <c r="AM108" i="1" s="1"/>
  <c r="AM109" i="1" a="1"/>
  <c r="AM109" i="1" s="1"/>
  <c r="AM110" i="1" a="1"/>
  <c r="AM110" i="1" s="1"/>
  <c r="AM111" i="1" a="1"/>
  <c r="AM111" i="1" s="1"/>
  <c r="AM135" i="1" a="1"/>
  <c r="AM135" i="1" s="1"/>
  <c r="AM143" i="1" a="1"/>
  <c r="AM143" i="1" s="1"/>
  <c r="AM148" i="1" a="1"/>
  <c r="AM148" i="1" s="1"/>
  <c r="AM150" i="1" a="1"/>
  <c r="AM150" i="1" s="1"/>
  <c r="AM151" i="1" a="1"/>
  <c r="AM151" i="1" s="1"/>
  <c r="AM152" i="1" a="1"/>
  <c r="AM152" i="1" s="1"/>
  <c r="AM153" i="1" a="1"/>
  <c r="AM153" i="1" s="1"/>
  <c r="AM154" i="1" a="1"/>
  <c r="AM154" i="1" s="1"/>
  <c r="AM155" i="1" a="1"/>
  <c r="AM155" i="1" s="1"/>
  <c r="AM156" i="1" a="1"/>
  <c r="AM156" i="1" s="1"/>
  <c r="AM157" i="1" a="1"/>
  <c r="AM157" i="1" s="1"/>
  <c r="AM158" i="1" a="1"/>
  <c r="AM158" i="1" s="1"/>
  <c r="AM159" i="1" a="1"/>
  <c r="AM159" i="1" s="1"/>
  <c r="AM33" i="1" a="1"/>
  <c r="AM33" i="1" s="1"/>
  <c r="AM41" i="1" a="1"/>
  <c r="AM41" i="1" s="1"/>
  <c r="AM44" i="1" a="1"/>
  <c r="AM44" i="1" s="1"/>
  <c r="AM63" i="1" a="1"/>
  <c r="AM63" i="1" s="1"/>
  <c r="AM68" i="1" a="1"/>
  <c r="AM68" i="1" s="1"/>
  <c r="AM32" i="1" a="1"/>
  <c r="AM32" i="1" s="1"/>
  <c r="AM36" i="1" a="1"/>
  <c r="AM36" i="1" s="1"/>
  <c r="AM42" i="1" a="1"/>
  <c r="AM42" i="1" s="1"/>
  <c r="AM51" i="1" a="1"/>
  <c r="AM51" i="1" s="1"/>
  <c r="AM65" i="1" a="1"/>
  <c r="AM65" i="1" s="1"/>
  <c r="AM35" i="1" a="1"/>
  <c r="AM35" i="1" s="1"/>
  <c r="AM38" i="1" a="1"/>
  <c r="AM38" i="1" s="1"/>
  <c r="AM43" i="1" a="1"/>
  <c r="AM43" i="1" s="1"/>
  <c r="AM52" i="1" a="1"/>
  <c r="AM52" i="1" s="1"/>
  <c r="AM66" i="1" a="1"/>
  <c r="AM66" i="1" s="1"/>
  <c r="AM34" i="1" a="1"/>
  <c r="AM34" i="1" s="1"/>
  <c r="AM40" i="1" a="1"/>
  <c r="AM40" i="1" s="1"/>
  <c r="AM45" i="1" a="1"/>
  <c r="AM45" i="1" s="1"/>
  <c r="AM64" i="1" a="1"/>
  <c r="AM64" i="1" s="1"/>
  <c r="AM69" i="1" a="1"/>
  <c r="AM69" i="1" s="1"/>
  <c r="AM39" i="1" a="1"/>
  <c r="AM39" i="1" s="1"/>
  <c r="AM67" i="1" a="1"/>
  <c r="AM67" i="1" s="1"/>
  <c r="AM138" i="1" a="1"/>
  <c r="AM138" i="1" s="1"/>
  <c r="AM139" i="1" a="1"/>
  <c r="AM139" i="1" s="1"/>
  <c r="AM29" i="1" a="1"/>
  <c r="AM29" i="1" s="1"/>
  <c r="AM30" i="1" a="1"/>
  <c r="AM30" i="1" s="1"/>
  <c r="AM28" i="1" a="1"/>
  <c r="AM28" i="1" s="1"/>
  <c r="AM31" i="1" a="1"/>
  <c r="AM31" i="1" s="1"/>
  <c r="AM37" i="1" a="1"/>
  <c r="AM37" i="1" s="1"/>
  <c r="AM80" i="1" a="1"/>
  <c r="AM80" i="1" s="1"/>
  <c r="AM81" i="1" a="1"/>
  <c r="AM81" i="1" s="1"/>
  <c r="AM82" i="1" a="1"/>
  <c r="AM82" i="1" s="1"/>
  <c r="AM83" i="1" a="1"/>
  <c r="AM83" i="1" s="1"/>
  <c r="AM84" i="1" a="1"/>
  <c r="AM84" i="1" s="1"/>
  <c r="AM85" i="1" a="1"/>
  <c r="AM85" i="1" s="1"/>
  <c r="AM86" i="1" a="1"/>
  <c r="AM86" i="1" s="1"/>
  <c r="AM92" i="1" a="1"/>
  <c r="AM92" i="1" s="1"/>
  <c r="AM93" i="1" a="1"/>
  <c r="AM93" i="1" s="1"/>
  <c r="AM94" i="1" a="1"/>
  <c r="AM94" i="1" s="1"/>
  <c r="AM95" i="1" a="1"/>
  <c r="AM95" i="1" s="1"/>
  <c r="AM96" i="1" a="1"/>
  <c r="AM96" i="1" s="1"/>
  <c r="AM98" i="1" a="1"/>
  <c r="AM98" i="1" s="1"/>
  <c r="AM99" i="1" a="1"/>
  <c r="AM99" i="1" s="1"/>
  <c r="AM100" i="1" a="1"/>
  <c r="AM100" i="1" s="1"/>
  <c r="AM101" i="1" a="1"/>
  <c r="AM101" i="1" s="1"/>
  <c r="AM102" i="1" a="1"/>
  <c r="AM102" i="1" s="1"/>
  <c r="AM103" i="1" a="1"/>
  <c r="AM103" i="1" s="1"/>
  <c r="AM114" i="1" a="1"/>
  <c r="AM114" i="1" s="1"/>
  <c r="AM115" i="1" a="1"/>
  <c r="AM115" i="1" s="1"/>
  <c r="AM116" i="1" a="1"/>
  <c r="AM116" i="1" s="1"/>
  <c r="AM117" i="1" a="1"/>
  <c r="AM117" i="1" s="1"/>
  <c r="AM118" i="1" a="1"/>
  <c r="AM118" i="1" s="1"/>
  <c r="AM119" i="1" a="1"/>
  <c r="AM119" i="1" s="1"/>
  <c r="AM120" i="1" a="1"/>
  <c r="AM120" i="1" s="1"/>
  <c r="AM121" i="1" a="1"/>
  <c r="AM121" i="1" s="1"/>
  <c r="AM122" i="1" a="1"/>
  <c r="AM122" i="1" s="1"/>
  <c r="AM123" i="1" a="1"/>
  <c r="AM123" i="1" s="1"/>
  <c r="AM124" i="1" a="1"/>
  <c r="AM124" i="1" s="1"/>
  <c r="AM125" i="1" a="1"/>
  <c r="AM125" i="1" s="1"/>
  <c r="AM126" i="1" a="1"/>
  <c r="AM126" i="1" s="1"/>
  <c r="AM127" i="1" a="1"/>
  <c r="AM127" i="1" s="1"/>
  <c r="AM129" i="1" a="1"/>
  <c r="AM129" i="1" s="1"/>
  <c r="AM130" i="1" a="1"/>
  <c r="AM130" i="1" s="1"/>
  <c r="AM131" i="1" a="1"/>
  <c r="AM131" i="1" s="1"/>
  <c r="AM132" i="1" a="1"/>
  <c r="AM132" i="1" s="1"/>
  <c r="AM133" i="1" a="1"/>
  <c r="AM133" i="1" s="1"/>
  <c r="AM134" i="1" a="1"/>
  <c r="AM134" i="1" s="1"/>
  <c r="S21" i="21"/>
  <c r="S11" i="21"/>
  <c r="R11" i="21"/>
  <c r="AM14" i="1" a="1"/>
  <c r="AM14" i="1" s="1"/>
  <c r="AM17" i="1" a="1"/>
  <c r="AM17" i="1" s="1"/>
  <c r="AM20" i="1" a="1"/>
  <c r="AM20" i="1" s="1"/>
  <c r="AM23" i="1" a="1"/>
  <c r="AM23" i="1" s="1"/>
  <c r="AM26" i="1" a="1"/>
  <c r="AM26" i="1" s="1"/>
  <c r="AM13" i="1" a="1"/>
  <c r="AM13" i="1" s="1"/>
  <c r="AM18" i="1" a="1"/>
  <c r="AM18" i="1" s="1"/>
  <c r="AM21" i="1" a="1"/>
  <c r="AM21" i="1" s="1"/>
  <c r="AM24" i="1" a="1"/>
  <c r="AM24" i="1" s="1"/>
  <c r="AM27" i="1" a="1"/>
  <c r="AM27" i="1" s="1"/>
  <c r="AM9" i="1" a="1"/>
  <c r="AM9" i="1" s="1"/>
  <c r="AM10" i="1" a="1"/>
  <c r="AM10" i="1" s="1"/>
  <c r="AM11" i="1" a="1"/>
  <c r="AM11" i="1" s="1"/>
  <c r="AM12" i="1" a="1"/>
  <c r="AM12" i="1" s="1"/>
  <c r="AM15" i="1" a="1"/>
  <c r="AM15" i="1" s="1"/>
  <c r="AM16" i="1" a="1"/>
  <c r="AM16" i="1" s="1"/>
  <c r="AM19" i="1" a="1"/>
  <c r="AM19" i="1" s="1"/>
  <c r="AM22" i="1" a="1"/>
  <c r="AM22" i="1" s="1"/>
  <c r="AM25" i="1" a="1"/>
  <c r="AM25" i="1" s="1"/>
  <c r="AM53" i="1" a="1"/>
  <c r="AM53" i="1" s="1"/>
  <c r="AM54" i="1" a="1"/>
  <c r="AM54" i="1" s="1"/>
  <c r="AM55" i="1" a="1"/>
  <c r="AM55" i="1" s="1"/>
  <c r="AM56" i="1" a="1"/>
  <c r="AM56" i="1" s="1"/>
  <c r="AM57" i="1" a="1"/>
  <c r="AM57" i="1" s="1"/>
  <c r="AM58" i="1" a="1"/>
  <c r="AM58" i="1" s="1"/>
  <c r="AM59" i="1" a="1"/>
  <c r="AM59" i="1" s="1"/>
  <c r="AM60" i="1" a="1"/>
  <c r="AM60" i="1" s="1"/>
  <c r="AM61" i="1" a="1"/>
  <c r="AM61" i="1" s="1"/>
  <c r="AM62" i="1" a="1"/>
  <c r="AM62" i="1" s="1"/>
  <c r="AM97" i="1" a="1"/>
  <c r="AM97" i="1" s="1"/>
  <c r="AM137" i="1" a="1"/>
  <c r="AM137" i="1" s="1"/>
  <c r="AM89" i="1" a="1"/>
  <c r="AM89" i="1" s="1"/>
  <c r="AM128" i="1" a="1"/>
  <c r="AM128" i="1" s="1"/>
  <c r="AM91" i="1" a="1"/>
  <c r="AM91" i="1" s="1"/>
  <c r="AM90" i="1" a="1"/>
  <c r="AM90" i="1" s="1"/>
  <c r="AM88" i="1" a="1"/>
  <c r="AM88" i="1" s="1"/>
  <c r="AM87" i="1" a="1"/>
  <c r="AM87" i="1" s="1"/>
  <c r="AM50" i="1" a="1"/>
  <c r="AM50" i="1" s="1"/>
  <c r="AM49" i="1" a="1"/>
  <c r="AM49" i="1" s="1"/>
  <c r="AM48" i="1" a="1"/>
  <c r="AM48" i="1" s="1"/>
  <c r="AM47" i="1" a="1"/>
  <c r="AM47" i="1" s="1"/>
  <c r="AM46" i="1" a="1"/>
  <c r="AM46" i="1" s="1"/>
  <c r="AM8" i="1" a="1"/>
  <c r="AM8" i="1" s="1"/>
  <c r="AM7" i="1" a="1"/>
  <c r="AM7" i="1" s="1"/>
  <c r="AM6" i="1" a="1"/>
  <c r="AM6" i="1" s="1"/>
  <c r="AM5" i="1" a="1"/>
  <c r="AM5" i="1" s="1"/>
  <c r="AM3" i="1" a="1"/>
  <c r="AM3" i="1" s="1"/>
  <c r="AM4" i="1" a="1"/>
  <c r="AM4" i="1" s="1"/>
  <c r="G4" i="3"/>
  <c r="C37" i="3"/>
  <c r="C28" i="3"/>
  <c r="E54" i="3" s="1"/>
  <c r="C27" i="3"/>
  <c r="B167" i="1"/>
  <c r="G8" i="3" s="1"/>
  <c r="B165" i="1"/>
  <c r="G6" i="3" s="1"/>
  <c r="B164" i="1"/>
  <c r="G5" i="3" s="1"/>
  <c r="B166" i="1"/>
  <c r="G7"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4412587-AE5A-1746-85AC-9F4027D61F47}" keepAlive="1" name="Query - Heike Chapter 2" description="Connection to the 'Heike Chapter 2' query in the workbook." type="5" refreshedVersion="0" background="1">
    <dbPr connection="Provider=Microsoft.Mashup.OleDb.1;Data Source=$Workbook$;Location=&quot;Heike Chapter 2&quot;;Extended Properties=&quot;&quot;" command="SELECT * FROM [Heike Chapter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<sst xmlns="http://schemas.openxmlformats.org/spreadsheetml/2006/main" count="5824" uniqueCount="1174">
  <si>
    <t>Clause_ID</t>
  </si>
  <si>
    <t>Clause</t>
  </si>
  <si>
    <t>Translation</t>
  </si>
  <si>
    <t>Predicate</t>
  </si>
  <si>
    <t>Pred_Type</t>
  </si>
  <si>
    <t>Predicate_Transitivity</t>
  </si>
  <si>
    <t>Verb_Semantic_Class</t>
  </si>
  <si>
    <t>Voice_Type</t>
  </si>
  <si>
    <t>Clause_Polarity</t>
  </si>
  <si>
    <t>~Ø-Verbal</t>
  </si>
  <si>
    <t>ACT-ARG</t>
  </si>
  <si>
    <t>Arg Type</t>
  </si>
  <si>
    <t>NON-ARG</t>
  </si>
  <si>
    <t>Subject_Class</t>
  </si>
  <si>
    <t>Object_Class</t>
  </si>
  <si>
    <t>Indirect_Object_Class</t>
  </si>
  <si>
    <t>GAP-ACT-ARG</t>
  </si>
  <si>
    <t>GAP-NON-ARG</t>
  </si>
  <si>
    <t>NMLZ head</t>
  </si>
  <si>
    <t>Clause_Type</t>
  </si>
  <si>
    <t>EXALT INSIG</t>
  </si>
  <si>
    <t>V-ARG-Ø-ARG</t>
  </si>
  <si>
    <t>NOM EXH MORPH</t>
  </si>
  <si>
    <t>Connective_Type</t>
  </si>
  <si>
    <t>Switch_Ref</t>
  </si>
  <si>
    <t>Topic_Status</t>
  </si>
  <si>
    <t>Information_Status</t>
  </si>
  <si>
    <t>Сomment</t>
  </si>
  <si>
    <t>Heike 2.1</t>
  </si>
  <si>
    <t>Heike 2.2</t>
  </si>
  <si>
    <t>Heike 2.3</t>
  </si>
  <si>
    <t>Heike 2.4</t>
  </si>
  <si>
    <t>Heike 2.5</t>
  </si>
  <si>
    <t>Heike 2.6</t>
  </si>
  <si>
    <t>Heike 2.7</t>
  </si>
  <si>
    <t>Heike 2.8</t>
  </si>
  <si>
    <t>Heike 2.9</t>
  </si>
  <si>
    <t>Heike 2.10</t>
  </si>
  <si>
    <t>Heike 2.11</t>
  </si>
  <si>
    <t>Heike 2.12</t>
  </si>
  <si>
    <t>Heike 2.13</t>
  </si>
  <si>
    <t>Heike 2.14</t>
  </si>
  <si>
    <t>Heike 2.15</t>
  </si>
  <si>
    <t>Heike 2.16</t>
  </si>
  <si>
    <t>Heike 2.17</t>
  </si>
  <si>
    <t>Heike 2.18</t>
  </si>
  <si>
    <t>Heike 2.19</t>
  </si>
  <si>
    <t>Heike 2.20</t>
  </si>
  <si>
    <t>Heike 2.21</t>
  </si>
  <si>
    <t>Heike 2.22</t>
  </si>
  <si>
    <t>Heike 2.23</t>
  </si>
  <si>
    <t>Heike 2.24</t>
  </si>
  <si>
    <t>Heike 2.25</t>
  </si>
  <si>
    <t>Heike 2.26</t>
  </si>
  <si>
    <t>Heike 2.27</t>
  </si>
  <si>
    <t>Heike 2.28</t>
  </si>
  <si>
    <t>Heike 2.29</t>
  </si>
  <si>
    <t>Heike 2.30</t>
  </si>
  <si>
    <t>Heike 2.31</t>
  </si>
  <si>
    <t>Heike 2.32</t>
  </si>
  <si>
    <t>Heike 2.33</t>
  </si>
  <si>
    <t>Heike 2.34</t>
  </si>
  <si>
    <t>Heike 2.35</t>
  </si>
  <si>
    <t>Heike 2.36</t>
  </si>
  <si>
    <t>Heike 2.37</t>
  </si>
  <si>
    <t>Heike 2.38</t>
  </si>
  <si>
    <t>Heike 2.39</t>
  </si>
  <si>
    <t>Heike 2.40</t>
  </si>
  <si>
    <t>Heike 2.41</t>
  </si>
  <si>
    <t>Heike 2.42</t>
  </si>
  <si>
    <t>Heike 2.43</t>
  </si>
  <si>
    <t>Heike 2.44</t>
  </si>
  <si>
    <t>Heike 2.45</t>
  </si>
  <si>
    <t>Heike 2.46</t>
  </si>
  <si>
    <t>Heike 2.47</t>
  </si>
  <si>
    <t>Heike 2.48</t>
  </si>
  <si>
    <t>Heike 2.49</t>
  </si>
  <si>
    <t>Heike 2.50</t>
  </si>
  <si>
    <t>Heike 2.51</t>
  </si>
  <si>
    <t>Heike 2.52</t>
  </si>
  <si>
    <t>Heike 2.53</t>
  </si>
  <si>
    <t>Heike 2.54</t>
  </si>
  <si>
    <t>Heike 2.55</t>
  </si>
  <si>
    <t>Heike 2.56</t>
  </si>
  <si>
    <t>Heike 2.57</t>
  </si>
  <si>
    <t>Heike 2.58</t>
  </si>
  <si>
    <t>Heike 2.59</t>
  </si>
  <si>
    <t>Heike 2.60</t>
  </si>
  <si>
    <t>Heike 2.61</t>
  </si>
  <si>
    <t>Heike 2.62</t>
  </si>
  <si>
    <t>Heike 2.63</t>
  </si>
  <si>
    <t>Heike 2.64</t>
  </si>
  <si>
    <t>Heike 2.65</t>
  </si>
  <si>
    <t>Heike 2.66</t>
  </si>
  <si>
    <t>Heike 2.67</t>
  </si>
  <si>
    <t>Heike 2.68</t>
  </si>
  <si>
    <t>Heike 2.69</t>
  </si>
  <si>
    <t>Heike 2.70</t>
  </si>
  <si>
    <t>Heike 2.71</t>
  </si>
  <si>
    <t>Heike 2.72</t>
  </si>
  <si>
    <t>Heike 2.73</t>
  </si>
  <si>
    <t>Heike 2.74</t>
  </si>
  <si>
    <t>Heike 2.75</t>
  </si>
  <si>
    <t>Heike 2.76</t>
  </si>
  <si>
    <t>Heike 2.77</t>
  </si>
  <si>
    <t>Heike 2.78</t>
  </si>
  <si>
    <t>Heike 2.79</t>
  </si>
  <si>
    <t>Heike 2.80</t>
  </si>
  <si>
    <t>Heike 2.81</t>
  </si>
  <si>
    <t>Heike 2.82</t>
  </si>
  <si>
    <t>Heike 2.83</t>
  </si>
  <si>
    <t>Heike 2.84</t>
  </si>
  <si>
    <t>Heike 2.85</t>
  </si>
  <si>
    <t>Heike 2.86</t>
  </si>
  <si>
    <t>Heike 2.87</t>
  </si>
  <si>
    <t>Heike 2.88</t>
  </si>
  <si>
    <t>Heike 2.89</t>
  </si>
  <si>
    <t>Heike 2.90</t>
  </si>
  <si>
    <t>Heike 2.91</t>
  </si>
  <si>
    <t>Heike 2.92</t>
  </si>
  <si>
    <t>Heike 2.93</t>
  </si>
  <si>
    <t>Heike 2.94</t>
  </si>
  <si>
    <t>Heike 2.95</t>
  </si>
  <si>
    <t>Heike 2.96</t>
  </si>
  <si>
    <t>Heike 2.97</t>
  </si>
  <si>
    <t>Heike 2.98</t>
  </si>
  <si>
    <t>Heike 2.99</t>
  </si>
  <si>
    <t>Heike 2.100</t>
  </si>
  <si>
    <t>Heike 2.101</t>
  </si>
  <si>
    <t>Heike 2.102</t>
  </si>
  <si>
    <t>Heike 2.103</t>
  </si>
  <si>
    <t>Heike 2.104</t>
  </si>
  <si>
    <t>Heike 2.105</t>
  </si>
  <si>
    <t>Heike 2.106</t>
  </si>
  <si>
    <t>Heike 2.107</t>
  </si>
  <si>
    <t>Heike 2.108</t>
  </si>
  <si>
    <t>Heike 2.109</t>
  </si>
  <si>
    <t>Heike 2.110</t>
  </si>
  <si>
    <t>Heike 2.111</t>
  </si>
  <si>
    <t>Heike 2.112</t>
  </si>
  <si>
    <t>Heike 2.113</t>
  </si>
  <si>
    <t>Heike 2.114</t>
  </si>
  <si>
    <t>Heike 2.115</t>
  </si>
  <si>
    <t>Heike 2.116</t>
  </si>
  <si>
    <t>Heike 2.117</t>
  </si>
  <si>
    <t>Heike 2.118</t>
  </si>
  <si>
    <t>Heike 2.119</t>
  </si>
  <si>
    <t>Heike 2.120</t>
  </si>
  <si>
    <t>Heike 2.121</t>
  </si>
  <si>
    <t>Heike 2.122</t>
  </si>
  <si>
    <t>Heike 2.123</t>
  </si>
  <si>
    <t>Heike 2.124</t>
  </si>
  <si>
    <t>Heike 2.125</t>
  </si>
  <si>
    <t>Heike 2.126</t>
  </si>
  <si>
    <t>Heike 2.127</t>
  </si>
  <si>
    <t>Heike 2.128</t>
  </si>
  <si>
    <t>Heike 2.129</t>
  </si>
  <si>
    <t>忠盛朝臣未だ備前守たりし時 (Tadamori ason imada Bizen no kami tarishi toki)</t>
  </si>
  <si>
    <t>鳥羽院の御願得長寿院を造進して (Toba-in no ogan Tokuchōju-in o zōshin shite)</t>
  </si>
  <si>
    <t>三十三間の御堂を建て (sanjūsangen no midō o tatete)</t>
  </si>
  <si>
    <t>一千一体の御仏を据ゑ奉らる (issen ittai no mihotoke o sue-tatematsuraru)</t>
  </si>
  <si>
    <t>供養は天承元年三月十三日なり (kuyō wa Tenshō gannen sangatsu jūsan-nichi nari)</t>
  </si>
  <si>
    <t>勧賞には欠国を賜ふべき由 (kanshō ni wa kakukuni o tamau beki yoshi)</t>
  </si>
  <si>
    <t>仰せ下されける (ōse-kudasa rekeru)</t>
  </si>
  <si>
    <t>折節但馬国の空きたりけるをぞ (orifushi Tamba no kuni no aki tarikeru o zo)</t>
  </si>
  <si>
    <t>賜はりける (tamawari keru)</t>
  </si>
  <si>
    <t>上皇御感のあまりに内の昇殿を許さる (jōkō go-kan no amari ni uchi no shōden o yurusaru)</t>
  </si>
  <si>
    <t>忠盛三十六にて初めて昇殿す (Tadamori sanjūroku nite hajimete shōden su)</t>
  </si>
  <si>
    <t>雲の上人これを嫉み憤り (kumo no uebito kore o sonemi ikidori)</t>
  </si>
  <si>
    <t xml:space="preserve">同じき年の十一月二十三日五節豊の明の節会の夜 (onajiki toshi no jūichigatsu nijūsannichi gosechi Toyo-no-akari no setchie no yo) 忠盛を闇討にせん (Tadamori o yamiuchi ni sen </t>
  </si>
  <si>
    <t>とぞ議せられける (to zo giserarikeru)</t>
  </si>
  <si>
    <t>忠盛この由を伝へ聞きて (Tadamori kono yoshi o tsutae kikite)</t>
  </si>
  <si>
    <t>我右弼の身にあらず (ware ubitsu no mi ni a-razu)</t>
  </si>
  <si>
    <t>武勇の家に生れて (buyū no ie ni umarete)</t>
  </si>
  <si>
    <t>今不慮の恥に遇はん (ima furyo no haji ni awan)</t>
  </si>
  <si>
    <t>事家の為身の為心憂かるべし (koto ie no tame mi no tame kokoroukarubeshi)</t>
  </si>
  <si>
    <t>詮ずるところ (senzuru tokoro)</t>
  </si>
  <si>
    <t>身を全うして (mi o mattō shite)</t>
  </si>
  <si>
    <t>君に仕へ奉れ</t>
  </si>
  <si>
    <t>といふ本文あり (to iu honbun ari)</t>
  </si>
  <si>
    <t>参内の初めより大なる鞘巻を用意し (sannai no hajime yori ō-naru sayamaki o yōi shi)</t>
  </si>
  <si>
    <t>束帯の下にしどけなげに差し (sokutai no shita ni shidokenage ni sashi)</t>
  </si>
  <si>
    <t>火の仄暗き方に向かつて (hi no hokuraki kata ni mukatte)</t>
  </si>
  <si>
    <t>鬢に引き当てられたりけるが (kami ni hiki-ate raretarikeru ga)</t>
  </si>
  <si>
    <t>余所よりは氷などのやうにぞ見えたりける (yoso yori wa kōri nado no yō ni zo mieta rikeru)</t>
  </si>
  <si>
    <t>諸人目を澄ましけり (morobito me o sumashikeri)</t>
  </si>
  <si>
    <t xml:space="preserve">また忠盛の郎等元は一門たりし( mata Tadamori no rōtō moto wa ichimon tarishi) </t>
  </si>
  <si>
    <t>木工助平貞光が孫新四郎太夫家房が子に左兵衛尉家貞といふ者あり (Moku no suke Sadamitsu ga mago Shinshirō Tayū Iefusa ga ko ni Sahyōe no jō Iesada to iu mono ari)</t>
  </si>
  <si>
    <t>薄青の狩衣の下に萌黄威の腹巻を着 (usuao no kariginu no shita ni moegi-odoshi no haramaki o ki)</t>
  </si>
  <si>
    <t xml:space="preserve">柄弦袋付けたる ezurubukuro tsuketaru </t>
  </si>
  <si>
    <t>太刀脇挟んで (tachi wakihasande)</t>
  </si>
  <si>
    <t>貫首以下怪しみをなして (kanshu ika ayashimi o nashite)</t>
  </si>
  <si>
    <t>は何者ぞ  wa nani mono zo</t>
  </si>
  <si>
    <t>狼藉なり (rōzaku nari)</t>
  </si>
  <si>
    <t>家貞畏つて申しけるは (Iesada kashikomatte mōshikeru wa)</t>
  </si>
  <si>
    <t xml:space="preserve">相伝の主備前守殿今夜闇討にせられ給ふべき (sōden no aruji Bizen no kami-dono kon'ya yamiuchi ni serare-tamō beki) </t>
  </si>
  <si>
    <t xml:space="preserve">由伝へ承つて(yoshi tsutae uketamawatte) </t>
  </si>
  <si>
    <t>それならん  (sore naran )</t>
  </si>
  <si>
    <t>やうを見んとて (yō o min to te)</t>
  </si>
  <si>
    <t>かくて候ふなり (kakute soro fu nari)</t>
  </si>
  <si>
    <t>えこそ出でまじう候へ (e koso idema jiu soro e)</t>
  </si>
  <si>
    <t>その夜の闇討なかりけり (sono yo no yamiuchi nakarikeri)</t>
  </si>
  <si>
    <t>忠盛また御前の召しに舞はれけるに (Tadamori mata gozen no meshi ni mawarekeru ni)</t>
  </si>
  <si>
    <t>人々拍子を変へて (hitobito hyōshi o kaete)</t>
  </si>
  <si>
    <t>かけまくも忝くこの人々は柏原天皇の御末とは申しながら (kakemakumo katabokaku kono hitobito wa Kashiwabara Tennō no o-sue to wa mōshinagara)</t>
  </si>
  <si>
    <t>中比は都の住まひも疎々しく (chūbi wa miyako no sumai mo utoutoshiku)</t>
  </si>
  <si>
    <t>地下にのみ振舞ひなつて ( jige ni nomi furumai natte)</t>
  </si>
  <si>
    <t>伊勢国に住国深かりしかば  (Ise no kuni ni sumikoku fukakarishikaba)</t>
  </si>
  <si>
    <t>その国の器に言寄せて</t>
  </si>
  <si>
    <t>伊勢平氏とぞ囃されける (Ise Heishi to zo hayasarekeru)</t>
  </si>
  <si>
    <t>忠盛何とすべきやうもなくして (Tadamori nan to subeki yō mo nakushite)</t>
  </si>
  <si>
    <t>かたへの殿上人の見られける (kata e no tenjōbito no mirarekeru)</t>
  </si>
  <si>
    <t>所にて主殿司を召して (tokoro nite tonomotsukasa o meshite azukeokite zo iderarekeru)</t>
  </si>
  <si>
    <t>預け置きてぞ</t>
  </si>
  <si>
    <t>出でられける</t>
  </si>
  <si>
    <t>家貞待ち受け奉りて (Iesada machi-uke tatemawari-te)</t>
  </si>
  <si>
    <t>かくとも云はまほしう</t>
  </si>
  <si>
    <t>思はれけれども (kakutomo iwamahoshū omowarekeredomo)</t>
  </si>
  <si>
    <t>別の事なし (betsu no koto nashi)</t>
  </si>
  <si>
    <t>五節には白薄様濃染紙の紙巻上の筆巴書いたる筆の軸など様々かやうに面白き事をのみこそ歌ひ舞はるるに (gosechi ni wa shirauzusama kozomegami no kamimaki ue no fude tomoe kaitaru fude no jiku nado samazama kayō ni omoshiroki koto o nomi koso utai mawaruru ni)</t>
  </si>
  <si>
    <t>中比太宰権帥季仲卿といふ人ありけり (chūbi Dazai gon no so Sukechika kyō to iu hito arikeri)</t>
  </si>
  <si>
    <t>あまりに色の黒かりければ (amari ni iro no kurokarikereba)</t>
  </si>
  <si>
    <t>見る人黒帥とぞ申しける (miru hito kurosotsu to zo mōshikeru)</t>
  </si>
  <si>
    <t>あなくろくろ黒き頭かな (ana kuro kuro kuroki atama kana)</t>
  </si>
  <si>
    <t>また花山院前太政大臣忠雅公未だ十歳と申しし時 (mata Kazanin no saki no Daijōdaijin Tadamasa kō imada jissai to mōshi shi toki)</t>
  </si>
  <si>
    <t>父中納言忠宗卿に後れ給ひて (chichi Chūnagon Tadamune kyō ni okure tamai te)</t>
  </si>
  <si>
    <t>孤子にておはせしを (koji nite ohaseshi o)</t>
  </si>
  <si>
    <t>殿上人一同に訴へ申されけるは (tenjōbito ichidō ni uttaemōsarekeru wa)</t>
  </si>
  <si>
    <t>事既に重畳せり (koto sudeni chōjō seri)</t>
  </si>
  <si>
    <t>由諸卿一同に訴へ申されければ (yoshi shokyō ichidō ni uttaemōsarekereba)</t>
  </si>
  <si>
    <t>上皇大きに驚かせ給ひて (Jōkō ōki ni odorokase tamai te)</t>
  </si>
  <si>
    <t>陳じ申されけるは (chinji mōsarekeru wa)</t>
  </si>
  <si>
    <t>まづ郎従小庭に伺候の由全く覚悟仕らず (mazu rōjū koniwa ni shikō no yoshi mattaku kakugo tsukamatsurazu)</t>
  </si>
  <si>
    <t>年来の家人事を伝へ聞くかによつて (nenrai no kenin goto o tsutae kiku ka ni yotte)</t>
  </si>
  <si>
    <t>上は鞘巻の黒う塗つたりけるが (ue wa sayamaki no kuro u nuttari keru ga)</t>
  </si>
  <si>
    <t>中は木刀に銀薄をぞ押したりける (naka wa bokutō ni gin-haku o zo oshitari keru)</t>
  </si>
  <si>
    <t>Now Tadamori, while holding the office of Bizen no Kami,</t>
  </si>
  <si>
    <t>within which were one thousand and one Buddhas;</t>
  </si>
  <si>
    <t>its first festival being on the thirteenth day of the third month of the first year of Tensho.</t>
  </si>
  <si>
    <t>As a reward he was to be granted a fief,</t>
  </si>
  <si>
    <t>he was honoured by receiving the territory of the province of Tamba,</t>
  </si>
  <si>
    <t>which then happened to be unappropriated.</t>
  </si>
  <si>
    <t>As a reward he was honoured by receiving the territory of the province of Tamba, which then happened to be unappropriated.</t>
  </si>
  <si>
    <t>Moreover the Emperor of his bounty graciously permitted him to attend the Court;</t>
  </si>
  <si>
    <t>which Tadamori did for the first time at the age of thirty six.</t>
  </si>
  <si>
    <t>the higher Courtiers were furious with jealousy</t>
  </si>
  <si>
    <t>to assassinate him on the evening of the festival of Go-Sechi Toyo-no-akari-no-setchie, on the 23rd day of the eleventh month of the same year.</t>
  </si>
  <si>
    <t>they plotted</t>
  </si>
  <si>
    <t>Tadamori, on hearing of this</t>
  </si>
  <si>
    <t>I am not a civil official</t>
  </si>
  <si>
    <t>being born of a line of warriors</t>
  </si>
  <si>
    <t>for myself and my house at this unexpected shame</t>
  </si>
  <si>
    <t>I am troubled in my heart</t>
  </si>
  <si>
    <t>finally, as for what is to be done</t>
  </si>
  <si>
    <t>with all your might</t>
  </si>
  <si>
    <t>so goes the original passage</t>
  </si>
  <si>
    <t>Before entering the Court he provided himself with a long dirk</t>
  </si>
  <si>
    <t>which he girt on under his long court dress</t>
  </si>
  <si>
    <t>and turning aside to a dimly lit place</t>
  </si>
  <si>
    <t>slowly drew the blade</t>
  </si>
  <si>
    <t>and passed it through the hair of his head</t>
  </si>
  <si>
    <t>so that it gleamed afar off with an icy sheen</t>
  </si>
  <si>
    <t>causing all to stare open-eyed</t>
  </si>
  <si>
    <t xml:space="preserve">Moreover a retainer of Tadamori ... </t>
  </si>
  <si>
    <t>there was one named Sahyoe-no-jo Iesada</t>
  </si>
  <si>
    <t>wearing a body armour laced with bright green under a light green "kariginu"</t>
  </si>
  <si>
    <t>with a bowstring bag attached</t>
  </si>
  <si>
    <t xml:space="preserve">and carrying under his arm a "tachi" </t>
  </si>
  <si>
    <t>was waiting in the "koniwa," the small court by the Seiryoden</t>
  </si>
  <si>
    <t>Now the Kurando-no-to and others, thinking it strange,</t>
  </si>
  <si>
    <t xml:space="preserve">that one wearing unsuitable costume should be within the balustrade of the steps of the Court near the bell-rope of the library, </t>
  </si>
  <si>
    <t>and wondering who he was.</t>
  </si>
  <si>
    <t>"[He is] disorderly"</t>
  </si>
  <si>
    <t>"Depart quickly"</t>
  </si>
  <si>
    <t>an official of the sixth rank ordered him to depart quickly.</t>
  </si>
  <si>
    <t>But Iesada thus replied:</t>
  </si>
  <si>
    <t>Because I have heard that</t>
  </si>
  <si>
    <t>"whether it is so"</t>
  </si>
  <si>
    <t xml:space="preserve">and in order to see </t>
  </si>
  <si>
    <t>"have come and am thus waiting"</t>
  </si>
  <si>
    <t>"I cannot possibly go out"</t>
  </si>
  <si>
    <t>and thus the attempt did not take place.</t>
  </si>
  <si>
    <t>But when Tadamori danced in the August presence of the Mikado at his Imperial wish,</t>
  </si>
  <si>
    <t>the others mocked at him, changing the words of the music</t>
  </si>
  <si>
    <t>"the winepot of Ise has turned into a vinegar jar"</t>
  </si>
  <si>
    <t>they sang in mockery</t>
  </si>
  <si>
    <t>In thus mentioning the vessels of his province they punned on his title...</t>
  </si>
  <si>
    <t>and since lately his family had lived away from the capital,</t>
  </si>
  <si>
    <t xml:space="preserve"> behaving as mere provincial folk</t>
  </si>
  <si>
    <t>and as they lived deep in Ise province, they likened him to the vessels of that province</t>
  </si>
  <si>
    <t>sono kuni no utsuwa ni kotoyosete)</t>
  </si>
  <si>
    <t>so they mocked him as 'Ise Heishi'</t>
  </si>
  <si>
    <t>Tadamori, having no way of dealing with the situation,</t>
  </si>
  <si>
    <t>before the entertainment had ended,</t>
  </si>
  <si>
    <t>he secretly left the Presence,</t>
  </si>
  <si>
    <t>and going behind the Shishinden,</t>
  </si>
  <si>
    <t xml:space="preserve"> the court nobles could see him,</t>
  </si>
  <si>
    <t>Iesada, who was waiting for his lord,</t>
  </si>
  <si>
    <t>"What has happened?" he asked.</t>
  </si>
  <si>
    <t>he was asked,</t>
  </si>
  <si>
    <t>to tell him</t>
  </si>
  <si>
    <t>although he greatly wished,</t>
  </si>
  <si>
    <t>seeing that, if he told him,</t>
  </si>
  <si>
    <t>who would even do violence in the Palace itself,</t>
  </si>
  <si>
    <t xml:space="preserve">he appeared as one </t>
  </si>
  <si>
    <t>nothing out of the ordinary had taken place.</t>
  </si>
  <si>
    <t>In the Go-sechie festival only such pleasing things as white paper, Shuzenji paper, wrapped brushes, or writing brushes with a tomoe on the stem were customarily sung and danced,</t>
  </si>
  <si>
    <t>but there was a certain Dazai Gon-no-sotsu Suenaka no Kyo,</t>
  </si>
  <si>
    <t>who was of so dark a complexion that</t>
  </si>
  <si>
    <t>people called him 'kuro-sotsu',</t>
  </si>
  <si>
    <t>they changed the rhythm of the music</t>
  </si>
  <si>
    <t>"Oh what a black, black head!"</t>
  </si>
  <si>
    <t>"someone must have painted him with lacquer"</t>
  </si>
  <si>
    <t>they sang in mockery.</t>
  </si>
  <si>
    <t>Also, when Prince Tadamasa of the Kazan-in, the former Prime Minister, was only ten years old,</t>
  </si>
  <si>
    <t>having lost his father, Chunagon Tadamune,</t>
  </si>
  <si>
    <t>and being left an orphan,</t>
  </si>
  <si>
    <t>As he had expected, after the conclusion of the festival,</t>
  </si>
  <si>
    <t>all the courtiers and officials together appealed,</t>
  </si>
  <si>
    <t>indeed, one crime piled on another,</t>
  </si>
  <si>
    <t>a charge he would find difficult to escape.</t>
  </si>
  <si>
    <t>and all the Court Nobles together petitioned,</t>
  </si>
  <si>
    <t>His Majesty the Mikado, greatly surprised,</t>
  </si>
  <si>
    <t>in his reply he stated that,</t>
  </si>
  <si>
    <t>as to the presence of his retainer in the Palace, he certainly knew nothing about it,</t>
  </si>
  <si>
    <t>as for the sword, I deposited it in the Tonomotsukasa,</t>
  </si>
  <si>
    <t>"This seems quite reasonable,"</t>
  </si>
  <si>
    <t>and they hastened to bring forth the sword,</t>
  </si>
  <si>
    <t>and exhibit it before His Majesty,</t>
  </si>
  <si>
    <t>its outside was that of a dirk in a black lacquer sheath,</t>
  </si>
  <si>
    <t>but within was only a wooden blade covered with silver.</t>
  </si>
  <si>
    <t>his substitution of a wooden blade as a precaution against an after accusation was exceedingly praiseworthy.</t>
  </si>
  <si>
    <t>Such prudence is most commendable in a warrior.</t>
  </si>
  <si>
    <t>and no fault was found in Tadamori.</t>
  </si>
  <si>
    <t>たりし</t>
  </si>
  <si>
    <t>造進して</t>
  </si>
  <si>
    <t>建て</t>
  </si>
  <si>
    <t>据ゑ奉らる</t>
  </si>
  <si>
    <t>なり</t>
  </si>
  <si>
    <t>賜ふべき</t>
  </si>
  <si>
    <t>仰せ下されける</t>
  </si>
  <si>
    <t>空きたりける</t>
  </si>
  <si>
    <t>賜はりける</t>
  </si>
  <si>
    <t>許さる</t>
  </si>
  <si>
    <t>昇殿す</t>
  </si>
  <si>
    <t>嫉み憤り</t>
  </si>
  <si>
    <t>闇討にせん</t>
  </si>
  <si>
    <t>議せられける</t>
  </si>
  <si>
    <t>伝へ聞きて</t>
  </si>
  <si>
    <t>あらず</t>
  </si>
  <si>
    <t>生れて</t>
  </si>
  <si>
    <t>遇はん</t>
  </si>
  <si>
    <t>詮ずる</t>
  </si>
  <si>
    <t>全うして</t>
  </si>
  <si>
    <t>仕へ奉れ</t>
  </si>
  <si>
    <t>あり</t>
  </si>
  <si>
    <t>用意し</t>
  </si>
  <si>
    <t>差し</t>
  </si>
  <si>
    <t>向かつて</t>
  </si>
  <si>
    <t>抜き出でて</t>
  </si>
  <si>
    <t>引き当てられたりける</t>
  </si>
  <si>
    <t>見えたりける</t>
  </si>
  <si>
    <t>澄ましけり</t>
  </si>
  <si>
    <t>着</t>
  </si>
  <si>
    <t>付けたる</t>
  </si>
  <si>
    <t>挟んで</t>
  </si>
  <si>
    <t>畏つて候ひける</t>
  </si>
  <si>
    <t>なして</t>
  </si>
  <si>
    <t>候ふ</t>
  </si>
  <si>
    <t xml:space="preserve">何者ぞ  </t>
  </si>
  <si>
    <t>罷り出でよ</t>
  </si>
  <si>
    <t>云はせられたりければ</t>
  </si>
  <si>
    <t>申しける</t>
  </si>
  <si>
    <t>闇討にせられ給ふ</t>
  </si>
  <si>
    <t>伝へ承つて</t>
  </si>
  <si>
    <t xml:space="preserve">ならん </t>
  </si>
  <si>
    <t>見ん</t>
  </si>
  <si>
    <t>候ふなり</t>
  </si>
  <si>
    <t>出でまじう候へ</t>
  </si>
  <si>
    <t>思はれけん</t>
  </si>
  <si>
    <t>なかりけり</t>
  </si>
  <si>
    <t>舞はれける</t>
  </si>
  <si>
    <t>変へて</t>
  </si>
  <si>
    <t>なりけり</t>
  </si>
  <si>
    <t>囃されける</t>
  </si>
  <si>
    <t>申しながら</t>
  </si>
  <si>
    <t>疎々しく</t>
  </si>
  <si>
    <t>振舞ひなつて</t>
  </si>
  <si>
    <t>深かりしかば</t>
  </si>
  <si>
    <t>言寄せて</t>
  </si>
  <si>
    <t>眇まれたりける</t>
  </si>
  <si>
    <t>囃されけるなれ</t>
  </si>
  <si>
    <t>なくして</t>
  </si>
  <si>
    <t>終らざる</t>
  </si>
  <si>
    <t>罷り出でらる</t>
  </si>
  <si>
    <t>見られける</t>
  </si>
  <si>
    <t xml:space="preserve">召して </t>
  </si>
  <si>
    <t>預け置きて</t>
  </si>
  <si>
    <t>待ち受け奉りて</t>
  </si>
  <si>
    <t>候ひつる</t>
  </si>
  <si>
    <t>申されける</t>
  </si>
  <si>
    <t>云はまほしう</t>
  </si>
  <si>
    <t>思はれけれども</t>
  </si>
  <si>
    <t>云ひつる</t>
  </si>
  <si>
    <t>斬り上らんずる</t>
  </si>
  <si>
    <t>ある</t>
  </si>
  <si>
    <t>なし</t>
  </si>
  <si>
    <t>歌ひ舞はるる</t>
  </si>
  <si>
    <t>ありけり</t>
  </si>
  <si>
    <t>黒かりければ</t>
  </si>
  <si>
    <t>N/A (exclamatory nominal clause)</t>
  </si>
  <si>
    <t>漆塗りけん</t>
  </si>
  <si>
    <t>申しし</t>
  </si>
  <si>
    <t>後れ給ひて</t>
  </si>
  <si>
    <t>おはせし</t>
  </si>
  <si>
    <t>ありし / 出で来ず</t>
  </si>
  <si>
    <t>覚束なし</t>
  </si>
  <si>
    <t>果てにしかば</t>
  </si>
  <si>
    <t>訴へ申されける</t>
  </si>
  <si>
    <t>狼藉なり</t>
  </si>
  <si>
    <t>重畳せり</t>
  </si>
  <si>
    <t>遁れ難し</t>
  </si>
  <si>
    <t>訴へ申されければ</t>
  </si>
  <si>
    <t>驚かせ給ひて</t>
  </si>
  <si>
    <t>覚悟仕らず</t>
  </si>
  <si>
    <t>伝へ聞く</t>
  </si>
  <si>
    <t>知らせず</t>
  </si>
  <si>
    <t>預け置き / 候ひ畢んぬ</t>
  </si>
  <si>
    <t>然るべし</t>
  </si>
  <si>
    <t>召し出でて</t>
  </si>
  <si>
    <t>塗つたりける</t>
  </si>
  <si>
    <t>押したりける</t>
  </si>
  <si>
    <t>あらまほしけれ</t>
  </si>
  <si>
    <t>N/A (nominal clause)</t>
  </si>
  <si>
    <t>verb</t>
  </si>
  <si>
    <t>LVC</t>
  </si>
  <si>
    <t>copula</t>
  </si>
  <si>
    <t>existential verb</t>
  </si>
  <si>
    <t>adjectival predicate</t>
  </si>
  <si>
    <t>none</t>
  </si>
  <si>
    <t>compound verb</t>
  </si>
  <si>
    <t>transitive</t>
  </si>
  <si>
    <t>intransitive</t>
  </si>
  <si>
    <t>unknown</t>
  </si>
  <si>
    <t>ditransitive</t>
  </si>
  <si>
    <t>stative</t>
  </si>
  <si>
    <t>other</t>
  </si>
  <si>
    <t>motion</t>
  </si>
  <si>
    <t>psych-state</t>
  </si>
  <si>
    <t>communication</t>
  </si>
  <si>
    <t>perception</t>
  </si>
  <si>
    <t>aux/modal</t>
  </si>
  <si>
    <t>active</t>
  </si>
  <si>
    <t>passive</t>
  </si>
  <si>
    <t>positive</t>
  </si>
  <si>
    <t>negative</t>
  </si>
  <si>
    <t>IO</t>
  </si>
  <si>
    <t>SUB</t>
  </si>
  <si>
    <t>O (Speech)</t>
  </si>
  <si>
    <t>S+O</t>
  </si>
  <si>
    <t>zero_other</t>
  </si>
  <si>
    <t>zero_exalt</t>
  </si>
  <si>
    <t>overt</t>
  </si>
  <si>
    <t>not_applicable</t>
  </si>
  <si>
    <t>REL</t>
  </si>
  <si>
    <t>OBJ</t>
  </si>
  <si>
    <t>relative</t>
  </si>
  <si>
    <t>main</t>
  </si>
  <si>
    <t>nominalised</t>
  </si>
  <si>
    <t>temporal</t>
  </si>
  <si>
    <t>sequential</t>
  </si>
  <si>
    <t>quotative</t>
  </si>
  <si>
    <t>conditional</t>
  </si>
  <si>
    <t>concessive</t>
  </si>
  <si>
    <t>no_overt_NP</t>
  </si>
  <si>
    <t>stranded subject Tadamori</t>
  </si>
  <si>
    <t>idiom</t>
  </si>
  <si>
    <t>should the -to part be considered a clausal subject?</t>
  </si>
  <si>
    <t>Psych predicate; かくとも as adjunct.</t>
  </si>
  <si>
    <t>Subject = 別の事.</t>
  </si>
  <si>
    <t>Passive/respect; subject omitted; object 面白き事を overt.</t>
  </si>
  <si>
    <t>Adjectival predicate; subject = 色.</t>
  </si>
  <si>
    <t>申す humble; subject overt; counted as EXALT INSIG.</t>
  </si>
  <si>
    <t>N/A</t>
  </si>
  <si>
    <t>n/a</t>
  </si>
  <si>
    <t>contains_new</t>
  </si>
  <si>
    <t>topic-introduced</t>
  </si>
  <si>
    <t>topic-continued</t>
  </si>
  <si>
    <r>
      <t>topic-introduced</t>
    </r>
    <r>
      <rPr>
        <sz val="11"/>
        <color rgb="FF000000"/>
        <rFont val="Calibri"/>
        <family val="2"/>
        <scheme val="minor"/>
      </rPr>
      <t> – overt topic marking a (re)introduced aboutness centre</t>
    </r>
  </si>
  <si>
    <r>
      <t>topic-continued</t>
    </r>
    <r>
      <rPr>
        <sz val="11"/>
        <color rgb="FF000000"/>
        <rFont val="Calibri"/>
        <family val="2"/>
        <scheme val="minor"/>
      </rPr>
      <t> – same topic as previous clause, even if zero/pronoun</t>
    </r>
  </si>
  <si>
    <r>
      <t>topic-shift</t>
    </r>
    <r>
      <rPr>
        <sz val="11"/>
        <color rgb="FF000000"/>
        <rFont val="Calibri"/>
        <family val="2"/>
        <scheme val="minor"/>
      </rPr>
      <t> – new entity becomes the discourse centre</t>
    </r>
  </si>
  <si>
    <r>
      <t>topic-drop</t>
    </r>
    <r>
      <rPr>
        <sz val="11"/>
        <color rgb="FF000000"/>
        <rFont val="Calibri"/>
        <family val="2"/>
        <scheme val="minor"/>
      </rPr>
      <t> – discourse topic still relevant, but not expressed here</t>
    </r>
  </si>
  <si>
    <r>
      <t>no-topic</t>
    </r>
    <r>
      <rPr>
        <sz val="11"/>
        <color rgb="FF000000"/>
        <rFont val="Calibri"/>
        <family val="2"/>
        <scheme val="minor"/>
      </rPr>
      <t> – no clear topic in the clause</t>
    </r>
  </si>
  <si>
    <t>subordinate</t>
  </si>
  <si>
    <t>by the request of the retired Emperor Toba,</t>
  </si>
  <si>
    <t xml:space="preserve"> had built the temple Toku-cho-juin and the Sa-ju-san-gen-do, or hall 33 ken long,</t>
  </si>
  <si>
    <t>intransitive / transitive / ditransitive / copular/stative / unknown</t>
  </si>
  <si>
    <t>active / passive</t>
  </si>
  <si>
    <t>positive / negative / negative_existential / negative_potential / unknown</t>
  </si>
  <si>
    <t>S, DO, IO, O (Speech), S+O, O+IO, S+IO, S+O+IO</t>
  </si>
  <si>
    <t>overt; zero_exalt; zero_recoverable; zero_other – omitted, recoverability uncertain; not_applicable.</t>
  </si>
  <si>
    <t>same</t>
  </si>
  <si>
    <t>none; conjunctive; temporal; causal; concessive; conditional; quotative; other.</t>
  </si>
  <si>
    <t>SS; DS; unknown</t>
  </si>
  <si>
    <t>Subject_Person</t>
  </si>
  <si>
    <t>ss</t>
  </si>
  <si>
    <t>topic-shift</t>
  </si>
  <si>
    <t>ds</t>
  </si>
  <si>
    <t>causal</t>
  </si>
  <si>
    <t>Exaltation_Form_Type</t>
  </si>
  <si>
    <t>Exaltation_Referential_Target</t>
  </si>
  <si>
    <t>None, sub, obj, io, addressee, multiple, unknown</t>
  </si>
  <si>
    <t>lexical_honorific_verb</t>
  </si>
  <si>
    <t>lexical_humble_verb</t>
  </si>
  <si>
    <t>honorific_aux</t>
  </si>
  <si>
    <t>humble_aux</t>
  </si>
  <si>
    <t>polite_aux</t>
  </si>
  <si>
    <t>honorific_copula</t>
  </si>
  <si>
    <t>nominal_prefix</t>
  </si>
  <si>
    <t>honorific_title</t>
  </si>
  <si>
    <t>obj</t>
  </si>
  <si>
    <t>sub</t>
  </si>
  <si>
    <t>complex verbal form</t>
  </si>
  <si>
    <t>lexical honorific+honorific aux</t>
  </si>
  <si>
    <t>io</t>
  </si>
  <si>
    <t>topic-drop</t>
  </si>
  <si>
    <t>zero_recoverable</t>
  </si>
  <si>
    <t>it's unlcear whether -re- in -yurusareru is passive or honorific</t>
  </si>
  <si>
    <t>no_overt_NP; </t>
  </si>
  <si>
    <t>all_given; </t>
  </si>
  <si>
    <t>contains_new – at least one overt NP is discourse-new; </t>
  </si>
  <si>
    <t>unknown </t>
  </si>
  <si>
    <t>S (Speech)</t>
  </si>
  <si>
    <t>all given</t>
  </si>
  <si>
    <t>honorific_aux+lexical_honorific_verb</t>
  </si>
  <si>
    <t>honorific_aux+lexical_humble_verb</t>
  </si>
  <si>
    <t>憂かるべし</t>
  </si>
  <si>
    <t>te</t>
  </si>
  <si>
    <t xml:space="preserve"> kimi ni tsukae tatematsure</t>
  </si>
  <si>
    <t>inf</t>
  </si>
  <si>
    <t>やはらこの刀を抜き出でて (yahara kono katana o nuki-idete)</t>
  </si>
  <si>
    <t>"kono katana" refers to the "sayamaki", so all given</t>
  </si>
  <si>
    <t>O+IO</t>
  </si>
  <si>
    <t>殿上の小庭に畏つてぞ候ひける (tenjō no koniwa ni kashikomatte zo soroikyeru)</t>
  </si>
  <si>
    <t>LVC (inf)</t>
  </si>
  <si>
    <t>空柱より内鈴の綱の辺に布衣の者の候ふ  (sorabashira yori uchisuzu no tsuna no hen ni hoi no mono no soroou)</t>
  </si>
  <si>
    <t>tonight they will try to kill my Lord Bizen-no-kami dono"</t>
  </si>
  <si>
    <t>purpose</t>
  </si>
  <si>
    <t>inanimate</t>
  </si>
  <si>
    <t>zero_uncertain</t>
  </si>
  <si>
    <t>action</t>
  </si>
  <si>
    <t>he was mocked in such a way</t>
  </si>
  <si>
    <t xml:space="preserve">moreover, because Tadamori's eyes were squinted, </t>
  </si>
  <si>
    <t>御遊も未だ終らざる前に (gyoyū mo mada owarazaru mae ni)</t>
  </si>
  <si>
    <t>密かに罷り出でらるとて (hisokani makari ideraru tote)</t>
  </si>
  <si>
    <t>紫宸殿の御後にして (Shishinden no o-ato ni shite)</t>
  </si>
  <si>
    <t>後にして</t>
  </si>
  <si>
    <t xml:space="preserve"> entrusted [his sword]</t>
  </si>
  <si>
    <t xml:space="preserve">in a place where… he summoned the Tonomotsukasa, </t>
  </si>
  <si>
    <t>and left,</t>
  </si>
  <si>
    <t>者の面魂にてある間 mono no omodamashii nite aru aida</t>
  </si>
  <si>
    <t>にてある</t>
  </si>
  <si>
    <t>Heike 2.130</t>
  </si>
  <si>
    <t>その人未だ蔵人頭たりし時 (sono hito imada kurōdo no tō tarishi toki)</t>
  </si>
  <si>
    <t>五節に舞はれけるに gosechi ni mawarekeru ni</t>
  </si>
  <si>
    <t xml:space="preserve">and while he was still Kurando-no-to, </t>
  </si>
  <si>
    <t>when he danced at the Go-sechie,</t>
  </si>
  <si>
    <t xml:space="preserve">聟に取りて muko ni torite </t>
  </si>
  <si>
    <t>華やかにもてなされければ  hanayaka ni motenasarekereba</t>
  </si>
  <si>
    <t>故中御門藤中納言家成卿未だ播磨守にておはしけるが ko-Nakamikado Fuji Chūnagon Ienari kyō imada Harima no kami nite ohasikeru ga</t>
  </si>
  <si>
    <t>and splendidly welcomed,</t>
  </si>
  <si>
    <t>he was taken as son-in-law</t>
  </si>
  <si>
    <t xml:space="preserve"> by Fuji Chūnagon Ienari, then Harima no Kami,</t>
  </si>
  <si>
    <t>取りて</t>
  </si>
  <si>
    <t>もてなされければ</t>
  </si>
  <si>
    <t>おはしける</t>
  </si>
  <si>
    <t>verbal sequence</t>
  </si>
  <si>
    <t>at that Go-sechie with the refrain ‘The rice of Harima...’</t>
  </si>
  <si>
    <t xml:space="preserve"> they also japed at him</t>
  </si>
  <si>
    <t>磨く</t>
  </si>
  <si>
    <t xml:space="preserve">Long ago such things had happened, </t>
  </si>
  <si>
    <t>but nothing had come of them,</t>
  </si>
  <si>
    <t>上古にはかやうにありしかども (jōko ni wa kayō ni arishikadomo )</t>
  </si>
  <si>
    <t>事出で来ず koto idekozu</t>
  </si>
  <si>
    <t>出で来ず</t>
  </si>
  <si>
    <t>末代いかがあらんずらん (matsudai ikaga aranzuran obotsukanashi)</t>
  </si>
  <si>
    <t>and people said that what was to be done</t>
  </si>
  <si>
    <t>was doubtful</t>
  </si>
  <si>
    <t>あらんずらん</t>
  </si>
  <si>
    <t>案の如く五節果てにしかば (an no gotoku gosechi hate ni shikaba)</t>
  </si>
  <si>
    <t>that wearing a sword</t>
  </si>
  <si>
    <t xml:space="preserve"> coming to a Court entertainment </t>
  </si>
  <si>
    <t xml:space="preserve">and bearing arms </t>
  </si>
  <si>
    <t>when passing in and out of the Palace</t>
  </si>
  <si>
    <t xml:space="preserve"> is according to ancient precedent,</t>
  </si>
  <si>
    <t>列し</t>
  </si>
  <si>
    <t xml:space="preserve">帯して </t>
  </si>
  <si>
    <t>賜はりて</t>
  </si>
  <si>
    <t>守る</t>
  </si>
  <si>
    <t>それ雄剣を帯して (sore yūken o obi shitei)</t>
  </si>
  <si>
    <t>公宴に列し  kōen ni res shi</t>
  </si>
  <si>
    <t xml:space="preserve">兵仗を賜はりて  hyōjō o tamawari te </t>
  </si>
  <si>
    <t>皆格式の礼を守る mina kakushiki no rei o mamoru</t>
  </si>
  <si>
    <t xml:space="preserve">綸命由ある  rinmei yoshi aru </t>
  </si>
  <si>
    <t>先規なり senki nari</t>
  </si>
  <si>
    <t>然るを忠盛朝臣或いは相伝の郎従と号して (shikaru o Tadamori ason arui wa sōden no rōjū to gō shite)</t>
  </si>
  <si>
    <t>布衣の兵を殿上の小庭に召し置き (hoi no hyō o tenjō no koniwa ni meshioki)</t>
  </si>
  <si>
    <t>but Ason Tadamori, calling a certain common soldier his hereditary retainer,</t>
  </si>
  <si>
    <t xml:space="preserve"> and placing him in the small courtyard of the Palace,</t>
  </si>
  <si>
    <t>号して</t>
  </si>
  <si>
    <t>召し置き</t>
  </si>
  <si>
    <t>或いは腰の刀を横へ差いて (arui wa koshi no katana o yokoe saite)</t>
  </si>
  <si>
    <t>節会の座に列なる setsue no za ni tsuranaru</t>
  </si>
  <si>
    <t>wearing a sword at his side,</t>
  </si>
  <si>
    <t xml:space="preserve">and coming to the festival seat </t>
  </si>
  <si>
    <t>差いて</t>
  </si>
  <si>
    <t>S+O+IO</t>
  </si>
  <si>
    <t>狼藉なり rōzaku nari</t>
  </si>
  <si>
    <t>聞かざる</t>
  </si>
  <si>
    <t>both acts are unheard-of,</t>
  </si>
  <si>
    <t>disorderliness</t>
  </si>
  <si>
    <t>[両条稀代]未だ聞かざる (ryōjō kidai imada kikazaru)</t>
  </si>
  <si>
    <t>罪科尤も遁れ難し (tsumitoga mottomo nogaregatashi)</t>
  </si>
  <si>
    <t>叡覧あるに (eiran aru ni)</t>
  </si>
  <si>
    <t>早く殿上の御札を削りて (hayaku tenjō no mifuda o kezurite)</t>
  </si>
  <si>
    <t xml:space="preserve">削りて </t>
  </si>
  <si>
    <t>停任せらるべき</t>
  </si>
  <si>
    <t>they petitioned that his name be erased from the list of Courtiers</t>
  </si>
  <si>
    <t xml:space="preserve"> and he be deprived of rank and office,</t>
  </si>
  <si>
    <t>欠官停任せらるべき (kekkan teinin seraru beki yoshi)</t>
  </si>
  <si>
    <t>御尋ねあり</t>
  </si>
  <si>
    <t>ordered Tadamori into his Presence,</t>
  </si>
  <si>
    <t xml:space="preserve"> to make examination into the affair</t>
  </si>
  <si>
    <t>召して</t>
  </si>
  <si>
    <t>但し近日人々相巧まるる (tadashi kinjitsu hitobito ai-takuramaruru)</t>
  </si>
  <si>
    <t>巧まるる</t>
  </si>
  <si>
    <t xml:space="preserve">旨子細あるかの間 mune shisai aru ka no aida </t>
  </si>
  <si>
    <t xml:space="preserve"> [...]  the designs that people were plotting,</t>
  </si>
  <si>
    <t>[…] had lately heard of</t>
  </si>
  <si>
    <t xml:space="preserve"> if his retainers</t>
  </si>
  <si>
    <t>and in order to help him against such dishonour,  intending to prevent dishonour,</t>
  </si>
  <si>
    <t xml:space="preserve"> without informing him,  </t>
  </si>
  <si>
    <t>助けん</t>
  </si>
  <si>
    <t>次第なり</t>
  </si>
  <si>
    <t>shidai nari</t>
  </si>
  <si>
    <t>及ばざる</t>
  </si>
  <si>
    <t>his retainers had come hither secretly</t>
  </si>
  <si>
    <t>もしその咎あるべくば (moshi sono toga arubekuba)</t>
  </si>
  <si>
    <t>かの身を召し進ずべきか  ka no mi o meshi shinzu beki ka</t>
  </si>
  <si>
    <t xml:space="preserve">"if there be any blame, </t>
  </si>
  <si>
    <t>do I not yield my body herewith?"</t>
  </si>
  <si>
    <t>召し進ずべき</t>
  </si>
  <si>
    <t>次に刀の事は主殿司に預け置き候ひ畢んぬ (tsugi ni katana no koto wa tonomotsukasa ni azukeoki soroiowannu)</t>
  </si>
  <si>
    <t>召し出だされ (meshi idasare)</t>
  </si>
  <si>
    <t>if it be brought out from thence,</t>
  </si>
  <si>
    <t>Heike 2.131</t>
  </si>
  <si>
    <t>Heike 2.132</t>
  </si>
  <si>
    <t>Heike 2.133</t>
  </si>
  <si>
    <t>Heike 2.134</t>
  </si>
  <si>
    <t>Heike 2.135</t>
  </si>
  <si>
    <t>Heike 2.136</t>
  </si>
  <si>
    <t>Heike 2.137</t>
  </si>
  <si>
    <t>Heike 2.138</t>
  </si>
  <si>
    <t xml:space="preserve">召し出だされ </t>
  </si>
  <si>
    <t>刀の実否に付きて咎の左右あるべきか  katana no jippi ni tsukite toga no sayū aru beki ka</t>
  </si>
  <si>
    <t xml:space="preserve"> it may be seen if it be a real sword or not,</t>
  </si>
  <si>
    <t>あるべき</t>
  </si>
  <si>
    <t>由顕すといへども yoshi arawasu to iedomo</t>
  </si>
  <si>
    <t xml:space="preserve">が為に刀を帯する ga tame ni katana o taisuru </t>
  </si>
  <si>
    <t xml:space="preserve"> to avoid dishonour at the moment,</t>
  </si>
  <si>
    <t xml:space="preserve">Although he had displayed </t>
  </si>
  <si>
    <t>the appearance of a sword</t>
  </si>
  <si>
    <t xml:space="preserve">遁れん </t>
  </si>
  <si>
    <t>顕す</t>
  </si>
  <si>
    <t>木刀を帯したる</t>
  </si>
  <si>
    <t>帯する</t>
  </si>
  <si>
    <t>後日の訴訟を存じて (gojitsu no soshō o zonjite)</t>
  </si>
  <si>
    <t xml:space="preserve"> bokutō o tachitaru </t>
  </si>
  <si>
    <t>存じて</t>
  </si>
  <si>
    <t>帯したる</t>
  </si>
  <si>
    <t>なれ</t>
  </si>
  <si>
    <t>ほどの者の謀は尤もかうこそあらまほしけれ hodo no mono no hakarigoto wa motto mo kō koso aramahoshikere</t>
  </si>
  <si>
    <t>用意のほどこそ神妙なれ yōi no hodo koso shinmyō nare</t>
  </si>
  <si>
    <t>弓箭に携らん (yumiya ni tazusaran)</t>
  </si>
  <si>
    <t>携らん</t>
  </si>
  <si>
    <t>Heike 2.139</t>
  </si>
  <si>
    <t>Heike 2.140</t>
  </si>
  <si>
    <t>Heike 2.141</t>
  </si>
  <si>
    <t>Heike 2.142</t>
  </si>
  <si>
    <t>Heike 2.143</t>
  </si>
  <si>
    <t>Heike 2.144</t>
  </si>
  <si>
    <t>Heike 2.145</t>
  </si>
  <si>
    <t>Heike 2.146</t>
  </si>
  <si>
    <t>Heike 2.147</t>
  </si>
  <si>
    <t>Heike 2.148</t>
  </si>
  <si>
    <t>Heike 2.149</t>
  </si>
  <si>
    <t>Heike 2.150</t>
  </si>
  <si>
    <t>Heike 2.151</t>
  </si>
  <si>
    <t>Heike 2.152</t>
  </si>
  <si>
    <t>Heike 2.153</t>
  </si>
  <si>
    <t>Heike 2.154</t>
  </si>
  <si>
    <t>Heike 2.155</t>
  </si>
  <si>
    <t>Heike 2.156</t>
  </si>
  <si>
    <t>Heike 2.157</t>
  </si>
  <si>
    <t>予てはまた郎従小庭に伺候の由 (kanete wa mata rōjū koniwa ni shikō no yoshi) 且つは武士の郎等の習ひなり (katsu wa bushi no rōtō no narai nari)</t>
  </si>
  <si>
    <t xml:space="preserve">As for his retainer being in the small court, that too is the custom of the retainers of the warrior class, </t>
  </si>
  <si>
    <t>and on the contrary, his conduct was greatly admired,</t>
  </si>
  <si>
    <t>and he was pronounced guiltless.</t>
  </si>
  <si>
    <t>預かりし</t>
  </si>
  <si>
    <t>Total</t>
  </si>
  <si>
    <t>resultative</t>
  </si>
  <si>
    <t>honorific prefix</t>
  </si>
  <si>
    <t>Modality</t>
  </si>
  <si>
    <t>deontic</t>
  </si>
  <si>
    <t>imperative</t>
  </si>
  <si>
    <t>dynamic</t>
  </si>
  <si>
    <t>causative-passive-resultative</t>
  </si>
  <si>
    <t>LVC (j)</t>
  </si>
  <si>
    <t>叡覧ある</t>
  </si>
  <si>
    <t>O (Speech) +IO</t>
  </si>
  <si>
    <t xml:space="preserve"> there was nothing more to be done;</t>
  </si>
  <si>
    <t>And they saw that</t>
  </si>
  <si>
    <t>S+O (Speech)</t>
  </si>
  <si>
    <t>RD2</t>
  </si>
  <si>
    <t>RD2+</t>
  </si>
  <si>
    <t>RD2++</t>
  </si>
  <si>
    <t>RD2+++</t>
  </si>
  <si>
    <t>RD2-</t>
  </si>
  <si>
    <t>ACT-ARG/~Ø-Verbal</t>
  </si>
  <si>
    <t>(ACT-ARG+V-ARG-Ø-ARG)/~Ø-Verbal</t>
  </si>
  <si>
    <t>(ACT-ARG+GAP-ACT-ARG)/~Ø-Verbal</t>
  </si>
  <si>
    <t>(ACT-ARG+V-ARG-Ø-ARG+GAP-ACT-ARG)/~Ø-Verbal</t>
  </si>
  <si>
    <t>V-ARG-Ø-ARG/~Ø-Verbal</t>
  </si>
  <si>
    <t>Totals</t>
  </si>
  <si>
    <t>FV</t>
  </si>
  <si>
    <t xml:space="preserve"> nozonde xujinno aximotoni firefuxi</t>
  </si>
  <si>
    <t>に臨んで主人の足元に平伏し</t>
  </si>
  <si>
    <t>ni nozonde xujinno aximotoni firefuxi</t>
  </si>
  <si>
    <t>VN-C (bare)</t>
  </si>
  <si>
    <t>chŏchacu xôto ſuru</t>
  </si>
  <si>
    <t>忽ち打擲せうとする</t>
  </si>
  <si>
    <t>tachimachi chŏchacu xôto ſuru</t>
  </si>
  <si>
    <t>tachicacari</t>
  </si>
  <si>
    <t>二三人ほど立ち掛かり</t>
  </si>
  <si>
    <t>niſannin fodo tachicacari</t>
  </si>
  <si>
    <t>vottotte</t>
  </si>
  <si>
    <t>程こそ有れ，杖棒を押っ取って</t>
  </si>
  <si>
    <t>fodocoſoare tçuye bŏuo vottotte</t>
  </si>
  <si>
    <t>iytçuqeraruru</t>
  </si>
  <si>
    <t>と[主人]言い付けらるる</t>
  </si>
  <si>
    <t>to iytçuqeraruru</t>
  </si>
  <si>
    <t>chŏchacu xei</t>
  </si>
  <si>
    <t>それ打擲せい</t>
  </si>
  <si>
    <t>ſore chŏchacu xei</t>
  </si>
  <si>
    <t>COP</t>
  </si>
  <si>
    <t>gia</t>
  </si>
  <si>
    <t>物ぢゃ</t>
  </si>
  <si>
    <t>mono gia</t>
  </si>
  <si>
    <t xml:space="preserve">curŏta </t>
  </si>
  <si>
    <t>食らうた</t>
  </si>
  <si>
    <t xml:space="preserve">totte </t>
  </si>
  <si>
    <t>あれが取って</t>
  </si>
  <si>
    <t xml:space="preserve">arega  totte </t>
  </si>
  <si>
    <t xml:space="preserve">magai monai </t>
  </si>
  <si>
    <t>に因って，[…]さればこそ紛いも無い</t>
  </si>
  <si>
    <t xml:space="preserve">niyotte xujin ſarebacoſo magai mo nai </t>
  </si>
  <si>
    <t>tochimequ</t>
  </si>
  <si>
    <t>とちめく</t>
  </si>
  <si>
    <t xml:space="preserve">vchiacamete </t>
  </si>
  <si>
    <t>顔打ち赤めて</t>
  </si>
  <si>
    <t xml:space="preserve">cauo vchiacamete </t>
  </si>
  <si>
    <t>canauaide</t>
  </si>
  <si>
    <t>事も適わいで，</t>
  </si>
  <si>
    <t>cotomo canauaide</t>
  </si>
  <si>
    <t>monoyŭ</t>
  </si>
  <si>
    <t>物言う</t>
  </si>
  <si>
    <t>tçubuitareba</t>
  </si>
  <si>
    <t>に肝を潰いたれば，</t>
  </si>
  <si>
    <t>ni qimouo tçubuitareba</t>
  </si>
  <si>
    <t>xicararu</t>
  </si>
  <si>
    <t>に，又その叱らるる</t>
  </si>
  <si>
    <t>ni mata ſono xicararu</t>
  </si>
  <si>
    <t xml:space="preserve"> gia</t>
  </si>
  <si>
    <t>元来吃りぢゃ</t>
  </si>
  <si>
    <t>guanrai domori gia</t>
  </si>
  <si>
    <t>VN-C (TOP)</t>
  </si>
  <si>
    <t>xitaredomo</t>
  </si>
  <si>
    <t>分別はしたれども</t>
  </si>
  <si>
    <t>funbetua xitaredomo</t>
  </si>
  <si>
    <t>qijte</t>
  </si>
  <si>
    <t>その時Ｅｓｏｐｏこれを聞いて</t>
  </si>
  <si>
    <t>ſonotoqi  Eſopo coreuo qijte</t>
  </si>
  <si>
    <t>xicararureba</t>
  </si>
  <si>
    <t>[と]叱らるれば</t>
  </si>
  <si>
    <t>cayete</t>
  </si>
  <si>
    <t>[…]気色を変えて</t>
  </si>
  <si>
    <t>to qexiqiuo cayete</t>
  </si>
  <si>
    <t>curŏtazo</t>
  </si>
  <si>
    <t>食らうたぞ</t>
  </si>
  <si>
    <t>vomôte</t>
  </si>
  <si>
    <t>何と思うて</t>
  </si>
  <si>
    <t xml:space="preserve"> nanto vomôte</t>
  </si>
  <si>
    <t>totte</t>
  </si>
  <si>
    <t xml:space="preserve">その熟柿をば[如何に畜生なみちれない悪戯者]取って </t>
  </si>
  <si>
    <t>ſono jucuxiuoba [icani chicuxŏna michirenai itazzuramono] totte</t>
  </si>
  <si>
    <t>vomoiqitte yta</t>
  </si>
  <si>
    <t>と思い切って居た</t>
  </si>
  <si>
    <t>ta vomoiqitte yta</t>
  </si>
  <si>
    <t>xŏquan xôto</t>
  </si>
  <si>
    <t>身が賞翫せう</t>
  </si>
  <si>
    <t>[...] miga xŏquan xô</t>
  </si>
  <si>
    <t>iuaruruua</t>
  </si>
  <si>
    <t>言わるるは</t>
  </si>
  <si>
    <t>mexiyoxe</t>
  </si>
  <si>
    <t>Ｅｓｏｐｏを召し寄せ</t>
  </si>
  <si>
    <t>Eſopouo mexiyoxe</t>
  </si>
  <si>
    <t>tatexicotte</t>
  </si>
  <si>
    <t>その時かの主人は腹に立て凝って</t>
  </si>
  <si>
    <t>ſonotoqi cano xujin ua farani tatexicotte</t>
  </si>
  <si>
    <t>tabetegozare</t>
  </si>
  <si>
    <t>食べて御座れ</t>
  </si>
  <si>
    <t>nuſunde</t>
  </si>
  <si>
    <t>それをばＥｓｏｐｏこそ盗んで</t>
  </si>
  <si>
    <t>ſoreuoba Eſopocoſo nuſunde</t>
  </si>
  <si>
    <t>mŏſuua</t>
  </si>
  <si>
    <t>顔で申すは</t>
  </si>
  <si>
    <t>cauode mŏſuua</t>
  </si>
  <si>
    <t xml:space="preserve">vocaſanu </t>
  </si>
  <si>
    <t>右の二人の者共が犯さぬ</t>
  </si>
  <si>
    <t xml:space="preserve">miguino nininno monodomoga vocaſanu </t>
  </si>
  <si>
    <t xml:space="preserve"> iuarureba</t>
  </si>
  <si>
    <t>と言わるれば</t>
  </si>
  <si>
    <t>to iuarureba</t>
  </si>
  <si>
    <t>not sure if nominalised verbs expressing purpose should be treated as arguments of motion verbs</t>
  </si>
  <si>
    <t>mottecoi</t>
  </si>
  <si>
    <t>件の柿を湯上がりに持って来い</t>
  </si>
  <si>
    <t>cudanno caqiuo yuagarini mottecoi</t>
  </si>
  <si>
    <t>agari</t>
  </si>
  <si>
    <t>扠主人風呂から上がり</t>
  </si>
  <si>
    <t>Sate xujin furo cara agari</t>
  </si>
  <si>
    <t>should the -to part be considered a clausal complement?</t>
  </si>
  <si>
    <t>ſaſayaqimauatta</t>
  </si>
  <si>
    <t>囁き回った</t>
  </si>
  <si>
    <t>to ſaſayaqimauatta</t>
  </si>
  <si>
    <t>arŏzuto</t>
  </si>
  <si>
    <t>如何様この祟りが有らうずと</t>
  </si>
  <si>
    <t>icaſama cono tatari ga arŏzu</t>
  </si>
  <si>
    <t>様は：扠も無果報なＥｓｏｐｏ哉！</t>
  </si>
  <si>
    <t>yŏua:ſatemo buquafôna Eſopo cana</t>
  </si>
  <si>
    <t>yŭ</t>
  </si>
  <si>
    <t>言う</t>
  </si>
  <si>
    <t>VN-J (bare)</t>
  </si>
  <si>
    <t>mefajiqi xite</t>
  </si>
  <si>
    <t>後，互いに目弾きして</t>
  </si>
  <si>
    <t>nochi,tagaini mefajiqi xite</t>
  </si>
  <si>
    <t>Sate xocuxi vouatte</t>
  </si>
  <si>
    <t>扠食し終わって</t>
  </si>
  <si>
    <t>xocuxita</t>
  </si>
  <si>
    <t>食した</t>
  </si>
  <si>
    <t>取って</t>
  </si>
  <si>
    <t>dancŏ xite</t>
  </si>
  <si>
    <t>と談合して</t>
  </si>
  <si>
    <t>arŏzoto</t>
  </si>
  <si>
    <t>何の子細が有らうぞ</t>
  </si>
  <si>
    <t>nanno xiſi ga arŏzoto</t>
  </si>
  <si>
    <t>fanecaqeôzuruni</t>
  </si>
  <si>
    <t>撥ね掛けうずるに</t>
  </si>
  <si>
    <t>tabetareto</t>
  </si>
  <si>
    <t>あれこそその熟柿をば食べたれと</t>
  </si>
  <si>
    <t>arecoſo ſono jucuxiuoba tabetareto</t>
  </si>
  <si>
    <t>fuite yte</t>
  </si>
  <si>
    <t>こちは空嘯吹いて居て</t>
  </si>
  <si>
    <t>cochiua ſoravſo fuite yte</t>
  </si>
  <si>
    <t>iyvôxete</t>
  </si>
  <si>
    <t>Ｅｓｏｐｏにこれを言い負おせて</t>
  </si>
  <si>
    <t>Eſoponi coreuo iyvôxete</t>
  </si>
  <si>
    <t>ſoroyete</t>
  </si>
  <si>
    <t>時は，口を揃えて</t>
  </si>
  <si>
    <t>toqiua,cuchiuo ſoroyete</t>
  </si>
  <si>
    <t>arŏzuru</t>
  </si>
  <si>
    <t>その咎めの有らうずる</t>
  </si>
  <si>
    <t>ſono togameno arŏzuru</t>
  </si>
  <si>
    <t>toricŭte</t>
  </si>
  <si>
    <t>いざこの柿を両人して取り食うて</t>
  </si>
  <si>
    <t>iza cono caqiuo riŏninxite</t>
  </si>
  <si>
    <t>ſaiuaigia</t>
  </si>
  <si>
    <t>様は：良い幸いぢゃ</t>
  </si>
  <si>
    <t>yŏua:yoi ſaiuaigia</t>
  </si>
  <si>
    <t>vomô</t>
  </si>
  <si>
    <t>者共思う</t>
  </si>
  <si>
    <t>monodomo vomô</t>
  </si>
  <si>
    <t>azzucatta</t>
  </si>
  <si>
    <t>かの柿を預かった</t>
  </si>
  <si>
    <t>cano caqi uo azzucatta</t>
  </si>
  <si>
    <t>cayeriqureba　</t>
  </si>
  <si>
    <t>然る所にＥｓｏｐｏ畑より帰り来れば</t>
  </si>
  <si>
    <t>Xicarutocoroni Eſopo fataqeyori cayeriqureba　</t>
  </si>
  <si>
    <t>irareta</t>
  </si>
  <si>
    <t>その身は風呂に入られた</t>
  </si>
  <si>
    <t>ſonomiua furoni irareta</t>
  </si>
  <si>
    <t>azzuqevocare</t>
  </si>
  <si>
    <t>二人の小姓に預け置かれ</t>
  </si>
  <si>
    <t>nininno coxŏni azzuqevocare</t>
  </si>
  <si>
    <t>tçucauaruru</t>
  </si>
  <si>
    <t>側近う使わるる</t>
  </si>
  <si>
    <t>ſoba chicŏ tçucauaruru</t>
  </si>
  <si>
    <t>to atte</t>
  </si>
  <si>
    <t>有って</t>
  </si>
  <si>
    <t xml:space="preserve"> tacuuaye voqe</t>
  </si>
  <si>
    <t>その風呂上がりの為に蓄え置けと</t>
  </si>
  <si>
    <t xml:space="preserve">ſono furoagarino tameni tacuuaye voqe </t>
  </si>
  <si>
    <t>ireba</t>
  </si>
  <si>
    <t>風呂へ入れば</t>
  </si>
  <si>
    <t>furoye ireba</t>
  </si>
  <si>
    <t>xôzuredomo</t>
  </si>
  <si>
    <t>只今賞翫せうずれども</t>
  </si>
  <si>
    <t>tadaima xŏquan xôzuredomo</t>
  </si>
  <si>
    <t>narananda</t>
  </si>
  <si>
    <t>斜めならなんだ</t>
  </si>
  <si>
    <t>nanome narananda</t>
  </si>
  <si>
    <t>yorocobi</t>
  </si>
  <si>
    <t>に因って喜び</t>
  </si>
  <si>
    <t>ni yotte yorocobi</t>
  </si>
  <si>
    <t>niatta</t>
  </si>
  <si>
    <t>見事に有った</t>
  </si>
  <si>
    <t>migotoniatta</t>
  </si>
  <si>
    <t>yôte</t>
  </si>
  <si>
    <t>色香も一段良うて</t>
  </si>
  <si>
    <t>irocamo ychidan yôte</t>
  </si>
  <si>
    <t>ſaſagureba</t>
  </si>
  <si>
    <t>主人に捧ぐれば</t>
  </si>
  <si>
    <t>xujinni ſaſagureba</t>
  </si>
  <si>
    <t>motteqite</t>
  </si>
  <si>
    <t>或る百姓上々の熟柿を持って来て</t>
  </si>
  <si>
    <t>aru fiacuxŏ jŏjŏno jucuxiuo motteqite</t>
  </si>
  <si>
    <t xml:space="preserve"> ideraretareba</t>
  </si>
  <si>
    <t>然れば程経てかの主人その田畠を見舞いに出でられたれば</t>
  </si>
  <si>
    <t>Xicareba fodofete cano xujin ſono denbacu uo mimaini ideraretareba</t>
  </si>
  <si>
    <t>naita</t>
  </si>
  <si>
    <t>Ｅｓｏｐｏも又快気にその所作を成いた．</t>
  </si>
  <si>
    <t>Eſopomomata cocoroyogueni ſono xoſauo naita</t>
  </si>
  <si>
    <t>yararureba</t>
  </si>
  <si>
    <t>田畠へ遣らるれば</t>
  </si>
  <si>
    <t>denbacu ye yararureba</t>
  </si>
  <si>
    <t>atayete</t>
  </si>
  <si>
    <t>農具を拵え与えて</t>
  </si>
  <si>
    <t>nôguuo coxiraye atayete</t>
  </si>
  <si>
    <t xml:space="preserve"> vomoi ſadame</t>
  </si>
  <si>
    <t>と思い定め</t>
  </si>
  <si>
    <t>to vomoi ſadame</t>
  </si>
  <si>
    <t>ategauŏzu</t>
  </si>
  <si>
    <t>せめて農人の所作をなりともあてがわうず</t>
  </si>
  <si>
    <t>xemete nônin no xoſauo naritomo ategauŏzu</t>
  </si>
  <si>
    <t>should the -to part be considered a clausal subject of miyureba?</t>
  </si>
  <si>
    <t>miyureba</t>
  </si>
  <si>
    <t>と見ゆれば</t>
  </si>
  <si>
    <t>to miyureba</t>
  </si>
  <si>
    <t>niyŏmajij</t>
  </si>
  <si>
    <t>様は：公界の捌き或いは内証の取り扱いなどは如何にも似合うまじい</t>
  </si>
  <si>
    <t>yŏ-ua:cugaino ſabaqi aruiua naixôno toriatçucai nadoua icanimo niyŏmajij</t>
  </si>
  <si>
    <t>vomouaruru</t>
  </si>
  <si>
    <t>或る時主人Ｅｓｏｐｏが上を思わるる</t>
  </si>
  <si>
    <t>Arutoqi xujin Eſopoga vyeuo vomouaruru</t>
  </si>
  <si>
    <t>vorinacatta</t>
  </si>
  <si>
    <t>事はおりなかった</t>
  </si>
  <si>
    <t>cotoua vorinacatta</t>
  </si>
  <si>
    <t xml:space="preserve">narabu </t>
  </si>
  <si>
    <t>者もこの人に並ぶ</t>
  </si>
  <si>
    <t xml:space="preserve">monomo cono fitoni narabu </t>
  </si>
  <si>
    <t>ごとく，知恵の長けた</t>
  </si>
  <si>
    <t xml:space="preserve">gotoqu chiyeno taqeta </t>
  </si>
  <si>
    <t>de atta</t>
  </si>
  <si>
    <t>醜い事天下無双で有った</t>
  </si>
  <si>
    <t>minicui coto tenca busŏ de atta</t>
  </si>
  <si>
    <t>vomotte</t>
  </si>
  <si>
    <t>これ等の姿を持って</t>
  </si>
  <si>
    <t>Corerano ſugata vomotte</t>
  </si>
  <si>
    <t>de vogiatta</t>
  </si>
  <si>
    <t>言葉は吃りでおぢゃった</t>
  </si>
  <si>
    <t>cotobaua domoride vogiatta</t>
  </si>
  <si>
    <t>taredete</t>
  </si>
  <si>
    <t>垂れ出て</t>
  </si>
  <si>
    <t xml:space="preserve"> fare</t>
  </si>
  <si>
    <t>腹は腫れ</t>
  </si>
  <si>
    <t>faraua fare</t>
  </si>
  <si>
    <t>cugumi</t>
  </si>
  <si>
    <t>横張りに，背は屈み</t>
  </si>
  <si>
    <t>yocobarini,xeua cugumi</t>
  </si>
  <si>
    <t>ficŭ</t>
  </si>
  <si>
    <t>丈は低う</t>
  </si>
  <si>
    <t>taqe-ua ficŭ</t>
  </si>
  <si>
    <t>yugami</t>
  </si>
  <si>
    <t>首は歪み</t>
  </si>
  <si>
    <t>cubiua yugami</t>
  </si>
  <si>
    <t>tare</t>
  </si>
  <si>
    <t>両の頬は垂れ</t>
  </si>
  <si>
    <t>riŏno fôua tare</t>
  </si>
  <si>
    <t xml:space="preserve"> tairacani</t>
  </si>
  <si>
    <t>瞳の先は平らかに，</t>
  </si>
  <si>
    <t>fitomi no ſaqiua tairacani,</t>
  </si>
  <si>
    <t>dete</t>
  </si>
  <si>
    <t>眼はつぼう然も出て</t>
  </si>
  <si>
    <t>manacoua tçubô xicamo dete</t>
  </si>
  <si>
    <t>togari</t>
  </si>
  <si>
    <t>先づ頭は尖り，</t>
  </si>
  <si>
    <t>Mazzu cŏbeua togari</t>
  </si>
  <si>
    <t xml:space="preserve"> qicoyeta</t>
  </si>
  <si>
    <t>と聞こえた</t>
  </si>
  <si>
    <t>to qicoyeta</t>
  </si>
  <si>
    <t>is oru an EX verb in LMJ?</t>
  </si>
  <si>
    <t xml:space="preserve"> vorinacatta</t>
  </si>
  <si>
    <t>醜い者もおりなかった</t>
  </si>
  <si>
    <t>[ſono jidai Europano tencani] minicui mo nomo vorinacatta</t>
  </si>
  <si>
    <t>maſatte</t>
  </si>
  <si>
    <t>Ｅｕｒｏｐａの天下にこの人に勝って</t>
  </si>
  <si>
    <t>[...] cono fitoni maſatte</t>
  </si>
  <si>
    <t>vogiattaga</t>
  </si>
  <si>
    <t>異形不思議な人体がおぢゃったが</t>
  </si>
  <si>
    <t>[Sono ſatoni] yguiŏ fuxiguina jintaiga vogiattaga</t>
  </si>
  <si>
    <t>yŭte</t>
  </si>
  <si>
    <t>その里に名をばＥｓｏｐｏと言うて</t>
  </si>
  <si>
    <t>[...] nauoba Eſopoto yŭte</t>
  </si>
  <si>
    <t>vogiaru</t>
  </si>
  <si>
    <t>ＥＶＲＯＰＡの内Ｐｈｒｉｇｉａと言う国のＴｒｏｉａと言う城裡の近辺にＡｍｏｎｉａと言う里がおぢゃる</t>
  </si>
  <si>
    <t>EVROPA no vchi Phrigiatoyŭ cunino Troia toyŭ jŏrino qinpenni Amoniato yŭ ſatoga vogiaru.</t>
  </si>
  <si>
    <t xml:space="preserve"> Pred Type</t>
  </si>
  <si>
    <t>Esopo</t>
  </si>
  <si>
    <t>Genji</t>
  </si>
  <si>
    <t>Tosa Nikki</t>
  </si>
  <si>
    <t>RD2 (non-LVCs)</t>
  </si>
  <si>
    <t>RD2 (LVCs only)</t>
  </si>
  <si>
    <t>RD2 (overall)</t>
  </si>
  <si>
    <t>LVC Ratio</t>
  </si>
  <si>
    <t>Text</t>
  </si>
  <si>
    <t>RD2=</t>
  </si>
  <si>
    <t>RD2++=</t>
  </si>
  <si>
    <t>VN-J (ACC)</t>
  </si>
  <si>
    <t>shi tsutsu</t>
  </si>
  <si>
    <t>Vinf + su (ACC)</t>
  </si>
  <si>
    <t>monoomoi o zo shi tamau</t>
  </si>
  <si>
    <t>Vinf + su</t>
  </si>
  <si>
    <t>mie shi</t>
  </si>
  <si>
    <t>shi tamau beki</t>
  </si>
  <si>
    <t>go-ran-suru</t>
  </si>
  <si>
    <t>gu shi</t>
  </si>
  <si>
    <t>Predicate Type</t>
  </si>
  <si>
    <t>GM</t>
  </si>
  <si>
    <t>Vinf+su</t>
  </si>
  <si>
    <t>VN-J (REL)</t>
  </si>
  <si>
    <t>Tosa</t>
  </si>
  <si>
    <t>LVC and RD correlation</t>
  </si>
  <si>
    <t>Isopo</t>
  </si>
  <si>
    <t>Heike Chapter 2</t>
  </si>
  <si>
    <t>RD2-=</t>
  </si>
  <si>
    <t>HM Ch2</t>
  </si>
  <si>
    <t>Syntactic Role</t>
  </si>
  <si>
    <t>indicative</t>
  </si>
  <si>
    <t>epistemic</t>
  </si>
  <si>
    <t>desiderative</t>
  </si>
  <si>
    <t>出入りする</t>
  </si>
  <si>
    <t>列なる</t>
  </si>
  <si>
    <t>internally headed</t>
  </si>
  <si>
    <t>Adnominal_Function</t>
  </si>
  <si>
    <t>kakari-musubi</t>
  </si>
  <si>
    <t>complement</t>
  </si>
  <si>
    <t xml:space="preserve">宮中を出入りするは kyūchū o ideiri suru wa </t>
  </si>
  <si>
    <t>(blank)</t>
  </si>
  <si>
    <t>Grand Total</t>
  </si>
  <si>
    <t>verb(complex)</t>
  </si>
  <si>
    <t>verb(compound)</t>
  </si>
  <si>
    <t>verb, copula, adjectival predicate, verb(honorific), verb(passive)</t>
  </si>
  <si>
    <t>new</t>
  </si>
  <si>
    <t>embedded</t>
  </si>
  <si>
    <t>nominalisation</t>
  </si>
  <si>
    <t>frame predicate</t>
  </si>
  <si>
    <t>conjunctive</t>
  </si>
  <si>
    <t>六位を以て云はせられたりければ (to roku-i o motte iwaseraretarikereba)</t>
  </si>
  <si>
    <t>疾う疾う罷り出でよと (tōtō makari ideyo to)</t>
  </si>
  <si>
    <t>これらを由なしとや (korera o yoshi nashi to ya)</t>
  </si>
  <si>
    <t>思はれけん (omowareken)</t>
  </si>
  <si>
    <t>囃されける (to zo hayasarekeru)</t>
  </si>
  <si>
    <t>伊勢へいじはすがめなりけりとぞ (Ise heiji wa sugame narikeri)</t>
  </si>
  <si>
    <t>かやうには囃されけるなれ  (kayō ni wa hayasarekeru nare)</t>
  </si>
  <si>
    <t>その上忠盛目の眇まれたりける故にこそ (sono ue Tadamori me no sugamaretari keru yue ni koso)</t>
  </si>
  <si>
    <t>さていかが候ひつると (sate ikaga soroitsuru to)</t>
  </si>
  <si>
    <t>申されければ (mōsarekeru ba)</t>
  </si>
  <si>
    <t xml:space="preserve">やがて殿上までも斬り上らんずる  yagate tenjō made mo kiriagaranzuru </t>
  </si>
  <si>
    <t>云ひつるほどならば (iitsuru hodo naraba)</t>
  </si>
  <si>
    <t>囃されける (hayasarekeru)</t>
  </si>
  <si>
    <t>いかなる人の漆塗りけんとぞ (ikanaru hito no urushinuriken to zo )</t>
  </si>
  <si>
    <t>囃されける hayasarekeru</t>
  </si>
  <si>
    <t>これも五節には播磨の米は木賊か椋の葉か人の綺羅を磨くはとぞ (kore mo gosechi ni wa Harima no kome wa tokusa ka mukuno ha ka hito no kira o migaku wa to zo)</t>
  </si>
  <si>
    <t>それ雄剣を帯して (sore yūken o tai shitei)</t>
  </si>
  <si>
    <t>忠盛を召して (Tadamori o meshite)</t>
  </si>
  <si>
    <t>御尋ねあり o-tazune ari</t>
  </si>
  <si>
    <t>忠盛には知らせずして Tadamori ni wa shirasazu shite</t>
  </si>
  <si>
    <t>その恥を助けんが為に (sono haji o tasuken ga tame ni)</t>
  </si>
  <si>
    <t>not sure if I should treat this as a nominal or verbal predicate or whether there is predication at all</t>
  </si>
  <si>
    <t>密かに参候の条 (hisoka ni sankō no jō)</t>
  </si>
  <si>
    <t>力及ばざる chikara oyobazaru</t>
  </si>
  <si>
    <t>かの刀を召し出でて (kano katana o meshi-idete)</t>
  </si>
  <si>
    <t>この儀尤も然るべしとて (kono gi motto mo shikarubeshi tote)</t>
  </si>
  <si>
    <t xml:space="preserve">刀を帯する katana o taisuru </t>
  </si>
  <si>
    <t>当座の恥辱を遁れんが為に (tōza no chijoku o nogaren ga tame ni)</t>
  </si>
  <si>
    <t>忠盛が咎にはあらずとて (Tadamori ga toga ni wa arazu tote)</t>
  </si>
  <si>
    <t>敢へて罪科の沙汰はなかりけり aete tsumikado no sata wa nakarikeri</t>
  </si>
  <si>
    <t>却つて叡感に預かりし上は (kaette eikan ni azukarishi ue wa)</t>
  </si>
  <si>
    <t>Sum of RD2</t>
  </si>
  <si>
    <t>1. RD vs argument realisation and structure</t>
  </si>
  <si>
    <t>2. Exaltation and pro-drop</t>
  </si>
  <si>
    <t>Count of Clause_ID</t>
  </si>
  <si>
    <t>1.1 RD and overt vs omitted arguments</t>
  </si>
  <si>
    <t>2.1 Exaltation vs Arg Type</t>
  </si>
  <si>
    <t>Pivot 7: RD2  × Exaltation_Present</t>
  </si>
  <si>
    <t>3. Clause linking, topics, and argument behaviour</t>
  </si>
  <si>
    <t>Prev_Clause_Type</t>
  </si>
  <si>
    <t>Next_Switch_Ref</t>
  </si>
  <si>
    <t/>
  </si>
  <si>
    <t>3.1 Clause_Type vs Switch_Ref</t>
  </si>
  <si>
    <t>3.2 Clause_Type vs Subject_Class / Topic_Status</t>
  </si>
  <si>
    <t>Average of RD2</t>
  </si>
  <si>
    <t>Subject_Zero</t>
  </si>
  <si>
    <t>Yes</t>
  </si>
  <si>
    <t>No</t>
  </si>
  <si>
    <t>non-LVC</t>
  </si>
  <si>
    <t>3.3 LVC vs RD</t>
  </si>
  <si>
    <t>Field35</t>
  </si>
  <si>
    <t>LVC vs transitivity (contrary to my expectations)</t>
  </si>
  <si>
    <t>Values</t>
  </si>
  <si>
    <t>Total Average of RD2</t>
  </si>
  <si>
    <t>Total Count of Clause_ID</t>
  </si>
  <si>
    <t>1.1 RD and overt vs Cluase Type / Subjects</t>
  </si>
  <si>
    <t>1.2 RD and overt vs Cluase Type / Objects</t>
  </si>
  <si>
    <t>Te_Position</t>
  </si>
  <si>
    <t>te_medial</t>
  </si>
  <si>
    <t>HeikeCh2</t>
  </si>
  <si>
    <t>Sentence_ID</t>
  </si>
  <si>
    <t>Next_Clause_Type</t>
  </si>
  <si>
    <t>Is_ChainClause</t>
  </si>
  <si>
    <t>Chain_Index_In_Sentence</t>
  </si>
  <si>
    <t>Is_First_ChainClause</t>
  </si>
  <si>
    <r>
      <t>Within a sentence (or clause chain), </t>
    </r>
    <r>
      <rPr>
        <b/>
        <sz val="11"/>
        <color rgb="FF000000"/>
        <rFont val="Calibri"/>
        <family val="2"/>
        <scheme val="minor"/>
      </rPr>
      <t>the first clause that “opens” the unit</t>
    </r>
    <r>
      <rPr>
        <sz val="14"/>
        <color rgb="FF000000"/>
        <rFont val="-webkit-standard"/>
      </rPr>
      <t> tends to carry more overt NPs (re-)introducing referents, while later clauses (including the main clause) exploit continuity and allow pro-drop.</t>
    </r>
  </si>
  <si>
    <t>Count of HeikeCh2</t>
  </si>
  <si>
    <t>Sub</t>
  </si>
  <si>
    <t>Obj</t>
  </si>
  <si>
    <t>61% (17)</t>
  </si>
  <si>
    <t>In Heike Ch.2, the first chain clause of a sentence is more likely to overtly anchor participants: subjects are overt in 61% vs 42% of non-first clauses, and, conditional on an object position being available, objects are overt in 85% vs 76%.”</t>
  </si>
  <si>
    <t>85% (11)</t>
  </si>
  <si>
    <t>76% (45)</t>
  </si>
  <si>
    <t>42% (52)</t>
  </si>
  <si>
    <t>Next_Object_Classt</t>
  </si>
  <si>
    <t>Next_Subject_Classt</t>
  </si>
  <si>
    <t>Drop_Subject (overt → zero in next clause)</t>
  </si>
  <si>
    <t>Drop_Object (overt → zero in next clause)</t>
  </si>
  <si>
    <t>(All)</t>
  </si>
  <si>
    <t>(Multiple Items)</t>
  </si>
  <si>
    <t>Restricting to same-subject transitions (ss), subject drop in the following clause is substantially more frequent after the first chain clause of a sentence (6/11, 55%) than after later chain clauses (14/63, 22%). This supports the hypothesis that initial clauses preferentially introduce or re-anchor discourse participants, which can then be omitted under continuity in subsequent clauses. Subject drop in the following clause is strongly sensitive to clause position and switch-reference. Restricting to same-subject transitions (ss), drop is substantially more frequent after the first chain clause of a sentence (6/11, 54.5%) than after later clauses (14/63, 22.2%). By contrast, under subject-switch transitions (ds), drop is less frequent after the first chain clause (2/17, 11.8%) than after later clauses (13/59, 22.0%). This pattern supports an ‘initial anchoring’ account: early clauses preferentially establish discourse participants overtly, which can then be omitted under continuity, whereas subject-switch contexts favour overt re-anchoring.</t>
  </si>
  <si>
    <t>Total Count of HeikeCh2</t>
  </si>
  <si>
    <t>Total Count of HeikeCh2_2</t>
  </si>
  <si>
    <t>Count of HeikeCh2_2</t>
  </si>
  <si>
    <t>N</t>
  </si>
  <si>
    <t>RD2 Average</t>
  </si>
  <si>
    <t>Total Count of Clause_ID2</t>
  </si>
  <si>
    <t>Count of Clause_ID2</t>
  </si>
  <si>
    <t>B. Discourse-status conditioning beyond Topic_Status</t>
  </si>
  <si>
    <t>Total Sum of V-ARG-Ø-ARG</t>
  </si>
  <si>
    <t>Sum of V-ARG-Ø-ARG</t>
  </si>
  <si>
    <t>C. Is the exaltation effect construction-driven?</t>
  </si>
  <si>
    <t>D. Morphology and targeting</t>
  </si>
  <si>
    <t>1) Mechanism check: does LVC correlate with more zero arguments?</t>
  </si>
  <si>
    <t>1a. LVC × Subject_Class (transitives only)</t>
  </si>
  <si>
    <t>1b. LVC × Object_Class (transitives only; object-position available)</t>
  </si>
  <si>
    <t>2) Clause-type confound check: are LVCs concentrated in te / subordinate environments?</t>
  </si>
  <si>
    <t>3) LVC × chain position (chain-initial vs non-initial)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</si>
</sst>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font>
      <sz val="11"/>
      <color theme="1"/>
      <name val="Calibri"/>
      <family val="2"/>
      <scheme val="minor"/>
    </font>
    <font>
      <sz val="12"/>
      <color theme="1"/>
      <name val="Calibri"/>
      <family val="2"/>
      <scheme val="minor"/>
    </font>
    <font>
      <b/>
      <sz val="11"/>
      <color theme="1"/>
      <name val="Calibri"/>
      <family val="2"/>
      <scheme val="minor"/>
    </font>
    <font>
      <b/>
      <sz val="10"/>
      <color rgb="FF000000"/>
      <name val="Arial Unicode MS"/>
      <family val="2"/>
    </font>
    <font>
      <sz val="11"/>
      <color rgb="FF000000"/>
      <name val="Calibri"/>
      <family val="2"/>
      <scheme val="minor"/>
    </font>
    <font>
      <sz val="11"/>
      <color rgb="FFFF0000"/>
      <name val="Calibri"/>
      <family val="2"/>
      <scheme val="minor"/>
    </font>
    <font>
      <b/>
      <sz val="10"/>
      <color rgb="FF000000"/>
      <name val="Courier New"/>
      <family val="1"/>
    </font>
    <font>
      <sz val="8"/>
      <name val="Calibri"/>
      <family val="2"/>
      <scheme val="minor"/>
    </font>
    <font>
      <sz val="12"/>
      <color rgb="FFFF0000"/>
      <name val="Calibri"/>
      <family val="2"/>
      <scheme val="minor"/>
    </font>
    <font>
      <sz val="12"/>
      <color rgb="FF000000"/>
      <name val="Calibri"/>
      <family val="2"/>
    </font>
    <font>
      <sz val="12"/>
      <color rgb="FF000000"/>
      <name val="-webkit-standard"/>
    </font>
    <font>
      <sz val="12"/>
      <color rgb="FF000000"/>
      <name val="Times New Roman"/>
      <family val="1"/>
    </font>
    <font>
      <sz val="12"/>
      <color rgb="FF000000"/>
      <name val="Calibri"/>
      <family val="2"/>
      <scheme val="minor"/>
    </font>
    <font>
      <sz val="12"/>
      <color theme="1"/>
      <name val="Calibri"/>
      <family val="2"/>
    </font>
    <font>
      <sz val="14"/>
      <color rgb="FF000000"/>
      <name val="-webkit-standard"/>
    </font>
    <font>
      <sz val="12"/>
      <color rgb="FFFF0000"/>
      <name val="Calibri"/>
      <family val="2"/>
    </font>
    <font>
      <b/>
      <sz val="10"/>
      <color rgb="FF000000"/>
      <name val="Helvetica Neue"/>
      <family val="2"/>
    </font>
    <font>
      <sz val="10"/>
      <color rgb="FF000000"/>
      <name val="Helvetica Neue"/>
      <family val="2"/>
    </font>
    <font>
      <b/>
      <sz val="14"/>
      <color rgb="FF000000"/>
      <name val="-webkit-standard"/>
    </font>
    <font>
      <b/>
      <sz val="14"/>
      <color rgb="FF000000"/>
      <name val="Times New Roman"/>
      <family val="1"/>
    </font>
    <font>
      <sz val="11"/>
      <color theme="1"/>
      <name val="Calibri"/>
      <family val="2"/>
      <scheme val="minor"/>
    </font>
    <font>
      <b/>
      <sz val="20"/>
      <color theme="1"/>
      <name val="Calibri"/>
      <family val="2"/>
      <scheme val="minor"/>
    </font>
    <font>
      <sz val="10"/>
      <color rgb="FF000000"/>
      <name val="Arial Unicode MS"/>
      <family val="2"/>
    </font>
    <font>
      <b/>
      <sz val="11"/>
      <color rgb="FF000000"/>
      <name val="Calibri"/>
      <family val="2"/>
      <scheme val="minor"/>
    </font>
    <font>
      <b/>
      <sz val="12"/>
      <color rgb="FF000000"/>
      <name val="Calibri"/>
      <family val="2"/>
    </font>
  </fonts>
  <fills count="34">
    <fill>
      <patternFill patternType="none"/>
    </fill>
    <fill>
      <patternFill patternType="gray125"/>
    </fill>
    <fill>
      <patternFill patternType="solid">
        <fgColor theme="0" tint="-0.14999847407452621"/>
        <bgColor indexed="64"/>
      </patternFill>
    </fill>
    <fill>
      <patternFill patternType="solid">
        <fgColor theme="3" tint="0.39997558519241921"/>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D9D9D9"/>
        <bgColor rgb="FF000000"/>
      </patternFill>
    </fill>
    <fill>
      <patternFill patternType="solid">
        <fgColor rgb="FFC4BD97"/>
        <bgColor rgb="FF000000"/>
      </patternFill>
    </fill>
    <fill>
      <patternFill patternType="solid">
        <fgColor rgb="FF538DD5"/>
        <bgColor rgb="FF000000"/>
      </patternFill>
    </fill>
    <fill>
      <patternFill patternType="solid">
        <fgColor rgb="FF8DB4E2"/>
        <bgColor rgb="FF000000"/>
      </patternFill>
    </fill>
    <fill>
      <patternFill patternType="solid">
        <fgColor rgb="FFC5D9F1"/>
        <bgColor rgb="FF000000"/>
      </patternFill>
    </fill>
    <fill>
      <patternFill patternType="solid">
        <fgColor rgb="FFDA9694"/>
        <bgColor rgb="FF000000"/>
      </patternFill>
    </fill>
    <fill>
      <patternFill patternType="solid">
        <fgColor rgb="FFC4D79B"/>
        <bgColor rgb="FF000000"/>
      </patternFill>
    </fill>
    <fill>
      <patternFill patternType="solid">
        <fgColor rgb="FFD8E4BC"/>
        <bgColor rgb="FF000000"/>
      </patternFill>
    </fill>
    <fill>
      <patternFill patternType="solid">
        <fgColor rgb="FFB1A0C7"/>
        <bgColor rgb="FF000000"/>
      </patternFill>
    </fill>
    <fill>
      <patternFill patternType="solid">
        <fgColor rgb="FF92CDDC"/>
        <bgColor rgb="FF000000"/>
      </patternFill>
    </fill>
    <fill>
      <patternFill patternType="solid">
        <fgColor theme="9" tint="0.7999816888943144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0"/>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rgb="FF00B0F0"/>
        <bgColor indexed="64"/>
      </patternFill>
    </fill>
    <fill>
      <patternFill patternType="solid">
        <fgColor theme="7" tint="0.79998168889431442"/>
        <bgColor indexed="64"/>
      </patternFill>
    </fill>
    <fill>
      <patternFill patternType="solid">
        <fgColor rgb="FFC00000"/>
        <bgColor indexed="64"/>
      </patternFill>
    </fill>
    <fill>
      <patternFill patternType="solid">
        <fgColor theme="1" tint="4.9989318521683403E-2"/>
        <bgColor indexed="64"/>
      </patternFill>
    </fill>
    <fill>
      <patternFill patternType="solid">
        <fgColor theme="4" tint="0.79998168889431442"/>
        <bgColor theme="4" tint="0.79998168889431442"/>
      </patternFill>
    </fill>
    <fill>
      <patternFill patternType="solid">
        <fgColor theme="5"/>
        <bgColor indexed="64"/>
      </patternFill>
    </fill>
  </fills>
  <borders count="29">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thin">
        <color auto="1"/>
      </right>
      <top style="thin">
        <color auto="1"/>
      </top>
      <bottom style="thin">
        <color auto="1"/>
      </bottom>
      <diagonal/>
    </border>
    <border>
      <left/>
      <right style="thin">
        <color indexed="64"/>
      </right>
      <top style="thin">
        <color indexed="64"/>
      </top>
      <bottom style="thin">
        <color indexed="64"/>
      </bottom>
      <diagonal/>
    </border>
    <border>
      <left style="medium">
        <color indexed="64"/>
      </left>
      <right style="thin">
        <color auto="1"/>
      </right>
      <top style="thin">
        <color auto="1"/>
      </top>
      <bottom/>
      <diagonal/>
    </border>
    <border>
      <left/>
      <right/>
      <top style="medium">
        <color indexed="64"/>
      </top>
      <bottom style="medium">
        <color indexed="64"/>
      </bottom>
      <diagonal/>
    </border>
    <border>
      <left style="thin">
        <color auto="1"/>
      </left>
      <right style="thin">
        <color auto="1"/>
      </right>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top style="medium">
        <color indexed="64"/>
      </top>
      <bottom style="medium">
        <color indexed="64"/>
      </bottom>
      <diagonal/>
    </border>
    <border>
      <left/>
      <right style="thin">
        <color auto="1"/>
      </right>
      <top style="medium">
        <color indexed="64"/>
      </top>
      <bottom style="medium">
        <color indexed="64"/>
      </bottom>
      <diagonal/>
    </border>
    <border>
      <left/>
      <right/>
      <top/>
      <bottom style="medium">
        <color indexed="64"/>
      </bottom>
      <diagonal/>
    </border>
    <border>
      <left style="medium">
        <color indexed="64"/>
      </left>
      <right/>
      <top/>
      <bottom style="medium">
        <color indexed="64"/>
      </bottom>
      <diagonal/>
    </border>
    <border>
      <left style="medium">
        <color indexed="64"/>
      </left>
      <right style="thin">
        <color auto="1"/>
      </right>
      <top/>
      <bottom style="thin">
        <color auto="1"/>
      </bottom>
      <diagonal/>
    </border>
    <border>
      <left style="thin">
        <color auto="1"/>
      </left>
      <right/>
      <top/>
      <bottom style="thin">
        <color auto="1"/>
      </bottom>
      <diagonal/>
    </border>
    <border>
      <left/>
      <right/>
      <top style="thin">
        <color indexed="64"/>
      </top>
      <bottom style="thin">
        <color indexed="64"/>
      </bottom>
      <diagonal/>
    </border>
    <border>
      <left/>
      <right style="thin">
        <color auto="1"/>
      </right>
      <top/>
      <bottom style="thin">
        <color auto="1"/>
      </bottom>
      <diagonal/>
    </border>
    <border>
      <left/>
      <right style="thin">
        <color auto="1"/>
      </right>
      <top/>
      <bottom/>
      <diagonal/>
    </border>
    <border>
      <left style="thin">
        <color indexed="64"/>
      </left>
      <right/>
      <top/>
      <bottom/>
      <diagonal/>
    </border>
    <border>
      <left/>
      <right/>
      <top/>
      <bottom style="thin">
        <color theme="4" tint="0.39997558519241921"/>
      </bottom>
      <diagonal/>
    </border>
    <border>
      <left style="thin">
        <color auto="1"/>
      </left>
      <right style="medium">
        <color indexed="64"/>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s>
  <cellStyleXfs count="4">
    <xf numFmtId="0" fontId="0" fillId="0" borderId="0"/>
    <xf numFmtId="0" fontId="1" fillId="0" borderId="0"/>
    <xf numFmtId="9" fontId="1" fillId="0" borderId="0" applyFont="0" applyFill="0" applyBorder="0" applyAlignment="0" applyProtection="0"/>
    <xf numFmtId="9" fontId="20" fillId="0" borderId="0" applyFont="0" applyFill="0" applyBorder="0" applyAlignment="0" applyProtection="0"/>
  </cellStyleXfs>
  <cellXfs count="205">
    <xf numFmtId="0" fontId="0" fillId="0" borderId="0" xfId="0"/>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3" fillId="0" borderId="0" xfId="0" applyFont="1"/>
    <xf numFmtId="0" fontId="0" fillId="2" borderId="1" xfId="0" applyFill="1" applyBorder="1"/>
    <xf numFmtId="0" fontId="0" fillId="6" borderId="1" xfId="0" applyFill="1" applyBorder="1"/>
    <xf numFmtId="0" fontId="0" fillId="3" borderId="1" xfId="0" applyFill="1" applyBorder="1"/>
    <xf numFmtId="0" fontId="0" fillId="4" borderId="1" xfId="0" applyFill="1" applyBorder="1"/>
    <xf numFmtId="0" fontId="0" fillId="5" borderId="1" xfId="0" applyFill="1" applyBorder="1"/>
    <xf numFmtId="0" fontId="0" fillId="7" borderId="1" xfId="0" applyFill="1" applyBorder="1"/>
    <xf numFmtId="0" fontId="0" fillId="8" borderId="1" xfId="0" applyFill="1" applyBorder="1"/>
    <xf numFmtId="0" fontId="0" fillId="9" borderId="1" xfId="0" applyFill="1" applyBorder="1"/>
    <xf numFmtId="0" fontId="2" fillId="2" borderId="2" xfId="0" applyFont="1" applyFill="1" applyBorder="1" applyAlignment="1">
      <alignment horizontal="center" vertical="top"/>
    </xf>
    <xf numFmtId="0" fontId="2" fillId="2" borderId="3" xfId="0" applyFont="1" applyFill="1" applyBorder="1" applyAlignment="1">
      <alignment horizontal="center" vertical="top"/>
    </xf>
    <xf numFmtId="0" fontId="2" fillId="6" borderId="3" xfId="0" applyFont="1" applyFill="1" applyBorder="1" applyAlignment="1">
      <alignment horizontal="center" vertical="top"/>
    </xf>
    <xf numFmtId="0" fontId="2" fillId="3" borderId="3" xfId="0" applyFont="1" applyFill="1" applyBorder="1" applyAlignment="1">
      <alignment horizontal="center" vertical="top"/>
    </xf>
    <xf numFmtId="0" fontId="2" fillId="4" borderId="3" xfId="0" applyFont="1" applyFill="1" applyBorder="1" applyAlignment="1">
      <alignment horizontal="center" vertical="top"/>
    </xf>
    <xf numFmtId="0" fontId="2" fillId="5" borderId="3" xfId="0" applyFont="1" applyFill="1" applyBorder="1" applyAlignment="1">
      <alignment horizontal="center" vertical="top"/>
    </xf>
    <xf numFmtId="0" fontId="2" fillId="7" borderId="3" xfId="0" applyFont="1" applyFill="1" applyBorder="1" applyAlignment="1">
      <alignment horizontal="center" vertical="top"/>
    </xf>
    <xf numFmtId="0" fontId="2" fillId="8" borderId="3" xfId="0" applyFont="1" applyFill="1" applyBorder="1" applyAlignment="1">
      <alignment horizontal="center" vertical="top"/>
    </xf>
    <xf numFmtId="0" fontId="2" fillId="9" borderId="3" xfId="0" applyFont="1" applyFill="1" applyBorder="1" applyAlignment="1">
      <alignment horizontal="center" vertical="top"/>
    </xf>
    <xf numFmtId="0" fontId="0" fillId="2" borderId="4" xfId="0" applyFill="1" applyBorder="1"/>
    <xf numFmtId="0" fontId="5" fillId="6" borderId="1" xfId="0" applyFont="1" applyFill="1" applyBorder="1"/>
    <xf numFmtId="0" fontId="2" fillId="11" borderId="3" xfId="0" applyFont="1" applyFill="1" applyBorder="1" applyAlignment="1">
      <alignment horizontal="center" vertical="top"/>
    </xf>
    <xf numFmtId="0" fontId="0" fillId="11" borderId="1" xfId="0" applyFill="1" applyBorder="1"/>
    <xf numFmtId="0" fontId="0" fillId="11" borderId="0" xfId="0" applyFill="1"/>
    <xf numFmtId="0" fontId="0" fillId="0" borderId="0" xfId="0" applyAlignment="1">
      <alignment horizontal="left" vertical="center" indent="1"/>
    </xf>
    <xf numFmtId="0" fontId="6" fillId="0" borderId="0" xfId="0" applyFont="1" applyAlignment="1">
      <alignment horizontal="left" vertical="center" indent="1"/>
    </xf>
    <xf numFmtId="0" fontId="4" fillId="0" borderId="0" xfId="0" applyFont="1"/>
    <xf numFmtId="0" fontId="5" fillId="9" borderId="1" xfId="0" applyFont="1" applyFill="1" applyBorder="1"/>
    <xf numFmtId="0" fontId="5" fillId="3" borderId="1" xfId="0" applyFont="1" applyFill="1" applyBorder="1"/>
    <xf numFmtId="0" fontId="5" fillId="4" borderId="1" xfId="0" applyFont="1" applyFill="1" applyBorder="1"/>
    <xf numFmtId="0" fontId="4" fillId="12" borderId="5" xfId="0" applyFont="1" applyFill="1" applyBorder="1"/>
    <xf numFmtId="0" fontId="4" fillId="13" borderId="5" xfId="0" applyFont="1" applyFill="1" applyBorder="1"/>
    <xf numFmtId="0" fontId="4" fillId="14" borderId="5" xfId="0" applyFont="1" applyFill="1" applyBorder="1"/>
    <xf numFmtId="0" fontId="4" fillId="15" borderId="5" xfId="0" applyFont="1" applyFill="1" applyBorder="1"/>
    <xf numFmtId="0" fontId="4" fillId="16" borderId="5" xfId="0" applyFont="1" applyFill="1" applyBorder="1"/>
    <xf numFmtId="0" fontId="4" fillId="17" borderId="5" xfId="0" applyFont="1" applyFill="1" applyBorder="1"/>
    <xf numFmtId="0" fontId="4" fillId="18" borderId="5" xfId="0" applyFont="1" applyFill="1" applyBorder="1"/>
    <xf numFmtId="0" fontId="4" fillId="19" borderId="5" xfId="0" applyFont="1" applyFill="1" applyBorder="1"/>
    <xf numFmtId="0" fontId="4" fillId="20" borderId="5" xfId="0" applyFont="1" applyFill="1" applyBorder="1"/>
    <xf numFmtId="0" fontId="5" fillId="2" borderId="1" xfId="0" applyFont="1" applyFill="1" applyBorder="1"/>
    <xf numFmtId="0" fontId="5" fillId="8" borderId="1" xfId="0" applyFont="1" applyFill="1" applyBorder="1"/>
    <xf numFmtId="0" fontId="0" fillId="2" borderId="6" xfId="0" applyFill="1" applyBorder="1"/>
    <xf numFmtId="0" fontId="4" fillId="12" borderId="2" xfId="0" applyFont="1" applyFill="1" applyBorder="1"/>
    <xf numFmtId="0" fontId="0" fillId="2" borderId="3" xfId="0" applyFill="1" applyBorder="1"/>
    <xf numFmtId="0" fontId="0" fillId="6" borderId="3" xfId="0" applyFill="1" applyBorder="1"/>
    <xf numFmtId="0" fontId="0" fillId="3" borderId="3" xfId="0" applyFill="1" applyBorder="1"/>
    <xf numFmtId="0" fontId="0" fillId="4" borderId="3" xfId="0" applyFill="1" applyBorder="1"/>
    <xf numFmtId="0" fontId="0" fillId="5" borderId="3" xfId="0" applyFill="1" applyBorder="1"/>
    <xf numFmtId="0" fontId="0" fillId="7" borderId="3" xfId="0" applyFill="1" applyBorder="1"/>
    <xf numFmtId="0" fontId="0" fillId="8" borderId="3" xfId="0" applyFill="1" applyBorder="1"/>
    <xf numFmtId="0" fontId="0" fillId="9" borderId="3" xfId="0" applyFill="1" applyBorder="1"/>
    <xf numFmtId="0" fontId="0" fillId="6" borderId="8" xfId="0" applyFill="1" applyBorder="1"/>
    <xf numFmtId="0" fontId="0" fillId="3" borderId="8" xfId="0" applyFill="1" applyBorder="1"/>
    <xf numFmtId="0" fontId="0" fillId="4" borderId="8" xfId="0" applyFill="1" applyBorder="1"/>
    <xf numFmtId="0" fontId="0" fillId="5" borderId="8" xfId="0" applyFill="1" applyBorder="1"/>
    <xf numFmtId="0" fontId="0" fillId="7" borderId="8" xfId="0" applyFill="1" applyBorder="1"/>
    <xf numFmtId="0" fontId="0" fillId="8" borderId="8" xfId="0" applyFill="1" applyBorder="1"/>
    <xf numFmtId="0" fontId="0" fillId="11" borderId="8" xfId="0" applyFill="1" applyBorder="1"/>
    <xf numFmtId="0" fontId="0" fillId="9" borderId="8" xfId="0" applyFill="1" applyBorder="1"/>
    <xf numFmtId="0" fontId="0" fillId="8" borderId="9" xfId="0" applyFill="1" applyBorder="1"/>
    <xf numFmtId="0" fontId="0" fillId="8" borderId="10" xfId="0" applyFill="1" applyBorder="1"/>
    <xf numFmtId="0" fontId="0" fillId="11" borderId="10" xfId="0" applyFill="1" applyBorder="1"/>
    <xf numFmtId="0" fontId="0" fillId="9" borderId="10" xfId="0" applyFill="1" applyBorder="1"/>
    <xf numFmtId="0" fontId="0" fillId="6" borderId="10" xfId="0" applyFill="1" applyBorder="1"/>
    <xf numFmtId="0" fontId="2" fillId="6" borderId="12" xfId="0" applyFont="1" applyFill="1" applyBorder="1" applyAlignment="1">
      <alignment horizontal="center" vertical="top"/>
    </xf>
    <xf numFmtId="0" fontId="0" fillId="6" borderId="5" xfId="0" applyFill="1" applyBorder="1"/>
    <xf numFmtId="0" fontId="0" fillId="22" borderId="0" xfId="0" applyFill="1"/>
    <xf numFmtId="0" fontId="0" fillId="24" borderId="0" xfId="0" applyFill="1"/>
    <xf numFmtId="0" fontId="0" fillId="26" borderId="0" xfId="0" applyFill="1"/>
    <xf numFmtId="0" fontId="0" fillId="27" borderId="0" xfId="0" applyFill="1"/>
    <xf numFmtId="0" fontId="1" fillId="0" borderId="0" xfId="1"/>
    <xf numFmtId="0" fontId="9" fillId="0" borderId="0" xfId="1" applyFont="1"/>
    <xf numFmtId="2" fontId="1" fillId="23" borderId="0" xfId="1" applyNumberFormat="1" applyFill="1"/>
    <xf numFmtId="2" fontId="1" fillId="25" borderId="0" xfId="1" applyNumberFormat="1" applyFill="1"/>
    <xf numFmtId="0" fontId="1" fillId="27" borderId="0" xfId="1" applyFill="1"/>
    <xf numFmtId="0" fontId="1" fillId="26" borderId="0" xfId="1" applyFill="1"/>
    <xf numFmtId="0" fontId="1" fillId="24" borderId="0" xfId="1" applyFill="1"/>
    <xf numFmtId="0" fontId="1" fillId="22" borderId="0" xfId="1" applyFill="1"/>
    <xf numFmtId="0" fontId="1" fillId="0" borderId="13" xfId="1" applyBorder="1"/>
    <xf numFmtId="0" fontId="10" fillId="0" borderId="14" xfId="1" applyFont="1" applyBorder="1"/>
    <xf numFmtId="0" fontId="11" fillId="0" borderId="0" xfId="1" applyFont="1" applyAlignment="1">
      <alignment vertical="center"/>
    </xf>
    <xf numFmtId="0" fontId="12" fillId="0" borderId="0" xfId="1" applyFont="1"/>
    <xf numFmtId="0" fontId="8" fillId="0" borderId="0" xfId="1" applyFont="1"/>
    <xf numFmtId="0" fontId="13" fillId="0" borderId="0" xfId="1" applyFont="1" applyAlignment="1">
      <alignment vertical="center"/>
    </xf>
    <xf numFmtId="0" fontId="14" fillId="0" borderId="0" xfId="1" applyFont="1"/>
    <xf numFmtId="0" fontId="15" fillId="0" borderId="0" xfId="1" applyFont="1"/>
    <xf numFmtId="0" fontId="13" fillId="0" borderId="0" xfId="1" applyFont="1"/>
    <xf numFmtId="2" fontId="1" fillId="0" borderId="0" xfId="1" applyNumberFormat="1"/>
    <xf numFmtId="9" fontId="0" fillId="0" borderId="0" xfId="2" applyFont="1"/>
    <xf numFmtId="0" fontId="16" fillId="0" borderId="0" xfId="1" applyFont="1"/>
    <xf numFmtId="0" fontId="17" fillId="0" borderId="0" xfId="1" applyFont="1"/>
    <xf numFmtId="0" fontId="1" fillId="23" borderId="0" xfId="1" applyFill="1"/>
    <xf numFmtId="0" fontId="1" fillId="28" borderId="0" xfId="1" applyFill="1"/>
    <xf numFmtId="0" fontId="0" fillId="2" borderId="10" xfId="0" applyFill="1" applyBorder="1"/>
    <xf numFmtId="0" fontId="0" fillId="2" borderId="15" xfId="0" applyFill="1" applyBorder="1"/>
    <xf numFmtId="0" fontId="0" fillId="3" borderId="10" xfId="0" applyFill="1" applyBorder="1"/>
    <xf numFmtId="0" fontId="0" fillId="4" borderId="10" xfId="0" applyFill="1" applyBorder="1"/>
    <xf numFmtId="0" fontId="0" fillId="5" borderId="10" xfId="0" applyFill="1" applyBorder="1"/>
    <xf numFmtId="0" fontId="0" fillId="7" borderId="10" xfId="0" applyFill="1" applyBorder="1"/>
    <xf numFmtId="0" fontId="2" fillId="2" borderId="11" xfId="0" applyFont="1" applyFill="1" applyBorder="1" applyAlignment="1">
      <alignment horizontal="center" vertical="top"/>
    </xf>
    <xf numFmtId="0" fontId="0" fillId="2" borderId="16" xfId="0" applyFill="1" applyBorder="1"/>
    <xf numFmtId="0" fontId="0" fillId="2" borderId="9" xfId="0" applyFill="1" applyBorder="1"/>
    <xf numFmtId="0" fontId="4" fillId="12" borderId="17" xfId="0" applyFont="1" applyFill="1" applyBorder="1"/>
    <xf numFmtId="0" fontId="0" fillId="2" borderId="11" xfId="0" applyFill="1" applyBorder="1"/>
    <xf numFmtId="0" fontId="0" fillId="6" borderId="18" xfId="0" applyFill="1" applyBorder="1"/>
    <xf numFmtId="0" fontId="5" fillId="6" borderId="5" xfId="0" applyFont="1" applyFill="1" applyBorder="1"/>
    <xf numFmtId="0" fontId="0" fillId="6" borderId="19" xfId="0" applyFill="1" applyBorder="1"/>
    <xf numFmtId="0" fontId="0" fillId="6" borderId="12" xfId="0" applyFill="1" applyBorder="1"/>
    <xf numFmtId="0" fontId="2" fillId="6" borderId="3" xfId="0" applyFont="1" applyFill="1" applyBorder="1"/>
    <xf numFmtId="0" fontId="2" fillId="0" borderId="7" xfId="0" applyFont="1" applyBorder="1"/>
    <xf numFmtId="0" fontId="0" fillId="0" borderId="0" xfId="0" pivotButton="1"/>
    <xf numFmtId="0" fontId="2" fillId="0" borderId="0" xfId="0" applyFont="1"/>
    <xf numFmtId="0" fontId="4" fillId="20" borderId="8" xfId="0" applyFont="1" applyFill="1" applyBorder="1"/>
    <xf numFmtId="0" fontId="2" fillId="26" borderId="7" xfId="0" applyFont="1" applyFill="1" applyBorder="1"/>
    <xf numFmtId="0" fontId="14" fillId="0" borderId="0" xfId="0" applyFont="1"/>
    <xf numFmtId="0" fontId="18" fillId="0" borderId="0" xfId="0" applyFont="1"/>
    <xf numFmtId="0" fontId="0" fillId="29" borderId="1" xfId="0" applyFill="1" applyBorder="1"/>
    <xf numFmtId="0" fontId="0" fillId="29" borderId="0" xfId="0" applyFill="1"/>
    <xf numFmtId="0" fontId="19" fillId="3" borderId="0" xfId="0" applyFont="1" applyFill="1"/>
    <xf numFmtId="0" fontId="2" fillId="10" borderId="11" xfId="0" applyFont="1" applyFill="1" applyBorder="1" applyAlignment="1">
      <alignment horizontal="center" vertical="top"/>
    </xf>
    <xf numFmtId="0" fontId="0" fillId="10" borderId="16" xfId="0" applyFill="1" applyBorder="1"/>
    <xf numFmtId="0" fontId="0" fillId="10" borderId="17" xfId="0" applyFill="1" applyBorder="1"/>
    <xf numFmtId="0" fontId="5" fillId="10" borderId="9" xfId="0" applyFont="1" applyFill="1" applyBorder="1"/>
    <xf numFmtId="0" fontId="0" fillId="10" borderId="9" xfId="0" applyFill="1" applyBorder="1"/>
    <xf numFmtId="0" fontId="4" fillId="21" borderId="17" xfId="0" applyFont="1" applyFill="1" applyBorder="1"/>
    <xf numFmtId="0" fontId="0" fillId="10" borderId="11" xfId="0" applyFill="1" applyBorder="1"/>
    <xf numFmtId="0" fontId="2" fillId="31" borderId="11" xfId="0" applyFont="1" applyFill="1" applyBorder="1"/>
    <xf numFmtId="0" fontId="0" fillId="31" borderId="20" xfId="0" applyFill="1" applyBorder="1"/>
    <xf numFmtId="2" fontId="0" fillId="0" borderId="0" xfId="0" applyNumberFormat="1"/>
    <xf numFmtId="0" fontId="0" fillId="0" borderId="0" xfId="0" applyNumberFormat="1"/>
    <xf numFmtId="9" fontId="0" fillId="0" borderId="0" xfId="0" applyNumberFormat="1"/>
    <xf numFmtId="164" fontId="0" fillId="0" borderId="0" xfId="0" applyNumberFormat="1"/>
    <xf numFmtId="1" fontId="0" fillId="0" borderId="0" xfId="0" applyNumberFormat="1"/>
    <xf numFmtId="1" fontId="0" fillId="7" borderId="0" xfId="0" applyNumberFormat="1" applyFill="1"/>
    <xf numFmtId="9" fontId="0" fillId="0" borderId="0" xfId="3" applyFont="1"/>
    <xf numFmtId="164" fontId="0" fillId="0" borderId="0" xfId="0" pivotButton="1" applyNumberFormat="1"/>
    <xf numFmtId="164" fontId="0" fillId="7" borderId="0" xfId="0" applyNumberFormat="1" applyFill="1"/>
    <xf numFmtId="164" fontId="18" fillId="0" borderId="0" xfId="0" applyNumberFormat="1" applyFont="1"/>
    <xf numFmtId="164" fontId="14" fillId="0" borderId="0" xfId="0" applyNumberFormat="1" applyFont="1"/>
    <xf numFmtId="164" fontId="0" fillId="8" borderId="0" xfId="0" applyNumberFormat="1" applyFill="1"/>
    <xf numFmtId="0" fontId="21" fillId="0" borderId="0" xfId="0" applyFont="1"/>
    <xf numFmtId="0" fontId="0" fillId="0" borderId="1" xfId="0" applyBorder="1"/>
    <xf numFmtId="2" fontId="0" fillId="0" borderId="1" xfId="0" applyNumberFormat="1" applyBorder="1"/>
    <xf numFmtId="164" fontId="0" fillId="0" borderId="1" xfId="0" applyNumberFormat="1" applyBorder="1"/>
    <xf numFmtId="0" fontId="0" fillId="0" borderId="1" xfId="0" applyNumberFormat="1" applyBorder="1"/>
    <xf numFmtId="0" fontId="22" fillId="0" borderId="0" xfId="0" applyFont="1"/>
    <xf numFmtId="0" fontId="2" fillId="29" borderId="11" xfId="0" applyFont="1" applyFill="1" applyBorder="1" applyAlignment="1">
      <alignment horizontal="center" vertical="top"/>
    </xf>
    <xf numFmtId="0" fontId="0" fillId="29" borderId="9" xfId="0" applyFill="1" applyBorder="1"/>
    <xf numFmtId="0" fontId="0" fillId="29" borderId="11" xfId="0" applyFill="1" applyBorder="1"/>
    <xf numFmtId="0" fontId="2" fillId="9" borderId="12" xfId="0" applyFont="1" applyFill="1" applyBorder="1" applyAlignment="1">
      <alignment horizontal="center" vertical="top"/>
    </xf>
    <xf numFmtId="0" fontId="0" fillId="9" borderId="19" xfId="0" applyFill="1" applyBorder="1"/>
    <xf numFmtId="0" fontId="0" fillId="9" borderId="5" xfId="0" applyFill="1" applyBorder="1"/>
    <xf numFmtId="0" fontId="0" fillId="9" borderId="18" xfId="0" applyFill="1" applyBorder="1"/>
    <xf numFmtId="0" fontId="0" fillId="9" borderId="12" xfId="0" applyFill="1" applyBorder="1"/>
    <xf numFmtId="0" fontId="22" fillId="0" borderId="1" xfId="0" applyFont="1" applyBorder="1"/>
    <xf numFmtId="0" fontId="2" fillId="32" borderId="1" xfId="0" applyFont="1" applyFill="1" applyBorder="1"/>
    <xf numFmtId="17" fontId="0" fillId="0" borderId="1" xfId="0" applyNumberFormat="1" applyBorder="1"/>
    <xf numFmtId="0" fontId="4" fillId="0" borderId="1" xfId="0" applyFont="1" applyBorder="1"/>
    <xf numFmtId="9" fontId="4" fillId="0" borderId="1" xfId="0" applyNumberFormat="1" applyFont="1" applyBorder="1"/>
    <xf numFmtId="9" fontId="0" fillId="0" borderId="1" xfId="0" applyNumberFormat="1" applyBorder="1"/>
    <xf numFmtId="0" fontId="2" fillId="0" borderId="0" xfId="0" applyFont="1" applyFill="1" applyBorder="1"/>
    <xf numFmtId="0" fontId="14" fillId="0" borderId="1" xfId="0" applyFont="1" applyBorder="1"/>
    <xf numFmtId="10" fontId="0" fillId="0" borderId="0" xfId="0" applyNumberFormat="1"/>
    <xf numFmtId="10" fontId="0" fillId="0" borderId="1" xfId="0" applyNumberFormat="1" applyBorder="1"/>
    <xf numFmtId="164" fontId="2" fillId="32" borderId="21" xfId="0" applyNumberFormat="1" applyFont="1" applyFill="1" applyBorder="1"/>
    <xf numFmtId="164" fontId="2" fillId="0" borderId="0" xfId="0" applyNumberFormat="1" applyFont="1"/>
    <xf numFmtId="0" fontId="9" fillId="0" borderId="0" xfId="0" applyFont="1" applyAlignment="1">
      <alignment horizontal="right" vertical="center"/>
    </xf>
    <xf numFmtId="0" fontId="24" fillId="0" borderId="0" xfId="0" applyFont="1" applyAlignment="1">
      <alignment horizontal="right" vertical="center"/>
    </xf>
    <xf numFmtId="0" fontId="0" fillId="0" borderId="4" xfId="0" applyBorder="1"/>
    <xf numFmtId="0" fontId="0" fillId="0" borderId="22" xfId="0" applyNumberFormat="1" applyBorder="1"/>
    <xf numFmtId="0" fontId="0" fillId="0" borderId="0" xfId="0" applyAlignment="1">
      <alignment horizontal="center"/>
    </xf>
    <xf numFmtId="10" fontId="0" fillId="0" borderId="0" xfId="0" applyNumberFormat="1" applyAlignment="1">
      <alignment horizontal="center"/>
    </xf>
    <xf numFmtId="0" fontId="0" fillId="0" borderId="0" xfId="0" applyNumberFormat="1" applyAlignment="1">
      <alignment horizontal="center"/>
    </xf>
    <xf numFmtId="0" fontId="0" fillId="25" borderId="0" xfId="0" applyNumberFormat="1" applyFill="1"/>
    <xf numFmtId="9" fontId="0" fillId="25" borderId="0" xfId="0" applyNumberFormat="1" applyFill="1"/>
    <xf numFmtId="9" fontId="0" fillId="25" borderId="1" xfId="0" applyNumberFormat="1" applyFill="1" applyBorder="1"/>
    <xf numFmtId="0" fontId="0" fillId="25" borderId="1" xfId="0" applyNumberFormat="1" applyFill="1" applyBorder="1"/>
    <xf numFmtId="0" fontId="0" fillId="0" borderId="23" xfId="0" applyBorder="1"/>
    <xf numFmtId="0" fontId="0" fillId="0" borderId="24" xfId="0" pivotButton="1" applyBorder="1"/>
    <xf numFmtId="0" fontId="0" fillId="0" borderId="24" xfId="0" applyBorder="1"/>
    <xf numFmtId="0" fontId="0" fillId="0" borderId="25" xfId="0" applyBorder="1"/>
    <xf numFmtId="0" fontId="0" fillId="0" borderId="26" xfId="0" applyBorder="1"/>
    <xf numFmtId="0" fontId="0" fillId="0" borderId="0" xfId="0" applyBorder="1"/>
    <xf numFmtId="0" fontId="0" fillId="0" borderId="27" xfId="0" applyBorder="1"/>
    <xf numFmtId="0" fontId="0" fillId="0" borderId="26" xfId="0" pivotButton="1" applyBorder="1"/>
    <xf numFmtId="0" fontId="0" fillId="0" borderId="14" xfId="0" applyBorder="1"/>
    <xf numFmtId="9" fontId="0" fillId="0" borderId="13" xfId="0" applyNumberFormat="1" applyBorder="1"/>
    <xf numFmtId="0" fontId="0" fillId="0" borderId="13" xfId="0" applyNumberFormat="1" applyBorder="1"/>
    <xf numFmtId="0" fontId="0" fillId="0" borderId="28" xfId="0" applyNumberFormat="1" applyBorder="1"/>
    <xf numFmtId="0" fontId="0" fillId="30" borderId="0" xfId="0" applyNumberFormat="1" applyFill="1"/>
    <xf numFmtId="0" fontId="0" fillId="25" borderId="1" xfId="0" applyNumberFormat="1" applyFont="1" applyFill="1" applyBorder="1"/>
    <xf numFmtId="10" fontId="0" fillId="30" borderId="0" xfId="0" applyNumberFormat="1" applyFill="1"/>
    <xf numFmtId="9" fontId="0" fillId="25" borderId="1" xfId="0" applyNumberFormat="1" applyFont="1" applyFill="1" applyBorder="1"/>
    <xf numFmtId="10" fontId="0" fillId="33" borderId="0" xfId="0" applyNumberFormat="1" applyFill="1"/>
    <xf numFmtId="2" fontId="0" fillId="23" borderId="0" xfId="0" applyNumberFormat="1" applyFill="1"/>
    <xf numFmtId="2" fontId="0" fillId="25" borderId="0" xfId="0" applyNumberFormat="1" applyFill="1"/>
  </cellXfs>
  <cellStyles count="4">
    <cellStyle name="Normal" xfId="0" builtinId="0"/>
    <cellStyle name="Normal 2" xfId="1" xr:uid="{EB8CDCB9-7A27-BB42-AFE8-85CDE3458DB0}"/>
    <cellStyle name="Per cent" xfId="3" builtinId="5"/>
    <cellStyle name="Per cent 2" xfId="2" xr:uid="{3F5A3515-CE79-9C47-B996-EBEFDE7BCF09}"/>
  </cellStyles>
  <dxfs count="156">
    <dxf>
      <numFmt numFmtId="2" formatCode="0.00"/>
    </dxf>
    <dxf>
      <numFmt numFmtId="14"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4" formatCode="0.00%"/>
    </dxf>
    <dxf>
      <numFmt numFmtId="2" formatCode="0.00"/>
    </dxf>
    <dxf>
      <fill>
        <patternFill patternType="solid">
          <bgColor theme="5"/>
        </patternFill>
      </fill>
    </dxf>
    <dxf>
      <fill>
        <patternFill patternType="solid">
          <bgColor theme="5"/>
        </patternFill>
      </fill>
    </dxf>
    <dxf>
      <fill>
        <patternFill>
          <bgColor theme="5"/>
        </patternFill>
      </fill>
    </dxf>
    <dxf>
      <fill>
        <patternFill patternType="solid">
          <bgColor theme="0"/>
        </patternFill>
      </fill>
    </dxf>
    <dxf>
      <numFmt numFmtId="14" formatCode="0.00%"/>
    </dxf>
    <dxf>
      <numFmt numFmtId="1" formatCode="0"/>
    </dxf>
    <dxf>
      <numFmt numFmtId="2" formatCode="0.00"/>
    </dxf>
    <dxf>
      <numFmt numFmtId="1" formatCode="0"/>
    </dxf>
    <dxf>
      <fill>
        <patternFill patternType="solid">
          <bgColor theme="5" tint="0.39997558519241921"/>
        </patternFill>
      </fill>
    </dxf>
    <dxf>
      <fill>
        <patternFill patternType="solid">
          <bgColor theme="5" tint="0.39997558519241921"/>
        </patternFill>
      </fill>
    </dxf>
    <dxf>
      <numFmt numFmtId="13" formatCode="0%"/>
    </dxf>
    <dxf>
      <numFmt numFmtId="13" formatCode="0%"/>
    </dxf>
    <dxf>
      <numFmt numFmtId="14" formatCode="0.00%"/>
    </dxf>
    <dxf>
      <numFmt numFmtId="13" formatCode="0%"/>
    </dxf>
    <dxf>
      <numFmt numFmtId="13" formatCode="0%"/>
    </dxf>
    <dxf>
      <numFmt numFmtId="13" formatCode="0%"/>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0"/>
        </patternFill>
      </fil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14" formatCode="0.00%"/>
    </dxf>
    <dxf>
      <numFmt numFmtId="13" formatCode="0%"/>
    </dxf>
    <dxf>
      <numFmt numFmtId="0" formatCode="General"/>
    </dxf>
    <dxf>
      <numFmt numFmtId="14"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4" formatCode="0.00%"/>
    </dxf>
    <dxf>
      <numFmt numFmtId="13" formatCode="0%"/>
    </dxf>
    <dxf>
      <numFmt numFmtId="14" formatCode="0.00%"/>
    </dxf>
    <dxf>
      <numFmt numFmtId="13" formatCode="0%"/>
    </dxf>
    <dxf>
      <fill>
        <patternFill>
          <bgColor theme="0"/>
        </patternFill>
      </fill>
    </dxf>
    <dxf>
      <numFmt numFmtId="164" formatCode="0.0"/>
    </dxf>
    <dxf>
      <numFmt numFmtId="164" formatCode="0.0"/>
    </dxf>
    <dxf>
      <numFmt numFmtId="13" formatCode="0%"/>
    </dxf>
    <dxf>
      <numFmt numFmtId="13" formatCode="0%"/>
    </dxf>
    <dxf>
      <numFmt numFmtId="13" formatCode="0%"/>
    </dxf>
    <dxf>
      <numFmt numFmtId="13" formatCode="0%"/>
    </dxf>
    <dxf>
      <numFmt numFmtId="13" formatCode="0%"/>
    </dxf>
    <dxf>
      <numFmt numFmtId="14" formatCode="0.00%"/>
    </dxf>
    <dxf>
      <numFmt numFmtId="13" formatCode="0%"/>
    </dxf>
    <dxf>
      <fill>
        <patternFill patternType="solid">
          <bgColor theme="5" tint="0.39997558519241921"/>
        </patternFill>
      </fill>
    </dxf>
    <dxf>
      <fill>
        <patternFill patternType="solid">
          <bgColor theme="5" tint="0.39997558519241921"/>
        </patternFill>
      </fill>
    </dxf>
    <dxf>
      <border>
        <left style="medium">
          <color indexed="64"/>
        </left>
        <right style="medium">
          <color indexed="64"/>
        </right>
        <top style="medium">
          <color indexed="64"/>
        </top>
        <bottom style="medium">
          <color indexed="64"/>
        </bottom>
      </border>
    </dxf>
    <dxf>
      <fill>
        <patternFill>
          <bgColor theme="0"/>
        </patternFill>
      </fill>
    </dxf>
    <dxf>
      <fill>
        <patternFill>
          <bgColor theme="0"/>
        </patternFill>
      </fill>
    </dxf>
    <dxf>
      <numFmt numFmtId="14" formatCode="0.00%"/>
    </dxf>
    <dxf>
      <numFmt numFmtId="13" formatCode="0%"/>
    </dxf>
    <dxf>
      <numFmt numFmtId="13" formatCode="0%"/>
    </dxf>
    <dxf>
      <numFmt numFmtId="13" formatCode="0%"/>
    </dxf>
    <dxf>
      <border>
        <left style="medium">
          <color indexed="64"/>
        </left>
        <right style="medium">
          <color indexed="64"/>
        </right>
        <top style="medium">
          <color indexed="64"/>
        </top>
        <bottom style="medium">
          <color indexed="64"/>
        </bottom>
      </border>
    </dxf>
    <dxf>
      <fill>
        <patternFill patternType="solid">
          <bgColor theme="5" tint="0.39997558519241921"/>
        </patternFill>
      </fill>
    </dxf>
    <dxf>
      <numFmt numFmtId="164" formatCode="0.0"/>
    </dxf>
    <dxf>
      <numFmt numFmtId="164" formatCode="0.0"/>
    </dxf>
    <dxf>
      <numFmt numFmtId="2" formatCode="0.00"/>
    </dxf>
    <dxf>
      <alignment vertical="bottom"/>
    </dxf>
    <dxf>
      <alignment vertical="bottom"/>
    </dxf>
    <dxf>
      <alignment vertical="bottom"/>
    </dxf>
    <dxf>
      <alignment horizontal="center"/>
    </dxf>
    <dxf>
      <alignment horizontal="center"/>
    </dxf>
    <dxf>
      <alignment horizontal="center"/>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 formatCode="0"/>
    </dxf>
    <dxf>
      <fill>
        <patternFill patternType="solid">
          <bgColor theme="5" tint="0.39997558519241921"/>
        </patternFill>
      </fill>
    </dxf>
    <dxf>
      <fill>
        <patternFill patternType="solid">
          <bgColor theme="5" tint="0.39997558519241921"/>
        </patternFill>
      </fill>
    </dxf>
    <dxf>
      <numFmt numFmtId="1" formatCode="0"/>
    </dxf>
    <dxf>
      <numFmt numFmtId="2" formatCode="0.00"/>
    </dxf>
    <dxf>
      <fill>
        <patternFill patternType="solid">
          <bgColor theme="5" tint="0.39997558519241921"/>
        </patternFill>
      </fill>
    </dxf>
    <dxf>
      <fill>
        <patternFill patternType="solid">
          <bgColor theme="5" tint="0.39997558519241921"/>
        </patternFill>
      </fill>
    </dxf>
    <dxf>
      <numFmt numFmtId="2" formatCode="0.00"/>
    </dxf>
    <dxf>
      <fill>
        <patternFill patternType="solid">
          <bgColor rgb="FFC00000"/>
        </patternFill>
      </fill>
    </dxf>
    <dxf>
      <fill>
        <patternFill patternType="solid">
          <bgColor rgb="FFC00000"/>
        </patternFill>
      </fill>
    </dxf>
    <dxf>
      <fill>
        <patternFill patternType="solid">
          <bgColor rgb="FFC00000"/>
        </patternFill>
      </fill>
    </dxf>
    <dxf>
      <fill>
        <patternFill patternType="solid">
          <bgColor rgb="FFC00000"/>
        </patternFill>
      </fill>
    </dxf>
    <dxf>
      <font>
        <color theme="1"/>
      </font>
    </dxf>
    <dxf>
      <font>
        <color theme="1"/>
      </font>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bgColor theme="5" tint="0.39997558519241921"/>
        </patternFill>
      </fill>
    </dxf>
    <dxf>
      <fill>
        <patternFill patternType="solid">
          <bgColor rgb="FFFF0000"/>
        </patternFill>
      </fill>
    </dxf>
    <dxf>
      <fill>
        <patternFill patternType="solid">
          <bgColor rgb="FFC00000"/>
        </patternFill>
      </fill>
    </dxf>
    <dxf>
      <fill>
        <patternFill patternType="solid">
          <bgColor rgb="FFC00000"/>
        </patternFill>
      </fill>
    </dxf>
    <dxf>
      <fill>
        <patternFill patternType="solid">
          <bgColor rgb="FFC00000"/>
        </patternFill>
      </fill>
    </dxf>
    <dxf>
      <fill>
        <patternFill patternType="solid">
          <bgColor rgb="FFC00000"/>
        </patternFill>
      </fill>
    </dxf>
    <dxf>
      <fill>
        <patternFill>
          <bgColor theme="6"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
      <fill>
        <patternFill patternType="solid">
          <bgColor theme="5" tint="0.3999755851924192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pivotCacheDefinition" Target="pivotCache/pivotCacheDefinition5.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customXml" Target="../customXml/item1.xml"/><Relationship Id="rId10" Type="http://schemas.openxmlformats.org/officeDocument/2006/relationships/pivotCacheDefinition" Target="pivotCache/pivotCacheDefinition2.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unioxfordnexus-my.sharepoint.com/Users/levkoy/Desktop/Research/RD%20pilot%20study/EMJ/RD%20EMJ.xlsx" TargetMode="External"/><Relationship Id="rId1" Type="http://schemas.openxmlformats.org/officeDocument/2006/relationships/externalLinkPath" Target="https://unioxfordnexus-my.sharepoint.com/Users/levkoy/Desktop/Research/RD%20pilot%20study/EMJ/RD%20EMJ.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sa"/>
      <sheetName val="Genji"/>
      <sheetName val="Stats"/>
    </sheetNames>
    <sheetDataSet>
      <sheetData sheetId="0">
        <row r="109">
          <cell r="B109">
            <v>0.81818181818181823</v>
          </cell>
        </row>
      </sheetData>
      <sheetData sheetId="1">
        <row r="103">
          <cell r="B103">
            <v>0.62</v>
          </cell>
        </row>
      </sheetData>
      <sheetData sheetId="2"/>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levkoy/Library/Containers/com.microsoft.Excel/Data/Library/Application%20Support/Microsoft/RD%20LMJ%20(version%202).xlsb"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Users/levkoy/Library/Containers/com.microsoft.Excel/Data/Library/Application%20Support/Microsoft/RD%20LMJ%20(version%202).xlsb"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Users/levkoy/Library/Containers/com.microsoft.Excel/Data/Library/Application%20Support/Microsoft/RD%20LMJ%20(version%202).xlsb"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Users/levkoy/Library/Containers/com.microsoft.Excel/Data/Library/Application%20Support/Microsoft/RD%20LMJ%20(version%202).xlsb"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2" Type="http://schemas.openxmlformats.org/officeDocument/2006/relationships/externalLinkPath" Target="RD%20LMJ(AutoRecovered).xlsx" TargetMode="External"/><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2" Type="http://schemas.openxmlformats.org/officeDocument/2006/relationships/externalLinkPath" Target="RD%20LMJ(AutoRecovered).xlsx" TargetMode="External"/><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2" Type="http://schemas.openxmlformats.org/officeDocument/2006/relationships/externalLinkPath" Target="RD%20LMJ(AutoRecovered).xlsx" TargetMode="External"/><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2" Type="http://schemas.openxmlformats.org/officeDocument/2006/relationships/externalLinkPath" Target="RD%20LMJ(AutoRecovered).xlsx" TargetMode="External"/><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temii Kuznetsov" refreshedDate="46003.708808796298" createdVersion="8" refreshedVersion="8" minRefreshableVersion="3" recordCount="159" xr:uid="{3DB945E7-0F47-2D4A-901E-0FB461D45C6F}">
  <cacheSource type="worksheet">
    <worksheetSource ref="C6:AJ165" sheet="Sheet4" r:id="rId2"/>
  </cacheSource>
  <cacheFields count="34">
    <cacheField name="Clause_ID" numFmtId="0">
      <sharedItems containsBlank="1"/>
    </cacheField>
    <cacheField name="Clause" numFmtId="0">
      <sharedItems containsBlank="1"/>
    </cacheField>
    <cacheField name="Translation" numFmtId="0">
      <sharedItems containsBlank="1"/>
    </cacheField>
    <cacheField name="Predicate" numFmtId="0">
      <sharedItems containsBlank="1"/>
    </cacheField>
    <cacheField name="Modality" numFmtId="0">
      <sharedItems containsBlank="1"/>
    </cacheField>
    <cacheField name="Verb_Semantic_Class" numFmtId="0">
      <sharedItems containsBlank="1" count="9">
        <s v="stative"/>
        <s v="other"/>
        <s v="action"/>
        <s v="motion"/>
        <s v="psych-state"/>
        <s v="communication"/>
        <s v="perception"/>
        <s v="aux/modal"/>
        <m/>
      </sharedItems>
    </cacheField>
    <cacheField name="Pred_Type" numFmtId="0">
      <sharedItems containsBlank="1" count="13">
        <s v="copula"/>
        <s v="verb"/>
        <s v="verb(complex)"/>
        <s v="LVC"/>
        <s v="verb(compound)"/>
        <s v="adjectival predicate"/>
        <m/>
        <s v="existential verb"/>
        <s v="LVC (inf)"/>
        <s v="LVC (j)"/>
        <s v="none"/>
        <s v="idiom"/>
        <s v="compound verb"/>
      </sharedItems>
    </cacheField>
    <cacheField name="Predicate_Transitivity" numFmtId="0">
      <sharedItems containsBlank="1" count="4">
        <s v="intransitive"/>
        <s v="transitive"/>
        <m/>
        <s v="ditransitive"/>
      </sharedItems>
    </cacheField>
    <cacheField name="Voice_Type" numFmtId="0">
      <sharedItems containsBlank="1"/>
    </cacheField>
    <cacheField name="Clause_Polarity" numFmtId="0">
      <sharedItems containsBlank="1"/>
    </cacheField>
    <cacheField name="~Ø-Verbal" numFmtId="0">
      <sharedItems containsString="0" containsBlank="1" containsNumber="1" containsInteger="1" minValue="0" maxValue="154"/>
    </cacheField>
    <cacheField name="ACT-ARG" numFmtId="0">
      <sharedItems containsString="0" containsBlank="1" containsNumber="1" containsInteger="1" minValue="0" maxValue="150"/>
    </cacheField>
    <cacheField name="Arg Type" numFmtId="0">
      <sharedItems containsBlank="1" count="12">
        <s v="SUB"/>
        <s v="OBJ"/>
        <s v="n/a"/>
        <s v="S+O"/>
        <s v="S (Speech)"/>
        <s v="IO"/>
        <m/>
        <s v="O+IO"/>
        <s v="O (Speech) +IO"/>
        <s v="O (Speech)"/>
        <s v="S+O (Speech)"/>
        <s v="S+O+IO"/>
      </sharedItems>
    </cacheField>
    <cacheField name="NON-ARG" numFmtId="0">
      <sharedItems containsString="0" containsBlank="1" containsNumber="1" containsInteger="1" minValue="0" maxValue="72"/>
    </cacheField>
    <cacheField name="Subject_Class" numFmtId="0">
      <sharedItems containsBlank="1" containsMixedTypes="1" containsNumber="1" containsInteger="1" minValue="0" maxValue="0" count="8">
        <s v="overt"/>
        <s v="zero_recoverable"/>
        <s v="zero_exalt"/>
        <m/>
        <s v="zero_other"/>
        <s v="zero_uncertain"/>
        <s v="none"/>
        <n v="0"/>
      </sharedItems>
    </cacheField>
    <cacheField name="Subject_Person" numFmtId="0">
      <sharedItems containsBlank="1" containsMixedTypes="1" containsNumber="1" containsInteger="1" minValue="0" maxValue="426"/>
    </cacheField>
    <cacheField name="Object_Class" numFmtId="0">
      <sharedItems containsBlank="1" containsMixedTypes="1" containsNumber="1" containsInteger="1" minValue="0" maxValue="0" count="9">
        <s v="n/a"/>
        <s v="overt"/>
        <s v="not_applicable"/>
        <s v="zero_recoverable"/>
        <m/>
        <s v="zero_other"/>
        <s v="zero_uncertain"/>
        <s v="none"/>
        <n v="0"/>
      </sharedItems>
    </cacheField>
    <cacheField name="Indirect_Object_Class" numFmtId="0">
      <sharedItems containsBlank="1" containsMixedTypes="1" containsNumber="1" containsInteger="1" minValue="0" maxValue="0" count="6">
        <s v="n/a"/>
        <s v="not_applicable"/>
        <s v="zero_recoverable"/>
        <s v="overt"/>
        <m/>
        <n v="0"/>
      </sharedItems>
    </cacheField>
    <cacheField name="GAP-ACT-ARG" numFmtId="0">
      <sharedItems containsString="0" containsBlank="1" containsNumber="1" containsInteger="1" minValue="0" maxValue="7"/>
    </cacheField>
    <cacheField name="GAP-NON-ARG" numFmtId="0">
      <sharedItems containsString="0" containsBlank="1" containsNumber="1" containsInteger="1" minValue="0" maxValue="17"/>
    </cacheField>
    <cacheField name="Adnominal_Function" numFmtId="0">
      <sharedItems containsBlank="1" containsMixedTypes="1" containsNumber="1" containsInteger="1" minValue="0" maxValue="0"/>
    </cacheField>
    <cacheField name="Clause_Type" numFmtId="0">
      <sharedItems containsBlank="1" containsMixedTypes="1" containsNumber="1" containsInteger="1" minValue="0" maxValue="0" count="10">
        <s v="relative"/>
        <s v="te"/>
        <s v="main"/>
        <s v="subordinate"/>
        <s v="nominalised"/>
        <s v="inf"/>
        <s v="complement"/>
        <m/>
        <s v="none"/>
        <n v="0"/>
      </sharedItems>
    </cacheField>
    <cacheField name="EXALT INSIG" numFmtId="0">
      <sharedItems containsString="0" containsBlank="1" containsNumber="1" containsInteger="1" minValue="0" maxValue="19" count="4">
        <n v="0"/>
        <n v="1"/>
        <m/>
        <n v="19"/>
      </sharedItems>
    </cacheField>
    <cacheField name="V-ARG-Ø-ARG" numFmtId="0">
      <sharedItems containsString="0" containsBlank="1" containsNumber="1" containsInteger="1" minValue="0" maxValue="32" count="4">
        <n v="0"/>
        <n v="1"/>
        <m/>
        <n v="32"/>
      </sharedItems>
    </cacheField>
    <cacheField name="Exaltation_Referential_Target" numFmtId="0">
      <sharedItems containsBlank="1" containsMixedTypes="1" containsNumber="1" containsInteger="1" minValue="0" maxValue="0" count="6">
        <s v="n/a"/>
        <s v="obj"/>
        <s v="sub"/>
        <s v="io"/>
        <m/>
        <n v="0"/>
      </sharedItems>
    </cacheField>
    <cacheField name="Exaltation_Form_Type" numFmtId="0">
      <sharedItems containsBlank="1" containsMixedTypes="1" containsNumber="1" containsInteger="1" minValue="0" maxValue="0"/>
    </cacheField>
    <cacheField name="NOM EXH MORPH" numFmtId="0">
      <sharedItems containsString="0" containsBlank="1" containsNumber="1" containsInteger="1" minValue="0" maxValue="6"/>
    </cacheField>
    <cacheField name="Connective_Type" numFmtId="0">
      <sharedItems containsBlank="1" count="11">
        <s v="temporal"/>
        <s v="sequential"/>
        <s v="none"/>
        <s v="causal"/>
        <s v="quotative"/>
        <m/>
        <s v="conjunctive"/>
        <s v="purpose"/>
        <s v="main"/>
        <s v="concessive"/>
        <s v="conditional"/>
      </sharedItems>
    </cacheField>
    <cacheField name="Switch_Ref" numFmtId="0">
      <sharedItems containsBlank="1" count="5">
        <s v="new"/>
        <s v="ss"/>
        <s v="ds"/>
        <m/>
        <s v="n/a"/>
      </sharedItems>
    </cacheField>
    <cacheField name="Topic_Status" numFmtId="0">
      <sharedItems containsBlank="1" count="5">
        <s v="topic-introduced"/>
        <s v="topic-drop"/>
        <s v="topic-shift"/>
        <s v="topic-continued"/>
        <m/>
      </sharedItems>
    </cacheField>
    <cacheField name="Information_Status" numFmtId="0">
      <sharedItems containsBlank="1" count="4">
        <s v="contains_new"/>
        <s v="no_overt_NP"/>
        <s v="all given"/>
        <m/>
      </sharedItems>
    </cacheField>
    <cacheField name="Сomment" numFmtId="0">
      <sharedItems containsBlank="1"/>
    </cacheField>
    <cacheField name="Field33" numFmtId="0">
      <sharedItems containsNonDate="0" containsString="0" containsBlank="1"/>
    </cacheField>
    <cacheField name="RD2" numFmtId="0">
      <sharedItems containsString="0" containsBlank="1" containsNumb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temii Kuznetsov" refreshedDate="46015.716257870372" createdVersion="8" refreshedVersion="8" minRefreshableVersion="3" recordCount="159" xr:uid="{A4FFF256-C59B-044D-92AD-0E9316DA9D82}">
  <cacheSource type="worksheet">
    <worksheetSource ref="C6:AL165" sheet="Sheet1" r:id="rId2"/>
  </cacheSource>
  <cacheFields count="36">
    <cacheField name="Clause_ID" numFmtId="0">
      <sharedItems containsBlank="1" count="159">
        <s v="Heike 2.1"/>
        <s v="Heike 2.2"/>
        <s v="Heike 2.3"/>
        <s v="Heike 2.4"/>
        <s v="Heike 2.5"/>
        <s v="Heike 2.6"/>
        <s v="Heike 2.7"/>
        <s v="Heike 2.8"/>
        <s v="Heike 2.9"/>
        <s v="Heike 2.10"/>
        <s v="Heike 2.11"/>
        <s v="Heike 2.12"/>
        <s v="Heike 2.13"/>
        <s v="Heike 2.14"/>
        <s v="Heike 2.15"/>
        <s v="Heike 2.16"/>
        <s v="Heike 2.17"/>
        <s v="Heike 2.18"/>
        <s v="Heike 2.19"/>
        <s v="Heike 2.20"/>
        <s v="Heike 2.21"/>
        <s v="Heike 2.22"/>
        <s v="Heike 2.23"/>
        <s v="Heike 2.24"/>
        <s v="Heike 2.25"/>
        <s v="Heike 2.26"/>
        <s v="Heike 2.27"/>
        <s v="Heike 2.28"/>
        <s v="Heike 2.29"/>
        <s v="Heike 2.30"/>
        <s v="Heike 2.31"/>
        <s v="Heike 2.32"/>
        <s v="Heike 2.33"/>
        <s v="Heike 2.34"/>
        <s v="Heike 2.35"/>
        <s v="Heike 2.36"/>
        <s v="Heike 2.37"/>
        <s v="Heike 2.38"/>
        <s v="Heike 2.39"/>
        <s v="Heike 2.40"/>
        <s v="Heike 2.41"/>
        <s v="Heike 2.42"/>
        <s v="Heike 2.43"/>
        <s v="Heike 2.44"/>
        <s v="Heike 2.45"/>
        <s v="Heike 2.46"/>
        <s v="Heike 2.47"/>
        <s v="Heike 2.48"/>
        <s v="Heike 2.49"/>
        <s v="Heike 2.50"/>
        <m/>
        <s v="Heike 2.51"/>
        <s v="Heike 2.52"/>
        <s v="Heike 2.53"/>
        <s v="Heike 2.54"/>
        <s v="Heike 2.55"/>
        <s v="Heike 2.56"/>
        <s v="Heike 2.57"/>
        <s v="Heike 2.58"/>
        <s v="Heike 2.59"/>
        <s v="Heike 2.60"/>
        <s v="Heike 2.61"/>
        <s v="Heike 2.62"/>
        <s v="Heike 2.63"/>
        <s v="Heike 2.64"/>
        <s v="Heike 2.65"/>
        <s v="Heike 2.66"/>
        <s v="Heike 2.67"/>
        <s v="Heike 2.68"/>
        <s v="Heike 2.69"/>
        <s v="Heike 2.70"/>
        <s v="Heike 2.71"/>
        <s v="Heike 2.72"/>
        <s v="Heike 2.73"/>
        <s v="Heike 2.74"/>
        <s v="Heike 2.75"/>
        <s v="Heike 2.76"/>
        <s v="Heike 2.77"/>
        <s v="Heike 2.78"/>
        <s v="Heike 2.79"/>
        <s v="Heike 2.80"/>
        <s v="Heike 2.81"/>
        <s v="Heike 2.82"/>
        <s v="Heike 2.83"/>
        <s v="Heike 2.84"/>
        <s v="Heike 2.85"/>
        <s v="Heike 2.86"/>
        <s v="Heike 2.87"/>
        <s v="Heike 2.88"/>
        <s v="Heike 2.89"/>
        <s v="Heike 2.90"/>
        <s v="Heike 2.91"/>
        <s v="Heike 2.92"/>
        <s v="Heike 2.93"/>
        <s v="Heike 2.94"/>
        <s v="Heike 2.95"/>
        <s v="Heike 2.96"/>
        <s v="Heike 2.97"/>
        <s v="Heike 2.98"/>
        <s v="Heike 2.99"/>
        <s v="Heike 2.100"/>
        <s v="Heike 2.101"/>
        <s v="Heike 2.102"/>
        <s v="Heike 2.103"/>
        <s v="Heike 2.104"/>
        <s v="Heike 2.105"/>
        <s v="Heike 2.106"/>
        <s v="Heike 2.107"/>
        <s v="Heike 2.108"/>
        <s v="Heike 2.109"/>
        <s v="Heike 2.110"/>
        <s v="Heike 2.111"/>
        <s v="Heike 2.112"/>
        <s v="Heike 2.113"/>
        <s v="Heike 2.114"/>
        <s v="Heike 2.115"/>
        <s v="Heike 2.116"/>
        <s v="Heike 2.117"/>
        <s v="Heike 2.118"/>
        <s v="Heike 2.119"/>
        <s v="Heike 2.120"/>
        <s v="Heike 2.121"/>
        <s v="Heike 2.122"/>
        <s v="Heike 2.123"/>
        <s v="Heike 2.124"/>
        <s v="Heike 2.125"/>
        <s v="Heike 2.126"/>
        <s v="Heike 2.127"/>
        <s v="Heike 2.128"/>
        <s v="Heike 2.129"/>
        <s v="Heike 2.130"/>
        <s v="Heike 2.131"/>
        <s v="Heike 2.132"/>
        <s v="Heike 2.133"/>
        <s v="Heike 2.134"/>
        <s v="Heike 2.135"/>
        <s v="Heike 2.136"/>
        <s v="Heike 2.137"/>
        <s v="Heike 2.138"/>
        <s v="Heike 2.139"/>
        <s v="Heike 2.140"/>
        <s v="Heike 2.141"/>
        <s v="Heike 2.142"/>
        <s v="Heike 2.143"/>
        <s v="Heike 2.144"/>
        <s v="Heike 2.145"/>
        <s v="Heike 2.146"/>
        <s v="Heike 2.147"/>
        <s v="Heike 2.148"/>
        <s v="Heike 2.149"/>
        <s v="Heike 2.150"/>
        <s v="Heike 2.151"/>
        <s v="Heike 2.152"/>
        <s v="Heike 2.153"/>
        <s v="Heike 2.154"/>
        <s v="Heike 2.155"/>
        <s v="Heike 2.156"/>
        <s v="Heike 2.157"/>
        <s v="Total"/>
      </sharedItems>
    </cacheField>
    <cacheField name="Clause" numFmtId="0">
      <sharedItems containsBlank="1"/>
    </cacheField>
    <cacheField name="Translation" numFmtId="0">
      <sharedItems containsBlank="1"/>
    </cacheField>
    <cacheField name="Predicate" numFmtId="0">
      <sharedItems containsBlank="1"/>
    </cacheField>
    <cacheField name="Modality" numFmtId="0">
      <sharedItems containsBlank="1"/>
    </cacheField>
    <cacheField name="Verb_Semantic_Class" numFmtId="0">
      <sharedItems containsBlank="1" count="9">
        <s v="stative"/>
        <s v="other"/>
        <s v="action"/>
        <s v="motion"/>
        <s v="psych-state"/>
        <s v="communication"/>
        <s v="perception"/>
        <s v="aux/modal"/>
        <m/>
      </sharedItems>
    </cacheField>
    <cacheField name="Pred_Type" numFmtId="0">
      <sharedItems containsBlank="1" count="13">
        <s v="copula"/>
        <s v="verb"/>
        <s v="verb(complex)"/>
        <s v="LVC"/>
        <s v="verb(compound)"/>
        <s v="adjectival predicate"/>
        <m/>
        <s v="existential verb"/>
        <s v="LVC (inf)"/>
        <s v="LVC (j)"/>
        <s v="none"/>
        <s v="idiom"/>
        <s v="compound verb"/>
      </sharedItems>
    </cacheField>
    <cacheField name="Predicate_Transitivity" numFmtId="0">
      <sharedItems containsBlank="1"/>
    </cacheField>
    <cacheField name="Voice_Type" numFmtId="0">
      <sharedItems containsBlank="1"/>
    </cacheField>
    <cacheField name="Clause_Polarity" numFmtId="0">
      <sharedItems containsBlank="1"/>
    </cacheField>
    <cacheField name="~Ø-Verbal" numFmtId="0">
      <sharedItems containsString="0" containsBlank="1" containsNumber="1" containsInteger="1" minValue="0" maxValue="154"/>
    </cacheField>
    <cacheField name="ACT-ARG" numFmtId="0">
      <sharedItems containsString="0" containsBlank="1" containsNumber="1" containsInteger="1" minValue="0" maxValue="150"/>
    </cacheField>
    <cacheField name="Arg Type" numFmtId="0">
      <sharedItems containsBlank="1"/>
    </cacheField>
    <cacheField name="NON-ARG" numFmtId="0">
      <sharedItems containsString="0" containsBlank="1" containsNumber="1" containsInteger="1" minValue="0" maxValue="72"/>
    </cacheField>
    <cacheField name="Subject_Class" numFmtId="0">
      <sharedItems containsBlank="1" containsMixedTypes="1" containsNumber="1" containsInteger="1" minValue="0" maxValue="0" count="8">
        <s v="overt"/>
        <s v="zero_recoverable"/>
        <s v="zero_exalt"/>
        <m/>
        <s v="zero_other"/>
        <s v="zero_uncertain"/>
        <s v="none"/>
        <n v="0"/>
      </sharedItems>
    </cacheField>
    <cacheField name="Subject_Person" numFmtId="0">
      <sharedItems containsBlank="1" containsMixedTypes="1" containsNumber="1" containsInteger="1" minValue="0" maxValue="426"/>
    </cacheField>
    <cacheField name="Object_Class" numFmtId="0">
      <sharedItems containsBlank="1" containsMixedTypes="1" containsNumber="1" containsInteger="1" minValue="0" maxValue="0"/>
    </cacheField>
    <cacheField name="Indirect_Object_Class" numFmtId="0">
      <sharedItems containsBlank="1" containsMixedTypes="1" containsNumber="1" containsInteger="1" minValue="0" maxValue="0"/>
    </cacheField>
    <cacheField name="GAP-ACT-ARG" numFmtId="0">
      <sharedItems containsString="0" containsBlank="1" containsNumber="1" containsInteger="1" minValue="0" maxValue="7"/>
    </cacheField>
    <cacheField name="GAP-NON-ARG" numFmtId="0">
      <sharedItems containsString="0" containsBlank="1" containsNumber="1" containsInteger="1" minValue="0" maxValue="17"/>
    </cacheField>
    <cacheField name="Adnominal_Function" numFmtId="0">
      <sharedItems containsBlank="1" containsMixedTypes="1" containsNumber="1" containsInteger="1" minValue="0" maxValue="0"/>
    </cacheField>
    <cacheField name="Clause_Type" numFmtId="0">
      <sharedItems containsBlank="1" containsMixedTypes="1" containsNumber="1" containsInteger="1" minValue="0" maxValue="0" count="10">
        <s v="relative"/>
        <s v="te"/>
        <s v="main"/>
        <s v="subordinate"/>
        <s v="nominalised"/>
        <s v="inf"/>
        <s v="complement"/>
        <m/>
        <s v="none"/>
        <n v="0"/>
      </sharedItems>
    </cacheField>
    <cacheField name="EXALT INSIG" numFmtId="0">
      <sharedItems containsString="0" containsBlank="1" containsNumber="1" containsInteger="1" minValue="0" maxValue="19"/>
    </cacheField>
    <cacheField name="V-ARG-Ø-ARG" numFmtId="0">
      <sharedItems containsString="0" containsBlank="1" containsNumber="1" containsInteger="1" minValue="0" maxValue="32"/>
    </cacheField>
    <cacheField name="Exaltation_Referential_Target" numFmtId="0">
      <sharedItems containsBlank="1" containsMixedTypes="1" containsNumber="1" containsInteger="1" minValue="0" maxValue="0"/>
    </cacheField>
    <cacheField name="Exaltation_Form_Type" numFmtId="0">
      <sharedItems containsBlank="1" containsMixedTypes="1" containsNumber="1" containsInteger="1" minValue="0" maxValue="0"/>
    </cacheField>
    <cacheField name="NOM EXH MORPH" numFmtId="0">
      <sharedItems containsString="0" containsBlank="1" containsNumber="1" containsInteger="1" minValue="0" maxValue="6"/>
    </cacheField>
    <cacheField name="Connective_Type" numFmtId="0">
      <sharedItems containsBlank="1" count="11">
        <s v="temporal"/>
        <s v="sequential"/>
        <s v="none"/>
        <s v="causal"/>
        <s v="quotative"/>
        <m/>
        <s v="conjunctive"/>
        <s v="purpose"/>
        <s v="main"/>
        <s v="concessive"/>
        <s v="conditional"/>
      </sharedItems>
    </cacheField>
    <cacheField name="Prev_Clause_Type" numFmtId="0">
      <sharedItems containsBlank="1" containsMixedTypes="1" containsNumber="1" containsInteger="1" minValue="0" maxValue="0"/>
    </cacheField>
    <cacheField name="Switch_Ref" numFmtId="0">
      <sharedItems containsBlank="1"/>
    </cacheField>
    <cacheField name="Next_Switch_Ref" numFmtId="0">
      <sharedItems containsBlank="1" containsMixedTypes="1" containsNumber="1" containsInteger="1" minValue="0" maxValue="0" count="5">
        <s v="ss"/>
        <s v="ds"/>
        <n v="0"/>
        <m/>
        <s v="n/a"/>
      </sharedItems>
    </cacheField>
    <cacheField name="Topic_Status" numFmtId="0">
      <sharedItems containsBlank="1"/>
    </cacheField>
    <cacheField name="Information_Status" numFmtId="0">
      <sharedItems containsBlank="1"/>
    </cacheField>
    <cacheField name="Сomment" numFmtId="0">
      <sharedItems containsBlank="1"/>
    </cacheField>
    <cacheField name="Field35" numFmtId="0">
      <sharedItems containsNonDate="0" containsString="0" containsBlank="1"/>
    </cacheField>
    <cacheField name="RD2" numFmtId="0">
      <sharedItems containsString="0" containsBlank="1" containsNumber="1" minValue="0" maxValue="3" count="6">
        <n v="1"/>
        <n v="0"/>
        <n v="2"/>
        <m/>
        <n v="3"/>
        <n v="0.97402597402597402"/>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temii Kuznetsov" refreshedDate="46015.848078819443" createdVersion="8" refreshedVersion="8" minRefreshableVersion="3" recordCount="177" xr:uid="{933F2D8D-1692-CD43-96A2-16A86E031667}">
  <cacheSource type="worksheet">
    <worksheetSource ref="C6:AN183" sheet="Sheet3" r:id="rId2"/>
  </cacheSource>
  <cacheFields count="38">
    <cacheField name="Clause_ID" numFmtId="0">
      <sharedItems containsBlank="1"/>
    </cacheField>
    <cacheField name="Clause" numFmtId="0">
      <sharedItems containsBlank="1" containsMixedTypes="1" containsNumber="1" minValue="0.207792207792208" maxValue="1.22727272727273"/>
    </cacheField>
    <cacheField name="Translation" numFmtId="0">
      <sharedItems containsBlank="1"/>
    </cacheField>
    <cacheField name="Predicate" numFmtId="0">
      <sharedItems containsBlank="1"/>
    </cacheField>
    <cacheField name="Modality" numFmtId="0">
      <sharedItems containsBlank="1"/>
    </cacheField>
    <cacheField name="Verb_Semantic_Class" numFmtId="0">
      <sharedItems containsBlank="1" count="9">
        <s v="stative"/>
        <s v="other"/>
        <s v="action"/>
        <s v="motion"/>
        <s v="psych-state"/>
        <s v="communication"/>
        <s v="perception"/>
        <s v="aux/modal"/>
        <m/>
      </sharedItems>
    </cacheField>
    <cacheField name="Pred_Type" numFmtId="0">
      <sharedItems containsBlank="1" count="14">
        <s v="copula"/>
        <s v="verb"/>
        <s v="verb(complex)"/>
        <s v="LVC"/>
        <s v="verb(compound)"/>
        <s v="adjectival predicate"/>
        <m/>
        <s v="existential verb"/>
        <s v="LVC (inf)"/>
        <s v="LVC (j)"/>
        <s v="none"/>
        <s v="idiom"/>
        <s v="compound verb"/>
        <s v="verb, copula, adjectival predicate, verb(honorific), verb(passive)"/>
      </sharedItems>
    </cacheField>
    <cacheField name="Predicate_Transitivity" numFmtId="0">
      <sharedItems containsBlank="1"/>
    </cacheField>
    <cacheField name="Voice_Type" numFmtId="0">
      <sharedItems containsBlank="1"/>
    </cacheField>
    <cacheField name="Clause_Polarity" numFmtId="0">
      <sharedItems containsBlank="1"/>
    </cacheField>
    <cacheField name="~Ø-Verbal" numFmtId="0">
      <sharedItems containsString="0" containsBlank="1" containsNumber="1" containsInteger="1" minValue="0" maxValue="154"/>
    </cacheField>
    <cacheField name="ACT-ARG" numFmtId="0">
      <sharedItems containsString="0" containsBlank="1" containsNumber="1" containsInteger="1" minValue="0" maxValue="150"/>
    </cacheField>
    <cacheField name="Arg Type" numFmtId="0">
      <sharedItems containsBlank="1"/>
    </cacheField>
    <cacheField name="NON-ARG" numFmtId="0">
      <sharedItems containsString="0" containsBlank="1" containsNumber="1" containsInteger="1" minValue="0" maxValue="72"/>
    </cacheField>
    <cacheField name="Subject_Class" numFmtId="0">
      <sharedItems containsBlank="1" containsMixedTypes="1" containsNumber="1" containsInteger="1" minValue="0" maxValue="0"/>
    </cacheField>
    <cacheField name="Subject_Person" numFmtId="0">
      <sharedItems containsBlank="1" containsMixedTypes="1" containsNumber="1" containsInteger="1" minValue="0" maxValue="426"/>
    </cacheField>
    <cacheField name="Object_Class" numFmtId="0">
      <sharedItems containsBlank="1" containsMixedTypes="1" containsNumber="1" containsInteger="1" minValue="0" maxValue="0"/>
    </cacheField>
    <cacheField name="Indirect_Object_Class" numFmtId="0">
      <sharedItems containsBlank="1" containsMixedTypes="1" containsNumber="1" containsInteger="1" minValue="0" maxValue="0"/>
    </cacheField>
    <cacheField name="GAP-ACT-ARG" numFmtId="0">
      <sharedItems containsString="0" containsBlank="1" containsNumber="1" containsInteger="1" minValue="0" maxValue="7"/>
    </cacheField>
    <cacheField name="GAP-NON-ARG" numFmtId="0">
      <sharedItems containsString="0" containsBlank="1" containsNumber="1" containsInteger="1" minValue="0" maxValue="17"/>
    </cacheField>
    <cacheField name="Adnominal_Function" numFmtId="0">
      <sharedItems containsBlank="1" containsMixedTypes="1" containsNumber="1" containsInteger="1" minValue="0" maxValue="0"/>
    </cacheField>
    <cacheField name="Clause_Type" numFmtId="0">
      <sharedItems containsBlank="1" containsMixedTypes="1" containsNumber="1" containsInteger="1" minValue="0" maxValue="0"/>
    </cacheField>
    <cacheField name="EXALT INSIG" numFmtId="0">
      <sharedItems containsString="0" containsBlank="1" containsNumber="1" containsInteger="1" minValue="0" maxValue="19"/>
    </cacheField>
    <cacheField name="V-ARG-Ø-ARG" numFmtId="0">
      <sharedItems containsString="0" containsBlank="1" containsNumber="1" containsInteger="1" minValue="0" maxValue="32" count="4">
        <n v="0"/>
        <n v="1"/>
        <m/>
        <n v="32"/>
      </sharedItems>
    </cacheField>
    <cacheField name="Exaltation_Referential_Target" numFmtId="0">
      <sharedItems containsBlank="1" containsMixedTypes="1" containsNumber="1" containsInteger="1" minValue="0" maxValue="0"/>
    </cacheField>
    <cacheField name="Exaltation_Form_Type" numFmtId="0">
      <sharedItems containsBlank="1" containsMixedTypes="1" containsNumber="1" containsInteger="1" minValue="0" maxValue="0"/>
    </cacheField>
    <cacheField name="NOM EXH MORPH" numFmtId="0">
      <sharedItems containsString="0" containsBlank="1" containsNumber="1" containsInteger="1" minValue="0" maxValue="6"/>
    </cacheField>
    <cacheField name="Connective_Type" numFmtId="0">
      <sharedItems containsBlank="1"/>
    </cacheField>
    <cacheField name="Prev_Clause_Type" numFmtId="0">
      <sharedItems containsBlank="1" containsMixedTypes="1" containsNumber="1" containsInteger="1" minValue="0" maxValue="0"/>
    </cacheField>
    <cacheField name="Switch_Ref" numFmtId="0">
      <sharedItems containsBlank="1"/>
    </cacheField>
    <cacheField name="Next_Switch_Ref" numFmtId="0">
      <sharedItems containsBlank="1" containsMixedTypes="1" containsNumber="1" containsInteger="1" minValue="0" maxValue="0"/>
    </cacheField>
    <cacheField name="Topic_Status" numFmtId="0">
      <sharedItems containsBlank="1"/>
    </cacheField>
    <cacheField name="Information_Status" numFmtId="0">
      <sharedItems containsBlank="1"/>
    </cacheField>
    <cacheField name="Сomment" numFmtId="0">
      <sharedItems containsBlank="1"/>
    </cacheField>
    <cacheField name="Field35" numFmtId="0">
      <sharedItems containsNonDate="0" containsString="0" containsBlank="1"/>
    </cacheField>
    <cacheField name="RD2" numFmtId="0">
      <sharedItems containsString="0" containsBlank="1" containsNumber="1" minValue="0" maxValue="3"/>
    </cacheField>
    <cacheField name="Prev_Connective_Type" numFmtId="0">
      <sharedItems containsNonDate="0" containsString="0" containsBlank="1"/>
    </cacheField>
    <cacheField name="Subject_Zero" numFmtId="0">
      <sharedItems containsBlank="1" count="3">
        <s v="Yes"/>
        <s v="No"/>
        <m/>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temii Kuznetsov" refreshedDate="46015.861772685188" createdVersion="8" refreshedVersion="8" minRefreshableVersion="3" recordCount="177" xr:uid="{2E5CF772-3833-8A46-86F9-F8B238257C32}">
  <cacheSource type="worksheet">
    <worksheetSource ref="C6:AN183" sheet="Sheet5" r:id="rId2"/>
  </cacheSource>
  <cacheFields count="38">
    <cacheField name="Clause_ID" numFmtId="0">
      <sharedItems containsBlank="1"/>
    </cacheField>
    <cacheField name="Clause" numFmtId="0">
      <sharedItems containsBlank="1" containsMixedTypes="1" containsNumber="1" minValue="0.207792207792208" maxValue="1.22727272727273"/>
    </cacheField>
    <cacheField name="Translation" numFmtId="0">
      <sharedItems containsBlank="1"/>
    </cacheField>
    <cacheField name="Predicate" numFmtId="0">
      <sharedItems containsBlank="1"/>
    </cacheField>
    <cacheField name="Modality" numFmtId="0">
      <sharedItems containsBlank="1"/>
    </cacheField>
    <cacheField name="Verb_Semantic_Class" numFmtId="0">
      <sharedItems containsBlank="1"/>
    </cacheField>
    <cacheField name="Pred_Type" numFmtId="0">
      <sharedItems containsBlank="1" count="14">
        <s v="copula"/>
        <s v="verb"/>
        <s v="verb(complex)"/>
        <s v="LVC"/>
        <s v="verb(compound)"/>
        <s v="adjectival predicate"/>
        <m/>
        <s v="existential verb"/>
        <s v="LVC (inf)"/>
        <s v="LVC (j)"/>
        <s v="none"/>
        <s v="idiom"/>
        <s v="compound verb"/>
        <s v="verb, copula, adjectival predicate, verb(honorific), verb(passive)"/>
      </sharedItems>
    </cacheField>
    <cacheField name="Predicate_Transitivity" numFmtId="0">
      <sharedItems containsBlank="1" count="5">
        <s v="intransitive"/>
        <s v="transitive"/>
        <m/>
        <s v="ditransitive"/>
        <s v="intransitive / transitive / ditransitive / copular/stative / unknown"/>
      </sharedItems>
    </cacheField>
    <cacheField name="Voice_Type" numFmtId="0">
      <sharedItems containsBlank="1"/>
    </cacheField>
    <cacheField name="Clause_Polarity" numFmtId="0">
      <sharedItems containsBlank="1"/>
    </cacheField>
    <cacheField name="~Ø-Verbal" numFmtId="0">
      <sharedItems containsString="0" containsBlank="1" containsNumber="1" containsInteger="1" minValue="0" maxValue="154"/>
    </cacheField>
    <cacheField name="ACT-ARG" numFmtId="0">
      <sharedItems containsString="0" containsBlank="1" containsNumber="1" containsInteger="1" minValue="0" maxValue="150"/>
    </cacheField>
    <cacheField name="Arg Type" numFmtId="0">
      <sharedItems containsBlank="1" count="13">
        <s v="SUB"/>
        <s v="OBJ"/>
        <s v="n/a"/>
        <s v="S+O"/>
        <s v="S (Speech)"/>
        <s v="IO"/>
        <m/>
        <s v="O+IO"/>
        <s v="O (Speech) +IO"/>
        <s v="O (Speech)"/>
        <s v="S+O (Speech)"/>
        <s v="S+O+IO"/>
        <s v="S, DO, IO, O (Speech), S+O, O+IO, S+IO, S+O+IO"/>
      </sharedItems>
    </cacheField>
    <cacheField name="NON-ARG" numFmtId="0">
      <sharedItems containsString="0" containsBlank="1" containsNumber="1" containsInteger="1" minValue="0" maxValue="72"/>
    </cacheField>
    <cacheField name="Subject_Class" numFmtId="0">
      <sharedItems containsBlank="1" containsMixedTypes="1" containsNumber="1" containsInteger="1" minValue="0" maxValue="0" count="9">
        <s v="overt"/>
        <s v="zero_recoverable"/>
        <s v="zero_exalt"/>
        <m/>
        <s v="zero_other"/>
        <s v="zero_uncertain"/>
        <s v="none"/>
        <n v="0"/>
        <s v="overt; zero_exalt; zero_recoverable; zero_other – omitted, recoverability uncertain; not_applicable."/>
      </sharedItems>
    </cacheField>
    <cacheField name="Subject_Person" numFmtId="0">
      <sharedItems containsBlank="1" containsMixedTypes="1" containsNumber="1" containsInteger="1" minValue="0" maxValue="426"/>
    </cacheField>
    <cacheField name="Object_Class" numFmtId="0">
      <sharedItems containsBlank="1" containsMixedTypes="1" containsNumber="1" containsInteger="1" minValue="0" maxValue="0" count="10">
        <s v="n/a"/>
        <s v="overt"/>
        <s v="not_applicable"/>
        <s v="zero_recoverable"/>
        <m/>
        <s v="zero_other"/>
        <s v="zero_uncertain"/>
        <s v="none"/>
        <n v="0"/>
        <s v="same"/>
      </sharedItems>
    </cacheField>
    <cacheField name="Indirect_Object_Class" numFmtId="0">
      <sharedItems containsBlank="1" containsMixedTypes="1" containsNumber="1" containsInteger="1" minValue="0" maxValue="0"/>
    </cacheField>
    <cacheField name="GAP-ACT-ARG" numFmtId="0">
      <sharedItems containsString="0" containsBlank="1" containsNumber="1" containsInteger="1" minValue="0" maxValue="7"/>
    </cacheField>
    <cacheField name="GAP-NON-ARG" numFmtId="0">
      <sharedItems containsString="0" containsBlank="1" containsNumber="1" containsInteger="1" minValue="0" maxValue="17"/>
    </cacheField>
    <cacheField name="Adnominal_Function" numFmtId="0">
      <sharedItems containsBlank="1" containsMixedTypes="1" containsNumber="1" containsInteger="1" minValue="0" maxValue="0"/>
    </cacheField>
    <cacheField name="Clause_Type" numFmtId="0">
      <sharedItems containsBlank="1" containsMixedTypes="1" containsNumber="1" containsInteger="1" minValue="0" maxValue="0" count="10">
        <s v="relative"/>
        <s v="te"/>
        <s v="main"/>
        <s v="subordinate"/>
        <s v="nominalised"/>
        <s v="inf"/>
        <s v="complement"/>
        <m/>
        <s v="none"/>
        <n v="0"/>
      </sharedItems>
    </cacheField>
    <cacheField name="EXALT INSIG" numFmtId="0">
      <sharedItems containsString="0" containsBlank="1" containsNumber="1" containsInteger="1" minValue="0" maxValue="19"/>
    </cacheField>
    <cacheField name="V-ARG-Ø-ARG" numFmtId="0">
      <sharedItems containsString="0" containsBlank="1" containsNumber="1" containsInteger="1" minValue="0" maxValue="32"/>
    </cacheField>
    <cacheField name="Exaltation_Referential_Target" numFmtId="0">
      <sharedItems containsBlank="1" containsMixedTypes="1" containsNumber="1" containsInteger="1" minValue="0" maxValue="0"/>
    </cacheField>
    <cacheField name="Exaltation_Form_Type" numFmtId="0">
      <sharedItems containsBlank="1" containsMixedTypes="1" containsNumber="1" containsInteger="1" minValue="0" maxValue="0"/>
    </cacheField>
    <cacheField name="NOM EXH MORPH" numFmtId="0">
      <sharedItems containsString="0" containsBlank="1" containsNumber="1" containsInteger="1" minValue="0" maxValue="6"/>
    </cacheField>
    <cacheField name="Connective_Type" numFmtId="0">
      <sharedItems containsBlank="1" count="12">
        <s v="temporal"/>
        <s v="sequential"/>
        <s v="none"/>
        <s v="causal"/>
        <s v="quotative"/>
        <m/>
        <s v="conjunctive"/>
        <s v="purpose"/>
        <s v="main"/>
        <s v="concessive"/>
        <s v="conditional"/>
        <s v="none; conjunctive; temporal; causal; concessive; conditional; quotative; other."/>
      </sharedItems>
    </cacheField>
    <cacheField name="Prev_Clause_Type" numFmtId="0">
      <sharedItems containsBlank="1" containsMixedTypes="1" containsNumber="1" containsInteger="1" minValue="0" maxValue="0"/>
    </cacheField>
    <cacheField name="Switch_Ref" numFmtId="0">
      <sharedItems containsBlank="1"/>
    </cacheField>
    <cacheField name="Next_Switch_Ref" numFmtId="0">
      <sharedItems containsBlank="1" containsMixedTypes="1" containsNumber="1" containsInteger="1" minValue="0" maxValue="0"/>
    </cacheField>
    <cacheField name="Topic_Status" numFmtId="0">
      <sharedItems containsBlank="1"/>
    </cacheField>
    <cacheField name="Information_Status" numFmtId="0">
      <sharedItems containsBlank="1"/>
    </cacheField>
    <cacheField name="Сomment" numFmtId="0">
      <sharedItems containsBlank="1"/>
    </cacheField>
    <cacheField name="Field35" numFmtId="0">
      <sharedItems containsNonDate="0" containsString="0" containsBlank="1"/>
    </cacheField>
    <cacheField name="RD2" numFmtId="0">
      <sharedItems containsString="0" containsBlank="1" containsNumber="1" minValue="0" maxValue="3"/>
    </cacheField>
    <cacheField name="LVC" numFmtId="0">
      <sharedItems containsBlank="1" count="3">
        <s v="non-LVC"/>
        <s v="LVC"/>
        <m/>
      </sharedItems>
    </cacheField>
    <cacheField name="Subject_Zer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temii Kuznetsov" refreshedDate="46017.719410185186" createdVersion="8" refreshedVersion="8" minRefreshableVersion="3" recordCount="158" xr:uid="{0BEDEF29-BE0C-884F-B0E5-B75B9BB2E2D3}">
  <cacheSource type="worksheet">
    <worksheetSource ref="C6:AT164" sheet="Sheet4" r:id="rId2"/>
  </cacheSource>
  <cacheFields count="44">
    <cacheField name="HeikeCh2" numFmtId="0">
      <sharedItems containsBlank="1"/>
    </cacheField>
    <cacheField name="Field2" numFmtId="0">
      <sharedItems/>
    </cacheField>
    <cacheField name="Translation" numFmtId="0">
      <sharedItems containsBlank="1"/>
    </cacheField>
    <cacheField name="Predicate" numFmtId="0">
      <sharedItems/>
    </cacheField>
    <cacheField name="Modality" numFmtId="0">
      <sharedItems/>
    </cacheField>
    <cacheField name="Verb_Semantic_Class" numFmtId="0">
      <sharedItems/>
    </cacheField>
    <cacheField name="Pred_Type" numFmtId="0">
      <sharedItems containsBlank="1"/>
    </cacheField>
    <cacheField name="Predicate_Transitivity" numFmtId="0">
      <sharedItems containsBlank="1"/>
    </cacheField>
    <cacheField name="Voice_Type" numFmtId="0">
      <sharedItems containsBlank="1"/>
    </cacheField>
    <cacheField name="Clause_Polarity" numFmtId="0">
      <sharedItems containsBlank="1"/>
    </cacheField>
    <cacheField name="~Ø-Verbal" numFmtId="0">
      <sharedItems containsString="0" containsBlank="1" containsNumber="1" containsInteger="1" minValue="0" maxValue="1"/>
    </cacheField>
    <cacheField name="ACT-ARG" numFmtId="0">
      <sharedItems containsString="0" containsBlank="1" containsNumber="1" containsInteger="1" minValue="0" maxValue="3"/>
    </cacheField>
    <cacheField name="Arg Type" numFmtId="0">
      <sharedItems containsBlank="1" count="12">
        <s v="SUB"/>
        <s v="OBJ"/>
        <s v="n/a"/>
        <s v="S+O"/>
        <s v="S (Speech)"/>
        <s v="IO"/>
        <m/>
        <s v="O+IO"/>
        <s v="O (Speech) +IO"/>
        <s v="O (Speech)"/>
        <s v="S+O (Speech)"/>
        <s v="S+O+IO"/>
      </sharedItems>
    </cacheField>
    <cacheField name="NON-ARG" numFmtId="0">
      <sharedItems containsString="0" containsBlank="1" containsNumber="1" containsInteger="1" minValue="0" maxValue="3"/>
    </cacheField>
    <cacheField name="Subject_Class" numFmtId="0">
      <sharedItems containsBlank="1" count="7">
        <s v="overt"/>
        <s v="zero_recoverable"/>
        <s v="zero_exalt"/>
        <m/>
        <s v="zero_other"/>
        <s v="zero_uncertain"/>
        <s v="none"/>
      </sharedItems>
    </cacheField>
    <cacheField name="Subject_Person" numFmtId="0">
      <sharedItems containsBlank="1" containsMixedTypes="1" containsNumber="1" containsInteger="1" minValue="0" maxValue="3"/>
    </cacheField>
    <cacheField name="Object_Class" numFmtId="0">
      <sharedItems containsBlank="1" count="8">
        <s v="n/a"/>
        <s v="overt"/>
        <s v="not_applicable"/>
        <s v="zero_recoverable"/>
        <m/>
        <s v="zero_other"/>
        <s v="zero_uncertain"/>
        <s v="none"/>
      </sharedItems>
    </cacheField>
    <cacheField name="Indirect_Object_Class" numFmtId="0">
      <sharedItems containsBlank="1"/>
    </cacheField>
    <cacheField name="GAP-ACT-ARG" numFmtId="0">
      <sharedItems containsString="0" containsBlank="1" containsNumber="1" containsInteger="1" minValue="0" maxValue="1"/>
    </cacheField>
    <cacheField name="GAP-NON-ARG" numFmtId="0">
      <sharedItems containsString="0" containsBlank="1" containsNumber="1" containsInteger="1" minValue="0" maxValue="1"/>
    </cacheField>
    <cacheField name="Adnominal_Function" numFmtId="0">
      <sharedItems containsBlank="1"/>
    </cacheField>
    <cacheField name="Clause_Type" numFmtId="0">
      <sharedItems containsBlank="1"/>
    </cacheField>
    <cacheField name="EXALT INSIG" numFmtId="0">
      <sharedItems containsString="0" containsBlank="1" containsNumber="1" containsInteger="1" minValue="0" maxValue="1"/>
    </cacheField>
    <cacheField name="V-ARG-Ø-ARG" numFmtId="0">
      <sharedItems containsString="0" containsBlank="1" containsNumber="1" containsInteger="1" minValue="0" maxValue="1"/>
    </cacheField>
    <cacheField name="Exaltation_Referential_Target" numFmtId="0">
      <sharedItems containsBlank="1"/>
    </cacheField>
    <cacheField name="Exaltation_Form_Type" numFmtId="0">
      <sharedItems containsBlank="1"/>
    </cacheField>
    <cacheField name="NOM EXH MORPH" numFmtId="0">
      <sharedItems containsString="0" containsBlank="1" containsNumber="1" containsInteger="1" minValue="0" maxValue="1"/>
    </cacheField>
    <cacheField name="Connective_Type" numFmtId="0">
      <sharedItems containsBlank="1" count="11">
        <s v="temporal"/>
        <s v="sequential"/>
        <s v="none"/>
        <s v="causal"/>
        <s v="quotative"/>
        <m/>
        <s v="conjunctive"/>
        <s v="purpose"/>
        <s v="main"/>
        <s v="concessive"/>
        <s v="conditional"/>
      </sharedItems>
    </cacheField>
    <cacheField name="Prev_Clause_Type" numFmtId="0">
      <sharedItems containsBlank="1" containsMixedTypes="1" containsNumber="1" containsInteger="1" minValue="0" maxValue="0"/>
    </cacheField>
    <cacheField name="Te_Position" numFmtId="0">
      <sharedItems containsBlank="1"/>
    </cacheField>
    <cacheField name="Switch_Ref" numFmtId="0">
      <sharedItems containsBlank="1"/>
    </cacheField>
    <cacheField name="Next_Switch_Ref" numFmtId="0">
      <sharedItems containsBlank="1" containsMixedTypes="1" containsNumber="1" containsInteger="1" minValue="0" maxValue="0"/>
    </cacheField>
    <cacheField name="Topic_Status" numFmtId="0">
      <sharedItems containsBlank="1"/>
    </cacheField>
    <cacheField name="Information_Status" numFmtId="0">
      <sharedItems containsBlank="1"/>
    </cacheField>
    <cacheField name="Сomment" numFmtId="0">
      <sharedItems containsBlank="1"/>
    </cacheField>
    <cacheField name="Field36" numFmtId="0">
      <sharedItems containsNonDate="0" containsString="0" containsBlank="1"/>
    </cacheField>
    <cacheField name="RD2" numFmtId="0">
      <sharedItems containsString="0" containsBlank="1" containsNumber="1" containsInteger="1" minValue="0" maxValue="3"/>
    </cacheField>
    <cacheField name="LVC" numFmtId="0">
      <sharedItems/>
    </cacheField>
    <cacheField name="Subject_Zero" numFmtId="0">
      <sharedItems/>
    </cacheField>
    <cacheField name="Sentence_ID" numFmtId="0">
      <sharedItems containsSemiMixedTypes="0" containsString="0" containsNumber="1" containsInteger="1" minValue="1" maxValue="43"/>
    </cacheField>
    <cacheField name="Next_Clause_Type" numFmtId="0">
      <sharedItems containsBlank="1"/>
    </cacheField>
    <cacheField name="Is_ChainClause" numFmtId="0">
      <sharedItems containsSemiMixedTypes="0" containsString="0" containsNumber="1" containsInteger="1" minValue="0" maxValue="1"/>
    </cacheField>
    <cacheField name="Chain_Index_In_Sentence" numFmtId="0">
      <sharedItems containsString="0" containsBlank="1" containsNumber="1" containsInteger="1" minValue="1" maxValue="11"/>
    </cacheField>
    <cacheField name="Is_First_ChainClause" numFmtId="0">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temii Kuznetsov" refreshedDate="46017.851904513889" createdVersion="8" refreshedVersion="8" minRefreshableVersion="3" recordCount="158" xr:uid="{789A836F-3A43-B148-9912-95EA725F6989}">
  <cacheSource type="worksheet">
    <worksheetSource ref="C6:AX164" sheet="Sheet6" r:id="rId2"/>
  </cacheSource>
  <cacheFields count="48">
    <cacheField name="HeikeCh2" numFmtId="0">
      <sharedItems containsBlank="1"/>
    </cacheField>
    <cacheField name="Field2" numFmtId="0">
      <sharedItems/>
    </cacheField>
    <cacheField name="Translation" numFmtId="0">
      <sharedItems containsBlank="1"/>
    </cacheField>
    <cacheField name="Predicate" numFmtId="0">
      <sharedItems/>
    </cacheField>
    <cacheField name="Modality" numFmtId="0">
      <sharedItems/>
    </cacheField>
    <cacheField name="Verb_Semantic_Class" numFmtId="0">
      <sharedItems/>
    </cacheField>
    <cacheField name="Pred_Type" numFmtId="0">
      <sharedItems containsBlank="1"/>
    </cacheField>
    <cacheField name="Predicate_Transitivity" numFmtId="0">
      <sharedItems containsBlank="1" count="4">
        <s v="intransitive"/>
        <s v="transitive"/>
        <m/>
        <s v="ditransitive"/>
      </sharedItems>
    </cacheField>
    <cacheField name="Voice_Type" numFmtId="0">
      <sharedItems containsBlank="1"/>
    </cacheField>
    <cacheField name="Clause_Polarity" numFmtId="0">
      <sharedItems containsBlank="1"/>
    </cacheField>
    <cacheField name="~Ø-Verbal" numFmtId="0">
      <sharedItems containsString="0" containsBlank="1" containsNumber="1" containsInteger="1" minValue="0" maxValue="1"/>
    </cacheField>
    <cacheField name="ACT-ARG" numFmtId="0">
      <sharedItems containsString="0" containsBlank="1" containsNumber="1" containsInteger="1" minValue="0" maxValue="3"/>
    </cacheField>
    <cacheField name="Arg Type" numFmtId="0">
      <sharedItems containsBlank="1"/>
    </cacheField>
    <cacheField name="NON-ARG" numFmtId="0">
      <sharedItems containsString="0" containsBlank="1" containsNumber="1" containsInteger="1" minValue="0" maxValue="3"/>
    </cacheField>
    <cacheField name="Subject_Class" numFmtId="0">
      <sharedItems containsBlank="1"/>
    </cacheField>
    <cacheField name="Subject_Person" numFmtId="0">
      <sharedItems containsBlank="1" containsMixedTypes="1" containsNumber="1" containsInteger="1" minValue="0" maxValue="3"/>
    </cacheField>
    <cacheField name="Object_Class" numFmtId="0">
      <sharedItems containsBlank="1"/>
    </cacheField>
    <cacheField name="Indirect_Object_Class" numFmtId="0">
      <sharedItems containsBlank="1"/>
    </cacheField>
    <cacheField name="GAP-ACT-ARG" numFmtId="0">
      <sharedItems containsString="0" containsBlank="1" containsNumber="1" containsInteger="1" minValue="0" maxValue="1"/>
    </cacheField>
    <cacheField name="GAP-NON-ARG" numFmtId="0">
      <sharedItems containsString="0" containsBlank="1" containsNumber="1" containsInteger="1" minValue="0" maxValue="1"/>
    </cacheField>
    <cacheField name="Adnominal_Function" numFmtId="0">
      <sharedItems containsBlank="1"/>
    </cacheField>
    <cacheField name="Clause_Type" numFmtId="0">
      <sharedItems containsBlank="1"/>
    </cacheField>
    <cacheField name="EXALT INSIG" numFmtId="0">
      <sharedItems containsString="0" containsBlank="1" containsNumber="1" containsInteger="1" minValue="0" maxValue="1"/>
    </cacheField>
    <cacheField name="V-ARG-Ø-ARG" numFmtId="0">
      <sharedItems containsString="0" containsBlank="1" containsNumber="1" containsInteger="1" minValue="0" maxValue="1" count="3">
        <n v="0"/>
        <n v="1"/>
        <m/>
      </sharedItems>
    </cacheField>
    <cacheField name="Exaltation_Referential_Target" numFmtId="0">
      <sharedItems containsBlank="1"/>
    </cacheField>
    <cacheField name="Exaltation_Form_Type" numFmtId="0">
      <sharedItems containsBlank="1"/>
    </cacheField>
    <cacheField name="NOM EXH MORPH" numFmtId="0">
      <sharedItems containsString="0" containsBlank="1" containsNumber="1" containsInteger="1" minValue="0" maxValue="1"/>
    </cacheField>
    <cacheField name="Connective_Type" numFmtId="0">
      <sharedItems containsBlank="1" count="11">
        <s v="temporal"/>
        <s v="sequential"/>
        <s v="none"/>
        <s v="causal"/>
        <s v="quotative"/>
        <m/>
        <s v="conjunctive"/>
        <s v="purpose"/>
        <s v="main"/>
        <s v="concessive"/>
        <s v="conditional"/>
      </sharedItems>
    </cacheField>
    <cacheField name="Prev_Clause_Type" numFmtId="0">
      <sharedItems containsBlank="1" containsMixedTypes="1" containsNumber="1" containsInteger="1" minValue="0" maxValue="0" count="10">
        <m/>
        <s v="relative"/>
        <s v="te"/>
        <s v="main"/>
        <s v="subordinate"/>
        <s v="nominalised"/>
        <s v="inf"/>
        <s v="complement"/>
        <n v="0"/>
        <s v="none"/>
      </sharedItems>
    </cacheField>
    <cacheField name="Te_Position" numFmtId="0">
      <sharedItems containsBlank="1"/>
    </cacheField>
    <cacheField name="Switch_Ref" numFmtId="0">
      <sharedItems containsBlank="1"/>
    </cacheField>
    <cacheField name="Next_Switch_Ref" numFmtId="0">
      <sharedItems containsBlank="1" containsMixedTypes="1" containsNumber="1" containsInteger="1" minValue="0" maxValue="0" count="5">
        <s v="ss"/>
        <s v="ds"/>
        <n v="0"/>
        <m/>
        <s v="n/a"/>
      </sharedItems>
    </cacheField>
    <cacheField name="Topic_Status" numFmtId="0">
      <sharedItems containsBlank="1"/>
    </cacheField>
    <cacheField name="Information_Status" numFmtId="0">
      <sharedItems containsBlank="1"/>
    </cacheField>
    <cacheField name="Сomment" numFmtId="0">
      <sharedItems containsBlank="1"/>
    </cacheField>
    <cacheField name="Field36" numFmtId="0">
      <sharedItems containsNonDate="0" containsString="0" containsBlank="1"/>
    </cacheField>
    <cacheField name="RD2" numFmtId="0">
      <sharedItems containsString="0" containsBlank="1" containsNumber="1" containsInteger="1" minValue="0" maxValue="3"/>
    </cacheField>
    <cacheField name="LVC" numFmtId="0">
      <sharedItems/>
    </cacheField>
    <cacheField name="Subject_Zero" numFmtId="0">
      <sharedItems/>
    </cacheField>
    <cacheField name="Sentence_ID" numFmtId="0">
      <sharedItems containsSemiMixedTypes="0" containsString="0" containsNumber="1" containsInteger="1" minValue="1" maxValue="43"/>
    </cacheField>
    <cacheField name="Next_Clause_Type" numFmtId="0">
      <sharedItems containsBlank="1"/>
    </cacheField>
    <cacheField name="Is_ChainClause" numFmtId="0">
      <sharedItems containsSemiMixedTypes="0" containsString="0" containsNumber="1" containsInteger="1" minValue="0" maxValue="1"/>
    </cacheField>
    <cacheField name="Chain_Index_In_Sentence" numFmtId="0">
      <sharedItems containsString="0" containsBlank="1" containsNumber="1" containsInteger="1" minValue="1" maxValue="11"/>
    </cacheField>
    <cacheField name="Is_First_ChainClause" numFmtId="0">
      <sharedItems containsSemiMixedTypes="0" containsString="0" containsNumber="1" containsInteger="1" minValue="0" maxValue="1" count="2">
        <n v="1"/>
        <n v="0"/>
      </sharedItems>
    </cacheField>
    <cacheField name="Next_Subject_Classt" numFmtId="0">
      <sharedItems containsBlank="1" count="7">
        <s v="zero_recoverable"/>
        <s v="zero_exalt"/>
        <s v="overt"/>
        <m/>
        <s v="zero_other"/>
        <s v="zero_uncertain"/>
        <s v="none"/>
      </sharedItems>
    </cacheField>
    <cacheField name="Next_Object_Classt" numFmtId="0">
      <sharedItems containsBlank="1"/>
    </cacheField>
    <cacheField name="Drop_Subject (overt → zero in next clause)" numFmtId="0">
      <sharedItems containsSemiMixedTypes="0" containsString="0" containsNumber="1" containsInteger="1" minValue="0" maxValue="1" count="2">
        <n v="1"/>
        <n v="0"/>
      </sharedItems>
    </cacheField>
    <cacheField name="Drop_Object (overt → zero in next clause)"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temii Kuznetsov" refreshedDate="46018.702608333333" createdVersion="8" refreshedVersion="8" minRefreshableVersion="3" recordCount="158" xr:uid="{09BD194C-D9BD-174E-9A6E-89C1109150C8}">
  <cacheSource type="worksheet">
    <worksheetSource ref="C6:AX164" sheet="Sheet11" r:id="rId2"/>
  </cacheSource>
  <cacheFields count="48">
    <cacheField name="HeikeCh2" numFmtId="0">
      <sharedItems containsBlank="1" count="158">
        <s v="Heike 2.1"/>
        <s v="Heike 2.2"/>
        <s v="Heike 2.3"/>
        <s v="Heike 2.4"/>
        <s v="Heike 2.5"/>
        <s v="Heike 2.6"/>
        <s v="Heike 2.7"/>
        <s v="Heike 2.8"/>
        <s v="Heike 2.9"/>
        <s v="Heike 2.10"/>
        <s v="Heike 2.11"/>
        <s v="Heike 2.12"/>
        <s v="Heike 2.13"/>
        <s v="Heike 2.14"/>
        <s v="Heike 2.15"/>
        <s v="Heike 2.16"/>
        <s v="Heike 2.17"/>
        <s v="Heike 2.18"/>
        <s v="Heike 2.19"/>
        <s v="Heike 2.20"/>
        <s v="Heike 2.21"/>
        <s v="Heike 2.22"/>
        <s v="Heike 2.23"/>
        <s v="Heike 2.24"/>
        <s v="Heike 2.25"/>
        <s v="Heike 2.26"/>
        <s v="Heike 2.27"/>
        <s v="Heike 2.28"/>
        <s v="Heike 2.29"/>
        <s v="Heike 2.30"/>
        <s v="Heike 2.31"/>
        <s v="Heike 2.32"/>
        <s v="Heike 2.33"/>
        <s v="Heike 2.34"/>
        <s v="Heike 2.35"/>
        <s v="Heike 2.36"/>
        <s v="Heike 2.37"/>
        <s v="Heike 2.38"/>
        <s v="Heike 2.39"/>
        <s v="Heike 2.40"/>
        <s v="Heike 2.41"/>
        <s v="Heike 2.42"/>
        <s v="Heike 2.43"/>
        <s v="Heike 2.44"/>
        <s v="Heike 2.45"/>
        <s v="Heike 2.46"/>
        <s v="Heike 2.47"/>
        <s v="Heike 2.48"/>
        <s v="Heike 2.49"/>
        <s v="Heike 2.50"/>
        <m/>
        <s v="Heike 2.51"/>
        <s v="Heike 2.52"/>
        <s v="Heike 2.53"/>
        <s v="Heike 2.54"/>
        <s v="Heike 2.55"/>
        <s v="Heike 2.56"/>
        <s v="Heike 2.57"/>
        <s v="Heike 2.58"/>
        <s v="Heike 2.59"/>
        <s v="Heike 2.60"/>
        <s v="Heike 2.61"/>
        <s v="Heike 2.62"/>
        <s v="Heike 2.63"/>
        <s v="Heike 2.64"/>
        <s v="Heike 2.65"/>
        <s v="Heike 2.66"/>
        <s v="Heike 2.67"/>
        <s v="Heike 2.68"/>
        <s v="Heike 2.69"/>
        <s v="Heike 2.70"/>
        <s v="Heike 2.71"/>
        <s v="Heike 2.72"/>
        <s v="Heike 2.73"/>
        <s v="Heike 2.74"/>
        <s v="Heike 2.75"/>
        <s v="Heike 2.76"/>
        <s v="Heike 2.77"/>
        <s v="Heike 2.78"/>
        <s v="Heike 2.79"/>
        <s v="Heike 2.80"/>
        <s v="Heike 2.81"/>
        <s v="Heike 2.82"/>
        <s v="Heike 2.83"/>
        <s v="Heike 2.84"/>
        <s v="Heike 2.85"/>
        <s v="Heike 2.86"/>
        <s v="Heike 2.87"/>
        <s v="Heike 2.88"/>
        <s v="Heike 2.89"/>
        <s v="Heike 2.90"/>
        <s v="Heike 2.91"/>
        <s v="Heike 2.92"/>
        <s v="Heike 2.93"/>
        <s v="Heike 2.94"/>
        <s v="Heike 2.95"/>
        <s v="Heike 2.96"/>
        <s v="Heike 2.97"/>
        <s v="Heike 2.98"/>
        <s v="Heike 2.99"/>
        <s v="Heike 2.100"/>
        <s v="Heike 2.101"/>
        <s v="Heike 2.102"/>
        <s v="Heike 2.103"/>
        <s v="Heike 2.104"/>
        <s v="Heike 2.105"/>
        <s v="Heike 2.106"/>
        <s v="Heike 2.107"/>
        <s v="Heike 2.108"/>
        <s v="Heike 2.109"/>
        <s v="Heike 2.110"/>
        <s v="Heike 2.111"/>
        <s v="Heike 2.112"/>
        <s v="Heike 2.113"/>
        <s v="Heike 2.114"/>
        <s v="Heike 2.115"/>
        <s v="Heike 2.116"/>
        <s v="Heike 2.117"/>
        <s v="Heike 2.118"/>
        <s v="Heike 2.119"/>
        <s v="Heike 2.120"/>
        <s v="Heike 2.121"/>
        <s v="Heike 2.122"/>
        <s v="Heike 2.123"/>
        <s v="Heike 2.124"/>
        <s v="Heike 2.125"/>
        <s v="Heike 2.126"/>
        <s v="Heike 2.127"/>
        <s v="Heike 2.128"/>
        <s v="Heike 2.129"/>
        <s v="Heike 2.130"/>
        <s v="Heike 2.131"/>
        <s v="Heike 2.132"/>
        <s v="Heike 2.133"/>
        <s v="Heike 2.134"/>
        <s v="Heike 2.135"/>
        <s v="Heike 2.136"/>
        <s v="Heike 2.137"/>
        <s v="Heike 2.138"/>
        <s v="Heike 2.139"/>
        <s v="Heike 2.140"/>
        <s v="Heike 2.141"/>
        <s v="Heike 2.142"/>
        <s v="Heike 2.143"/>
        <s v="Heike 2.144"/>
        <s v="Heike 2.145"/>
        <s v="Heike 2.146"/>
        <s v="Heike 2.147"/>
        <s v="Heike 2.148"/>
        <s v="Heike 2.149"/>
        <s v="Heike 2.150"/>
        <s v="Heike 2.151"/>
        <s v="Heike 2.152"/>
        <s v="Heike 2.153"/>
        <s v="Heike 2.154"/>
        <s v="Heike 2.155"/>
        <s v="Heike 2.156"/>
        <s v="Heike 2.157"/>
      </sharedItems>
    </cacheField>
    <cacheField name="Field2" numFmtId="0">
      <sharedItems/>
    </cacheField>
    <cacheField name="Translation" numFmtId="0">
      <sharedItems containsBlank="1"/>
    </cacheField>
    <cacheField name="Predicate" numFmtId="0">
      <sharedItems/>
    </cacheField>
    <cacheField name="Modality" numFmtId="0">
      <sharedItems/>
    </cacheField>
    <cacheField name="Verb_Semantic_Class" numFmtId="0">
      <sharedItems/>
    </cacheField>
    <cacheField name="Pred_Type" numFmtId="0">
      <sharedItems containsBlank="1"/>
    </cacheField>
    <cacheField name="Predicate_Transitivity" numFmtId="0">
      <sharedItems containsBlank="1"/>
    </cacheField>
    <cacheField name="Voice_Type" numFmtId="0">
      <sharedItems containsBlank="1"/>
    </cacheField>
    <cacheField name="Clause_Polarity" numFmtId="0">
      <sharedItems containsBlank="1"/>
    </cacheField>
    <cacheField name="~Ø-Verbal" numFmtId="0">
      <sharedItems containsString="0" containsBlank="1" containsNumber="1" containsInteger="1" minValue="0" maxValue="1"/>
    </cacheField>
    <cacheField name="ACT-ARG" numFmtId="0">
      <sharedItems containsString="0" containsBlank="1" containsNumber="1" containsInteger="1" minValue="0" maxValue="3"/>
    </cacheField>
    <cacheField name="Arg Type" numFmtId="0">
      <sharedItems containsBlank="1"/>
    </cacheField>
    <cacheField name="NON-ARG" numFmtId="0">
      <sharedItems containsString="0" containsBlank="1" containsNumber="1" containsInteger="1" minValue="0" maxValue="3"/>
    </cacheField>
    <cacheField name="Subject_Class" numFmtId="0">
      <sharedItems containsBlank="1" count="7">
        <s v="overt"/>
        <s v="zero_recoverable"/>
        <s v="zero_exalt"/>
        <m/>
        <s v="zero_other"/>
        <s v="zero_uncertain"/>
        <s v="none"/>
      </sharedItems>
    </cacheField>
    <cacheField name="Subject_Person" numFmtId="0">
      <sharedItems containsBlank="1" containsMixedTypes="1" containsNumber="1" containsInteger="1" minValue="0" maxValue="3"/>
    </cacheField>
    <cacheField name="Object_Class" numFmtId="0">
      <sharedItems/>
    </cacheField>
    <cacheField name="Indirect_Object_Class" numFmtId="0">
      <sharedItems/>
    </cacheField>
    <cacheField name="GAP-ACT-ARG" numFmtId="0">
      <sharedItems containsString="0" containsBlank="1" containsNumber="1" containsInteger="1" minValue="0" maxValue="1"/>
    </cacheField>
    <cacheField name="GAP-NON-ARG" numFmtId="0">
      <sharedItems containsString="0" containsBlank="1" containsNumber="1" containsInteger="1" minValue="0" maxValue="1"/>
    </cacheField>
    <cacheField name="Adnominal_Function" numFmtId="0">
      <sharedItems containsBlank="1"/>
    </cacheField>
    <cacheField name="Clause_Type" numFmtId="0">
      <sharedItems containsBlank="1" count="9">
        <s v="relative"/>
        <s v="te"/>
        <s v="main"/>
        <s v="subordinate"/>
        <s v="nominalised"/>
        <s v="inf"/>
        <s v="complement"/>
        <m/>
        <s v="none"/>
      </sharedItems>
    </cacheField>
    <cacheField name="EXALT INSIG" numFmtId="0">
      <sharedItems containsString="0" containsBlank="1" containsNumber="1" containsInteger="1" minValue="0" maxValue="1"/>
    </cacheField>
    <cacheField name="V-ARG-Ø-ARG" numFmtId="0">
      <sharedItems containsString="0" containsBlank="1" containsNumber="1" containsInteger="1" minValue="0" maxValue="1" count="3">
        <n v="0"/>
        <n v="1"/>
        <m/>
      </sharedItems>
    </cacheField>
    <cacheField name="Exaltation_Referential_Target" numFmtId="0">
      <sharedItems containsBlank="1" count="5">
        <s v="n/a"/>
        <s v="obj"/>
        <s v="sub"/>
        <s v="io"/>
        <m/>
      </sharedItems>
    </cacheField>
    <cacheField name="Exaltation_Form_Type" numFmtId="0">
      <sharedItems containsBlank="1" count="11">
        <s v="n/a"/>
        <s v="nominal_prefix"/>
        <s v="honorific_aux"/>
        <s v="lexical_honorific_verb"/>
        <s v="lexical honorific+honorific aux"/>
        <s v="lexical_humble_verb"/>
        <m/>
        <s v="polite_aux"/>
        <s v="honorific_aux+lexical_honorific_verb"/>
        <s v="honorific_aux+lexical_humble_verb"/>
        <s v="honorific prefix"/>
      </sharedItems>
    </cacheField>
    <cacheField name="NOM EXH MORPH" numFmtId="0">
      <sharedItems containsString="0" containsBlank="1" containsNumber="1" containsInteger="1" minValue="0" maxValue="1"/>
    </cacheField>
    <cacheField name="Connective_Type" numFmtId="0">
      <sharedItems containsBlank="1" count="11">
        <s v="temporal"/>
        <s v="sequential"/>
        <s v="none"/>
        <s v="causal"/>
        <s v="quotative"/>
        <m/>
        <s v="conjunctive"/>
        <s v="purpose"/>
        <s v="main"/>
        <s v="concessive"/>
        <s v="conditional"/>
      </sharedItems>
    </cacheField>
    <cacheField name="Prev_Clause_Type" numFmtId="0">
      <sharedItems containsBlank="1" containsMixedTypes="1" containsNumber="1" containsInteger="1" minValue="0" maxValue="0" count="10">
        <m/>
        <s v="relative"/>
        <s v="te"/>
        <s v="main"/>
        <s v="subordinate"/>
        <s v="nominalised"/>
        <s v="inf"/>
        <s v="complement"/>
        <n v="0"/>
        <s v="none"/>
      </sharedItems>
    </cacheField>
    <cacheField name="Te_Position" numFmtId="0">
      <sharedItems containsBlank="1"/>
    </cacheField>
    <cacheField name="Switch_Ref" numFmtId="0">
      <sharedItems containsBlank="1"/>
    </cacheField>
    <cacheField name="Next_Switch_Ref" numFmtId="0">
      <sharedItems containsBlank="1" containsMixedTypes="1" containsNumber="1" containsInteger="1" minValue="0" maxValue="0" count="5">
        <s v="ss"/>
        <s v="ds"/>
        <n v="0"/>
        <m/>
        <s v="n/a"/>
      </sharedItems>
    </cacheField>
    <cacheField name="Topic_Status" numFmtId="0">
      <sharedItems containsBlank="1" count="5">
        <s v="topic-introduced"/>
        <s v="topic-drop"/>
        <s v="topic-shift"/>
        <s v="topic-continued"/>
        <m/>
      </sharedItems>
    </cacheField>
    <cacheField name="Information_Status" numFmtId="0">
      <sharedItems containsBlank="1" count="4">
        <s v="contains_new"/>
        <s v="no_overt_NP"/>
        <s v="all given"/>
        <m/>
      </sharedItems>
    </cacheField>
    <cacheField name="Сomment" numFmtId="0">
      <sharedItems containsBlank="1"/>
    </cacheField>
    <cacheField name="Field36" numFmtId="0">
      <sharedItems containsNonDate="0" containsString="0" containsBlank="1" count="1">
        <m/>
      </sharedItems>
    </cacheField>
    <cacheField name="RD2" numFmtId="0">
      <sharedItems containsString="0" containsBlank="1" containsNumber="1" containsInteger="1" minValue="0" maxValue="3"/>
    </cacheField>
    <cacheField name="LVC" numFmtId="0">
      <sharedItems/>
    </cacheField>
    <cacheField name="Subject_Zero" numFmtId="0">
      <sharedItems/>
    </cacheField>
    <cacheField name="Sentence_ID" numFmtId="0">
      <sharedItems containsSemiMixedTypes="0" containsString="0" containsNumber="1" containsInteger="1" minValue="1" maxValue="43"/>
    </cacheField>
    <cacheField name="Next_Clause_Type" numFmtId="0">
      <sharedItems containsBlank="1" count="8">
        <s v="te"/>
        <s v="relative"/>
        <s v="main"/>
        <s v="subordinate"/>
        <m/>
        <s v="inf"/>
        <s v="complement"/>
        <s v="nominalised"/>
      </sharedItems>
    </cacheField>
    <cacheField name="Is_ChainClause" numFmtId="0">
      <sharedItems containsSemiMixedTypes="0" containsString="0" containsNumber="1" containsInteger="1" minValue="0" maxValue="1"/>
    </cacheField>
    <cacheField name="Chain_Index_In_Sentence" numFmtId="0">
      <sharedItems containsString="0" containsBlank="1" containsNumber="1" containsInteger="1" minValue="1" maxValue="11"/>
    </cacheField>
    <cacheField name="Is_First_ChainClause" numFmtId="0">
      <sharedItems containsSemiMixedTypes="0" containsString="0" containsNumber="1" containsInteger="1" minValue="0" maxValue="1"/>
    </cacheField>
    <cacheField name="Next_Subject_Classt" numFmtId="0">
      <sharedItems containsBlank="1" count="7">
        <s v="zero_recoverable"/>
        <s v="zero_exalt"/>
        <s v="overt"/>
        <m/>
        <s v="zero_other"/>
        <s v="zero_uncertain"/>
        <s v="none"/>
      </sharedItems>
    </cacheField>
    <cacheField name="Next_Object_Classt" numFmtId="0">
      <sharedItems containsBlank="1"/>
    </cacheField>
    <cacheField name="Drop_Subject (overt → zero in next clause)" numFmtId="0">
      <sharedItems containsSemiMixedTypes="0" containsString="0" containsNumber="1" containsInteger="1" minValue="0" maxValue="1" count="2">
        <n v="1"/>
        <n v="0"/>
      </sharedItems>
    </cacheField>
    <cacheField name="Drop_Object (overt → zero in next clause)"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temii Kuznetsov" refreshedDate="46020.50947164352" createdVersion="8" refreshedVersion="8" minRefreshableVersion="3" recordCount="158" xr:uid="{962E8086-0A67-5F49-A8FA-3C3D0688197E}">
  <cacheSource type="worksheet">
    <worksheetSource ref="C6:AX164" sheet="Sheet14" r:id="rId2"/>
  </cacheSource>
  <cacheFields count="48">
    <cacheField name="HeikeCh2" numFmtId="0">
      <sharedItems containsBlank="1"/>
    </cacheField>
    <cacheField name="Field2" numFmtId="0">
      <sharedItems/>
    </cacheField>
    <cacheField name="Translation" numFmtId="0">
      <sharedItems containsBlank="1"/>
    </cacheField>
    <cacheField name="Predicate" numFmtId="0">
      <sharedItems/>
    </cacheField>
    <cacheField name="Modality" numFmtId="0">
      <sharedItems/>
    </cacheField>
    <cacheField name="Verb_Semantic_Class" numFmtId="0">
      <sharedItems/>
    </cacheField>
    <cacheField name="Pred_Type" numFmtId="0">
      <sharedItems containsBlank="1"/>
    </cacheField>
    <cacheField name="Predicate_Transitivity" numFmtId="0">
      <sharedItems containsBlank="1"/>
    </cacheField>
    <cacheField name="Voice_Type" numFmtId="0">
      <sharedItems containsBlank="1"/>
    </cacheField>
    <cacheField name="Clause_Polarity" numFmtId="0">
      <sharedItems containsBlank="1"/>
    </cacheField>
    <cacheField name="~Ø-Verbal" numFmtId="0">
      <sharedItems containsString="0" containsBlank="1" containsNumber="1" containsInteger="1" minValue="0" maxValue="1"/>
    </cacheField>
    <cacheField name="ACT-ARG" numFmtId="0">
      <sharedItems containsString="0" containsBlank="1" containsNumber="1" containsInteger="1" minValue="0" maxValue="3"/>
    </cacheField>
    <cacheField name="Arg Type" numFmtId="0">
      <sharedItems containsBlank="1"/>
    </cacheField>
    <cacheField name="NON-ARG" numFmtId="0">
      <sharedItems containsString="0" containsBlank="1" containsNumber="1" containsInteger="1" minValue="0" maxValue="3"/>
    </cacheField>
    <cacheField name="Subject_Class" numFmtId="0">
      <sharedItems containsBlank="1"/>
    </cacheField>
    <cacheField name="Subject_Person" numFmtId="0">
      <sharedItems containsBlank="1" containsMixedTypes="1" containsNumber="1" containsInteger="1" minValue="0" maxValue="3"/>
    </cacheField>
    <cacheField name="Object_Class" numFmtId="0">
      <sharedItems/>
    </cacheField>
    <cacheField name="Indirect_Object_Class" numFmtId="0">
      <sharedItems/>
    </cacheField>
    <cacheField name="GAP-ACT-ARG" numFmtId="0">
      <sharedItems containsString="0" containsBlank="1" containsNumber="1" containsInteger="1" minValue="0" maxValue="1"/>
    </cacheField>
    <cacheField name="GAP-NON-ARG" numFmtId="0">
      <sharedItems containsString="0" containsBlank="1" containsNumber="1" containsInteger="1" minValue="0" maxValue="1"/>
    </cacheField>
    <cacheField name="Adnominal_Function" numFmtId="0">
      <sharedItems containsBlank="1"/>
    </cacheField>
    <cacheField name="Clause_Type" numFmtId="0">
      <sharedItems containsBlank="1"/>
    </cacheField>
    <cacheField name="EXALT INSIG" numFmtId="0">
      <sharedItems containsString="0" containsBlank="1" containsNumber="1" containsInteger="1" minValue="0" maxValue="1"/>
    </cacheField>
    <cacheField name="V-ARG-Ø-ARG" numFmtId="0">
      <sharedItems containsString="0" containsBlank="1" containsNumber="1" containsInteger="1" minValue="0" maxValue="1"/>
    </cacheField>
    <cacheField name="Exaltation_Referential_Target" numFmtId="0">
      <sharedItems containsBlank="1"/>
    </cacheField>
    <cacheField name="Exaltation_Form_Type" numFmtId="0">
      <sharedItems containsBlank="1"/>
    </cacheField>
    <cacheField name="NOM EXH MORPH" numFmtId="0">
      <sharedItems containsString="0" containsBlank="1" containsNumber="1" containsInteger="1" minValue="0" maxValue="1"/>
    </cacheField>
    <cacheField name="Connective_Type" numFmtId="0">
      <sharedItems containsBlank="1" count="11">
        <s v="temporal"/>
        <s v="sequential"/>
        <s v="none"/>
        <s v="causal"/>
        <s v="quotative"/>
        <m/>
        <s v="conjunctive"/>
        <s v="purpose"/>
        <s v="main"/>
        <s v="concessive"/>
        <s v="conditional"/>
      </sharedItems>
    </cacheField>
    <cacheField name="Prev_Clause_Type" numFmtId="0">
      <sharedItems containsBlank="1" containsMixedTypes="1" containsNumber="1" containsInteger="1" minValue="0" maxValue="0" count="10">
        <m/>
        <s v="relative"/>
        <s v="te"/>
        <s v="main"/>
        <s v="subordinate"/>
        <s v="nominalised"/>
        <s v="inf"/>
        <s v="complement"/>
        <n v="0"/>
        <s v="none"/>
      </sharedItems>
    </cacheField>
    <cacheField name="Te_Position" numFmtId="0">
      <sharedItems containsBlank="1"/>
    </cacheField>
    <cacheField name="Switch_Ref" numFmtId="0">
      <sharedItems containsBlank="1"/>
    </cacheField>
    <cacheField name="Next_Switch_Ref" numFmtId="0">
      <sharedItems containsBlank="1" containsMixedTypes="1" containsNumber="1" containsInteger="1" minValue="0" maxValue="0"/>
    </cacheField>
    <cacheField name="Topic_Status" numFmtId="0">
      <sharedItems containsBlank="1"/>
    </cacheField>
    <cacheField name="Information_Status" numFmtId="0">
      <sharedItems containsBlank="1"/>
    </cacheField>
    <cacheField name="Сomment" numFmtId="0">
      <sharedItems containsBlank="1"/>
    </cacheField>
    <cacheField name="Field36" numFmtId="0">
      <sharedItems containsNonDate="0" containsString="0" containsBlank="1"/>
    </cacheField>
    <cacheField name="RD2" numFmtId="0">
      <sharedItems containsString="0" containsBlank="1" containsNumber="1" containsInteger="1" minValue="0" maxValue="3"/>
    </cacheField>
    <cacheField name="LVC" numFmtId="0">
      <sharedItems count="2">
        <s v="non-LVC"/>
        <s v="LVC"/>
      </sharedItems>
    </cacheField>
    <cacheField name="Subject_Zero" numFmtId="0">
      <sharedItems/>
    </cacheField>
    <cacheField name="Sentence_ID" numFmtId="0">
      <sharedItems containsSemiMixedTypes="0" containsString="0" containsNumber="1" containsInteger="1" minValue="1" maxValue="43"/>
    </cacheField>
    <cacheField name="Next_Clause_Type" numFmtId="0">
      <sharedItems containsBlank="1"/>
    </cacheField>
    <cacheField name="Is_ChainClause" numFmtId="0">
      <sharedItems containsSemiMixedTypes="0" containsString="0" containsNumber="1" containsInteger="1" minValue="0" maxValue="1"/>
    </cacheField>
    <cacheField name="Chain_Index_In_Sentence" numFmtId="0">
      <sharedItems containsString="0" containsBlank="1" containsNumber="1" containsInteger="1" minValue="1" maxValue="11"/>
    </cacheField>
    <cacheField name="Is_First_ChainClause" numFmtId="0">
      <sharedItems containsSemiMixedTypes="0" containsString="0" containsNumber="1" containsInteger="1" minValue="0" maxValue="1" count="2">
        <n v="1"/>
        <n v="0"/>
      </sharedItems>
    </cacheField>
    <cacheField name="Next_Subject_Classt" numFmtId="0">
      <sharedItems containsBlank="1"/>
    </cacheField>
    <cacheField name="Next_Object_Classt" numFmtId="0">
      <sharedItems containsBlank="1"/>
    </cacheField>
    <cacheField name="Drop_Subject (overt → zero in next clause)" numFmtId="0">
      <sharedItems containsSemiMixedTypes="0" containsString="0" containsNumber="1" containsInteger="1" minValue="0" maxValue="1"/>
    </cacheField>
    <cacheField name="Drop_Object (overt → zero in next clause)"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9">
  <r>
    <s v="Heike 2.1"/>
    <s v="忠盛朝臣未だ備前守たりし時 (Tadamori ason imada Bizen no kami tarishi toki)"/>
    <s v="Now Tadamori, while holding the office of Bizen no Kami,"/>
    <s v="たりし"/>
    <s v="indicative"/>
    <x v="0"/>
    <x v="0"/>
    <x v="0"/>
    <s v="active"/>
    <s v="positive"/>
    <n v="1"/>
    <n v="1"/>
    <x v="0"/>
    <n v="0"/>
    <x v="0"/>
    <n v="3"/>
    <x v="0"/>
    <x v="0"/>
    <n v="0"/>
    <n v="1"/>
    <s v="REL"/>
    <x v="0"/>
    <x v="0"/>
    <x v="0"/>
    <x v="0"/>
    <s v="n/a"/>
    <n v="0"/>
    <x v="0"/>
    <x v="0"/>
    <x v="0"/>
    <x v="0"/>
    <m/>
    <m/>
    <n v="1"/>
  </r>
  <r>
    <s v="Heike 2.2"/>
    <s v="鳥羽院の御願得長寿院を造進して (Toba-in no ogan Tokuchōju-in o zōshin shite)"/>
    <s v="by the request of the retired Emperor Toba,"/>
    <s v="造進して"/>
    <s v="indicative"/>
    <x v="1"/>
    <x v="1"/>
    <x v="1"/>
    <s v="active"/>
    <s v="positive"/>
    <n v="1"/>
    <n v="1"/>
    <x v="1"/>
    <n v="1"/>
    <x v="1"/>
    <n v="3"/>
    <x v="1"/>
    <x v="0"/>
    <n v="0"/>
    <n v="0"/>
    <s v="n/a"/>
    <x v="1"/>
    <x v="0"/>
    <x v="0"/>
    <x v="1"/>
    <s v="nominal_prefix"/>
    <n v="1"/>
    <x v="1"/>
    <x v="1"/>
    <x v="1"/>
    <x v="0"/>
    <s v="stranded subject Tadamori"/>
    <m/>
    <n v="1"/>
  </r>
  <r>
    <s v="Heike 2.3"/>
    <s v="三十三間の御堂を建て (sanjūsangen no midō o tatete)"/>
    <s v=" had built the temple Toku-cho-juin and the Sa-ju-san-gen-do, or hall 33 ken long,"/>
    <s v="建て"/>
    <s v="indicative"/>
    <x v="1"/>
    <x v="1"/>
    <x v="1"/>
    <s v="active"/>
    <s v="positive"/>
    <n v="1"/>
    <n v="1"/>
    <x v="1"/>
    <n v="0"/>
    <x v="1"/>
    <n v="3"/>
    <x v="1"/>
    <x v="0"/>
    <n v="0"/>
    <n v="0"/>
    <s v="n/a"/>
    <x v="1"/>
    <x v="0"/>
    <x v="0"/>
    <x v="1"/>
    <s v="nominal_prefix"/>
    <n v="1"/>
    <x v="1"/>
    <x v="1"/>
    <x v="1"/>
    <x v="0"/>
    <m/>
    <m/>
    <n v="1"/>
  </r>
  <r>
    <s v="Heike 2.4"/>
    <s v="一千一体の御仏を据ゑ奉らる (issen ittai no mihotoke o sue-tatematsuraru)"/>
    <s v="within which were one thousand and one Buddhas;"/>
    <s v="据ゑ奉らる"/>
    <s v="indicative"/>
    <x v="2"/>
    <x v="1"/>
    <x v="1"/>
    <s v="active"/>
    <s v="positive"/>
    <n v="1"/>
    <n v="1"/>
    <x v="1"/>
    <n v="0"/>
    <x v="2"/>
    <n v="3"/>
    <x v="1"/>
    <x v="0"/>
    <n v="0"/>
    <n v="1"/>
    <s v="REL"/>
    <x v="0"/>
    <x v="1"/>
    <x v="1"/>
    <x v="2"/>
    <s v="honorific_aux"/>
    <n v="1"/>
    <x v="2"/>
    <x v="1"/>
    <x v="1"/>
    <x v="0"/>
    <s v="complex verbal form"/>
    <m/>
    <n v="1"/>
  </r>
  <r>
    <s v="Heike 2.5"/>
    <s v="供養は天承元年三月十三日なり (kuyō wa Tenshō gannen sangatsu jūsan-nichi nari)"/>
    <s v="its first festival being on the thirteenth day of the third month of the first year of Tensho."/>
    <s v="なり"/>
    <s v="indicative"/>
    <x v="0"/>
    <x v="0"/>
    <x v="0"/>
    <s v="active"/>
    <s v="positive"/>
    <n v="1"/>
    <n v="1"/>
    <x v="0"/>
    <n v="0"/>
    <x v="0"/>
    <n v="3"/>
    <x v="0"/>
    <x v="0"/>
    <n v="0"/>
    <n v="0"/>
    <s v="n/a"/>
    <x v="2"/>
    <x v="0"/>
    <x v="0"/>
    <x v="0"/>
    <s v="n/a"/>
    <n v="0"/>
    <x v="2"/>
    <x v="2"/>
    <x v="0"/>
    <x v="0"/>
    <m/>
    <m/>
    <n v="1"/>
  </r>
  <r>
    <s v="Heike 2.6"/>
    <s v="勧賞には欠国を賜ふべき由 (kanshō ni wa kakukuni o tamau beki yoshi)"/>
    <s v="As a reward he was to be granted a fief,"/>
    <s v="賜ふべき"/>
    <s v="deontic"/>
    <x v="2"/>
    <x v="1"/>
    <x v="1"/>
    <s v="active"/>
    <s v="positive"/>
    <n v="1"/>
    <n v="1"/>
    <x v="1"/>
    <n v="1"/>
    <x v="2"/>
    <n v="3"/>
    <x v="1"/>
    <x v="0"/>
    <n v="0"/>
    <n v="1"/>
    <s v="n/a"/>
    <x v="3"/>
    <x v="0"/>
    <x v="1"/>
    <x v="2"/>
    <s v="lexical_honorific_verb"/>
    <n v="0"/>
    <x v="3"/>
    <x v="2"/>
    <x v="2"/>
    <x v="0"/>
    <m/>
    <m/>
    <n v="1"/>
  </r>
  <r>
    <s v="Heike 2.7"/>
    <s v="仰せ下されける (ōse-kudasa rekeru)"/>
    <s v="he was honoured by receiving the territory of the province of Tamba,"/>
    <s v="仰せ下されける"/>
    <s v="indicative"/>
    <x v="2"/>
    <x v="2"/>
    <x v="0"/>
    <s v="passive"/>
    <s v="positive"/>
    <n v="1"/>
    <n v="0"/>
    <x v="2"/>
    <n v="0"/>
    <x v="2"/>
    <n v="3"/>
    <x v="2"/>
    <x v="1"/>
    <n v="1"/>
    <n v="0"/>
    <s v="REL"/>
    <x v="0"/>
    <x v="0"/>
    <x v="1"/>
    <x v="3"/>
    <s v="lexical honorific+honorific aux"/>
    <n v="0"/>
    <x v="2"/>
    <x v="2"/>
    <x v="1"/>
    <x v="1"/>
    <m/>
    <m/>
    <n v="0"/>
  </r>
  <r>
    <s v="Heike 2.8"/>
    <s v="折節但馬国の空きたりけるをぞ (orifushi Tamba no kuni no aki tarikeru o zo)"/>
    <s v="which then happened to be unappropriated."/>
    <s v="空きたりける"/>
    <s v="indicative"/>
    <x v="0"/>
    <x v="1"/>
    <x v="0"/>
    <s v="resultative"/>
    <s v="positive"/>
    <n v="1"/>
    <n v="1"/>
    <x v="0"/>
    <n v="1"/>
    <x v="0"/>
    <n v="3"/>
    <x v="0"/>
    <x v="0"/>
    <n v="0"/>
    <n v="0"/>
    <s v="OBJ"/>
    <x v="4"/>
    <x v="0"/>
    <x v="0"/>
    <x v="0"/>
    <s v="n/a"/>
    <n v="0"/>
    <x v="2"/>
    <x v="1"/>
    <x v="1"/>
    <x v="0"/>
    <s v="internally headed"/>
    <m/>
    <n v="1"/>
  </r>
  <r>
    <s v="Heike 2.9"/>
    <s v="賜はりける (tamawari keru)"/>
    <s v="As a reward he was honoured by receiving the territory of the province of Tamba, which then happened to be unappropriated."/>
    <s v="賜はりける"/>
    <s v="indicative"/>
    <x v="2"/>
    <x v="1"/>
    <x v="1"/>
    <s v="active"/>
    <s v="positive"/>
    <n v="1"/>
    <n v="1"/>
    <x v="1"/>
    <n v="0"/>
    <x v="2"/>
    <n v="3"/>
    <x v="3"/>
    <x v="2"/>
    <n v="0"/>
    <n v="0"/>
    <s v="n/a"/>
    <x v="2"/>
    <x v="0"/>
    <x v="1"/>
    <x v="2"/>
    <s v="lexical_humble_verb"/>
    <n v="0"/>
    <x v="2"/>
    <x v="2"/>
    <x v="1"/>
    <x v="1"/>
    <m/>
    <m/>
    <n v="1"/>
  </r>
  <r>
    <s v="Heike 2.10"/>
    <s v="上皇御感のあまりに内の昇殿を許さる (jōkō go-kan no amari ni uchi no shōden o yurusaru)"/>
    <s v="Moreover the Emperor of his bounty graciously permitted him to attend the Court;"/>
    <s v="許さる"/>
    <s v="indicative"/>
    <x v="2"/>
    <x v="1"/>
    <x v="1"/>
    <s v="active"/>
    <s v="positive"/>
    <n v="1"/>
    <n v="2"/>
    <x v="3"/>
    <n v="1"/>
    <x v="0"/>
    <n v="3"/>
    <x v="1"/>
    <x v="2"/>
    <n v="1"/>
    <n v="0"/>
    <s v="REL"/>
    <x v="0"/>
    <x v="1"/>
    <x v="0"/>
    <x v="2"/>
    <s v="honorific_aux"/>
    <n v="1"/>
    <x v="2"/>
    <x v="2"/>
    <x v="1"/>
    <x v="0"/>
    <s v="it's unlcear whether -re- in -yurusareru is passive or honorific"/>
    <m/>
    <n v="2"/>
  </r>
  <r>
    <s v="Heike 2.11"/>
    <s v="忠盛三十六にて初めて昇殿す (Tadamori sanjūroku nite hajimete shōden su)"/>
    <s v="which Tadamori did for the first time at the age of thirty six."/>
    <s v="昇殿す"/>
    <s v="indicative"/>
    <x v="3"/>
    <x v="3"/>
    <x v="0"/>
    <s v="active"/>
    <s v="positive"/>
    <n v="1"/>
    <n v="1"/>
    <x v="0"/>
    <n v="2"/>
    <x v="0"/>
    <n v="3"/>
    <x v="1"/>
    <x v="0"/>
    <n v="0"/>
    <n v="0"/>
    <s v="n/a"/>
    <x v="2"/>
    <x v="0"/>
    <x v="0"/>
    <x v="0"/>
    <s v="n/a"/>
    <n v="0"/>
    <x v="2"/>
    <x v="2"/>
    <x v="3"/>
    <x v="0"/>
    <m/>
    <m/>
    <n v="1"/>
  </r>
  <r>
    <s v="Heike 2.12"/>
    <s v="雲の上人これを嫉み憤り (kumo no uebito kore o sonemi ikidori)"/>
    <s v="the higher Courtiers were furious with jealousy"/>
    <s v="嫉み憤り"/>
    <s v="indicative"/>
    <x v="4"/>
    <x v="4"/>
    <x v="1"/>
    <s v="active"/>
    <s v="positive"/>
    <n v="1"/>
    <n v="2"/>
    <x v="3"/>
    <n v="0"/>
    <x v="0"/>
    <n v="3"/>
    <x v="1"/>
    <x v="0"/>
    <n v="0"/>
    <n v="0"/>
    <s v="n/a"/>
    <x v="5"/>
    <x v="0"/>
    <x v="0"/>
    <x v="0"/>
    <s v="n/a"/>
    <n v="0"/>
    <x v="2"/>
    <x v="2"/>
    <x v="0"/>
    <x v="0"/>
    <m/>
    <m/>
    <n v="2"/>
  </r>
  <r>
    <s v="Heike 2.13"/>
    <s v="同じき年の十一月二十三日五節豊の明の節会の夜 (onajiki toshi no jūichigatsu nijūsannichi gosechi Toyo-no-akari no setchie no yo) 忠盛を闇討にせん (Tadamori o yamiuchi ni sen "/>
    <s v="to assassinate him on the evening of the festival of Go-Sechi Toyo-no-akari-no-setchie, on the 23rd day of the eleventh month of the same year."/>
    <s v="闇討にせん"/>
    <s v="dynamic"/>
    <x v="1"/>
    <x v="3"/>
    <x v="1"/>
    <s v="active"/>
    <s v="positive"/>
    <n v="1"/>
    <n v="1"/>
    <x v="1"/>
    <n v="1"/>
    <x v="1"/>
    <n v="3"/>
    <x v="1"/>
    <x v="0"/>
    <n v="0"/>
    <n v="0"/>
    <s v="n/a"/>
    <x v="6"/>
    <x v="0"/>
    <x v="0"/>
    <x v="0"/>
    <s v="n/a"/>
    <n v="0"/>
    <x v="4"/>
    <x v="1"/>
    <x v="3"/>
    <x v="0"/>
    <m/>
    <m/>
    <n v="1"/>
  </r>
  <r>
    <s v="Heike 2.14"/>
    <s v="とぞ議せられける (to zo giserarikeru)"/>
    <s v="they plotted"/>
    <s v="議せられける"/>
    <s v="indicative"/>
    <x v="5"/>
    <x v="3"/>
    <x v="0"/>
    <s v="passive"/>
    <s v="positive"/>
    <n v="1"/>
    <n v="1"/>
    <x v="4"/>
    <n v="0"/>
    <x v="0"/>
    <s v="n/a"/>
    <x v="0"/>
    <x v="0"/>
    <n v="0"/>
    <n v="0"/>
    <s v="n/a"/>
    <x v="2"/>
    <x v="0"/>
    <x v="0"/>
    <x v="0"/>
    <s v="n/a"/>
    <n v="0"/>
    <x v="2"/>
    <x v="2"/>
    <x v="1"/>
    <x v="2"/>
    <m/>
    <m/>
    <n v="1"/>
  </r>
  <r>
    <s v="Heike 2.15"/>
    <s v="忠盛この由を伝へ聞きて (Tadamori kono yoshi o tsutae kikite)"/>
    <s v="Tadamori, on hearing of this"/>
    <s v="伝へ聞きて"/>
    <s v="indicative"/>
    <x v="6"/>
    <x v="4"/>
    <x v="1"/>
    <s v="active"/>
    <s v="positive"/>
    <n v="1"/>
    <n v="2"/>
    <x v="1"/>
    <n v="0"/>
    <x v="0"/>
    <n v="3"/>
    <x v="1"/>
    <x v="0"/>
    <n v="0"/>
    <n v="0"/>
    <s v="n/a"/>
    <x v="1"/>
    <x v="0"/>
    <x v="0"/>
    <x v="0"/>
    <s v="n/a"/>
    <n v="0"/>
    <x v="1"/>
    <x v="2"/>
    <x v="2"/>
    <x v="2"/>
    <m/>
    <m/>
    <n v="2"/>
  </r>
  <r>
    <s v="Heike 2.16"/>
    <s v="我右弼の身にあらず (ware ubitsu no mi ni a-razu)"/>
    <s v="I am not a civil official"/>
    <s v="あらず"/>
    <s v="indicative"/>
    <x v="1"/>
    <x v="0"/>
    <x v="0"/>
    <s v="active"/>
    <s v="negative"/>
    <n v="1"/>
    <n v="1"/>
    <x v="0"/>
    <n v="0"/>
    <x v="0"/>
    <n v="1"/>
    <x v="0"/>
    <x v="0"/>
    <n v="0"/>
    <n v="0"/>
    <s v="n/a"/>
    <x v="3"/>
    <x v="0"/>
    <x v="0"/>
    <x v="0"/>
    <s v="n/a"/>
    <n v="0"/>
    <x v="1"/>
    <x v="2"/>
    <x v="2"/>
    <x v="0"/>
    <m/>
    <m/>
    <n v="1"/>
  </r>
  <r>
    <s v="Heike 2.17"/>
    <s v="武勇の家に生れて (buyū no ie ni umarete)"/>
    <s v="being born of a line of warriors"/>
    <s v="生れて"/>
    <s v="indicative"/>
    <x v="1"/>
    <x v="1"/>
    <x v="0"/>
    <s v="active"/>
    <s v="positive"/>
    <n v="1"/>
    <n v="1"/>
    <x v="0"/>
    <n v="1"/>
    <x v="1"/>
    <n v="1"/>
    <x v="0"/>
    <x v="0"/>
    <n v="0"/>
    <n v="0"/>
    <s v="n/a"/>
    <x v="1"/>
    <x v="0"/>
    <x v="0"/>
    <x v="0"/>
    <s v="n/a"/>
    <n v="0"/>
    <x v="1"/>
    <x v="1"/>
    <x v="1"/>
    <x v="0"/>
    <m/>
    <m/>
    <n v="1"/>
  </r>
  <r>
    <s v="Heike 2.18"/>
    <s v="今不慮の恥に遇はん (ima furyo no haji ni awan)"/>
    <s v="for myself and my house at this unexpected shame"/>
    <s v="遇はん"/>
    <s v="epistemic"/>
    <x v="1"/>
    <x v="1"/>
    <x v="0"/>
    <s v="active"/>
    <s v="positive"/>
    <n v="1"/>
    <n v="1"/>
    <x v="5"/>
    <n v="1"/>
    <x v="1"/>
    <s v="n/a"/>
    <x v="0"/>
    <x v="3"/>
    <n v="0"/>
    <n v="1"/>
    <s v="n/a"/>
    <x v="0"/>
    <x v="0"/>
    <x v="0"/>
    <x v="0"/>
    <s v="n/a"/>
    <n v="0"/>
    <x v="2"/>
    <x v="1"/>
    <x v="1"/>
    <x v="0"/>
    <m/>
    <m/>
    <n v="1"/>
  </r>
  <r>
    <s v="Heike 2.19"/>
    <s v="事家の為身の為心憂かるべし (koto ie no tame mi no tame kokoroukarubeshi)"/>
    <s v="I am troubled in my heart"/>
    <s v="憂かるべし"/>
    <s v="epistemic"/>
    <x v="4"/>
    <x v="5"/>
    <x v="0"/>
    <s v="active"/>
    <s v="positive"/>
    <n v="1"/>
    <n v="1"/>
    <x v="0"/>
    <n v="1"/>
    <x v="0"/>
    <n v="3"/>
    <x v="0"/>
    <x v="0"/>
    <n v="0"/>
    <n v="0"/>
    <s v="n/a"/>
    <x v="2"/>
    <x v="0"/>
    <x v="0"/>
    <x v="0"/>
    <s v="n/a"/>
    <n v="0"/>
    <x v="2"/>
    <x v="2"/>
    <x v="1"/>
    <x v="0"/>
    <m/>
    <m/>
    <n v="1"/>
  </r>
  <r>
    <s v="Heike 2.20"/>
    <s v="詮ずるところ (senzuru tokoro)"/>
    <s v="finally, as for what is to be done"/>
    <s v="詮ずる"/>
    <s v="indicative"/>
    <x v="1"/>
    <x v="6"/>
    <x v="2"/>
    <m/>
    <m/>
    <m/>
    <m/>
    <x v="6"/>
    <m/>
    <x v="3"/>
    <m/>
    <x v="4"/>
    <x v="4"/>
    <m/>
    <m/>
    <m/>
    <x v="7"/>
    <x v="2"/>
    <x v="2"/>
    <x v="4"/>
    <m/>
    <m/>
    <x v="5"/>
    <x v="3"/>
    <x v="4"/>
    <x v="3"/>
    <m/>
    <m/>
    <m/>
  </r>
  <r>
    <s v="Heike 2.21"/>
    <s v="身を全うして (mi o mattō shite)"/>
    <s v="with all your might"/>
    <s v="全うして"/>
    <s v="indicative"/>
    <x v="1"/>
    <x v="3"/>
    <x v="1"/>
    <s v="active"/>
    <s v="positive"/>
    <n v="1"/>
    <n v="1"/>
    <x v="1"/>
    <n v="0"/>
    <x v="1"/>
    <n v="1"/>
    <x v="1"/>
    <x v="0"/>
    <n v="0"/>
    <n v="0"/>
    <s v="n/a"/>
    <x v="1"/>
    <x v="0"/>
    <x v="0"/>
    <x v="0"/>
    <s v="n/a"/>
    <n v="0"/>
    <x v="1"/>
    <x v="1"/>
    <x v="1"/>
    <x v="0"/>
    <m/>
    <m/>
    <n v="1"/>
  </r>
  <r>
    <s v="Heike 2.22"/>
    <s v="君に仕へ奉れ"/>
    <s v=" kimi ni tsukae tatematsure"/>
    <s v="仕へ奉れ"/>
    <s v="imperative"/>
    <x v="2"/>
    <x v="1"/>
    <x v="0"/>
    <s v="active"/>
    <s v="positive"/>
    <n v="1"/>
    <n v="1"/>
    <x v="5"/>
    <n v="0"/>
    <x v="2"/>
    <n v="1"/>
    <x v="0"/>
    <x v="3"/>
    <n v="0"/>
    <n v="0"/>
    <s v="n/a"/>
    <x v="6"/>
    <x v="1"/>
    <x v="1"/>
    <x v="2"/>
    <s v="lexical_humble_verb"/>
    <n v="0"/>
    <x v="2"/>
    <x v="1"/>
    <x v="1"/>
    <x v="0"/>
    <m/>
    <m/>
    <n v="1"/>
  </r>
  <r>
    <s v="Heike 2.23"/>
    <s v="といふ本文あり (to iu honbun ari)"/>
    <s v="so goes the original passage"/>
    <s v="あり"/>
    <s v="indicative"/>
    <x v="0"/>
    <x v="7"/>
    <x v="0"/>
    <s v="active"/>
    <s v="positive"/>
    <n v="1"/>
    <n v="1"/>
    <x v="0"/>
    <n v="1"/>
    <x v="0"/>
    <n v="3"/>
    <x v="0"/>
    <x v="0"/>
    <n v="0"/>
    <n v="0"/>
    <s v="n/a"/>
    <x v="2"/>
    <x v="0"/>
    <x v="0"/>
    <x v="0"/>
    <s v="n/a"/>
    <n v="0"/>
    <x v="2"/>
    <x v="2"/>
    <x v="1"/>
    <x v="0"/>
    <s v="frame predicate"/>
    <m/>
    <n v="1"/>
  </r>
  <r>
    <s v="Heike 2.24"/>
    <s v="参内の初めより大なる鞘巻を用意し (sannai no hajime yori ō-naru sayamaki o yōi shi)"/>
    <s v="Before entering the Court he provided himself with a long dirk"/>
    <s v="用意し"/>
    <s v="indicative"/>
    <x v="1"/>
    <x v="3"/>
    <x v="1"/>
    <s v="active"/>
    <s v="positive"/>
    <n v="1"/>
    <n v="1"/>
    <x v="1"/>
    <n v="1"/>
    <x v="1"/>
    <n v="3"/>
    <x v="1"/>
    <x v="0"/>
    <n v="0"/>
    <n v="0"/>
    <s v="n/a"/>
    <x v="5"/>
    <x v="0"/>
    <x v="0"/>
    <x v="0"/>
    <s v="n/a"/>
    <n v="0"/>
    <x v="2"/>
    <x v="1"/>
    <x v="1"/>
    <x v="0"/>
    <m/>
    <m/>
    <n v="1"/>
  </r>
  <r>
    <s v="Heike 2.25"/>
    <s v="束帯の下にしどけなげに差し (sokutai no shita ni shidokenage ni sashi)"/>
    <s v="which he girt on under his long court dress"/>
    <s v="差し"/>
    <s v="indicative"/>
    <x v="1"/>
    <x v="1"/>
    <x v="1"/>
    <s v="active"/>
    <s v="positive"/>
    <n v="1"/>
    <n v="1"/>
    <x v="5"/>
    <n v="1"/>
    <x v="1"/>
    <n v="3"/>
    <x v="3"/>
    <x v="3"/>
    <n v="0"/>
    <n v="0"/>
    <s v="n/a"/>
    <x v="5"/>
    <x v="0"/>
    <x v="0"/>
    <x v="0"/>
    <s v="n/a"/>
    <n v="0"/>
    <x v="2"/>
    <x v="1"/>
    <x v="1"/>
    <x v="0"/>
    <m/>
    <m/>
    <n v="1"/>
  </r>
  <r>
    <s v="Heike 2.26"/>
    <s v="火の仄暗き方に向かつて (hi no hokuraki kata ni mukatte)"/>
    <s v="and turning aside to a dimly lit place"/>
    <s v="向かつて"/>
    <s v="indicative"/>
    <x v="1"/>
    <x v="1"/>
    <x v="0"/>
    <s v="active"/>
    <s v="positive"/>
    <n v="1"/>
    <n v="1"/>
    <x v="5"/>
    <n v="1"/>
    <x v="1"/>
    <n v="3"/>
    <x v="0"/>
    <x v="3"/>
    <n v="0"/>
    <n v="0"/>
    <s v="n/a"/>
    <x v="1"/>
    <x v="0"/>
    <x v="0"/>
    <x v="0"/>
    <s v="n/a"/>
    <n v="0"/>
    <x v="1"/>
    <x v="1"/>
    <x v="1"/>
    <x v="0"/>
    <m/>
    <m/>
    <n v="1"/>
  </r>
  <r>
    <s v="Heike 2.27"/>
    <s v="やはらこの刀を抜き出でて (yahara kono katana o nuki-idete)"/>
    <s v="slowly drew the blade"/>
    <s v="抜き出でて"/>
    <s v="indicative"/>
    <x v="3"/>
    <x v="4"/>
    <x v="1"/>
    <s v="active"/>
    <s v="positive"/>
    <n v="1"/>
    <n v="1"/>
    <x v="1"/>
    <n v="0"/>
    <x v="1"/>
    <n v="3"/>
    <x v="1"/>
    <x v="0"/>
    <n v="0"/>
    <n v="0"/>
    <s v="n/a"/>
    <x v="1"/>
    <x v="0"/>
    <x v="0"/>
    <x v="0"/>
    <s v="n/a"/>
    <n v="0"/>
    <x v="1"/>
    <x v="1"/>
    <x v="1"/>
    <x v="2"/>
    <s v="&quot;kono katana&quot; refers to the &quot;sayamaki&quot;, so all given"/>
    <m/>
    <n v="1"/>
  </r>
  <r>
    <s v="Heike 2.28"/>
    <s v="鬢に引き当てられたりけるが (kami ni hiki-ate raretarikeru ga)"/>
    <s v="and passed it through the hair of his head"/>
    <s v="引き当てられたりける"/>
    <s v="indicative"/>
    <x v="3"/>
    <x v="1"/>
    <x v="1"/>
    <s v="active"/>
    <s v="positive"/>
    <n v="1"/>
    <n v="1"/>
    <x v="5"/>
    <n v="0"/>
    <x v="2"/>
    <n v="3"/>
    <x v="3"/>
    <x v="3"/>
    <n v="0"/>
    <n v="0"/>
    <s v="n/a"/>
    <x v="3"/>
    <x v="0"/>
    <x v="1"/>
    <x v="2"/>
    <s v="honorific_aux"/>
    <n v="0"/>
    <x v="6"/>
    <x v="1"/>
    <x v="1"/>
    <x v="0"/>
    <s v="should the -to part be considered a clausal subject?"/>
    <m/>
    <n v="1"/>
  </r>
  <r>
    <s v="Heike 2.29"/>
    <s v="余所よりは氷などのやうにぞ見えたりける (yoso yori wa kōri nado no yō ni zo mieta rikeru)"/>
    <s v="so that it gleamed afar off with an icy sheen"/>
    <s v="見えたりける"/>
    <s v="indicative"/>
    <x v="6"/>
    <x v="1"/>
    <x v="0"/>
    <s v="resultative"/>
    <s v="positive"/>
    <n v="1"/>
    <n v="0"/>
    <x v="2"/>
    <n v="2"/>
    <x v="1"/>
    <n v="3"/>
    <x v="0"/>
    <x v="0"/>
    <n v="0"/>
    <n v="0"/>
    <s v="n/a"/>
    <x v="0"/>
    <x v="0"/>
    <x v="0"/>
    <x v="0"/>
    <s v="n/a"/>
    <n v="0"/>
    <x v="2"/>
    <x v="2"/>
    <x v="1"/>
    <x v="1"/>
    <m/>
    <m/>
    <n v="0"/>
  </r>
  <r>
    <s v="Heike 2.30"/>
    <s v="諸人目を澄ましけり (morobito me o sumashikeri)"/>
    <s v="causing all to stare open-eyed"/>
    <s v="澄ましけり"/>
    <s v="indicative"/>
    <x v="1"/>
    <x v="1"/>
    <x v="1"/>
    <s v="active"/>
    <s v="positive"/>
    <n v="1"/>
    <n v="2"/>
    <x v="7"/>
    <n v="0"/>
    <x v="1"/>
    <n v="3"/>
    <x v="1"/>
    <x v="3"/>
    <n v="0"/>
    <n v="0"/>
    <s v="n/a"/>
    <x v="2"/>
    <x v="0"/>
    <x v="0"/>
    <x v="0"/>
    <s v="n/a"/>
    <n v="0"/>
    <x v="2"/>
    <x v="1"/>
    <x v="1"/>
    <x v="0"/>
    <m/>
    <m/>
    <n v="2"/>
  </r>
  <r>
    <s v="Heike 2.31"/>
    <s v="また忠盛の郎等元は一門たりし( mata Tadamori no rōtō moto wa ichimon tarishi) "/>
    <s v="Moreover a retainer of Tadamori ... "/>
    <s v="たりし"/>
    <s v="indicative"/>
    <x v="1"/>
    <x v="0"/>
    <x v="0"/>
    <s v="active"/>
    <s v="positive"/>
    <n v="1"/>
    <n v="1"/>
    <x v="0"/>
    <n v="1"/>
    <x v="0"/>
    <n v="3"/>
    <x v="0"/>
    <x v="0"/>
    <n v="0"/>
    <n v="0"/>
    <s v="REL"/>
    <x v="0"/>
    <x v="0"/>
    <x v="0"/>
    <x v="0"/>
    <s v="n/a"/>
    <n v="0"/>
    <x v="6"/>
    <x v="2"/>
    <x v="0"/>
    <x v="0"/>
    <m/>
    <m/>
    <n v="1"/>
  </r>
  <r>
    <s v="Heike 2.32"/>
    <s v="木工助平貞光が孫新四郎太夫家房が子に左兵衛尉家貞といふ者あり (Moku no suke Sadamitsu ga mago Shinshirō Tayū Iefusa ga ko ni Sahyōe no jō Iesada to iu mono ari)"/>
    <s v="there was one named Sahyoe-no-jo Iesada"/>
    <s v="あり"/>
    <s v="indicative"/>
    <x v="1"/>
    <x v="7"/>
    <x v="0"/>
    <s v="active"/>
    <s v="positive"/>
    <n v="1"/>
    <n v="1"/>
    <x v="0"/>
    <n v="2"/>
    <x v="0"/>
    <n v="3"/>
    <x v="0"/>
    <x v="0"/>
    <n v="0"/>
    <n v="0"/>
    <s v="n/a"/>
    <x v="2"/>
    <x v="0"/>
    <x v="0"/>
    <x v="0"/>
    <s v="n/a"/>
    <n v="0"/>
    <x v="2"/>
    <x v="1"/>
    <x v="0"/>
    <x v="0"/>
    <s v="frame predicate"/>
    <m/>
    <n v="1"/>
  </r>
  <r>
    <s v="Heike 2.33"/>
    <s v="薄青の狩衣の下に萌黄威の腹巻を着 (usuao no kariginu no shita ni moegi-odoshi no haramaki o ki)"/>
    <s v="wearing a body armour laced with bright green under a light green &quot;kariginu&quot;"/>
    <s v="着"/>
    <s v="indicative"/>
    <x v="1"/>
    <x v="1"/>
    <x v="1"/>
    <s v="active"/>
    <s v="positive"/>
    <n v="1"/>
    <n v="1"/>
    <x v="1"/>
    <n v="1"/>
    <x v="1"/>
    <n v="3"/>
    <x v="1"/>
    <x v="0"/>
    <n v="0"/>
    <n v="0"/>
    <s v="n/a"/>
    <x v="5"/>
    <x v="0"/>
    <x v="0"/>
    <x v="0"/>
    <s v="n/a"/>
    <n v="0"/>
    <x v="2"/>
    <x v="1"/>
    <x v="1"/>
    <x v="0"/>
    <m/>
    <m/>
    <n v="1"/>
  </r>
  <r>
    <s v="Heike 2.34"/>
    <s v="柄弦袋付けたる ezurubukuro tsuketaru "/>
    <s v="with a bowstring bag attached"/>
    <s v="付けたる"/>
    <s v="indicative"/>
    <x v="1"/>
    <x v="1"/>
    <x v="1"/>
    <s v="active"/>
    <s v="positive"/>
    <n v="1"/>
    <n v="1"/>
    <x v="1"/>
    <n v="0"/>
    <x v="1"/>
    <n v="3"/>
    <x v="1"/>
    <x v="0"/>
    <n v="1"/>
    <n v="0"/>
    <s v="REL"/>
    <x v="0"/>
    <x v="0"/>
    <x v="0"/>
    <x v="0"/>
    <s v="n/a"/>
    <n v="0"/>
    <x v="2"/>
    <x v="1"/>
    <x v="1"/>
    <x v="0"/>
    <m/>
    <m/>
    <n v="1"/>
  </r>
  <r>
    <s v="Heike 2.35"/>
    <s v="太刀脇挟んで (tachi wakihasande)"/>
    <s v="and carrying under his arm a &quot;tachi&quot; "/>
    <s v="挟んで"/>
    <s v="indicative"/>
    <x v="1"/>
    <x v="1"/>
    <x v="1"/>
    <s v="active"/>
    <s v="positive"/>
    <n v="1"/>
    <n v="2"/>
    <x v="7"/>
    <n v="0"/>
    <x v="1"/>
    <n v="3"/>
    <x v="1"/>
    <x v="3"/>
    <n v="0"/>
    <n v="0"/>
    <s v="n/a"/>
    <x v="1"/>
    <x v="0"/>
    <x v="0"/>
    <x v="0"/>
    <s v="n/a"/>
    <n v="0"/>
    <x v="2"/>
    <x v="1"/>
    <x v="1"/>
    <x v="0"/>
    <m/>
    <m/>
    <n v="2"/>
  </r>
  <r>
    <s v="Heike 2.36"/>
    <s v="殿上の小庭に畏つてぞ候ひける (tenjō no koniwa ni kashikomatte zo soroikyeru)"/>
    <s v="was waiting in the &quot;koniwa,&quot; the small court by the Seiryoden"/>
    <s v="畏つて候ひける"/>
    <s v="indicative"/>
    <x v="1"/>
    <x v="2"/>
    <x v="0"/>
    <s v="active"/>
    <s v="positive"/>
    <n v="1"/>
    <n v="0"/>
    <x v="2"/>
    <n v="1"/>
    <x v="1"/>
    <n v="3"/>
    <x v="0"/>
    <x v="0"/>
    <n v="0"/>
    <n v="0"/>
    <s v="n/a"/>
    <x v="2"/>
    <x v="0"/>
    <x v="1"/>
    <x v="2"/>
    <s v="lexical_humble_verb"/>
    <n v="0"/>
    <x v="2"/>
    <x v="1"/>
    <x v="1"/>
    <x v="1"/>
    <m/>
    <m/>
    <n v="0"/>
  </r>
  <r>
    <s v="Heike 2.37"/>
    <s v="貫首以下怪しみをなして (kanshu ika ayashimi o nashite)"/>
    <s v="Now the Kurando-no-to and others, thinking it strange,"/>
    <s v="なして"/>
    <s v="indicative"/>
    <x v="1"/>
    <x v="8"/>
    <x v="1"/>
    <s v="active"/>
    <s v="negative"/>
    <n v="1"/>
    <n v="2"/>
    <x v="3"/>
    <n v="0"/>
    <x v="0"/>
    <n v="3"/>
    <x v="1"/>
    <x v="0"/>
    <n v="0"/>
    <n v="0"/>
    <s v="n/a"/>
    <x v="1"/>
    <x v="0"/>
    <x v="0"/>
    <x v="0"/>
    <s v="n/a"/>
    <n v="0"/>
    <x v="1"/>
    <x v="2"/>
    <x v="2"/>
    <x v="0"/>
    <m/>
    <m/>
    <n v="2"/>
  </r>
  <r>
    <s v="Heike 2.38"/>
    <s v="空柱より内鈴の綱の辺に布衣の者の候ふ  (sorabashira yori uchisuzu no tsuna no hen ni hoi no mono no soroou)"/>
    <s v="that one wearing unsuitable costume should be within the balustrade of the steps of the Court near the bell-rope of the library, "/>
    <s v="候ふ"/>
    <s v="indicative"/>
    <x v="1"/>
    <x v="1"/>
    <x v="0"/>
    <s v="active"/>
    <s v="positive"/>
    <n v="1"/>
    <n v="1"/>
    <x v="0"/>
    <n v="1"/>
    <x v="0"/>
    <n v="3"/>
    <x v="0"/>
    <x v="0"/>
    <n v="0"/>
    <n v="0"/>
    <s v="SUB"/>
    <x v="4"/>
    <x v="1"/>
    <x v="0"/>
    <x v="2"/>
    <s v="lexical_humble_verb"/>
    <n v="0"/>
    <x v="2"/>
    <x v="1"/>
    <x v="2"/>
    <x v="0"/>
    <s v="internally headed"/>
    <m/>
    <n v="1"/>
  </r>
  <r>
    <s v="Heike 2.39"/>
    <s v="は何者ぞ  wa nani mono zo"/>
    <s v="and wondering who he was."/>
    <s v="何者ぞ  "/>
    <s v="indicative"/>
    <x v="1"/>
    <x v="0"/>
    <x v="0"/>
    <s v="active"/>
    <s v="positive"/>
    <n v="1"/>
    <n v="1"/>
    <x v="0"/>
    <n v="0"/>
    <x v="0"/>
    <n v="3"/>
    <x v="0"/>
    <x v="0"/>
    <n v="0"/>
    <n v="0"/>
    <s v="n/a"/>
    <x v="2"/>
    <x v="0"/>
    <x v="0"/>
    <x v="0"/>
    <s v="n/a"/>
    <n v="0"/>
    <x v="2"/>
    <x v="1"/>
    <x v="3"/>
    <x v="2"/>
    <m/>
    <m/>
    <n v="1"/>
  </r>
  <r>
    <s v="Heike 2.40"/>
    <s v="狼藉なり (rōzaku nari)"/>
    <s v="&quot;[He is] disorderly&quot;"/>
    <s v="なり"/>
    <s v="indicative"/>
    <x v="0"/>
    <x v="0"/>
    <x v="0"/>
    <s v="active"/>
    <s v="positive"/>
    <n v="1"/>
    <n v="0"/>
    <x v="2"/>
    <n v="0"/>
    <x v="4"/>
    <n v="3"/>
    <x v="0"/>
    <x v="0"/>
    <n v="0"/>
    <n v="0"/>
    <s v="n/a"/>
    <x v="2"/>
    <x v="0"/>
    <x v="0"/>
    <x v="0"/>
    <s v="n/a"/>
    <n v="0"/>
    <x v="2"/>
    <x v="1"/>
    <x v="1"/>
    <x v="1"/>
    <m/>
    <m/>
    <n v="0"/>
  </r>
  <r>
    <s v="Heike 2.41"/>
    <s v="疾う疾う罷り出でよと (tōtō makari ideyo to)"/>
    <s v="&quot;Depart quickly&quot;"/>
    <s v="罷り出でよ"/>
    <s v="imperative"/>
    <x v="3"/>
    <x v="1"/>
    <x v="0"/>
    <s v="active"/>
    <s v="positive"/>
    <n v="1"/>
    <n v="0"/>
    <x v="2"/>
    <n v="0"/>
    <x v="1"/>
    <n v="2"/>
    <x v="0"/>
    <x v="0"/>
    <n v="0"/>
    <n v="0"/>
    <s v="n/a"/>
    <x v="6"/>
    <x v="0"/>
    <x v="1"/>
    <x v="2"/>
    <s v="lexical_humble_verb"/>
    <n v="0"/>
    <x v="4"/>
    <x v="1"/>
    <x v="1"/>
    <x v="1"/>
    <s v="embedded"/>
    <m/>
    <n v="0"/>
  </r>
  <r>
    <s v="Heike 2.42"/>
    <s v="六位を以て云はせられたりければ (to roku-i o motte iwaseraretarikereba)"/>
    <s v="an official of the sixth rank ordered him to depart quickly."/>
    <s v="云はせられたりければ"/>
    <s v="indicative"/>
    <x v="0"/>
    <x v="1"/>
    <x v="0"/>
    <s v="causative-passive-resultative"/>
    <s v="positive"/>
    <n v="1"/>
    <n v="2"/>
    <x v="8"/>
    <n v="1"/>
    <x v="1"/>
    <n v="3"/>
    <x v="1"/>
    <x v="0"/>
    <n v="0"/>
    <n v="0"/>
    <s v="n/a"/>
    <x v="3"/>
    <x v="1"/>
    <x v="0"/>
    <x v="0"/>
    <s v="honorific_aux"/>
    <n v="0"/>
    <x v="2"/>
    <x v="1"/>
    <x v="1"/>
    <x v="0"/>
    <m/>
    <m/>
    <n v="2"/>
  </r>
  <r>
    <s v="Heike 2.43"/>
    <s v="家貞畏つて申しけるは (Iesada kashikomatte mōshikeru wa)"/>
    <s v="But Iesada thus replied:"/>
    <s v="申しける"/>
    <s v="indicative"/>
    <x v="2"/>
    <x v="1"/>
    <x v="1"/>
    <s v="active"/>
    <s v="positive"/>
    <n v="1"/>
    <n v="1"/>
    <x v="0"/>
    <n v="0"/>
    <x v="0"/>
    <n v="3"/>
    <x v="5"/>
    <x v="0"/>
    <n v="1"/>
    <n v="0"/>
    <s v="SUB"/>
    <x v="3"/>
    <x v="1"/>
    <x v="0"/>
    <x v="2"/>
    <s v="lexical_humble_verb"/>
    <n v="0"/>
    <x v="2"/>
    <x v="1"/>
    <x v="3"/>
    <x v="2"/>
    <s v="internally headed"/>
    <m/>
    <n v="1"/>
  </r>
  <r>
    <s v="Heike 2.44"/>
    <s v="相伝の主備前守殿今夜闇討にせられ給ふべき (sōden no aruji Bizen no kami-dono kon'ya yamiuchi ni serare-tamō beki) "/>
    <s v="tonight they will try to kill my Lord Bizen-no-kami dono&quot;"/>
    <s v="闇討にせられ給ふ"/>
    <s v="indicative"/>
    <x v="1"/>
    <x v="3"/>
    <x v="0"/>
    <s v="passive"/>
    <s v="positive"/>
    <n v="1"/>
    <n v="1"/>
    <x v="0"/>
    <n v="1"/>
    <x v="0"/>
    <n v="3"/>
    <x v="0"/>
    <x v="0"/>
    <n v="0"/>
    <n v="1"/>
    <s v="REL"/>
    <x v="0"/>
    <x v="1"/>
    <x v="0"/>
    <x v="2"/>
    <s v="lexical_honorific_verb"/>
    <n v="0"/>
    <x v="2"/>
    <x v="2"/>
    <x v="2"/>
    <x v="0"/>
    <m/>
    <m/>
    <n v="1"/>
  </r>
  <r>
    <s v="Heike 2.45"/>
    <s v="由伝へ承つて(yoshi tsutae uketamawatte) "/>
    <s v="Because I have heard that"/>
    <s v="伝へ承つて"/>
    <s v="indicative"/>
    <x v="5"/>
    <x v="1"/>
    <x v="1"/>
    <s v="active"/>
    <s v="positive"/>
    <n v="1"/>
    <n v="1"/>
    <x v="1"/>
    <n v="0"/>
    <x v="1"/>
    <n v="1"/>
    <x v="1"/>
    <x v="0"/>
    <n v="0"/>
    <n v="0"/>
    <s v="n/a"/>
    <x v="1"/>
    <x v="0"/>
    <x v="1"/>
    <x v="2"/>
    <s v="honorific_aux"/>
    <n v="0"/>
    <x v="1"/>
    <x v="1"/>
    <x v="1"/>
    <x v="0"/>
    <m/>
    <m/>
    <n v="1"/>
  </r>
  <r>
    <s v="Heike 2.46"/>
    <s v="それならん  (sore naran )"/>
    <s v="&quot;whether it is so&quot;"/>
    <s v="ならん "/>
    <s v="epistemic"/>
    <x v="1"/>
    <x v="1"/>
    <x v="0"/>
    <s v="active"/>
    <s v="positive"/>
    <n v="1"/>
    <n v="1"/>
    <x v="0"/>
    <n v="0"/>
    <x v="0"/>
    <n v="3"/>
    <x v="0"/>
    <x v="0"/>
    <n v="0"/>
    <n v="1"/>
    <s v="REL"/>
    <x v="0"/>
    <x v="0"/>
    <x v="0"/>
    <x v="0"/>
    <s v="n/a"/>
    <n v="0"/>
    <x v="2"/>
    <x v="2"/>
    <x v="3"/>
    <x v="2"/>
    <m/>
    <m/>
    <n v="1"/>
  </r>
  <r>
    <s v="Heike 2.47"/>
    <s v="やうを見んとて (yō o min to te)"/>
    <s v="and in order to see "/>
    <s v="見ん"/>
    <s v="dynamic"/>
    <x v="6"/>
    <x v="1"/>
    <x v="1"/>
    <s v="active"/>
    <s v="positive"/>
    <n v="1"/>
    <n v="1"/>
    <x v="1"/>
    <n v="0"/>
    <x v="1"/>
    <n v="1"/>
    <x v="1"/>
    <x v="0"/>
    <n v="0"/>
    <n v="0"/>
    <s v="REL"/>
    <x v="3"/>
    <x v="0"/>
    <x v="0"/>
    <x v="0"/>
    <s v="n/a"/>
    <n v="0"/>
    <x v="7"/>
    <x v="2"/>
    <x v="1"/>
    <x v="0"/>
    <m/>
    <m/>
    <n v="1"/>
  </r>
  <r>
    <s v="Heike 2.48"/>
    <s v="かくて候ふなり (kakute soro fu nari)"/>
    <s v="&quot;have come and am thus waiting&quot;"/>
    <s v="候ふなり"/>
    <s v="indicative"/>
    <x v="0"/>
    <x v="2"/>
    <x v="0"/>
    <s v="active"/>
    <s v="positive"/>
    <n v="1"/>
    <n v="0"/>
    <x v="2"/>
    <n v="1"/>
    <x v="2"/>
    <n v="1"/>
    <x v="0"/>
    <x v="0"/>
    <n v="0"/>
    <n v="0"/>
    <s v="n/a"/>
    <x v="2"/>
    <x v="0"/>
    <x v="1"/>
    <x v="2"/>
    <s v="lexical_humble_verb"/>
    <n v="0"/>
    <x v="2"/>
    <x v="1"/>
    <x v="1"/>
    <x v="1"/>
    <m/>
    <m/>
    <n v="0"/>
  </r>
  <r>
    <s v="Heike 2.49"/>
    <s v="えこそ出でまじう候へ (e koso idema jiu soro e)"/>
    <s v="&quot;I cannot possibly go out&quot;"/>
    <s v="出でまじう候へ"/>
    <s v="dynamic"/>
    <x v="3"/>
    <x v="1"/>
    <x v="0"/>
    <s v="active"/>
    <s v="negative"/>
    <n v="1"/>
    <n v="0"/>
    <x v="2"/>
    <n v="0"/>
    <x v="2"/>
    <n v="1"/>
    <x v="0"/>
    <x v="0"/>
    <n v="0"/>
    <n v="0"/>
    <s v="n/a"/>
    <x v="2"/>
    <x v="0"/>
    <x v="1"/>
    <x v="2"/>
    <s v="polite_aux"/>
    <n v="0"/>
    <x v="2"/>
    <x v="1"/>
    <x v="1"/>
    <x v="1"/>
    <m/>
    <m/>
    <n v="0"/>
  </r>
  <r>
    <s v="Heike 2.50"/>
    <s v="これらを由なしとや (korera o yoshi nashi to ya)"/>
    <s v=" there was nothing more to be done;"/>
    <s v="なし"/>
    <s v="indicative"/>
    <x v="0"/>
    <x v="7"/>
    <x v="0"/>
    <s v="active"/>
    <s v="negative"/>
    <n v="1"/>
    <n v="1"/>
    <x v="0"/>
    <n v="1"/>
    <x v="0"/>
    <n v="3"/>
    <x v="0"/>
    <x v="0"/>
    <n v="0"/>
    <n v="0"/>
    <s v="n/a"/>
    <x v="6"/>
    <x v="0"/>
    <x v="0"/>
    <x v="0"/>
    <s v="n/a"/>
    <n v="0"/>
    <x v="4"/>
    <x v="2"/>
    <x v="3"/>
    <x v="0"/>
    <m/>
    <m/>
    <n v="1"/>
  </r>
  <r>
    <m/>
    <s v="思はれけん (omowareken)"/>
    <s v="And they saw that"/>
    <s v="思はれけん"/>
    <s v="epistemic"/>
    <x v="4"/>
    <x v="1"/>
    <x v="1"/>
    <s v="active"/>
    <s v="positive"/>
    <n v="1"/>
    <n v="1"/>
    <x v="9"/>
    <n v="0"/>
    <x v="2"/>
    <n v="3"/>
    <x v="1"/>
    <x v="0"/>
    <n v="0"/>
    <n v="0"/>
    <s v="n/a"/>
    <x v="2"/>
    <x v="0"/>
    <x v="1"/>
    <x v="2"/>
    <s v="honorific_aux"/>
    <n v="0"/>
    <x v="8"/>
    <x v="2"/>
    <x v="1"/>
    <x v="0"/>
    <m/>
    <m/>
    <n v="1"/>
  </r>
  <r>
    <s v="Heike 2.51"/>
    <s v="その夜の闇討なかりけり (sono yo no yamiuchi nakarikeri)"/>
    <s v="and thus the attempt did not take place."/>
    <s v="なかりけり"/>
    <s v="indicative"/>
    <x v="7"/>
    <x v="1"/>
    <x v="0"/>
    <s v="active"/>
    <s v="negative"/>
    <n v="1"/>
    <n v="1"/>
    <x v="0"/>
    <n v="0"/>
    <x v="0"/>
    <s v="inanimate"/>
    <x v="0"/>
    <x v="0"/>
    <n v="0"/>
    <n v="0"/>
    <s v="n/a"/>
    <x v="2"/>
    <x v="0"/>
    <x v="0"/>
    <x v="0"/>
    <s v="n/a"/>
    <n v="0"/>
    <x v="2"/>
    <x v="1"/>
    <x v="2"/>
    <x v="0"/>
    <m/>
    <m/>
    <n v="1"/>
  </r>
  <r>
    <s v="Heike 2.52"/>
    <s v="忠盛また御前の召しに舞はれけるに (Tadamori mata gozen no meshi ni mawarekeru ni)"/>
    <s v="But when Tadamori danced in the August presence of the Mikado at his Imperial wish,"/>
    <s v="舞はれける"/>
    <s v="indicative"/>
    <x v="2"/>
    <x v="1"/>
    <x v="0"/>
    <s v="active"/>
    <s v="positive"/>
    <n v="1"/>
    <n v="1"/>
    <x v="0"/>
    <n v="1"/>
    <x v="0"/>
    <n v="3"/>
    <x v="0"/>
    <x v="0"/>
    <n v="0"/>
    <n v="0"/>
    <s v="REL"/>
    <x v="3"/>
    <x v="1"/>
    <x v="0"/>
    <x v="2"/>
    <s v="honorific_aux"/>
    <n v="0"/>
    <x v="0"/>
    <x v="2"/>
    <x v="2"/>
    <x v="0"/>
    <m/>
    <m/>
    <n v="1"/>
  </r>
  <r>
    <s v="Heike 2.53"/>
    <s v="人々拍子を変へて (hitobito hyōshi o kaete)"/>
    <s v="the others mocked at him, changing the words of the music"/>
    <s v="変へて"/>
    <s v="indicative"/>
    <x v="1"/>
    <x v="1"/>
    <x v="1"/>
    <s v="active"/>
    <s v="positive"/>
    <n v="1"/>
    <n v="2"/>
    <x v="3"/>
    <n v="0"/>
    <x v="0"/>
    <n v="3"/>
    <x v="1"/>
    <x v="0"/>
    <n v="0"/>
    <n v="0"/>
    <s v="n/a"/>
    <x v="1"/>
    <x v="0"/>
    <x v="0"/>
    <x v="0"/>
    <s v="n/a"/>
    <n v="0"/>
    <x v="1"/>
    <x v="2"/>
    <x v="2"/>
    <x v="0"/>
    <m/>
    <m/>
    <n v="2"/>
  </r>
  <r>
    <s v="Heike 2.54"/>
    <s v="伊勢へいじはすがめなりけりとぞ (Ise heiji wa sugame narikeri)"/>
    <s v="&quot;the winepot of Ise has turned into a vinegar jar&quot;"/>
    <s v="なりけり"/>
    <s v="indicative"/>
    <x v="0"/>
    <x v="0"/>
    <x v="0"/>
    <s v="active"/>
    <s v="positive"/>
    <n v="1"/>
    <n v="1"/>
    <x v="0"/>
    <n v="0"/>
    <x v="0"/>
    <n v="3"/>
    <x v="0"/>
    <x v="0"/>
    <n v="0"/>
    <n v="0"/>
    <s v="n/a"/>
    <x v="6"/>
    <x v="0"/>
    <x v="0"/>
    <x v="0"/>
    <s v="n/a"/>
    <n v="0"/>
    <x v="4"/>
    <x v="2"/>
    <x v="0"/>
    <x v="0"/>
    <m/>
    <m/>
    <n v="1"/>
  </r>
  <r>
    <s v="Heike 2.55"/>
    <s v="囃されける (to zo hayasarekeru)"/>
    <s v="they sang in mockery"/>
    <s v="囃されける"/>
    <s v="indicative"/>
    <x v="2"/>
    <x v="1"/>
    <x v="1"/>
    <s v="active"/>
    <s v="positive"/>
    <n v="1"/>
    <n v="1"/>
    <x v="9"/>
    <n v="0"/>
    <x v="2"/>
    <n v="3"/>
    <x v="1"/>
    <x v="0"/>
    <n v="0"/>
    <n v="0"/>
    <s v="kakari-musubi"/>
    <x v="2"/>
    <x v="0"/>
    <x v="1"/>
    <x v="2"/>
    <s v="honorific_aux"/>
    <n v="0"/>
    <x v="8"/>
    <x v="1"/>
    <x v="1"/>
    <x v="0"/>
    <m/>
    <m/>
    <n v="1"/>
  </r>
  <r>
    <s v="Heike 2.56"/>
    <s v="かけまくも忝くこの人々は柏原天皇の御末とは申しながら (kakemakumo katabokaku kono hitobito wa Kashiwabara Tennō no o-sue to wa mōshinagara)"/>
    <s v="In thus mentioning the vessels of his province they punned on his title..."/>
    <s v="申しながら"/>
    <s v="indicative"/>
    <x v="5"/>
    <x v="1"/>
    <x v="1"/>
    <s v="active"/>
    <s v="positive"/>
    <n v="1"/>
    <n v="2"/>
    <x v="10"/>
    <n v="1"/>
    <x v="0"/>
    <n v="3"/>
    <x v="1"/>
    <x v="0"/>
    <n v="0"/>
    <n v="0"/>
    <s v="n/a"/>
    <x v="3"/>
    <x v="1"/>
    <x v="0"/>
    <x v="2"/>
    <s v="lexical_humble_verb"/>
    <n v="0"/>
    <x v="0"/>
    <x v="1"/>
    <x v="2"/>
    <x v="0"/>
    <m/>
    <m/>
    <n v="2"/>
  </r>
  <r>
    <s v="Heike 2.57"/>
    <s v="中比は都の住まひも疎々しく (chūbi wa miyako no sumai mo utoutoshiku)"/>
    <s v="and since lately his family had lived away from the capital,"/>
    <s v="疎々しく"/>
    <s v="indicative"/>
    <x v="4"/>
    <x v="5"/>
    <x v="0"/>
    <s v="active"/>
    <s v="positive"/>
    <n v="1"/>
    <n v="1"/>
    <x v="0"/>
    <n v="1"/>
    <x v="0"/>
    <n v="3"/>
    <x v="0"/>
    <x v="0"/>
    <n v="0"/>
    <n v="0"/>
    <s v="n/a"/>
    <x v="2"/>
    <x v="0"/>
    <x v="0"/>
    <x v="0"/>
    <s v="n/a"/>
    <n v="0"/>
    <x v="2"/>
    <x v="2"/>
    <x v="2"/>
    <x v="0"/>
    <m/>
    <m/>
    <n v="1"/>
  </r>
  <r>
    <s v="Heike 2.58"/>
    <s v="地下にのみ振舞ひなつて ( jige ni nomi furumai natte)"/>
    <s v=" behaving as mere provincial folk"/>
    <s v="振舞ひなつて"/>
    <s v="indicative"/>
    <x v="1"/>
    <x v="4"/>
    <x v="0"/>
    <s v="active"/>
    <s v="positive"/>
    <n v="1"/>
    <n v="1"/>
    <x v="5"/>
    <n v="0"/>
    <x v="1"/>
    <n v="3"/>
    <x v="0"/>
    <x v="3"/>
    <n v="0"/>
    <n v="0"/>
    <s v="n/a"/>
    <x v="1"/>
    <x v="0"/>
    <x v="0"/>
    <x v="0"/>
    <s v="n/a"/>
    <n v="0"/>
    <x v="1"/>
    <x v="1"/>
    <x v="1"/>
    <x v="0"/>
    <m/>
    <m/>
    <n v="1"/>
  </r>
  <r>
    <s v="Heike 2.59"/>
    <s v="伊勢国に住国深かりしかば  (Ise no kuni ni sumikoku fukakarishikaba)"/>
    <s v="and as they lived deep in Ise province, they likened him to the vessels of that province"/>
    <s v="深かりしかば"/>
    <s v="indicative"/>
    <x v="4"/>
    <x v="5"/>
    <x v="0"/>
    <s v="active"/>
    <s v="positive"/>
    <n v="1"/>
    <n v="1"/>
    <x v="0"/>
    <n v="1"/>
    <x v="1"/>
    <n v="3"/>
    <x v="0"/>
    <x v="0"/>
    <n v="0"/>
    <n v="0"/>
    <s v="n/a"/>
    <x v="3"/>
    <x v="0"/>
    <x v="0"/>
    <x v="0"/>
    <s v="n/a"/>
    <n v="0"/>
    <x v="3"/>
    <x v="1"/>
    <x v="1"/>
    <x v="0"/>
    <m/>
    <m/>
    <n v="1"/>
  </r>
  <r>
    <s v="Heike 2.60"/>
    <s v="その国の器に言寄せて"/>
    <s v="sono kuni no utsuwa ni kotoyosete)"/>
    <s v="言寄せて"/>
    <s v="indicative"/>
    <x v="5"/>
    <x v="1"/>
    <x v="3"/>
    <s v="active"/>
    <s v="positive"/>
    <n v="1"/>
    <n v="1"/>
    <x v="5"/>
    <n v="0"/>
    <x v="5"/>
    <n v="3"/>
    <x v="6"/>
    <x v="3"/>
    <n v="0"/>
    <n v="0"/>
    <s v="n/a"/>
    <x v="1"/>
    <x v="0"/>
    <x v="0"/>
    <x v="0"/>
    <s v="n/a"/>
    <n v="0"/>
    <x v="1"/>
    <x v="2"/>
    <x v="1"/>
    <x v="0"/>
    <m/>
    <m/>
    <n v="1"/>
  </r>
  <r>
    <s v="Heike 2.61"/>
    <s v="伊勢平氏とぞ囃されける (Ise Heishi to zo hayasarekeru)"/>
    <s v="so they mocked him as 'Ise Heishi'"/>
    <s v="囃されける"/>
    <s v="indicative"/>
    <x v="2"/>
    <x v="1"/>
    <x v="0"/>
    <s v="passive"/>
    <s v="positive"/>
    <n v="1"/>
    <n v="1"/>
    <x v="9"/>
    <n v="0"/>
    <x v="1"/>
    <n v="3"/>
    <x v="0"/>
    <x v="3"/>
    <n v="0"/>
    <n v="0"/>
    <s v="kakari-musubi"/>
    <x v="2"/>
    <x v="0"/>
    <x v="0"/>
    <x v="0"/>
    <s v="n/a"/>
    <n v="0"/>
    <x v="2"/>
    <x v="1"/>
    <x v="1"/>
    <x v="0"/>
    <m/>
    <m/>
    <n v="1"/>
  </r>
  <r>
    <s v="Heike 2.62"/>
    <s v="その上忠盛目の眇まれたりける故にこそ (sono ue Tadamori me no sugamaretari keru yue ni koso)"/>
    <s v="moreover, because Tadamori's eyes were squinted, "/>
    <s v="眇まれたりける"/>
    <s v="indicative"/>
    <x v="2"/>
    <x v="1"/>
    <x v="0"/>
    <s v="active"/>
    <s v="positive"/>
    <n v="1"/>
    <n v="1"/>
    <x v="0"/>
    <n v="1"/>
    <x v="0"/>
    <n v="3"/>
    <x v="0"/>
    <x v="0"/>
    <n v="0"/>
    <n v="1"/>
    <s v="REL"/>
    <x v="3"/>
    <x v="0"/>
    <x v="0"/>
    <x v="0"/>
    <s v="n/a"/>
    <n v="0"/>
    <x v="3"/>
    <x v="2"/>
    <x v="3"/>
    <x v="0"/>
    <m/>
    <m/>
    <n v="1"/>
  </r>
  <r>
    <s v="Heike 2.63"/>
    <s v="かやうには囃されけるなれ  (kayō ni wa hayasarekeru nare)"/>
    <s v="he was mocked in such a way"/>
    <s v="囃されけるなれ"/>
    <s v="indicative"/>
    <x v="1"/>
    <x v="1"/>
    <x v="0"/>
    <s v="passive"/>
    <s v="positive"/>
    <n v="1"/>
    <n v="0"/>
    <x v="2"/>
    <n v="0"/>
    <x v="1"/>
    <n v="3"/>
    <x v="0"/>
    <x v="0"/>
    <n v="0"/>
    <n v="0"/>
    <s v="kakari-musubi"/>
    <x v="2"/>
    <x v="0"/>
    <x v="0"/>
    <x v="0"/>
    <s v="n/a"/>
    <n v="0"/>
    <x v="2"/>
    <x v="1"/>
    <x v="1"/>
    <x v="1"/>
    <m/>
    <m/>
    <n v="0"/>
  </r>
  <r>
    <s v="Heike 2.64"/>
    <s v="忠盛何とすべきやうもなくして (Tadamori nan to subeki yō mo nakushite)"/>
    <s v="Tadamori, having no way of dealing with the situation,"/>
    <s v="なくして"/>
    <s v="indicative"/>
    <x v="1"/>
    <x v="1"/>
    <x v="1"/>
    <s v="active"/>
    <s v="negative"/>
    <n v="1"/>
    <n v="2"/>
    <x v="3"/>
    <n v="0"/>
    <x v="0"/>
    <n v="3"/>
    <x v="1"/>
    <x v="0"/>
    <n v="0"/>
    <n v="0"/>
    <s v="n/a"/>
    <x v="1"/>
    <x v="0"/>
    <x v="0"/>
    <x v="0"/>
    <s v="n/a"/>
    <n v="0"/>
    <x v="1"/>
    <x v="1"/>
    <x v="3"/>
    <x v="0"/>
    <m/>
    <m/>
    <n v="2"/>
  </r>
  <r>
    <s v="Heike 2.65"/>
    <s v="御遊も未だ終らざる前に (gyoyū mo mada owarazaru mae ni)"/>
    <s v="before the entertainment had ended,"/>
    <s v="終らざる"/>
    <s v="indicative"/>
    <x v="1"/>
    <x v="1"/>
    <x v="0"/>
    <s v="active"/>
    <s v="negative"/>
    <n v="1"/>
    <n v="1"/>
    <x v="0"/>
    <n v="1"/>
    <x v="0"/>
    <n v="3"/>
    <x v="0"/>
    <x v="0"/>
    <n v="0"/>
    <n v="1"/>
    <s v="REL"/>
    <x v="3"/>
    <x v="0"/>
    <x v="0"/>
    <x v="0"/>
    <s v="n/a"/>
    <n v="0"/>
    <x v="0"/>
    <x v="2"/>
    <x v="1"/>
    <x v="0"/>
    <m/>
    <m/>
    <n v="1"/>
  </r>
  <r>
    <s v="Heike 2.66"/>
    <s v="密かに罷り出でらるとて (hisokani makari ideraru tote)"/>
    <s v="he secretly left the Presence,"/>
    <s v="罷り出でらる"/>
    <s v="indicative"/>
    <x v="3"/>
    <x v="1"/>
    <x v="0"/>
    <s v="active"/>
    <s v="positive"/>
    <n v="1"/>
    <n v="0"/>
    <x v="2"/>
    <n v="1"/>
    <x v="2"/>
    <n v="3"/>
    <x v="0"/>
    <x v="0"/>
    <n v="0"/>
    <n v="0"/>
    <s v="REL"/>
    <x v="3"/>
    <x v="0"/>
    <x v="1"/>
    <x v="2"/>
    <s v="honorific_aux+lexical_honorific_verb"/>
    <n v="0"/>
    <x v="0"/>
    <x v="2"/>
    <x v="1"/>
    <x v="1"/>
    <m/>
    <m/>
    <n v="0"/>
  </r>
  <r>
    <s v="Heike 2.67"/>
    <s v="紫宸殿の御後にして (Shishinden no o-ato ni shite)"/>
    <s v="and going behind the Shishinden,"/>
    <s v="後にして"/>
    <s v="indicative"/>
    <x v="1"/>
    <x v="9"/>
    <x v="0"/>
    <s v="active"/>
    <s v="positive"/>
    <n v="1"/>
    <n v="0"/>
    <x v="2"/>
    <n v="1"/>
    <x v="1"/>
    <n v="3"/>
    <x v="0"/>
    <x v="0"/>
    <n v="0"/>
    <n v="0"/>
    <s v="n/a"/>
    <x v="1"/>
    <x v="0"/>
    <x v="0"/>
    <x v="0"/>
    <s v="n/a"/>
    <n v="0"/>
    <x v="1"/>
    <x v="1"/>
    <x v="1"/>
    <x v="1"/>
    <m/>
    <m/>
    <n v="0"/>
  </r>
  <r>
    <s v="Heike 2.68"/>
    <s v="かたへの殿上人の見られける (kata e no tenjōbito no mirarekeru)"/>
    <s v=" the court nobles could see him,"/>
    <s v="見られける"/>
    <s v="indicative"/>
    <x v="2"/>
    <x v="1"/>
    <x v="1"/>
    <s v="active"/>
    <s v="positive"/>
    <n v="1"/>
    <n v="1"/>
    <x v="0"/>
    <n v="0"/>
    <x v="0"/>
    <n v="3"/>
    <x v="3"/>
    <x v="0"/>
    <n v="0"/>
    <n v="1"/>
    <s v="REL"/>
    <x v="0"/>
    <x v="1"/>
    <x v="0"/>
    <x v="2"/>
    <s v="honorific_aux"/>
    <n v="0"/>
    <x v="2"/>
    <x v="2"/>
    <x v="0"/>
    <x v="0"/>
    <m/>
    <m/>
    <n v="1"/>
  </r>
  <r>
    <s v="Heike 2.69"/>
    <s v="所にて主殿司を召して (tokoro nite tonomotsukasa o meshite azukeokite zo iderarekeru)"/>
    <s v="in a place where… he summoned the Tonomotsukasa, "/>
    <s v="召して "/>
    <s v="indicative"/>
    <x v="2"/>
    <x v="1"/>
    <x v="1"/>
    <s v="active"/>
    <s v="positive"/>
    <n v="1"/>
    <n v="1"/>
    <x v="1"/>
    <n v="1"/>
    <x v="2"/>
    <n v="3"/>
    <x v="1"/>
    <x v="0"/>
    <n v="0"/>
    <n v="0"/>
    <s v="n/a"/>
    <x v="1"/>
    <x v="0"/>
    <x v="1"/>
    <x v="2"/>
    <s v="lexical_honorific_verb"/>
    <n v="0"/>
    <x v="1"/>
    <x v="1"/>
    <x v="1"/>
    <x v="0"/>
    <m/>
    <m/>
    <n v="1"/>
  </r>
  <r>
    <s v="Heike 2.70"/>
    <s v="預け置きてぞ"/>
    <s v=" entrusted [his sword]"/>
    <s v="預け置きて"/>
    <s v="indicative"/>
    <x v="1"/>
    <x v="1"/>
    <x v="1"/>
    <s v="active"/>
    <s v="positive"/>
    <n v="1"/>
    <n v="0"/>
    <x v="2"/>
    <n v="0"/>
    <x v="1"/>
    <n v="3"/>
    <x v="3"/>
    <x v="0"/>
    <n v="0"/>
    <n v="0"/>
    <s v="n/a"/>
    <x v="1"/>
    <x v="0"/>
    <x v="0"/>
    <x v="0"/>
    <s v="n/a"/>
    <n v="0"/>
    <x v="2"/>
    <x v="1"/>
    <x v="1"/>
    <x v="1"/>
    <m/>
    <m/>
    <n v="0"/>
  </r>
  <r>
    <s v="Heike 2.71"/>
    <s v="出でられける"/>
    <s v="and left,"/>
    <s v="出でられける"/>
    <s v="indicative"/>
    <x v="3"/>
    <x v="1"/>
    <x v="0"/>
    <s v="active"/>
    <s v="positive"/>
    <n v="1"/>
    <n v="0"/>
    <x v="2"/>
    <n v="0"/>
    <x v="2"/>
    <n v="3"/>
    <x v="0"/>
    <x v="0"/>
    <n v="0"/>
    <n v="0"/>
    <s v="n/a"/>
    <x v="2"/>
    <x v="0"/>
    <x v="1"/>
    <x v="2"/>
    <s v="honorific_aux"/>
    <n v="0"/>
    <x v="2"/>
    <x v="1"/>
    <x v="1"/>
    <x v="1"/>
    <m/>
    <m/>
    <n v="0"/>
  </r>
  <r>
    <s v="Heike 2.72"/>
    <s v="家貞待ち受け奉りて (Iesada machi-uke tatemawari-te)"/>
    <s v="Iesada, who was waiting for his lord,"/>
    <s v="待ち受け奉りて"/>
    <s v="indicative"/>
    <x v="2"/>
    <x v="2"/>
    <x v="1"/>
    <s v="active"/>
    <s v="positive"/>
    <n v="1"/>
    <n v="1"/>
    <x v="0"/>
    <n v="0"/>
    <x v="0"/>
    <n v="3"/>
    <x v="3"/>
    <x v="0"/>
    <n v="0"/>
    <n v="0"/>
    <s v="n/a"/>
    <x v="1"/>
    <x v="1"/>
    <x v="0"/>
    <x v="2"/>
    <s v="lexical_humble_verb"/>
    <n v="0"/>
    <x v="1"/>
    <x v="2"/>
    <x v="2"/>
    <x v="0"/>
    <m/>
    <m/>
    <n v="1"/>
  </r>
  <r>
    <s v="Heike 2.73"/>
    <s v="さていかが候ひつると (sate ikaga soroitsuru to)"/>
    <s v="&quot;What has happened?&quot; he asked."/>
    <s v="候ひつる"/>
    <s v="indicative"/>
    <x v="1"/>
    <x v="1"/>
    <x v="0"/>
    <s v="active"/>
    <s v="positive"/>
    <n v="1"/>
    <n v="0"/>
    <x v="2"/>
    <n v="1"/>
    <x v="4"/>
    <n v="3"/>
    <x v="0"/>
    <x v="0"/>
    <n v="0"/>
    <n v="0"/>
    <s v="REL"/>
    <x v="6"/>
    <x v="0"/>
    <x v="0"/>
    <x v="0"/>
    <s v="polite_aux"/>
    <n v="0"/>
    <x v="4"/>
    <x v="1"/>
    <x v="1"/>
    <x v="1"/>
    <m/>
    <m/>
    <n v="0"/>
  </r>
  <r>
    <s v="Heike 2.74"/>
    <s v="申されければ (mōsarekeru ba)"/>
    <s v="he was asked,"/>
    <s v="申されける"/>
    <s v="indicative"/>
    <x v="2"/>
    <x v="1"/>
    <x v="0"/>
    <s v="passive"/>
    <s v="positive"/>
    <n v="1"/>
    <n v="1"/>
    <x v="9"/>
    <n v="0"/>
    <x v="2"/>
    <n v="3"/>
    <x v="1"/>
    <x v="0"/>
    <n v="0"/>
    <n v="0"/>
    <s v="n/a"/>
    <x v="2"/>
    <x v="0"/>
    <x v="1"/>
    <x v="2"/>
    <s v="honorific_aux+lexical_humble_verb"/>
    <n v="0"/>
    <x v="0"/>
    <x v="1"/>
    <x v="1"/>
    <x v="0"/>
    <m/>
    <m/>
    <n v="1"/>
  </r>
  <r>
    <s v="Heike 2.75"/>
    <s v="かくとも云はまほしう"/>
    <s v="to tell him"/>
    <s v="云はまほしう"/>
    <s v="desiderative"/>
    <x v="1"/>
    <x v="1"/>
    <x v="0"/>
    <s v="active"/>
    <s v="positive"/>
    <n v="1"/>
    <n v="0"/>
    <x v="2"/>
    <n v="1"/>
    <x v="4"/>
    <n v="3"/>
    <x v="2"/>
    <x v="1"/>
    <n v="0"/>
    <n v="0"/>
    <s v="n/a"/>
    <x v="2"/>
    <x v="0"/>
    <x v="0"/>
    <x v="0"/>
    <s v="n/a"/>
    <n v="0"/>
    <x v="2"/>
    <x v="1"/>
    <x v="1"/>
    <x v="1"/>
    <m/>
    <m/>
    <n v="0"/>
  </r>
  <r>
    <s v="Heike 2.76"/>
    <s v="思はれけれども (kakutomo iwamahoshū omowarekeredomo)"/>
    <s v="although he greatly wished,"/>
    <s v="思はれけれども"/>
    <s v="indicative"/>
    <x v="4"/>
    <x v="1"/>
    <x v="1"/>
    <s v="active"/>
    <s v="positive"/>
    <n v="1"/>
    <n v="1"/>
    <x v="9"/>
    <n v="1"/>
    <x v="4"/>
    <n v="3"/>
    <x v="1"/>
    <x v="0"/>
    <n v="0"/>
    <n v="0"/>
    <s v="n/a"/>
    <x v="2"/>
    <x v="0"/>
    <x v="0"/>
    <x v="0"/>
    <s v="n/a"/>
    <n v="0"/>
    <x v="9"/>
    <x v="1"/>
    <x v="1"/>
    <x v="0"/>
    <s v="Psych predicate; かくとも as adjunct."/>
    <m/>
    <n v="1"/>
  </r>
  <r>
    <s v="Heike 2.77"/>
    <s v="云ひつるほどならば (iitsuru hodo naraba)"/>
    <s v="seeing that, if he told him,"/>
    <s v="云ひつる"/>
    <s v="indicative"/>
    <x v="1"/>
    <x v="1"/>
    <x v="1"/>
    <s v="active"/>
    <s v="positive"/>
    <n v="1"/>
    <n v="0"/>
    <x v="2"/>
    <n v="0"/>
    <x v="4"/>
    <n v="3"/>
    <x v="3"/>
    <x v="0"/>
    <n v="0"/>
    <n v="1"/>
    <s v="REL"/>
    <x v="3"/>
    <x v="0"/>
    <x v="0"/>
    <x v="0"/>
    <s v="n/a"/>
    <n v="0"/>
    <x v="10"/>
    <x v="1"/>
    <x v="1"/>
    <x v="1"/>
    <m/>
    <m/>
    <n v="0"/>
  </r>
  <r>
    <s v="Heike 2.78"/>
    <s v="やがて殿上までも斬り上らんずる  yagate tenjō made mo kiriagaranzuru "/>
    <s v="who would even do violence in the Palace itself,"/>
    <s v="斬り上らんずる"/>
    <s v="dynamic"/>
    <x v="1"/>
    <x v="1"/>
    <x v="0"/>
    <s v="active"/>
    <s v="positive"/>
    <n v="1"/>
    <n v="0"/>
    <x v="2"/>
    <n v="2"/>
    <x v="1"/>
    <n v="3"/>
    <x v="0"/>
    <x v="0"/>
    <n v="1"/>
    <n v="0"/>
    <s v="REL"/>
    <x v="0"/>
    <x v="0"/>
    <x v="0"/>
    <x v="0"/>
    <s v="n/a"/>
    <n v="0"/>
    <x v="2"/>
    <x v="2"/>
    <x v="1"/>
    <x v="1"/>
    <m/>
    <m/>
    <n v="0"/>
  </r>
  <r>
    <s v="Heike 2.79"/>
    <s v="者の面魂にてある間 mono no omodamashii nite aru aida"/>
    <s v="he appeared as one "/>
    <s v="にてある"/>
    <s v="indicative"/>
    <x v="1"/>
    <x v="0"/>
    <x v="0"/>
    <s v="active"/>
    <s v="positive"/>
    <n v="1"/>
    <n v="0"/>
    <x v="2"/>
    <n v="0"/>
    <x v="1"/>
    <n v="3"/>
    <x v="0"/>
    <x v="0"/>
    <n v="0"/>
    <n v="0"/>
    <s v="REL"/>
    <x v="3"/>
    <x v="0"/>
    <x v="0"/>
    <x v="0"/>
    <s v="n/a"/>
    <n v="0"/>
    <x v="0"/>
    <x v="1"/>
    <x v="1"/>
    <x v="1"/>
    <m/>
    <m/>
    <n v="0"/>
  </r>
  <r>
    <s v="Heike 2.80"/>
    <s v="別の事なし (betsu no koto nashi)"/>
    <s v="nothing out of the ordinary had taken place."/>
    <s v="なし"/>
    <s v="indicative"/>
    <x v="1"/>
    <x v="7"/>
    <x v="0"/>
    <s v="active"/>
    <s v="negative"/>
    <n v="1"/>
    <n v="1"/>
    <x v="0"/>
    <n v="0"/>
    <x v="0"/>
    <n v="3"/>
    <x v="0"/>
    <x v="0"/>
    <n v="0"/>
    <n v="0"/>
    <s v="n/a"/>
    <x v="2"/>
    <x v="0"/>
    <x v="0"/>
    <x v="0"/>
    <s v="n/a"/>
    <n v="0"/>
    <x v="2"/>
    <x v="2"/>
    <x v="1"/>
    <x v="0"/>
    <s v="Subject = 別の事."/>
    <m/>
    <n v="1"/>
  </r>
  <r>
    <s v="Heike 2.81"/>
    <s v="五節には白薄様濃染紙の紙巻上の筆巴書いたる筆の軸など様々かやうに面白き事をのみこそ歌ひ舞はるるに (gosechi ni wa shirauzusama kozomegami no kamimaki ue no fude tomoe kaitaru fude no jiku nado samazama kayō ni omoshiroki koto o nomi koso utai mawaruru ni)"/>
    <s v="In the Go-sechie festival only such pleasing things as white paper, Shuzenji paper, wrapped brushes, or writing brushes with a tomoe on the stem were customarily sung and danced,"/>
    <s v="歌ひ舞はるる"/>
    <s v="indicative"/>
    <x v="1"/>
    <x v="4"/>
    <x v="1"/>
    <s v="active"/>
    <s v="positive"/>
    <n v="1"/>
    <n v="1"/>
    <x v="1"/>
    <n v="2"/>
    <x v="2"/>
    <n v="3"/>
    <x v="1"/>
    <x v="0"/>
    <n v="0"/>
    <n v="0"/>
    <s v="REL"/>
    <x v="3"/>
    <x v="0"/>
    <x v="1"/>
    <x v="2"/>
    <s v="honorific_aux"/>
    <n v="0"/>
    <x v="9"/>
    <x v="2"/>
    <x v="2"/>
    <x v="0"/>
    <s v="Passive/respect; subject omitted; object 面白き事を overt."/>
    <m/>
    <n v="1"/>
  </r>
  <r>
    <s v="Heike 2.82"/>
    <s v="中比太宰権帥季仲卿といふ人ありけり (chūbi Dazai gon no so Sukechika kyō to iu hito arikeri)"/>
    <s v="but there was a certain Dazai Gon-no-sotsu Suenaka no Kyo,"/>
    <s v="ありけり"/>
    <s v="indicative"/>
    <x v="0"/>
    <x v="7"/>
    <x v="0"/>
    <s v="active"/>
    <s v="positive"/>
    <n v="1"/>
    <n v="1"/>
    <x v="0"/>
    <n v="1"/>
    <x v="0"/>
    <n v="3"/>
    <x v="0"/>
    <x v="0"/>
    <n v="0"/>
    <n v="0"/>
    <s v="n/a"/>
    <x v="2"/>
    <x v="0"/>
    <x v="0"/>
    <x v="0"/>
    <s v="n/a"/>
    <n v="0"/>
    <x v="2"/>
    <x v="2"/>
    <x v="0"/>
    <x v="0"/>
    <s v="frame predicate"/>
    <m/>
    <n v="1"/>
  </r>
  <r>
    <s v="Heike 2.83"/>
    <s v="あまりに色の黒かりければ (amari ni iro no kurokarikereba)"/>
    <s v="who was of so dark a complexion that"/>
    <s v="黒かりければ"/>
    <s v="indicative"/>
    <x v="1"/>
    <x v="5"/>
    <x v="0"/>
    <s v="active"/>
    <s v="positive"/>
    <n v="1"/>
    <n v="1"/>
    <x v="0"/>
    <n v="1"/>
    <x v="0"/>
    <n v="3"/>
    <x v="0"/>
    <x v="1"/>
    <n v="0"/>
    <n v="0"/>
    <s v="n/a"/>
    <x v="3"/>
    <x v="0"/>
    <x v="0"/>
    <x v="0"/>
    <s v="n/a"/>
    <n v="0"/>
    <x v="3"/>
    <x v="2"/>
    <x v="1"/>
    <x v="0"/>
    <s v="Adjectival predicate; subject = 色."/>
    <m/>
    <n v="1"/>
  </r>
  <r>
    <s v="Heike 2.84"/>
    <s v="見る人黒帥とぞ申しける (miru hito kurosotsu to zo mōshikeru)"/>
    <s v="people called him 'kuro-sotsu',"/>
    <s v="申しける"/>
    <s v="indicative"/>
    <x v="2"/>
    <x v="1"/>
    <x v="1"/>
    <s v="active"/>
    <s v="positive"/>
    <n v="1"/>
    <n v="2"/>
    <x v="3"/>
    <n v="0"/>
    <x v="0"/>
    <n v="3"/>
    <x v="1"/>
    <x v="0"/>
    <n v="0"/>
    <n v="0"/>
    <s v="n/a"/>
    <x v="2"/>
    <x v="1"/>
    <x v="0"/>
    <x v="0"/>
    <s v="lexical_humble_verb"/>
    <n v="0"/>
    <x v="2"/>
    <x v="2"/>
    <x v="1"/>
    <x v="0"/>
    <s v="申す humble; subject overt; counted as EXALT INSIG."/>
    <m/>
    <n v="2"/>
  </r>
  <r>
    <s v="Heike 2.85"/>
    <s v="その人未だ蔵人頭たりし時 (sono hito imada kurōdo no tō tarishi toki)"/>
    <s v="and while he was still Kurando-no-to, "/>
    <s v="たりし"/>
    <s v="indicative"/>
    <x v="0"/>
    <x v="0"/>
    <x v="0"/>
    <s v="active"/>
    <s v="positive"/>
    <n v="1"/>
    <n v="1"/>
    <x v="0"/>
    <n v="0"/>
    <x v="0"/>
    <n v="3"/>
    <x v="0"/>
    <x v="0"/>
    <n v="0"/>
    <n v="0"/>
    <s v="REL"/>
    <x v="3"/>
    <x v="0"/>
    <x v="0"/>
    <x v="0"/>
    <s v="honorific_aux"/>
    <n v="0"/>
    <x v="0"/>
    <x v="1"/>
    <x v="3"/>
    <x v="1"/>
    <m/>
    <m/>
    <n v="1"/>
  </r>
  <r>
    <s v="Heike 2.86"/>
    <s v="五節に舞はれけるに gosechi ni mawarekeru ni"/>
    <s v="when he danced at the Go-sechie,"/>
    <s v="舞はれける"/>
    <s v="indicative"/>
    <x v="2"/>
    <x v="1"/>
    <x v="0"/>
    <s v="active"/>
    <s v="positive"/>
    <n v="1"/>
    <n v="0"/>
    <x v="2"/>
    <n v="0"/>
    <x v="2"/>
    <n v="3"/>
    <x v="0"/>
    <x v="0"/>
    <n v="0"/>
    <n v="0"/>
    <s v="REL"/>
    <x v="3"/>
    <x v="0"/>
    <x v="1"/>
    <x v="2"/>
    <s v="lexical_honorific_verb"/>
    <n v="0"/>
    <x v="0"/>
    <x v="1"/>
    <x v="1"/>
    <x v="1"/>
    <m/>
    <m/>
    <n v="0"/>
  </r>
  <r>
    <s v="Heike 2.87"/>
    <s v="人々拍子を変へて (hitobito hyōshi o kaete)"/>
    <s v="they changed the rhythm of the music"/>
    <s v="変へて"/>
    <s v="indicative"/>
    <x v="1"/>
    <x v="1"/>
    <x v="1"/>
    <s v="active"/>
    <s v="positive"/>
    <n v="1"/>
    <n v="2"/>
    <x v="3"/>
    <n v="0"/>
    <x v="0"/>
    <n v="3"/>
    <x v="1"/>
    <x v="0"/>
    <n v="0"/>
    <n v="0"/>
    <s v="n/a"/>
    <x v="1"/>
    <x v="0"/>
    <x v="0"/>
    <x v="0"/>
    <s v="n/a"/>
    <n v="0"/>
    <x v="1"/>
    <x v="2"/>
    <x v="1"/>
    <x v="0"/>
    <m/>
    <m/>
    <n v="2"/>
  </r>
  <r>
    <s v="Heike 2.88"/>
    <s v="あなくろくろ黒き頭かな (ana kuro kuro kuroki atama kana)"/>
    <s v="&quot;Oh what a black, black head!&quot;"/>
    <s v="N/A (exclamatory nominal clause)"/>
    <s v="indicative"/>
    <x v="1"/>
    <x v="10"/>
    <x v="0"/>
    <m/>
    <m/>
    <n v="0"/>
    <n v="1"/>
    <x v="0"/>
    <n v="0"/>
    <x v="0"/>
    <n v="3"/>
    <x v="0"/>
    <x v="0"/>
    <n v="0"/>
    <n v="0"/>
    <s v="n/a"/>
    <x v="2"/>
    <x v="0"/>
    <x v="0"/>
    <x v="0"/>
    <s v="n/a"/>
    <n v="0"/>
    <x v="2"/>
    <x v="1"/>
    <x v="1"/>
    <x v="0"/>
    <m/>
    <m/>
    <m/>
  </r>
  <r>
    <s v="Heike 2.89"/>
    <s v="いかなる人の漆塗りけんとぞ (ikanaru hito no urushinuriken to zo )"/>
    <s v="&quot;someone must have painted him with lacquer&quot;"/>
    <s v="漆塗りけん"/>
    <s v="epistemic"/>
    <x v="1"/>
    <x v="1"/>
    <x v="1"/>
    <s v="active"/>
    <s v="positive"/>
    <n v="1"/>
    <n v="2"/>
    <x v="3"/>
    <n v="0"/>
    <x v="0"/>
    <n v="3"/>
    <x v="1"/>
    <x v="0"/>
    <n v="0"/>
    <n v="0"/>
    <s v="n/a"/>
    <x v="6"/>
    <x v="0"/>
    <x v="0"/>
    <x v="0"/>
    <s v="n/a"/>
    <n v="0"/>
    <x v="4"/>
    <x v="2"/>
    <x v="1"/>
    <x v="0"/>
    <m/>
    <m/>
    <n v="2"/>
  </r>
  <r>
    <s v="Heike 2.90"/>
    <s v="囃されける (hayasarekeru)"/>
    <s v="they sang in mockery."/>
    <s v="囃されける"/>
    <s v="indicative"/>
    <x v="5"/>
    <x v="1"/>
    <x v="1"/>
    <s v="active"/>
    <s v="positive"/>
    <n v="1"/>
    <n v="1"/>
    <x v="9"/>
    <n v="0"/>
    <x v="2"/>
    <n v="3"/>
    <x v="1"/>
    <x v="0"/>
    <n v="0"/>
    <n v="0"/>
    <s v="n/a"/>
    <x v="2"/>
    <x v="0"/>
    <x v="1"/>
    <x v="2"/>
    <s v="honorific_aux"/>
    <n v="0"/>
    <x v="2"/>
    <x v="2"/>
    <x v="1"/>
    <x v="1"/>
    <m/>
    <m/>
    <n v="1"/>
  </r>
  <r>
    <s v="Heike 2.91"/>
    <s v="また花山院前太政大臣忠雅公未だ十歳と申しし時 (mata Kazanin no saki no Daijōdaijin Tadamasa kō imada jissai to mōshi shi toki)"/>
    <s v="Also, when Prince Tadamasa of the Kazan-in, the former Prime Minister, was only ten years old,"/>
    <s v="申しし"/>
    <s v="indicative"/>
    <x v="2"/>
    <x v="1"/>
    <x v="0"/>
    <s v="active"/>
    <s v="positive"/>
    <n v="1"/>
    <n v="1"/>
    <x v="0"/>
    <n v="1"/>
    <x v="0"/>
    <n v="3"/>
    <x v="0"/>
    <x v="0"/>
    <n v="0"/>
    <n v="0"/>
    <s v="n/a"/>
    <x v="3"/>
    <x v="1"/>
    <x v="0"/>
    <x v="2"/>
    <s v="lexical_humble_verb"/>
    <n v="0"/>
    <x v="0"/>
    <x v="2"/>
    <x v="0"/>
    <x v="0"/>
    <m/>
    <m/>
    <n v="1"/>
  </r>
  <r>
    <s v="Heike 2.92"/>
    <s v="父中納言忠宗卿に後れ給ひて (chichi Chūnagon Tadamune kyō ni okure tamai te)"/>
    <s v="having lost his father, Chunagon Tadamune,"/>
    <s v="後れ給ひて"/>
    <s v="indicative"/>
    <x v="2"/>
    <x v="1"/>
    <x v="0"/>
    <s v="active"/>
    <s v="positive"/>
    <n v="1"/>
    <n v="1"/>
    <x v="5"/>
    <n v="0"/>
    <x v="2"/>
    <n v="3"/>
    <x v="0"/>
    <x v="3"/>
    <n v="0"/>
    <n v="0"/>
    <s v="n/a"/>
    <x v="1"/>
    <x v="0"/>
    <x v="1"/>
    <x v="2"/>
    <s v="lexical_honorific_verb"/>
    <n v="0"/>
    <x v="1"/>
    <x v="1"/>
    <x v="0"/>
    <x v="0"/>
    <m/>
    <m/>
    <n v="1"/>
  </r>
  <r>
    <s v="Heike 2.93"/>
    <s v="孤子にておはせしを (koji nite ohaseshi o)"/>
    <s v="and being left an orphan,"/>
    <s v="おはせし"/>
    <s v="indicative"/>
    <x v="2"/>
    <x v="7"/>
    <x v="0"/>
    <s v="active"/>
    <s v="positive"/>
    <n v="1"/>
    <n v="0"/>
    <x v="2"/>
    <n v="0"/>
    <x v="2"/>
    <n v="3"/>
    <x v="0"/>
    <x v="0"/>
    <n v="0"/>
    <n v="0"/>
    <s v="REL"/>
    <x v="3"/>
    <x v="0"/>
    <x v="1"/>
    <x v="2"/>
    <s v="lexical_honorific_verb"/>
    <n v="0"/>
    <x v="9"/>
    <x v="1"/>
    <x v="1"/>
    <x v="0"/>
    <m/>
    <m/>
    <n v="0"/>
  </r>
  <r>
    <s v="Heike 2.94"/>
    <s v="故中御門藤中納言家成卿未だ播磨守にておはしけるが ko-Nakamikado Fuji Chūnagon Ienari kyō imada Harima no kami nite ohasikeru ga"/>
    <s v=" by Fuji Chūnagon Ienari, then Harima no Kami,"/>
    <s v="おはしける"/>
    <s v="indicative"/>
    <x v="0"/>
    <x v="0"/>
    <x v="0"/>
    <s v="active"/>
    <s v="positive"/>
    <n v="1"/>
    <n v="1"/>
    <x v="0"/>
    <n v="1"/>
    <x v="0"/>
    <n v="3"/>
    <x v="0"/>
    <x v="0"/>
    <n v="0"/>
    <n v="0"/>
    <s v="REL"/>
    <x v="3"/>
    <x v="1"/>
    <x v="0"/>
    <x v="2"/>
    <s v="lexical_honorific_verb"/>
    <n v="0"/>
    <x v="9"/>
    <x v="2"/>
    <x v="0"/>
    <x v="0"/>
    <m/>
    <m/>
    <n v="1"/>
  </r>
  <r>
    <s v="Heike 2.95"/>
    <s v="聟に取りて muko ni torite "/>
    <s v="he was taken as son-in-law"/>
    <s v="取りて"/>
    <s v="indicative"/>
    <x v="2"/>
    <x v="1"/>
    <x v="1"/>
    <s v="active"/>
    <s v="positive"/>
    <n v="1"/>
    <n v="1"/>
    <x v="5"/>
    <n v="0"/>
    <x v="1"/>
    <n v="3"/>
    <x v="3"/>
    <x v="3"/>
    <n v="0"/>
    <n v="0"/>
    <s v="n/a"/>
    <x v="1"/>
    <x v="0"/>
    <x v="0"/>
    <x v="0"/>
    <s v="n/a"/>
    <n v="0"/>
    <x v="2"/>
    <x v="1"/>
    <x v="1"/>
    <x v="0"/>
    <m/>
    <m/>
    <n v="1"/>
  </r>
  <r>
    <s v="Heike 2.96"/>
    <s v="華やかにもてなされければ  hanayaka ni motenasarekereba"/>
    <s v="and splendidly welcomed,"/>
    <s v="もてなされければ"/>
    <s v="indicative"/>
    <x v="2"/>
    <x v="1"/>
    <x v="0"/>
    <s v="passive"/>
    <s v="positive"/>
    <n v="1"/>
    <n v="0"/>
    <x v="2"/>
    <n v="0"/>
    <x v="1"/>
    <n v="3"/>
    <x v="0"/>
    <x v="2"/>
    <n v="0"/>
    <n v="0"/>
    <s v="n/a"/>
    <x v="3"/>
    <x v="0"/>
    <x v="0"/>
    <x v="0"/>
    <s v="n/a"/>
    <n v="0"/>
    <x v="3"/>
    <x v="1"/>
    <x v="1"/>
    <x v="0"/>
    <s v="verbal sequence"/>
    <m/>
    <n v="0"/>
  </r>
  <r>
    <s v="Heike 2.97"/>
    <s v="これも五節には播磨の米は木賊か椋の葉か人の綺羅を磨くはとぞ (kore mo gosechi ni wa Harima no kome wa tokusa ka mukuno ha ka hito no kira o migaku wa to zo)"/>
    <s v="at that Go-sechie with the refrain ‘The rice of Harima...’"/>
    <s v="磨く"/>
    <s v="indicative"/>
    <x v="2"/>
    <x v="1"/>
    <x v="1"/>
    <s v="active"/>
    <s v="positive"/>
    <n v="1"/>
    <n v="2"/>
    <x v="3"/>
    <n v="1"/>
    <x v="0"/>
    <n v="3"/>
    <x v="1"/>
    <x v="0"/>
    <n v="0"/>
    <n v="0"/>
    <s v="REL"/>
    <x v="6"/>
    <x v="0"/>
    <x v="0"/>
    <x v="0"/>
    <s v="honorific_aux"/>
    <n v="0"/>
    <x v="2"/>
    <x v="2"/>
    <x v="1"/>
    <x v="0"/>
    <m/>
    <m/>
    <n v="2"/>
  </r>
  <r>
    <s v="Heike 2.98"/>
    <s v="囃されける hayasarekeru"/>
    <s v=" they also japed at him"/>
    <s v="囃されける"/>
    <s v="indicative"/>
    <x v="2"/>
    <x v="1"/>
    <x v="0"/>
    <s v="passive"/>
    <s v="positive"/>
    <n v="1"/>
    <n v="0"/>
    <x v="2"/>
    <n v="1"/>
    <x v="1"/>
    <n v="3"/>
    <x v="0"/>
    <x v="0"/>
    <n v="0"/>
    <n v="0"/>
    <s v="kakari-musubi"/>
    <x v="2"/>
    <x v="0"/>
    <x v="0"/>
    <x v="0"/>
    <s v="n/a"/>
    <n v="0"/>
    <x v="4"/>
    <x v="2"/>
    <x v="1"/>
    <x v="1"/>
    <m/>
    <m/>
    <n v="0"/>
  </r>
  <r>
    <s v="Heike 2.99"/>
    <s v="上古にはかやうにありしかども (jōko ni wa kayō ni arishikadomo )"/>
    <s v="Long ago such things had happened, "/>
    <s v="ありし / 出で来ず"/>
    <s v="indicative"/>
    <x v="2"/>
    <x v="7"/>
    <x v="0"/>
    <s v="active"/>
    <s v="positive"/>
    <n v="1"/>
    <n v="0"/>
    <x v="2"/>
    <n v="2"/>
    <x v="5"/>
    <n v="0"/>
    <x v="0"/>
    <x v="0"/>
    <n v="0"/>
    <n v="0"/>
    <s v="n/a"/>
    <x v="3"/>
    <x v="0"/>
    <x v="0"/>
    <x v="0"/>
    <s v="n/a"/>
    <n v="0"/>
    <x v="9"/>
    <x v="2"/>
    <x v="2"/>
    <x v="0"/>
    <m/>
    <m/>
    <n v="0"/>
  </r>
  <r>
    <s v="Heike 2.100"/>
    <s v="事出で来ず koto idekozu"/>
    <s v="but nothing had come of them,"/>
    <s v="出で来ず"/>
    <s v="indicative"/>
    <x v="0"/>
    <x v="11"/>
    <x v="0"/>
    <s v="active"/>
    <s v="negative"/>
    <n v="1"/>
    <n v="1"/>
    <x v="0"/>
    <n v="0"/>
    <x v="0"/>
    <n v="3"/>
    <x v="0"/>
    <x v="0"/>
    <n v="0"/>
    <n v="0"/>
    <s v="n/a"/>
    <x v="3"/>
    <x v="0"/>
    <x v="0"/>
    <x v="0"/>
    <s v="n/a"/>
    <n v="0"/>
    <x v="2"/>
    <x v="2"/>
    <x v="1"/>
    <x v="0"/>
    <m/>
    <m/>
    <n v="1"/>
  </r>
  <r>
    <s v="Heike 2.101"/>
    <s v="末代いかがあらんずらん (matsudai ikaga aranzuran obotsukanashi)"/>
    <s v="and people said that what was to be done"/>
    <s v="あらんずらん"/>
    <s v="epistemic"/>
    <x v="0"/>
    <x v="11"/>
    <x v="2"/>
    <m/>
    <m/>
    <m/>
    <m/>
    <x v="6"/>
    <m/>
    <x v="3"/>
    <m/>
    <x v="4"/>
    <x v="4"/>
    <m/>
    <m/>
    <m/>
    <x v="7"/>
    <x v="2"/>
    <x v="2"/>
    <x v="0"/>
    <s v="n/a"/>
    <m/>
    <x v="5"/>
    <x v="3"/>
    <x v="4"/>
    <x v="3"/>
    <m/>
    <m/>
    <m/>
  </r>
  <r>
    <s v="Heike 2.102"/>
    <s v="覚束なし"/>
    <s v="was doubtful"/>
    <s v="覚束なし"/>
    <s v="indicative"/>
    <x v="4"/>
    <x v="5"/>
    <x v="0"/>
    <s v="active"/>
    <s v="negative"/>
    <n v="1"/>
    <n v="0"/>
    <x v="2"/>
    <n v="0"/>
    <x v="5"/>
    <n v="0"/>
    <x v="0"/>
    <x v="0"/>
    <n v="0"/>
    <n v="0"/>
    <s v="n/a"/>
    <x v="2"/>
    <x v="0"/>
    <x v="0"/>
    <x v="0"/>
    <s v="n/a"/>
    <n v="0"/>
    <x v="2"/>
    <x v="2"/>
    <x v="1"/>
    <x v="1"/>
    <m/>
    <m/>
    <n v="0"/>
  </r>
  <r>
    <s v="Heike 2.103"/>
    <s v="案の如く五節果てにしかば (an no gotoku gosechi hate ni shikaba)"/>
    <s v="As he had expected, after the conclusion of the festival,"/>
    <s v="果てにしかば"/>
    <s v="indicative"/>
    <x v="1"/>
    <x v="1"/>
    <x v="0"/>
    <s v="active"/>
    <s v="positive"/>
    <n v="1"/>
    <n v="1"/>
    <x v="0"/>
    <n v="1"/>
    <x v="0"/>
    <n v="3"/>
    <x v="0"/>
    <x v="0"/>
    <n v="0"/>
    <n v="0"/>
    <s v="n/a"/>
    <x v="3"/>
    <x v="0"/>
    <x v="0"/>
    <x v="0"/>
    <s v="n/a"/>
    <n v="0"/>
    <x v="0"/>
    <x v="2"/>
    <x v="2"/>
    <x v="0"/>
    <m/>
    <m/>
    <n v="1"/>
  </r>
  <r>
    <s v="Heike 2.104"/>
    <s v="殿上人一同に訴へ申されけるは (tenjōbito ichidō ni uttaemōsarekeru wa)"/>
    <s v="all the courtiers and officials together appealed,"/>
    <s v="訴へ申されける"/>
    <s v="indicative"/>
    <x v="1"/>
    <x v="1"/>
    <x v="1"/>
    <s v="active"/>
    <s v="positive"/>
    <n v="1"/>
    <n v="1"/>
    <x v="0"/>
    <n v="1"/>
    <x v="0"/>
    <n v="3"/>
    <x v="5"/>
    <x v="0"/>
    <n v="0"/>
    <n v="0"/>
    <s v="SUB"/>
    <x v="3"/>
    <x v="1"/>
    <x v="0"/>
    <x v="2"/>
    <s v="honorific_aux+lexical_humble_verb"/>
    <n v="0"/>
    <x v="2"/>
    <x v="2"/>
    <x v="1"/>
    <x v="0"/>
    <s v="nominalisation"/>
    <m/>
    <n v="1"/>
  </r>
  <r>
    <s v="Heike 2.105"/>
    <s v="それ雄剣を帯して (sore yūken o tai shitei)"/>
    <s v="that wearing a sword"/>
    <s v="帯して "/>
    <s v="indicative"/>
    <x v="2"/>
    <x v="3"/>
    <x v="1"/>
    <s v="active"/>
    <s v="positive"/>
    <n v="1"/>
    <n v="1"/>
    <x v="1"/>
    <n v="0"/>
    <x v="1"/>
    <n v="3"/>
    <x v="1"/>
    <x v="0"/>
    <n v="0"/>
    <n v="0"/>
    <s v="n/a"/>
    <x v="1"/>
    <x v="0"/>
    <x v="0"/>
    <x v="0"/>
    <s v="n/a"/>
    <n v="0"/>
    <x v="2"/>
    <x v="2"/>
    <x v="1"/>
    <x v="0"/>
    <m/>
    <m/>
    <n v="1"/>
  </r>
  <r>
    <s v="Heike 2.106"/>
    <s v="公宴に列し  kōen ni res shi"/>
    <s v=" coming to a Court entertainment "/>
    <s v="列し"/>
    <s v="indicative"/>
    <x v="3"/>
    <x v="3"/>
    <x v="0"/>
    <s v="active"/>
    <s v="positive"/>
    <n v="1"/>
    <n v="1"/>
    <x v="5"/>
    <n v="0"/>
    <x v="1"/>
    <n v="3"/>
    <x v="7"/>
    <x v="3"/>
    <n v="0"/>
    <n v="0"/>
    <s v="n/a"/>
    <x v="1"/>
    <x v="0"/>
    <x v="0"/>
    <x v="0"/>
    <s v="n/a"/>
    <n v="0"/>
    <x v="2"/>
    <x v="1"/>
    <x v="1"/>
    <x v="0"/>
    <m/>
    <m/>
    <n v="1"/>
  </r>
  <r>
    <s v="Heike 2.107"/>
    <s v="兵仗を賜はりて  hyōjō o tamawari te "/>
    <s v="and bearing arms "/>
    <s v="賜はりて"/>
    <s v="indicative"/>
    <x v="2"/>
    <x v="1"/>
    <x v="1"/>
    <s v="active"/>
    <s v="positive"/>
    <n v="1"/>
    <n v="1"/>
    <x v="1"/>
    <n v="0"/>
    <x v="2"/>
    <n v="3"/>
    <x v="1"/>
    <x v="0"/>
    <n v="0"/>
    <n v="0"/>
    <s v="n/a"/>
    <x v="1"/>
    <x v="0"/>
    <x v="1"/>
    <x v="2"/>
    <s v="lexical_humble_verb"/>
    <n v="0"/>
    <x v="2"/>
    <x v="1"/>
    <x v="1"/>
    <x v="0"/>
    <m/>
    <m/>
    <n v="1"/>
  </r>
  <r>
    <s v="Heike 2.108"/>
    <s v="宮中を出入りするは kyūchū o ideiri suru wa "/>
    <s v="when passing in and out of the Palace"/>
    <s v="出入りする"/>
    <s v="indicative"/>
    <x v="3"/>
    <x v="1"/>
    <x v="1"/>
    <s v="active"/>
    <s v="positive"/>
    <n v="1"/>
    <n v="1"/>
    <x v="1"/>
    <n v="0"/>
    <x v="1"/>
    <n v="3"/>
    <x v="1"/>
    <x v="0"/>
    <n v="0"/>
    <n v="0"/>
    <s v="SUB"/>
    <x v="3"/>
    <x v="0"/>
    <x v="0"/>
    <x v="0"/>
    <s v="n/a"/>
    <n v="0"/>
    <x v="2"/>
    <x v="1"/>
    <x v="1"/>
    <x v="0"/>
    <s v="nominalisation"/>
    <m/>
    <n v="1"/>
  </r>
  <r>
    <s v="Heike 2.109"/>
    <s v="皆格式の礼を守る mina kakushiki no rei o mamoru"/>
    <s v=" is according to ancient precedent,"/>
    <s v="守る"/>
    <s v="indicative"/>
    <x v="2"/>
    <x v="1"/>
    <x v="1"/>
    <s v="active"/>
    <s v="positive"/>
    <n v="1"/>
    <n v="2"/>
    <x v="3"/>
    <n v="0"/>
    <x v="0"/>
    <n v="3"/>
    <x v="1"/>
    <x v="0"/>
    <n v="0"/>
    <n v="1"/>
    <s v="REL"/>
    <x v="0"/>
    <x v="0"/>
    <x v="0"/>
    <x v="0"/>
    <s v="n/a"/>
    <n v="0"/>
    <x v="2"/>
    <x v="2"/>
    <x v="1"/>
    <x v="0"/>
    <m/>
    <m/>
    <n v="2"/>
  </r>
  <r>
    <s v="Heike 2.110"/>
    <s v="綸命由ある  rinmei yoshi aru "/>
    <m/>
    <s v="ある"/>
    <s v="indicative"/>
    <x v="0"/>
    <x v="7"/>
    <x v="0"/>
    <s v="active"/>
    <s v="positive"/>
    <n v="1"/>
    <n v="1"/>
    <x v="0"/>
    <n v="0"/>
    <x v="0"/>
    <n v="3"/>
    <x v="0"/>
    <x v="0"/>
    <n v="0"/>
    <n v="1"/>
    <s v="REL"/>
    <x v="0"/>
    <x v="0"/>
    <x v="0"/>
    <x v="0"/>
    <s v="n/a"/>
    <n v="0"/>
    <x v="2"/>
    <x v="2"/>
    <x v="1"/>
    <x v="0"/>
    <m/>
    <m/>
    <n v="1"/>
  </r>
  <r>
    <s v="Heike 2.111"/>
    <s v="先規なり senki nari"/>
    <m/>
    <s v="なり"/>
    <s v="indicative"/>
    <x v="0"/>
    <x v="0"/>
    <x v="0"/>
    <s v="active"/>
    <s v="positive"/>
    <n v="1"/>
    <n v="0"/>
    <x v="2"/>
    <n v="0"/>
    <x v="6"/>
    <n v="0"/>
    <x v="0"/>
    <x v="0"/>
    <n v="0"/>
    <n v="0"/>
    <s v="n/a"/>
    <x v="8"/>
    <x v="0"/>
    <x v="0"/>
    <x v="0"/>
    <s v="n/a"/>
    <n v="0"/>
    <x v="2"/>
    <x v="4"/>
    <x v="1"/>
    <x v="1"/>
    <m/>
    <m/>
    <n v="0"/>
  </r>
  <r>
    <s v="Heike 2.112"/>
    <s v="然るを忠盛朝臣或いは相伝の郎従と号して (shikaru o Tadamori ason arui wa sōden no rōjū to gō shite)"/>
    <s v="but Ason Tadamori, calling a certain common soldier his hereditary retainer,"/>
    <s v="号して"/>
    <s v="indicative"/>
    <x v="2"/>
    <x v="1"/>
    <x v="1"/>
    <s v="active"/>
    <s v="positive"/>
    <n v="1"/>
    <n v="2"/>
    <x v="3"/>
    <n v="1"/>
    <x v="0"/>
    <n v="3"/>
    <x v="1"/>
    <x v="0"/>
    <n v="0"/>
    <n v="0"/>
    <s v="n/a"/>
    <x v="1"/>
    <x v="0"/>
    <x v="0"/>
    <x v="0"/>
    <s v="n/a"/>
    <n v="0"/>
    <x v="9"/>
    <x v="2"/>
    <x v="2"/>
    <x v="0"/>
    <m/>
    <m/>
    <n v="2"/>
  </r>
  <r>
    <s v="Heike 2.113"/>
    <s v="布衣の兵を殿上の小庭に召し置き (hoi no hyō o tenjō no koniwa ni meshioki)"/>
    <s v=" and placing him in the small courtyard of the Palace,"/>
    <s v="召し置き"/>
    <s v="indicative"/>
    <x v="2"/>
    <x v="1"/>
    <x v="1"/>
    <s v="active"/>
    <s v="positive"/>
    <n v="1"/>
    <n v="2"/>
    <x v="7"/>
    <n v="0"/>
    <x v="2"/>
    <n v="3"/>
    <x v="1"/>
    <x v="3"/>
    <n v="0"/>
    <n v="0"/>
    <s v="n/a"/>
    <x v="5"/>
    <x v="0"/>
    <x v="1"/>
    <x v="2"/>
    <s v="lexical_honorific_verb"/>
    <n v="0"/>
    <x v="2"/>
    <x v="1"/>
    <x v="1"/>
    <x v="0"/>
    <m/>
    <m/>
    <n v="2"/>
  </r>
  <r>
    <s v="Heike 2.114"/>
    <s v="或いは腰の刀を横へ差いて (arui wa koshi no katana o yokoe saite)"/>
    <s v="wearing a sword at his side,"/>
    <s v="差いて"/>
    <s v="indicative"/>
    <x v="1"/>
    <x v="1"/>
    <x v="1"/>
    <s v="active"/>
    <s v="positive"/>
    <n v="1"/>
    <n v="3"/>
    <x v="11"/>
    <n v="2"/>
    <x v="0"/>
    <n v="3"/>
    <x v="1"/>
    <x v="3"/>
    <n v="0"/>
    <n v="0"/>
    <s v="n/a"/>
    <x v="1"/>
    <x v="0"/>
    <x v="0"/>
    <x v="0"/>
    <s v="n/a"/>
    <n v="0"/>
    <x v="2"/>
    <x v="1"/>
    <x v="1"/>
    <x v="0"/>
    <m/>
    <m/>
    <n v="3"/>
  </r>
  <r>
    <s v="Heike 2.115"/>
    <s v="節会の座に列なる setsue no za ni tsuranaru"/>
    <s v="and coming to the festival seat "/>
    <s v="列なる"/>
    <s v="indicative"/>
    <x v="1"/>
    <x v="1"/>
    <x v="0"/>
    <s v="active"/>
    <s v="positive"/>
    <n v="1"/>
    <n v="1"/>
    <x v="5"/>
    <n v="0"/>
    <x v="1"/>
    <n v="3"/>
    <x v="7"/>
    <x v="3"/>
    <n v="0"/>
    <n v="1"/>
    <s v="REL"/>
    <x v="0"/>
    <x v="0"/>
    <x v="0"/>
    <x v="0"/>
    <s v="n/a"/>
    <n v="0"/>
    <x v="2"/>
    <x v="1"/>
    <x v="1"/>
    <x v="0"/>
    <m/>
    <m/>
    <n v="1"/>
  </r>
  <r>
    <s v="Heike 2.116"/>
    <s v="[両条稀代]未だ聞かざる (ryōjō kidai imada kikazaru)"/>
    <s v="both acts are unheard-of,"/>
    <s v="聞かざる"/>
    <s v="indicative"/>
    <x v="2"/>
    <x v="1"/>
    <x v="1"/>
    <s v="active"/>
    <s v="negative"/>
    <n v="1"/>
    <n v="0"/>
    <x v="2"/>
    <n v="1"/>
    <x v="4"/>
    <n v="3"/>
    <x v="0"/>
    <x v="0"/>
    <n v="1"/>
    <n v="0"/>
    <s v="REL"/>
    <x v="0"/>
    <x v="0"/>
    <x v="0"/>
    <x v="0"/>
    <s v="n/a"/>
    <n v="0"/>
    <x v="2"/>
    <x v="4"/>
    <x v="1"/>
    <x v="0"/>
    <m/>
    <m/>
    <n v="0"/>
  </r>
  <r>
    <s v="Heike 2.117"/>
    <s v="狼藉なり rōzaku nari"/>
    <s v="disorderliness"/>
    <s v="狼藉なり"/>
    <s v="indicative"/>
    <x v="0"/>
    <x v="0"/>
    <x v="0"/>
    <s v="active"/>
    <s v="positive"/>
    <n v="1"/>
    <n v="1"/>
    <x v="0"/>
    <n v="0"/>
    <x v="0"/>
    <n v="3"/>
    <x v="0"/>
    <x v="0"/>
    <n v="0"/>
    <n v="0"/>
    <s v="n/a"/>
    <x v="2"/>
    <x v="0"/>
    <x v="0"/>
    <x v="0"/>
    <s v="n/a"/>
    <n v="0"/>
    <x v="2"/>
    <x v="2"/>
    <x v="1"/>
    <x v="0"/>
    <m/>
    <m/>
    <n v="1"/>
  </r>
  <r>
    <s v="Heike 2.118"/>
    <s v="事既に重畳せり (koto sudeni chōjō seri)"/>
    <s v="indeed, one crime piled on another,"/>
    <s v="重畳せり"/>
    <s v="indicative"/>
    <x v="1"/>
    <x v="3"/>
    <x v="0"/>
    <s v="active"/>
    <s v="positive"/>
    <n v="1"/>
    <n v="1"/>
    <x v="0"/>
    <n v="1"/>
    <x v="0"/>
    <n v="3"/>
    <x v="0"/>
    <x v="0"/>
    <n v="0"/>
    <n v="0"/>
    <s v="n/a"/>
    <x v="5"/>
    <x v="0"/>
    <x v="0"/>
    <x v="0"/>
    <s v="n/a"/>
    <n v="0"/>
    <x v="2"/>
    <x v="2"/>
    <x v="1"/>
    <x v="2"/>
    <m/>
    <m/>
    <n v="1"/>
  </r>
  <r>
    <s v="Heike 2.119"/>
    <s v="罪科尤も遁れ難し (tsumitoga mottomo nogaregatashi)"/>
    <s v="a charge he would find difficult to escape."/>
    <s v="遁れ難し"/>
    <s v="dynamic"/>
    <x v="0"/>
    <x v="1"/>
    <x v="1"/>
    <s v="active"/>
    <s v="positive"/>
    <n v="1"/>
    <n v="1"/>
    <x v="0"/>
    <n v="0"/>
    <x v="0"/>
    <n v="3"/>
    <x v="1"/>
    <x v="0"/>
    <n v="0"/>
    <n v="0"/>
    <s v="n/a"/>
    <x v="2"/>
    <x v="0"/>
    <x v="0"/>
    <x v="0"/>
    <s v="n/a"/>
    <n v="0"/>
    <x v="2"/>
    <x v="1"/>
    <x v="1"/>
    <x v="0"/>
    <m/>
    <m/>
    <n v="1"/>
  </r>
  <r>
    <s v="Heike 2.120"/>
    <s v="早く殿上の御札を削りて (hayaku tenjō no mifuda o kezurite)"/>
    <s v="they petitioned that his name be erased from the list of Courtiers"/>
    <s v="削りて "/>
    <s v="indicative"/>
    <x v="2"/>
    <x v="1"/>
    <x v="1"/>
    <s v="active"/>
    <s v="positive"/>
    <n v="1"/>
    <n v="1"/>
    <x v="1"/>
    <n v="0"/>
    <x v="4"/>
    <n v="3"/>
    <x v="1"/>
    <x v="0"/>
    <n v="0"/>
    <n v="0"/>
    <s v="n/a"/>
    <x v="1"/>
    <x v="0"/>
    <x v="0"/>
    <x v="0"/>
    <s v="n/a"/>
    <n v="0"/>
    <x v="2"/>
    <x v="2"/>
    <x v="1"/>
    <x v="0"/>
    <m/>
    <m/>
    <n v="1"/>
  </r>
  <r>
    <s v="Heike 2.121"/>
    <s v="欠官停任せらるべき (kekkan teinin seraru beki yoshi)"/>
    <s v=" and he be deprived of rank and office,"/>
    <s v="停任せらるべき"/>
    <s v="deontic"/>
    <x v="2"/>
    <x v="3"/>
    <x v="0"/>
    <s v="passive"/>
    <s v="positive"/>
    <n v="1"/>
    <n v="0"/>
    <x v="2"/>
    <n v="0"/>
    <x v="1"/>
    <n v="3"/>
    <x v="0"/>
    <x v="0"/>
    <n v="0"/>
    <n v="1"/>
    <s v="REL"/>
    <x v="0"/>
    <x v="0"/>
    <x v="0"/>
    <x v="0"/>
    <s v="n/a"/>
    <n v="0"/>
    <x v="2"/>
    <x v="1"/>
    <x v="1"/>
    <x v="1"/>
    <m/>
    <m/>
    <n v="0"/>
  </r>
  <r>
    <s v="Heike 2.122"/>
    <s v="由諸卿一同に訴へ申されければ (yoshi shokyō ichidō ni uttaemōsarekereba)"/>
    <s v="and all the Court Nobles together petitioned,"/>
    <s v="訴へ申されければ"/>
    <s v="indicative"/>
    <x v="2"/>
    <x v="1"/>
    <x v="1"/>
    <s v="active"/>
    <s v="positive"/>
    <n v="1"/>
    <n v="2"/>
    <x v="3"/>
    <n v="1"/>
    <x v="0"/>
    <n v="3"/>
    <x v="1"/>
    <x v="0"/>
    <n v="0"/>
    <n v="0"/>
    <s v="n/a"/>
    <x v="3"/>
    <x v="1"/>
    <x v="0"/>
    <x v="2"/>
    <s v="honorific_aux+lexical_honorific_verb"/>
    <n v="0"/>
    <x v="0"/>
    <x v="2"/>
    <x v="1"/>
    <x v="0"/>
    <m/>
    <m/>
    <n v="2"/>
  </r>
  <r>
    <s v="Heike 2.123"/>
    <s v="上皇大きに驚かせ給ひて (Jōkō ōki ni odorokase tamai te)"/>
    <s v="His Majesty the Mikado, greatly surprised,"/>
    <s v="驚かせ給ひて"/>
    <s v="indicative"/>
    <x v="2"/>
    <x v="1"/>
    <x v="0"/>
    <s v="active"/>
    <s v="positive"/>
    <n v="1"/>
    <n v="1"/>
    <x v="0"/>
    <n v="0"/>
    <x v="0"/>
    <n v="3"/>
    <x v="0"/>
    <x v="0"/>
    <n v="0"/>
    <n v="0"/>
    <s v="n/a"/>
    <x v="1"/>
    <x v="1"/>
    <x v="0"/>
    <x v="2"/>
    <s v="honorific_aux+lexical_honorific_verb"/>
    <n v="0"/>
    <x v="2"/>
    <x v="2"/>
    <x v="1"/>
    <x v="0"/>
    <m/>
    <m/>
    <n v="1"/>
  </r>
  <r>
    <s v="Heike 2.124"/>
    <s v="忠盛を召して (Tadamori o meshite)"/>
    <s v="ordered Tadamori into his Presence,"/>
    <s v="召して"/>
    <s v="indicative"/>
    <x v="2"/>
    <x v="1"/>
    <x v="0"/>
    <s v="active"/>
    <s v="positive"/>
    <n v="1"/>
    <n v="1"/>
    <x v="1"/>
    <n v="0"/>
    <x v="2"/>
    <n v="3"/>
    <x v="1"/>
    <x v="0"/>
    <n v="0"/>
    <n v="0"/>
    <s v="n/a"/>
    <x v="1"/>
    <x v="0"/>
    <x v="1"/>
    <x v="2"/>
    <s v="lexical_honorific_verb"/>
    <n v="0"/>
    <x v="2"/>
    <x v="1"/>
    <x v="1"/>
    <x v="0"/>
    <m/>
    <m/>
    <n v="1"/>
  </r>
  <r>
    <s v="Heike 2.125"/>
    <s v="御尋ねあり o-tazune ari"/>
    <s v=" to make examination into the affair"/>
    <s v="御尋ねあり"/>
    <s v="indicative"/>
    <x v="2"/>
    <x v="1"/>
    <x v="0"/>
    <s v="active"/>
    <s v="positive"/>
    <n v="1"/>
    <n v="1"/>
    <x v="0"/>
    <n v="0"/>
    <x v="0"/>
    <n v="3"/>
    <x v="0"/>
    <x v="0"/>
    <n v="0"/>
    <n v="0"/>
    <s v="n/a"/>
    <x v="2"/>
    <x v="1"/>
    <x v="0"/>
    <x v="2"/>
    <s v="honorific prefix"/>
    <n v="1"/>
    <x v="2"/>
    <x v="2"/>
    <x v="1"/>
    <x v="0"/>
    <m/>
    <m/>
    <n v="1"/>
  </r>
  <r>
    <s v="Heike 2.126"/>
    <s v="陳じ申されけるは (chinji mōsarekeru wa)"/>
    <s v="in his reply he stated that,"/>
    <s v="申されける"/>
    <s v="indicative"/>
    <x v="2"/>
    <x v="1"/>
    <x v="1"/>
    <s v="active"/>
    <s v="positive"/>
    <n v="1"/>
    <n v="0"/>
    <x v="2"/>
    <n v="0"/>
    <x v="2"/>
    <n v="3"/>
    <x v="5"/>
    <x v="0"/>
    <n v="0"/>
    <n v="0"/>
    <s v="SUB"/>
    <x v="3"/>
    <x v="0"/>
    <x v="1"/>
    <x v="2"/>
    <s v="honorific_aux+lexical_humble_verb"/>
    <n v="0"/>
    <x v="2"/>
    <x v="2"/>
    <x v="1"/>
    <x v="1"/>
    <s v="nominalisation"/>
    <m/>
    <n v="0"/>
  </r>
  <r>
    <s v="Heike 2.127"/>
    <s v="まづ郎従小庭に伺候の由全く覚悟仕らず (mazu rōjū koniwa ni shikō no yoshi mattaku kakugo tsukamatsurazu)"/>
    <s v="as to the presence of his retainer in the Palace, he certainly knew nothing about it,"/>
    <s v="覚悟仕らず"/>
    <s v="indicative"/>
    <x v="2"/>
    <x v="3"/>
    <x v="1"/>
    <s v="active"/>
    <s v="negative"/>
    <n v="1"/>
    <n v="1"/>
    <x v="1"/>
    <n v="2"/>
    <x v="2"/>
    <n v="3"/>
    <x v="1"/>
    <x v="0"/>
    <n v="0"/>
    <n v="0"/>
    <s v="n/a"/>
    <x v="3"/>
    <x v="0"/>
    <x v="1"/>
    <x v="2"/>
    <s v="lexical_humble_verb"/>
    <n v="0"/>
    <x v="2"/>
    <x v="1"/>
    <x v="1"/>
    <x v="0"/>
    <m/>
    <m/>
    <n v="1"/>
  </r>
  <r>
    <s v="Heike 2.128"/>
    <s v="但し近日人々相巧まるる (tadashi kinjitsu hitobito ai-takuramaruru)"/>
    <s v=" [...]  the designs that people were plotting,"/>
    <s v="巧まるる"/>
    <s v="indicative"/>
    <x v="2"/>
    <x v="1"/>
    <x v="1"/>
    <s v="active"/>
    <s v="positive"/>
    <n v="1"/>
    <n v="1"/>
    <x v="0"/>
    <n v="1"/>
    <x v="0"/>
    <n v="3"/>
    <x v="5"/>
    <x v="0"/>
    <n v="0"/>
    <n v="0"/>
    <s v="REL"/>
    <x v="0"/>
    <x v="1"/>
    <x v="0"/>
    <x v="2"/>
    <s v="honorific_aux"/>
    <n v="0"/>
    <x v="2"/>
    <x v="2"/>
    <x v="1"/>
    <x v="0"/>
    <m/>
    <m/>
    <n v="1"/>
  </r>
  <r>
    <s v="Heike 2.129"/>
    <s v="旨子細あるかの間 mune shisai aru ka no aida "/>
    <s v="[…] had lately heard of"/>
    <s v="ある"/>
    <s v="indicative"/>
    <x v="0"/>
    <x v="7"/>
    <x v="0"/>
    <s v="active"/>
    <s v="positive"/>
    <n v="1"/>
    <n v="1"/>
    <x v="0"/>
    <n v="1"/>
    <x v="0"/>
    <n v="3"/>
    <x v="0"/>
    <x v="0"/>
    <n v="0"/>
    <n v="0"/>
    <s v="n/a"/>
    <x v="3"/>
    <x v="0"/>
    <x v="0"/>
    <x v="0"/>
    <s v="n/a"/>
    <n v="0"/>
    <x v="0"/>
    <x v="2"/>
    <x v="1"/>
    <x v="0"/>
    <m/>
    <m/>
    <n v="1"/>
  </r>
  <r>
    <s v="Heike 2.130"/>
    <s v="年来の家人事を伝へ聞くかによつて (nenrai no kenin goto o tsutae kiku ka ni yotte)"/>
    <s v=" if his retainers"/>
    <s v="伝へ聞く"/>
    <s v="indicative"/>
    <x v="6"/>
    <x v="12"/>
    <x v="1"/>
    <s v="active"/>
    <s v="positive"/>
    <n v="1"/>
    <n v="2"/>
    <x v="3"/>
    <n v="1"/>
    <x v="0"/>
    <n v="3"/>
    <x v="1"/>
    <x v="0"/>
    <n v="0"/>
    <n v="0"/>
    <s v="n/a"/>
    <x v="3"/>
    <x v="0"/>
    <x v="0"/>
    <x v="0"/>
    <s v="n/a"/>
    <n v="0"/>
    <x v="1"/>
    <x v="1"/>
    <x v="1"/>
    <x v="0"/>
    <m/>
    <m/>
    <n v="2"/>
  </r>
  <r>
    <s v="Heike 2.131"/>
    <s v="その恥を助けんが為に (sono haji o tasuken ga tame ni)"/>
    <s v="and in order to help him against such dishonour,  intending to prevent dishonour,"/>
    <s v="助けん"/>
    <s v="dynamic"/>
    <x v="1"/>
    <x v="1"/>
    <x v="1"/>
    <s v="active"/>
    <s v="positive"/>
    <n v="1"/>
    <n v="1"/>
    <x v="1"/>
    <n v="0"/>
    <x v="1"/>
    <n v="3"/>
    <x v="1"/>
    <x v="0"/>
    <n v="0"/>
    <n v="0"/>
    <s v="n/a"/>
    <x v="3"/>
    <x v="0"/>
    <x v="0"/>
    <x v="0"/>
    <s v="n/a"/>
    <n v="0"/>
    <x v="7"/>
    <x v="1"/>
    <x v="1"/>
    <x v="0"/>
    <m/>
    <m/>
    <n v="1"/>
  </r>
  <r>
    <s v="Heike 2.132"/>
    <s v="忠盛には知らせずして Tadamori ni wa shirasazu shite"/>
    <s v=" without informing him,  "/>
    <s v="知らせず"/>
    <s v="indicative"/>
    <x v="1"/>
    <x v="1"/>
    <x v="3"/>
    <s v="active"/>
    <s v="negative"/>
    <n v="1"/>
    <n v="2"/>
    <x v="5"/>
    <n v="1"/>
    <x v="1"/>
    <n v="3"/>
    <x v="3"/>
    <x v="3"/>
    <n v="0"/>
    <n v="0"/>
    <s v="n/a"/>
    <x v="1"/>
    <x v="0"/>
    <x v="0"/>
    <x v="0"/>
    <s v="n/a"/>
    <n v="0"/>
    <x v="1"/>
    <x v="1"/>
    <x v="3"/>
    <x v="0"/>
    <m/>
    <m/>
    <n v="2"/>
  </r>
  <r>
    <s v="Heike 2.133"/>
    <s v="密かに参候の条 (hisoka ni sankō no jō)"/>
    <s v="his retainers had come hither secretly"/>
    <s v="N/A (nominal clause)"/>
    <s v="indicative"/>
    <x v="1"/>
    <x v="10"/>
    <x v="2"/>
    <m/>
    <m/>
    <m/>
    <m/>
    <x v="6"/>
    <m/>
    <x v="3"/>
    <m/>
    <x v="4"/>
    <x v="4"/>
    <m/>
    <m/>
    <m/>
    <x v="7"/>
    <x v="2"/>
    <x v="2"/>
    <x v="0"/>
    <s v="n/a"/>
    <m/>
    <x v="5"/>
    <x v="3"/>
    <x v="4"/>
    <x v="3"/>
    <s v="not sure if I should treat this as a nominal or verbal predicate or whether there is predication at all"/>
    <m/>
    <m/>
  </r>
  <r>
    <s v="Heike 2.134"/>
    <s v="力及ばざる chikara oyobazaru"/>
    <s v="his retainers had come hither secretly"/>
    <s v="及ばざる"/>
    <s v="indicative"/>
    <x v="1"/>
    <x v="1"/>
    <x v="0"/>
    <s v="active"/>
    <s v="negative"/>
    <n v="1"/>
    <n v="1"/>
    <x v="0"/>
    <n v="0"/>
    <x v="0"/>
    <n v="3"/>
    <x v="0"/>
    <x v="0"/>
    <n v="0"/>
    <n v="1"/>
    <s v="REL"/>
    <x v="0"/>
    <x v="0"/>
    <x v="0"/>
    <x v="0"/>
    <s v="n/a"/>
    <n v="0"/>
    <x v="2"/>
    <x v="2"/>
    <x v="1"/>
    <x v="0"/>
    <m/>
    <m/>
    <n v="1"/>
  </r>
  <r>
    <s v="Heike 2.135"/>
    <s v="次第なり"/>
    <s v="shidai nari"/>
    <s v="なり"/>
    <s v="indicative"/>
    <x v="0"/>
    <x v="0"/>
    <x v="0"/>
    <s v="active"/>
    <s v="positive"/>
    <n v="1"/>
    <n v="0"/>
    <x v="2"/>
    <n v="0"/>
    <x v="1"/>
    <n v="3"/>
    <x v="0"/>
    <x v="0"/>
    <n v="0"/>
    <n v="0"/>
    <s v="n/a"/>
    <x v="2"/>
    <x v="0"/>
    <x v="0"/>
    <x v="0"/>
    <s v="n/a"/>
    <n v="0"/>
    <x v="2"/>
    <x v="2"/>
    <x v="1"/>
    <x v="1"/>
    <m/>
    <m/>
    <n v="0"/>
  </r>
  <r>
    <s v="Heike 2.136"/>
    <s v="もしその咎あるべくば (moshi sono toga arubekuba)"/>
    <s v="&quot;if there be any blame, "/>
    <s v="ある"/>
    <s v="indicative"/>
    <x v="0"/>
    <x v="7"/>
    <x v="0"/>
    <s v="active"/>
    <s v="positive"/>
    <n v="1"/>
    <n v="1"/>
    <x v="0"/>
    <n v="0"/>
    <x v="0"/>
    <n v="3"/>
    <x v="0"/>
    <x v="0"/>
    <n v="0"/>
    <n v="0"/>
    <s v="n/a"/>
    <x v="3"/>
    <x v="0"/>
    <x v="0"/>
    <x v="0"/>
    <s v="n/a"/>
    <n v="0"/>
    <x v="10"/>
    <x v="2"/>
    <x v="2"/>
    <x v="0"/>
    <m/>
    <m/>
    <n v="1"/>
  </r>
  <r>
    <s v="Heike 2.137"/>
    <s v="かの身を召し進ずべきか  ka no mi o meshi shinzu beki ka"/>
    <s v="do I not yield my body herewith?&quot;"/>
    <s v="召し進ずべき"/>
    <s v="deontic"/>
    <x v="2"/>
    <x v="3"/>
    <x v="2"/>
    <s v="active"/>
    <s v="positive"/>
    <n v="1"/>
    <n v="1"/>
    <x v="1"/>
    <n v="0"/>
    <x v="2"/>
    <n v="1"/>
    <x v="1"/>
    <x v="0"/>
    <n v="0"/>
    <n v="0"/>
    <s v="n/a"/>
    <x v="2"/>
    <x v="0"/>
    <x v="1"/>
    <x v="2"/>
    <s v="lexical_honorific_verb"/>
    <n v="0"/>
    <x v="2"/>
    <x v="2"/>
    <x v="1"/>
    <x v="0"/>
    <m/>
    <m/>
    <n v="1"/>
  </r>
  <r>
    <s v="Heike 2.138"/>
    <s v="次に刀の事は主殿司に預け置き候ひ畢んぬ (tsugi ni katana no koto wa tonomotsukasa ni azukeoki soroiowannu)"/>
    <s v="as for the sword, I deposited it in the Tonomotsukasa,"/>
    <s v="預け置き / 候ひ畢んぬ"/>
    <s v="indicative"/>
    <x v="2"/>
    <x v="12"/>
    <x v="1"/>
    <s v="active"/>
    <s v="positive"/>
    <n v="1"/>
    <n v="2"/>
    <x v="7"/>
    <n v="0"/>
    <x v="1"/>
    <n v="1"/>
    <x v="1"/>
    <x v="3"/>
    <n v="0"/>
    <n v="0"/>
    <s v="n/a"/>
    <x v="2"/>
    <x v="0"/>
    <x v="0"/>
    <x v="0"/>
    <s v="polite_aux"/>
    <n v="0"/>
    <x v="2"/>
    <x v="1"/>
    <x v="2"/>
    <x v="0"/>
    <m/>
    <m/>
    <n v="2"/>
  </r>
  <r>
    <s v="Heike 2.139"/>
    <s v="召し出だされ (meshi idasare)"/>
    <s v="if it be brought out from thence,"/>
    <s v="召し出だされ "/>
    <s v="indicative"/>
    <x v="2"/>
    <x v="1"/>
    <x v="0"/>
    <s v="passive"/>
    <s v="positive"/>
    <n v="1"/>
    <n v="0"/>
    <x v="2"/>
    <n v="0"/>
    <x v="2"/>
    <n v="3"/>
    <x v="3"/>
    <x v="2"/>
    <n v="0"/>
    <n v="0"/>
    <s v="n/a"/>
    <x v="2"/>
    <x v="0"/>
    <x v="1"/>
    <x v="2"/>
    <s v="lexical_honorific_verb"/>
    <n v="0"/>
    <x v="2"/>
    <x v="2"/>
    <x v="1"/>
    <x v="1"/>
    <m/>
    <m/>
    <n v="0"/>
  </r>
  <r>
    <s v="Heike 2.140"/>
    <s v="刀の実否に付きて咎の左右あるべきか  katana no jippi ni tsukite toga no sayū aru beki ka"/>
    <s v=" it may be seen if it be a real sword or not,"/>
    <s v="あるべき"/>
    <s v="deontic"/>
    <x v="0"/>
    <x v="7"/>
    <x v="0"/>
    <s v="active"/>
    <s v="positive"/>
    <n v="1"/>
    <n v="1"/>
    <x v="0"/>
    <n v="1"/>
    <x v="0"/>
    <n v="3"/>
    <x v="0"/>
    <x v="0"/>
    <n v="0"/>
    <n v="0"/>
    <s v="n/a"/>
    <x v="2"/>
    <x v="0"/>
    <x v="0"/>
    <x v="0"/>
    <s v="n/a"/>
    <n v="0"/>
    <x v="2"/>
    <x v="1"/>
    <x v="1"/>
    <x v="0"/>
    <m/>
    <m/>
    <n v="1"/>
  </r>
  <r>
    <s v="Heike 2.141"/>
    <s v="この儀尤も然るべしとて (kono gi motto mo shikarubeshi tote)"/>
    <s v="&quot;This seems quite reasonable,&quot;"/>
    <s v="然るべし"/>
    <s v="deontic"/>
    <x v="0"/>
    <x v="5"/>
    <x v="0"/>
    <s v="active"/>
    <s v="positive"/>
    <n v="1"/>
    <n v="1"/>
    <x v="0"/>
    <n v="0"/>
    <x v="0"/>
    <n v="3"/>
    <x v="0"/>
    <x v="0"/>
    <n v="0"/>
    <n v="0"/>
    <s v="n/a"/>
    <x v="3"/>
    <x v="0"/>
    <x v="0"/>
    <x v="0"/>
    <s v="n/a"/>
    <n v="0"/>
    <x v="3"/>
    <x v="2"/>
    <x v="1"/>
    <x v="0"/>
    <m/>
    <m/>
    <n v="1"/>
  </r>
  <r>
    <s v="Heike 2.142"/>
    <s v="かの刀を召し出でて (kano katana o meshi-idete)"/>
    <s v="and they hastened to bring forth the sword,"/>
    <s v="召し出でて"/>
    <s v="indicative"/>
    <x v="2"/>
    <x v="1"/>
    <x v="1"/>
    <s v="active"/>
    <s v="positive"/>
    <n v="1"/>
    <n v="1"/>
    <x v="1"/>
    <n v="1"/>
    <x v="2"/>
    <n v="3"/>
    <x v="1"/>
    <x v="0"/>
    <n v="0"/>
    <n v="0"/>
    <s v="n/a"/>
    <x v="1"/>
    <x v="0"/>
    <x v="1"/>
    <x v="2"/>
    <s v="lexical_honorific_verb"/>
    <n v="0"/>
    <x v="1"/>
    <x v="2"/>
    <x v="3"/>
    <x v="2"/>
    <m/>
    <m/>
    <n v="1"/>
  </r>
  <r>
    <s v="Heike 2.143"/>
    <s v="叡覧あるに (eiran aru ni)"/>
    <s v="and exhibit it before His Majesty,"/>
    <s v="叡覧ある"/>
    <s v="indicative"/>
    <x v="2"/>
    <x v="3"/>
    <x v="1"/>
    <s v="active"/>
    <s v="positive"/>
    <n v="1"/>
    <n v="0"/>
    <x v="2"/>
    <n v="0"/>
    <x v="2"/>
    <n v="3"/>
    <x v="3"/>
    <x v="0"/>
    <n v="0"/>
    <n v="0"/>
    <s v="n/a"/>
    <x v="3"/>
    <x v="0"/>
    <x v="1"/>
    <x v="2"/>
    <s v="lexical_honorific_verb"/>
    <n v="0"/>
    <x v="0"/>
    <x v="1"/>
    <x v="1"/>
    <x v="1"/>
    <m/>
    <m/>
    <n v="0"/>
  </r>
  <r>
    <s v="Heike 2.144"/>
    <s v="上は鞘巻の黒う塗つたりけるが (ue wa sayamaki no kuro u nuttari keru ga)"/>
    <s v="its outside was that of a dirk in a black lacquer sheath,"/>
    <s v="塗つたりける"/>
    <s v="indicative"/>
    <x v="0"/>
    <x v="1"/>
    <x v="0"/>
    <s v="resultative"/>
    <s v="positive"/>
    <n v="1"/>
    <n v="1"/>
    <x v="0"/>
    <n v="0"/>
    <x v="0"/>
    <n v="3"/>
    <x v="0"/>
    <x v="0"/>
    <n v="0"/>
    <n v="0"/>
    <s v="n/a"/>
    <x v="3"/>
    <x v="0"/>
    <x v="0"/>
    <x v="0"/>
    <s v="n/a"/>
    <n v="0"/>
    <x v="9"/>
    <x v="2"/>
    <x v="1"/>
    <x v="0"/>
    <m/>
    <m/>
    <n v="1"/>
  </r>
  <r>
    <s v="Heike 2.145"/>
    <s v="中は木刀に銀薄をぞ押したりける (naka wa bokutō ni gin-haku o zo oshitari keru)"/>
    <s v="but within was only a wooden blade covered with silver."/>
    <s v="押したりける"/>
    <s v="indicative"/>
    <x v="0"/>
    <x v="1"/>
    <x v="1"/>
    <s v="resultative"/>
    <s v="positive"/>
    <n v="1"/>
    <n v="3"/>
    <x v="11"/>
    <n v="0"/>
    <x v="0"/>
    <n v="3"/>
    <x v="1"/>
    <x v="3"/>
    <n v="0"/>
    <n v="0"/>
    <s v="n/a"/>
    <x v="2"/>
    <x v="0"/>
    <x v="0"/>
    <x v="0"/>
    <s v="n/a"/>
    <n v="0"/>
    <x v="2"/>
    <x v="2"/>
    <x v="1"/>
    <x v="0"/>
    <m/>
    <m/>
    <n v="3"/>
  </r>
  <r>
    <s v="Heike 2.146"/>
    <s v="当座の恥辱を遁れんが為に (tōza no chijoku o nogaren ga tame ni)"/>
    <s v=" to avoid dishonour at the moment,"/>
    <s v="遁れん "/>
    <s v="dynamic"/>
    <x v="1"/>
    <x v="1"/>
    <x v="1"/>
    <s v="active"/>
    <s v="positive"/>
    <n v="1"/>
    <n v="1"/>
    <x v="1"/>
    <n v="0"/>
    <x v="1"/>
    <n v="3"/>
    <x v="1"/>
    <x v="0"/>
    <n v="0"/>
    <n v="0"/>
    <s v="n/a"/>
    <x v="3"/>
    <x v="0"/>
    <x v="0"/>
    <x v="0"/>
    <s v="n/a"/>
    <n v="0"/>
    <x v="7"/>
    <x v="2"/>
    <x v="1"/>
    <x v="0"/>
    <m/>
    <m/>
    <n v="1"/>
  </r>
  <r>
    <s v="Heike 2.147"/>
    <s v="刀を帯する katana o taisuru "/>
    <s v="Although he had displayed "/>
    <s v="帯する"/>
    <s v="indicative"/>
    <x v="1"/>
    <x v="3"/>
    <x v="1"/>
    <s v="active"/>
    <s v="positive"/>
    <n v="1"/>
    <n v="1"/>
    <x v="1"/>
    <n v="0"/>
    <x v="1"/>
    <n v="3"/>
    <x v="1"/>
    <x v="0"/>
    <n v="0"/>
    <n v="1"/>
    <s v="REL"/>
    <x v="0"/>
    <x v="0"/>
    <x v="0"/>
    <x v="0"/>
    <s v="n/a"/>
    <n v="0"/>
    <x v="2"/>
    <x v="1"/>
    <x v="1"/>
    <x v="2"/>
    <m/>
    <m/>
    <n v="1"/>
  </r>
  <r>
    <s v="Heike 2.148"/>
    <s v="由顕すといへども yoshi arawasu to iedomo"/>
    <s v="the appearance of a sword"/>
    <s v="顕す"/>
    <s v="indicative"/>
    <x v="1"/>
    <x v="1"/>
    <x v="1"/>
    <s v="active"/>
    <s v="positive"/>
    <n v="1"/>
    <n v="1"/>
    <x v="1"/>
    <n v="0"/>
    <x v="1"/>
    <n v="3"/>
    <x v="1"/>
    <x v="0"/>
    <n v="0"/>
    <n v="0"/>
    <s v="n/a"/>
    <x v="3"/>
    <x v="0"/>
    <x v="0"/>
    <x v="0"/>
    <s v="n/a"/>
    <n v="0"/>
    <x v="9"/>
    <x v="1"/>
    <x v="1"/>
    <x v="0"/>
    <m/>
    <m/>
    <n v="1"/>
  </r>
  <r>
    <s v="Heike 2.149"/>
    <s v="後日の訴訟を存じて (gojitsu no soshō o zonjite)"/>
    <s v="his substitution of a wooden blade as a precaution against an after accusation was exceedingly praiseworthy."/>
    <s v="存じて"/>
    <s v="indicative"/>
    <x v="6"/>
    <x v="3"/>
    <x v="1"/>
    <s v="active"/>
    <s v="positive"/>
    <n v="1"/>
    <n v="1"/>
    <x v="1"/>
    <n v="0"/>
    <x v="2"/>
    <n v="3"/>
    <x v="1"/>
    <x v="0"/>
    <n v="0"/>
    <n v="0"/>
    <s v="n/a"/>
    <x v="1"/>
    <x v="0"/>
    <x v="1"/>
    <x v="2"/>
    <s v="lexical_humble_verb"/>
    <n v="0"/>
    <x v="2"/>
    <x v="1"/>
    <x v="1"/>
    <x v="0"/>
    <m/>
    <m/>
    <n v="1"/>
  </r>
  <r>
    <s v="Heike 2.150"/>
    <s v="木刀を帯したる"/>
    <s v=" bokutō o tachitaru "/>
    <s v="帯したる"/>
    <s v="indicative"/>
    <x v="2"/>
    <x v="3"/>
    <x v="1"/>
    <s v="active"/>
    <s v="positive"/>
    <n v="1"/>
    <n v="1"/>
    <x v="1"/>
    <n v="0"/>
    <x v="1"/>
    <n v="3"/>
    <x v="1"/>
    <x v="0"/>
    <n v="0"/>
    <n v="1"/>
    <s v="REL"/>
    <x v="0"/>
    <x v="0"/>
    <x v="0"/>
    <x v="0"/>
    <s v="n/a"/>
    <n v="0"/>
    <x v="2"/>
    <x v="1"/>
    <x v="1"/>
    <x v="0"/>
    <m/>
    <m/>
    <n v="1"/>
  </r>
  <r>
    <s v="Heike 2.151"/>
    <s v="用意のほどこそ神妙なれ yōi no hodo koso shinmyō nare"/>
    <m/>
    <s v="なれ"/>
    <s v="indicative"/>
    <x v="0"/>
    <x v="0"/>
    <x v="0"/>
    <s v="active"/>
    <s v="positive"/>
    <n v="1"/>
    <n v="1"/>
    <x v="0"/>
    <n v="0"/>
    <x v="0"/>
    <n v="3"/>
    <x v="0"/>
    <x v="0"/>
    <n v="0"/>
    <n v="0"/>
    <s v="n/a"/>
    <x v="2"/>
    <x v="0"/>
    <x v="0"/>
    <x v="0"/>
    <s v="n/a"/>
    <n v="0"/>
    <x v="2"/>
    <x v="2"/>
    <x v="1"/>
    <x v="0"/>
    <m/>
    <m/>
    <n v="1"/>
  </r>
  <r>
    <s v="Heike 2.152"/>
    <s v="弓箭に携らん (yumiya ni tazusaran)"/>
    <s v="Such prudence is most commendable in a warrior."/>
    <s v="携らん"/>
    <s v="dynamic"/>
    <x v="2"/>
    <x v="1"/>
    <x v="0"/>
    <s v="active"/>
    <s v="positive"/>
    <n v="1"/>
    <n v="1"/>
    <x v="5"/>
    <n v="0"/>
    <x v="1"/>
    <n v="3"/>
    <x v="0"/>
    <x v="3"/>
    <n v="1"/>
    <n v="0"/>
    <s v="REL"/>
    <x v="0"/>
    <x v="0"/>
    <x v="0"/>
    <x v="0"/>
    <s v="n/a"/>
    <n v="0"/>
    <x v="2"/>
    <x v="2"/>
    <x v="2"/>
    <x v="0"/>
    <m/>
    <m/>
    <n v="1"/>
  </r>
  <r>
    <s v="Heike 2.153"/>
    <s v="ほどの者の謀は尤もかうこそあらまほしけれ hodo no mono no hakarigoto wa motto mo kō koso aramahoshikere"/>
    <m/>
    <s v="あらまほしけれ"/>
    <s v="desiderative"/>
    <x v="4"/>
    <x v="5"/>
    <x v="0"/>
    <s v="active"/>
    <s v="positive"/>
    <n v="1"/>
    <n v="1"/>
    <x v="0"/>
    <n v="1"/>
    <x v="0"/>
    <n v="3"/>
    <x v="0"/>
    <x v="0"/>
    <n v="0"/>
    <n v="0"/>
    <s v="n/a"/>
    <x v="2"/>
    <x v="0"/>
    <x v="0"/>
    <x v="0"/>
    <s v="n/a"/>
    <n v="0"/>
    <x v="2"/>
    <x v="2"/>
    <x v="2"/>
    <x v="0"/>
    <m/>
    <m/>
    <n v="1"/>
  </r>
  <r>
    <s v="Heike 2.154"/>
    <s v="予てはまた郎従小庭に伺候の由 (kanete wa mata rōjū koniwa ni shikō no yoshi) 且つは武士の郎等の習ひなり (katsu wa bushi no rōtō no narai nari)"/>
    <s v="As for his retainer being in the small court, that too is the custom of the retainers of the warrior class, "/>
    <s v="なり"/>
    <s v="indicative"/>
    <x v="0"/>
    <x v="0"/>
    <x v="0"/>
    <s v="active"/>
    <s v="positive"/>
    <n v="1"/>
    <n v="1"/>
    <x v="0"/>
    <n v="3"/>
    <x v="0"/>
    <n v="3"/>
    <x v="0"/>
    <x v="0"/>
    <n v="0"/>
    <n v="0"/>
    <s v="n/a"/>
    <x v="2"/>
    <x v="0"/>
    <x v="0"/>
    <x v="0"/>
    <s v="n/a"/>
    <n v="0"/>
    <x v="2"/>
    <x v="2"/>
    <x v="2"/>
    <x v="0"/>
    <m/>
    <m/>
    <n v="1"/>
  </r>
  <r>
    <s v="Heike 2.155"/>
    <s v="忠盛が咎にはあらずとて (Tadamori ga toga ni wa arazu tote)"/>
    <s v="and no fault was found in Tadamori."/>
    <s v="あらず"/>
    <s v="indicative"/>
    <x v="0"/>
    <x v="0"/>
    <x v="0"/>
    <s v="active"/>
    <s v="negative"/>
    <n v="1"/>
    <n v="1"/>
    <x v="0"/>
    <n v="0"/>
    <x v="0"/>
    <n v="3"/>
    <x v="0"/>
    <x v="0"/>
    <n v="0"/>
    <n v="0"/>
    <s v="n/a"/>
    <x v="3"/>
    <x v="0"/>
    <x v="0"/>
    <x v="0"/>
    <s v="n/a"/>
    <n v="0"/>
    <x v="3"/>
    <x v="2"/>
    <x v="2"/>
    <x v="0"/>
    <m/>
    <m/>
    <n v="1"/>
  </r>
  <r>
    <s v="Heike 2.156"/>
    <s v="却つて叡感に預かりし上は (kaette eikan ni azukarishi ue wa)"/>
    <s v="and on the contrary, his conduct was greatly admired,"/>
    <s v="預かりし"/>
    <s v="indicative"/>
    <x v="2"/>
    <x v="1"/>
    <x v="0"/>
    <s v="active"/>
    <s v="positive"/>
    <n v="1"/>
    <n v="1"/>
    <x v="5"/>
    <n v="1"/>
    <x v="1"/>
    <n v="3"/>
    <x v="0"/>
    <x v="3"/>
    <n v="0"/>
    <n v="0"/>
    <s v="REL"/>
    <x v="3"/>
    <x v="0"/>
    <x v="0"/>
    <x v="0"/>
    <s v="n/a"/>
    <n v="1"/>
    <x v="6"/>
    <x v="1"/>
    <x v="1"/>
    <x v="0"/>
    <m/>
    <m/>
    <n v="1"/>
  </r>
  <r>
    <s v="Heike 2.157"/>
    <s v="敢へて罪科の沙汰はなかりけり aete tsumikado no sata wa nakarikeri"/>
    <s v="and he was pronounced guiltless."/>
    <s v="なかりけり"/>
    <s v="indicative"/>
    <x v="7"/>
    <x v="1"/>
    <x v="0"/>
    <s v="active"/>
    <s v="negative"/>
    <n v="1"/>
    <n v="1"/>
    <x v="0"/>
    <n v="1"/>
    <x v="0"/>
    <n v="3"/>
    <x v="0"/>
    <x v="0"/>
    <n v="0"/>
    <n v="0"/>
    <s v="n/a"/>
    <x v="2"/>
    <x v="0"/>
    <x v="0"/>
    <x v="0"/>
    <s v="n/a"/>
    <n v="0"/>
    <x v="8"/>
    <x v="2"/>
    <x v="1"/>
    <x v="0"/>
    <m/>
    <m/>
    <n v="1"/>
  </r>
  <r>
    <s v="Total"/>
    <m/>
    <m/>
    <m/>
    <m/>
    <x v="8"/>
    <x v="6"/>
    <x v="2"/>
    <m/>
    <m/>
    <n v="154"/>
    <n v="150"/>
    <x v="6"/>
    <n v="72"/>
    <x v="7"/>
    <n v="426"/>
    <x v="8"/>
    <x v="5"/>
    <n v="7"/>
    <n v="17"/>
    <n v="0"/>
    <x v="9"/>
    <x v="3"/>
    <x v="3"/>
    <x v="5"/>
    <n v="0"/>
    <n v="6"/>
    <x v="5"/>
    <x v="3"/>
    <x v="4"/>
    <x v="3"/>
    <m/>
    <m/>
    <n v="0.9740259740259740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9">
  <r>
    <x v="0"/>
    <s v="忠盛朝臣未だ備前守たりし時 (Tadamori ason imada Bizen no kami tarishi toki)"/>
    <s v="Now Tadamori, while holding the office of Bizen no Kami,"/>
    <s v="たりし"/>
    <s v="indicative"/>
    <x v="0"/>
    <x v="0"/>
    <s v="intransitive"/>
    <s v="active"/>
    <s v="positive"/>
    <n v="1"/>
    <n v="1"/>
    <s v="SUB"/>
    <n v="0"/>
    <x v="0"/>
    <n v="3"/>
    <s v="n/a"/>
    <s v="n/a"/>
    <n v="0"/>
    <n v="1"/>
    <s v="REL"/>
    <x v="0"/>
    <n v="0"/>
    <n v="0"/>
    <s v="n/a"/>
    <s v="n/a"/>
    <n v="0"/>
    <x v="0"/>
    <m/>
    <s v="new"/>
    <x v="0"/>
    <s v="topic-introduced"/>
    <s v="contains_new"/>
    <m/>
    <m/>
    <x v="0"/>
  </r>
  <r>
    <x v="1"/>
    <s v="鳥羽院の御願得長寿院を造進して (Toba-in no ogan Tokuchōju-in o zōshin shite)"/>
    <s v="by the request of the retired Emperor Toba,"/>
    <s v="造進して"/>
    <s v="indicative"/>
    <x v="1"/>
    <x v="1"/>
    <s v="transitive"/>
    <s v="active"/>
    <s v="positive"/>
    <n v="1"/>
    <n v="1"/>
    <s v="OBJ"/>
    <n v="1"/>
    <x v="1"/>
    <n v="3"/>
    <s v="overt"/>
    <s v="n/a"/>
    <n v="0"/>
    <n v="0"/>
    <s v="n/a"/>
    <x v="1"/>
    <n v="0"/>
    <n v="0"/>
    <s v="obj"/>
    <s v="nominal_prefix"/>
    <n v="1"/>
    <x v="1"/>
    <s v="relative"/>
    <s v="ss"/>
    <x v="0"/>
    <s v="topic-drop"/>
    <s v="contains_new"/>
    <s v="stranded subject Tadamori"/>
    <m/>
    <x v="0"/>
  </r>
  <r>
    <x v="2"/>
    <s v="三十三間の御堂を建て (sanjūsangen no midō o tatete)"/>
    <s v=" had built the temple Toku-cho-juin and the Sa-ju-san-gen-do, or hall 33 ken long,"/>
    <s v="建て"/>
    <s v="indicative"/>
    <x v="1"/>
    <x v="1"/>
    <s v="transitive"/>
    <s v="active"/>
    <s v="positive"/>
    <n v="1"/>
    <n v="1"/>
    <s v="OBJ"/>
    <n v="0"/>
    <x v="1"/>
    <n v="3"/>
    <s v="overt"/>
    <s v="n/a"/>
    <n v="0"/>
    <n v="0"/>
    <s v="n/a"/>
    <x v="1"/>
    <n v="0"/>
    <n v="0"/>
    <s v="obj"/>
    <s v="nominal_prefix"/>
    <n v="1"/>
    <x v="1"/>
    <s v="te"/>
    <s v="ss"/>
    <x v="0"/>
    <s v="topic-drop"/>
    <s v="contains_new"/>
    <m/>
    <m/>
    <x v="0"/>
  </r>
  <r>
    <x v="3"/>
    <s v="一千一体の御仏を据ゑ奉らる (issen ittai no mihotoke o sue-tatematsuraru)"/>
    <s v="within which were one thousand and one Buddhas;"/>
    <s v="据ゑ奉らる"/>
    <s v="indicative"/>
    <x v="2"/>
    <x v="1"/>
    <s v="transitive"/>
    <s v="active"/>
    <s v="positive"/>
    <n v="1"/>
    <n v="1"/>
    <s v="OBJ"/>
    <n v="0"/>
    <x v="2"/>
    <n v="3"/>
    <s v="overt"/>
    <s v="n/a"/>
    <n v="0"/>
    <n v="1"/>
    <s v="REL"/>
    <x v="0"/>
    <n v="1"/>
    <n v="1"/>
    <s v="sub"/>
    <s v="honorific_aux"/>
    <n v="1"/>
    <x v="2"/>
    <s v="te"/>
    <s v="ss"/>
    <x v="1"/>
    <s v="topic-drop"/>
    <s v="contains_new"/>
    <s v="complex verbal form"/>
    <m/>
    <x v="0"/>
  </r>
  <r>
    <x v="4"/>
    <s v="供養は天承元年三月十三日なり (kuyō wa Tenshō gannen sangatsu jūsan-nichi nari)"/>
    <s v="its first festival being on the thirteenth day of the third month of the first year of Tensho."/>
    <s v="なり"/>
    <s v="indicative"/>
    <x v="0"/>
    <x v="0"/>
    <s v="intransitive"/>
    <s v="active"/>
    <s v="positive"/>
    <n v="1"/>
    <n v="1"/>
    <s v="SUB"/>
    <n v="0"/>
    <x v="0"/>
    <n v="3"/>
    <s v="n/a"/>
    <s v="n/a"/>
    <n v="0"/>
    <n v="0"/>
    <s v="n/a"/>
    <x v="2"/>
    <n v="0"/>
    <n v="0"/>
    <s v="n/a"/>
    <s v="n/a"/>
    <n v="0"/>
    <x v="2"/>
    <s v="relative"/>
    <s v="ds"/>
    <x v="1"/>
    <s v="topic-introduced"/>
    <s v="contains_new"/>
    <m/>
    <m/>
    <x v="0"/>
  </r>
  <r>
    <x v="5"/>
    <s v="勧賞には欠国を賜ふべき由 (kanshō ni wa kakukuni o tamau beki yoshi)"/>
    <s v="As a reward he was to be granted a fief,"/>
    <s v="賜ふべき"/>
    <s v="deontic"/>
    <x v="2"/>
    <x v="1"/>
    <s v="transitive"/>
    <s v="active"/>
    <s v="positive"/>
    <n v="1"/>
    <n v="1"/>
    <s v="OBJ"/>
    <n v="1"/>
    <x v="2"/>
    <n v="3"/>
    <s v="overt"/>
    <s v="n/a"/>
    <n v="0"/>
    <n v="1"/>
    <s v="n/a"/>
    <x v="3"/>
    <n v="0"/>
    <n v="1"/>
    <s v="sub"/>
    <s v="lexical_honorific_verb"/>
    <n v="0"/>
    <x v="3"/>
    <s v="main"/>
    <s v="ds"/>
    <x v="1"/>
    <s v="topic-shift"/>
    <s v="contains_new"/>
    <m/>
    <m/>
    <x v="0"/>
  </r>
  <r>
    <x v="6"/>
    <s v="仰せ下されける (ōse-kudasa rekeru)"/>
    <s v="he was honoured by receiving the territory of the province of Tamba,"/>
    <s v="仰せ下されける"/>
    <s v="indicative"/>
    <x v="2"/>
    <x v="2"/>
    <s v="intransitive"/>
    <s v="passive"/>
    <s v="positive"/>
    <n v="1"/>
    <n v="0"/>
    <s v="n/a"/>
    <n v="0"/>
    <x v="2"/>
    <n v="3"/>
    <s v="not_applicable"/>
    <s v="not_applicable"/>
    <n v="1"/>
    <n v="0"/>
    <s v="REL"/>
    <x v="0"/>
    <n v="0"/>
    <n v="1"/>
    <s v="io"/>
    <s v="lexical honorific+honorific aux"/>
    <n v="0"/>
    <x v="2"/>
    <s v="subordinate"/>
    <s v="ds"/>
    <x v="0"/>
    <s v="topic-drop"/>
    <s v="no_overt_NP"/>
    <m/>
    <m/>
    <x v="1"/>
  </r>
  <r>
    <x v="7"/>
    <s v="折節但馬国の空きたりけるをぞ (orifushi Tamba no kuni no aki tarikeru o zo)"/>
    <s v="which then happened to be unappropriated."/>
    <s v="空きたりける"/>
    <s v="indicative"/>
    <x v="0"/>
    <x v="1"/>
    <s v="intransitive"/>
    <s v="resultative"/>
    <s v="positive"/>
    <n v="1"/>
    <n v="1"/>
    <s v="SUB"/>
    <n v="1"/>
    <x v="0"/>
    <n v="3"/>
    <s v="n/a"/>
    <s v="n/a"/>
    <n v="0"/>
    <n v="0"/>
    <s v="OBJ"/>
    <x v="4"/>
    <n v="0"/>
    <n v="0"/>
    <s v="n/a"/>
    <s v="n/a"/>
    <n v="0"/>
    <x v="2"/>
    <s v="relative"/>
    <s v="ss"/>
    <x v="1"/>
    <s v="topic-drop"/>
    <s v="contains_new"/>
    <s v="internally headed"/>
    <m/>
    <x v="0"/>
  </r>
  <r>
    <x v="8"/>
    <s v="賜はりける (tamawari keru)"/>
    <s v="As a reward he was honoured by receiving the territory of the province of Tamba, which then happened to be unappropriated."/>
    <s v="賜はりける"/>
    <s v="indicative"/>
    <x v="2"/>
    <x v="1"/>
    <s v="transitive"/>
    <s v="active"/>
    <s v="positive"/>
    <n v="1"/>
    <n v="1"/>
    <s v="OBJ"/>
    <n v="0"/>
    <x v="2"/>
    <n v="3"/>
    <s v="zero_recoverable"/>
    <s v="zero_recoverable"/>
    <n v="0"/>
    <n v="0"/>
    <s v="n/a"/>
    <x v="2"/>
    <n v="0"/>
    <n v="1"/>
    <s v="sub"/>
    <s v="lexical_humble_verb"/>
    <n v="0"/>
    <x v="2"/>
    <s v="nominalised"/>
    <s v="ds"/>
    <x v="1"/>
    <s v="topic-drop"/>
    <s v="no_overt_NP"/>
    <m/>
    <m/>
    <x v="0"/>
  </r>
  <r>
    <x v="9"/>
    <s v="上皇御感のあまりに内の昇殿を許さる (jōkō go-kan no amari ni uchi no shōden o yurusaru)"/>
    <s v="Moreover the Emperor of his bounty graciously permitted him to attend the Court;"/>
    <s v="許さる"/>
    <s v="indicative"/>
    <x v="2"/>
    <x v="1"/>
    <s v="transitive"/>
    <s v="active"/>
    <s v="positive"/>
    <n v="1"/>
    <n v="2"/>
    <s v="S+O"/>
    <n v="1"/>
    <x v="0"/>
    <n v="3"/>
    <s v="overt"/>
    <s v="zero_recoverable"/>
    <n v="1"/>
    <n v="0"/>
    <s v="REL"/>
    <x v="0"/>
    <n v="1"/>
    <n v="0"/>
    <s v="sub"/>
    <s v="honorific_aux"/>
    <n v="1"/>
    <x v="2"/>
    <s v="main"/>
    <s v="ds"/>
    <x v="1"/>
    <s v="topic-drop"/>
    <s v="contains_new"/>
    <s v="it's unlcear whether -re- in -yurusareru is passive or honorific"/>
    <m/>
    <x v="2"/>
  </r>
  <r>
    <x v="10"/>
    <s v="忠盛三十六にて初めて昇殿す (Tadamori sanjūroku nite hajimete shōden su)"/>
    <s v="which Tadamori did for the first time at the age of thirty six."/>
    <s v="昇殿す"/>
    <s v="indicative"/>
    <x v="3"/>
    <x v="3"/>
    <s v="intransitive"/>
    <s v="active"/>
    <s v="positive"/>
    <n v="1"/>
    <n v="1"/>
    <s v="SUB"/>
    <n v="2"/>
    <x v="0"/>
    <n v="3"/>
    <s v="overt"/>
    <s v="n/a"/>
    <n v="0"/>
    <n v="0"/>
    <s v="n/a"/>
    <x v="2"/>
    <n v="0"/>
    <n v="0"/>
    <s v="n/a"/>
    <s v="n/a"/>
    <n v="0"/>
    <x v="2"/>
    <s v="relative"/>
    <s v="ds"/>
    <x v="1"/>
    <s v="topic-continued"/>
    <s v="contains_new"/>
    <m/>
    <m/>
    <x v="0"/>
  </r>
  <r>
    <x v="11"/>
    <s v="雲の上人これを嫉み憤り (kumo no uebito kore o sonemi ikidori)"/>
    <s v="the higher Courtiers were furious with jealousy"/>
    <s v="嫉み憤り"/>
    <s v="indicative"/>
    <x v="4"/>
    <x v="4"/>
    <s v="transitive"/>
    <s v="active"/>
    <s v="positive"/>
    <n v="1"/>
    <n v="2"/>
    <s v="S+O"/>
    <n v="0"/>
    <x v="0"/>
    <n v="3"/>
    <s v="overt"/>
    <s v="n/a"/>
    <n v="0"/>
    <n v="0"/>
    <s v="n/a"/>
    <x v="5"/>
    <n v="0"/>
    <n v="0"/>
    <s v="n/a"/>
    <s v="n/a"/>
    <n v="0"/>
    <x v="2"/>
    <s v="main"/>
    <s v="ds"/>
    <x v="0"/>
    <s v="topic-introduced"/>
    <s v="contains_new"/>
    <m/>
    <m/>
    <x v="2"/>
  </r>
  <r>
    <x v="12"/>
    <s v="同じき年の十一月二十三日五節豊の明の節会の夜 (onajiki toshi no jūichigatsu nijūsannichi gosechi Toyo-no-akari no setchie no yo) 忠盛を闇討にせん (Tadamori o yamiuchi ni sen "/>
    <s v="to assassinate him on the evening of the festival of Go-Sechi Toyo-no-akari-no-setchie, on the 23rd day of the eleventh month of the same year."/>
    <s v="闇討にせん"/>
    <s v="dynamic"/>
    <x v="1"/>
    <x v="3"/>
    <s v="transitive"/>
    <s v="active"/>
    <s v="positive"/>
    <n v="1"/>
    <n v="1"/>
    <s v="OBJ"/>
    <n v="1"/>
    <x v="1"/>
    <n v="3"/>
    <s v="overt"/>
    <s v="n/a"/>
    <n v="0"/>
    <n v="0"/>
    <s v="n/a"/>
    <x v="6"/>
    <n v="0"/>
    <n v="0"/>
    <s v="n/a"/>
    <s v="n/a"/>
    <n v="0"/>
    <x v="4"/>
    <s v="inf"/>
    <s v="ss"/>
    <x v="1"/>
    <s v="topic-continued"/>
    <s v="contains_new"/>
    <m/>
    <m/>
    <x v="0"/>
  </r>
  <r>
    <x v="13"/>
    <s v="とぞ議せられける (to zo giserarikeru)"/>
    <s v="they plotted"/>
    <s v="議せられける"/>
    <s v="indicative"/>
    <x v="5"/>
    <x v="3"/>
    <s v="intransitive"/>
    <s v="passive"/>
    <s v="positive"/>
    <n v="1"/>
    <n v="1"/>
    <s v="S (Speech)"/>
    <n v="0"/>
    <x v="0"/>
    <s v="n/a"/>
    <s v="n/a"/>
    <s v="n/a"/>
    <n v="0"/>
    <n v="0"/>
    <s v="n/a"/>
    <x v="2"/>
    <n v="0"/>
    <n v="0"/>
    <s v="n/a"/>
    <s v="n/a"/>
    <n v="0"/>
    <x v="2"/>
    <s v="complement"/>
    <s v="ds"/>
    <x v="1"/>
    <s v="topic-drop"/>
    <s v="all given"/>
    <m/>
    <m/>
    <x v="0"/>
  </r>
  <r>
    <x v="14"/>
    <s v="忠盛この由を伝へ聞きて (Tadamori kono yoshi o tsutae kikite)"/>
    <s v="Tadamori, on hearing of this"/>
    <s v="伝へ聞きて"/>
    <s v="indicative"/>
    <x v="6"/>
    <x v="4"/>
    <s v="transitive"/>
    <s v="active"/>
    <s v="positive"/>
    <n v="1"/>
    <n v="2"/>
    <s v="OBJ"/>
    <n v="0"/>
    <x v="0"/>
    <n v="3"/>
    <s v="overt"/>
    <s v="n/a"/>
    <n v="0"/>
    <n v="0"/>
    <s v="n/a"/>
    <x v="1"/>
    <n v="0"/>
    <n v="0"/>
    <s v="n/a"/>
    <s v="n/a"/>
    <n v="0"/>
    <x v="1"/>
    <s v="main"/>
    <s v="ds"/>
    <x v="1"/>
    <s v="topic-shift"/>
    <s v="all given"/>
    <m/>
    <m/>
    <x v="2"/>
  </r>
  <r>
    <x v="15"/>
    <s v="我右弼の身にあらず (ware ubitsu no mi ni a-razu)"/>
    <s v="I am not a civil official"/>
    <s v="あらず"/>
    <s v="indicative"/>
    <x v="1"/>
    <x v="0"/>
    <s v="intransitive"/>
    <s v="active"/>
    <s v="negative"/>
    <n v="1"/>
    <n v="1"/>
    <s v="SUB"/>
    <n v="0"/>
    <x v="0"/>
    <n v="1"/>
    <s v="n/a"/>
    <s v="n/a"/>
    <n v="0"/>
    <n v="0"/>
    <s v="n/a"/>
    <x v="3"/>
    <n v="0"/>
    <n v="0"/>
    <s v="n/a"/>
    <s v="n/a"/>
    <n v="0"/>
    <x v="1"/>
    <s v="te"/>
    <s v="ds"/>
    <x v="0"/>
    <s v="topic-shift"/>
    <s v="contains_new"/>
    <m/>
    <m/>
    <x v="0"/>
  </r>
  <r>
    <x v="16"/>
    <s v="武勇の家に生れて (buyū no ie ni umarete)"/>
    <s v="being born of a line of warriors"/>
    <s v="生れて"/>
    <s v="indicative"/>
    <x v="1"/>
    <x v="1"/>
    <s v="intransitive"/>
    <s v="active"/>
    <s v="positive"/>
    <n v="1"/>
    <n v="1"/>
    <s v="SUB"/>
    <n v="1"/>
    <x v="1"/>
    <n v="1"/>
    <s v="n/a"/>
    <s v="n/a"/>
    <n v="0"/>
    <n v="0"/>
    <s v="n/a"/>
    <x v="1"/>
    <n v="0"/>
    <n v="0"/>
    <s v="n/a"/>
    <s v="n/a"/>
    <n v="0"/>
    <x v="1"/>
    <s v="subordinate"/>
    <s v="ss"/>
    <x v="0"/>
    <s v="topic-drop"/>
    <s v="contains_new"/>
    <m/>
    <m/>
    <x v="0"/>
  </r>
  <r>
    <x v="17"/>
    <s v="今不慮の恥に遇はん (ima furyo no haji ni awan)"/>
    <s v="for myself and my house at this unexpected shame"/>
    <s v="遇はん"/>
    <s v="epistemic"/>
    <x v="1"/>
    <x v="1"/>
    <s v="intransitive"/>
    <s v="active"/>
    <s v="positive"/>
    <n v="1"/>
    <n v="1"/>
    <s v="IO"/>
    <n v="1"/>
    <x v="1"/>
    <s v="n/a"/>
    <s v="n/a"/>
    <s v="overt"/>
    <n v="0"/>
    <n v="1"/>
    <s v="n/a"/>
    <x v="0"/>
    <n v="0"/>
    <n v="0"/>
    <s v="n/a"/>
    <s v="n/a"/>
    <n v="0"/>
    <x v="2"/>
    <s v="te"/>
    <s v="ss"/>
    <x v="1"/>
    <s v="topic-drop"/>
    <s v="contains_new"/>
    <m/>
    <m/>
    <x v="0"/>
  </r>
  <r>
    <x v="18"/>
    <s v="事家の為身の為心憂かるべし (koto ie no tame mi no tame kokoroukarubeshi)"/>
    <s v="I am troubled in my heart"/>
    <s v="憂かるべし"/>
    <s v="epistemic"/>
    <x v="4"/>
    <x v="5"/>
    <s v="intransitive"/>
    <s v="active"/>
    <s v="positive"/>
    <n v="1"/>
    <n v="1"/>
    <s v="SUB"/>
    <n v="1"/>
    <x v="0"/>
    <n v="3"/>
    <s v="n/a"/>
    <s v="n/a"/>
    <n v="0"/>
    <n v="0"/>
    <s v="n/a"/>
    <x v="2"/>
    <n v="0"/>
    <n v="0"/>
    <s v="n/a"/>
    <s v="n/a"/>
    <n v="0"/>
    <x v="2"/>
    <s v="relative"/>
    <s v="ds"/>
    <x v="2"/>
    <s v="topic-drop"/>
    <s v="contains_new"/>
    <m/>
    <m/>
    <x v="0"/>
  </r>
  <r>
    <x v="19"/>
    <s v="詮ずるところ (senzuru tokoro)"/>
    <s v="finally, as for what is to be done"/>
    <s v="詮ずる"/>
    <s v="indicative"/>
    <x v="1"/>
    <x v="6"/>
    <m/>
    <m/>
    <m/>
    <m/>
    <m/>
    <m/>
    <m/>
    <x v="3"/>
    <m/>
    <m/>
    <m/>
    <m/>
    <m/>
    <m/>
    <x v="7"/>
    <m/>
    <m/>
    <m/>
    <m/>
    <m/>
    <x v="5"/>
    <s v="main"/>
    <m/>
    <x v="0"/>
    <m/>
    <m/>
    <m/>
    <m/>
    <x v="3"/>
  </r>
  <r>
    <x v="20"/>
    <s v="身を全うして (mi o mattō shite)"/>
    <s v="with all your might"/>
    <s v="全うして"/>
    <s v="indicative"/>
    <x v="1"/>
    <x v="3"/>
    <s v="transitive"/>
    <s v="active"/>
    <s v="positive"/>
    <n v="1"/>
    <n v="1"/>
    <s v="OBJ"/>
    <n v="0"/>
    <x v="1"/>
    <n v="1"/>
    <s v="overt"/>
    <s v="n/a"/>
    <n v="0"/>
    <n v="0"/>
    <s v="n/a"/>
    <x v="1"/>
    <n v="0"/>
    <n v="0"/>
    <s v="n/a"/>
    <s v="n/a"/>
    <n v="0"/>
    <x v="1"/>
    <n v="0"/>
    <s v="ss"/>
    <x v="0"/>
    <s v="topic-drop"/>
    <s v="contains_new"/>
    <m/>
    <m/>
    <x v="0"/>
  </r>
  <r>
    <x v="21"/>
    <s v="君に仕へ奉れ"/>
    <s v=" kimi ni tsukae tatematsure"/>
    <s v="仕へ奉れ"/>
    <s v="imperative"/>
    <x v="2"/>
    <x v="1"/>
    <s v="intransitive"/>
    <s v="active"/>
    <s v="positive"/>
    <n v="1"/>
    <n v="1"/>
    <s v="IO"/>
    <n v="0"/>
    <x v="2"/>
    <n v="1"/>
    <s v="n/a"/>
    <s v="overt"/>
    <n v="0"/>
    <n v="0"/>
    <s v="n/a"/>
    <x v="6"/>
    <n v="1"/>
    <n v="1"/>
    <s v="sub"/>
    <s v="lexical_humble_verb"/>
    <n v="0"/>
    <x v="2"/>
    <s v="te"/>
    <s v="ss"/>
    <x v="1"/>
    <s v="topic-drop"/>
    <s v="contains_new"/>
    <m/>
    <m/>
    <x v="0"/>
  </r>
  <r>
    <x v="22"/>
    <s v="といふ本文あり (to iu honbun ari)"/>
    <s v="so goes the original passage"/>
    <s v="あり"/>
    <s v="indicative"/>
    <x v="0"/>
    <x v="7"/>
    <s v="intransitive"/>
    <s v="active"/>
    <s v="positive"/>
    <n v="1"/>
    <n v="1"/>
    <s v="SUB"/>
    <n v="1"/>
    <x v="0"/>
    <n v="3"/>
    <s v="n/a"/>
    <s v="n/a"/>
    <n v="0"/>
    <n v="0"/>
    <s v="n/a"/>
    <x v="2"/>
    <n v="0"/>
    <n v="0"/>
    <s v="n/a"/>
    <s v="n/a"/>
    <n v="0"/>
    <x v="2"/>
    <s v="complement"/>
    <s v="ds"/>
    <x v="0"/>
    <s v="topic-drop"/>
    <s v="contains_new"/>
    <s v="frame predicate"/>
    <m/>
    <x v="0"/>
  </r>
  <r>
    <x v="23"/>
    <s v="参内の初めより大なる鞘巻を用意し (sannai no hajime yori ō-naru sayamaki o yōi shi)"/>
    <s v="Before entering the Court he provided himself with a long dirk"/>
    <s v="用意し"/>
    <s v="indicative"/>
    <x v="1"/>
    <x v="3"/>
    <s v="transitive"/>
    <s v="active"/>
    <s v="positive"/>
    <n v="1"/>
    <n v="1"/>
    <s v="OBJ"/>
    <n v="1"/>
    <x v="1"/>
    <n v="3"/>
    <s v="overt"/>
    <s v="n/a"/>
    <n v="0"/>
    <n v="0"/>
    <s v="n/a"/>
    <x v="5"/>
    <n v="0"/>
    <n v="0"/>
    <s v="n/a"/>
    <s v="n/a"/>
    <n v="0"/>
    <x v="2"/>
    <s v="main"/>
    <s v="ss"/>
    <x v="0"/>
    <s v="topic-drop"/>
    <s v="contains_new"/>
    <m/>
    <m/>
    <x v="0"/>
  </r>
  <r>
    <x v="24"/>
    <s v="束帯の下にしどけなげに差し (sokutai no shita ni shidokenage ni sashi)"/>
    <s v="which he girt on under his long court dress"/>
    <s v="差し"/>
    <s v="indicative"/>
    <x v="1"/>
    <x v="1"/>
    <s v="transitive"/>
    <s v="active"/>
    <s v="positive"/>
    <n v="1"/>
    <n v="1"/>
    <s v="IO"/>
    <n v="1"/>
    <x v="1"/>
    <n v="3"/>
    <s v="zero_recoverable"/>
    <s v="overt"/>
    <n v="0"/>
    <n v="0"/>
    <s v="n/a"/>
    <x v="5"/>
    <n v="0"/>
    <n v="0"/>
    <s v="n/a"/>
    <s v="n/a"/>
    <n v="0"/>
    <x v="2"/>
    <s v="inf"/>
    <s v="ss"/>
    <x v="0"/>
    <s v="topic-drop"/>
    <s v="contains_new"/>
    <m/>
    <m/>
    <x v="0"/>
  </r>
  <r>
    <x v="25"/>
    <s v="火の仄暗き方に向かつて (hi no hokuraki kata ni mukatte)"/>
    <s v="and turning aside to a dimly lit place"/>
    <s v="向かつて"/>
    <s v="indicative"/>
    <x v="1"/>
    <x v="1"/>
    <s v="intransitive"/>
    <s v="active"/>
    <s v="positive"/>
    <n v="1"/>
    <n v="1"/>
    <s v="IO"/>
    <n v="1"/>
    <x v="1"/>
    <n v="3"/>
    <s v="n/a"/>
    <s v="overt"/>
    <n v="0"/>
    <n v="0"/>
    <s v="n/a"/>
    <x v="1"/>
    <n v="0"/>
    <n v="0"/>
    <s v="n/a"/>
    <s v="n/a"/>
    <n v="0"/>
    <x v="1"/>
    <s v="inf"/>
    <s v="ss"/>
    <x v="0"/>
    <s v="topic-drop"/>
    <s v="contains_new"/>
    <m/>
    <m/>
    <x v="0"/>
  </r>
  <r>
    <x v="26"/>
    <s v="やはらこの刀を抜き出でて (yahara kono katana o nuki-idete)"/>
    <s v="slowly drew the blade"/>
    <s v="抜き出でて"/>
    <s v="indicative"/>
    <x v="3"/>
    <x v="4"/>
    <s v="transitive"/>
    <s v="active"/>
    <s v="positive"/>
    <n v="1"/>
    <n v="1"/>
    <s v="OBJ"/>
    <n v="0"/>
    <x v="1"/>
    <n v="3"/>
    <s v="overt"/>
    <s v="n/a"/>
    <n v="0"/>
    <n v="0"/>
    <s v="n/a"/>
    <x v="1"/>
    <n v="0"/>
    <n v="0"/>
    <s v="n/a"/>
    <s v="n/a"/>
    <n v="0"/>
    <x v="1"/>
    <s v="te"/>
    <s v="ss"/>
    <x v="0"/>
    <s v="topic-drop"/>
    <s v="all given"/>
    <s v="&quot;kono katana&quot; refers to the &quot;sayamaki&quot;, so all given"/>
    <m/>
    <x v="0"/>
  </r>
  <r>
    <x v="27"/>
    <s v="鬢に引き当てられたりけるが (kami ni hiki-ate raretarikeru ga)"/>
    <s v="and passed it through the hair of his head"/>
    <s v="引き当てられたりける"/>
    <s v="indicative"/>
    <x v="3"/>
    <x v="1"/>
    <s v="transitive"/>
    <s v="active"/>
    <s v="positive"/>
    <n v="1"/>
    <n v="1"/>
    <s v="IO"/>
    <n v="0"/>
    <x v="2"/>
    <n v="3"/>
    <s v="zero_recoverable"/>
    <s v="overt"/>
    <n v="0"/>
    <n v="0"/>
    <s v="n/a"/>
    <x v="3"/>
    <n v="0"/>
    <n v="1"/>
    <s v="sub"/>
    <s v="honorific_aux"/>
    <n v="0"/>
    <x v="6"/>
    <s v="te"/>
    <s v="ss"/>
    <x v="1"/>
    <s v="topic-drop"/>
    <s v="contains_new"/>
    <s v="should the -to part be considered a clausal subject?"/>
    <m/>
    <x v="0"/>
  </r>
  <r>
    <x v="28"/>
    <s v="余所よりは氷などのやうにぞ見えたりける (yoso yori wa kōri nado no yō ni zo mieta rikeru)"/>
    <s v="so that it gleamed afar off with an icy sheen"/>
    <s v="見えたりける"/>
    <s v="indicative"/>
    <x v="6"/>
    <x v="1"/>
    <s v="intransitive"/>
    <s v="resultative"/>
    <s v="positive"/>
    <n v="1"/>
    <n v="0"/>
    <s v="n/a"/>
    <n v="2"/>
    <x v="1"/>
    <n v="3"/>
    <s v="n/a"/>
    <s v="n/a"/>
    <n v="0"/>
    <n v="0"/>
    <s v="n/a"/>
    <x v="0"/>
    <n v="0"/>
    <n v="0"/>
    <s v="n/a"/>
    <s v="n/a"/>
    <n v="0"/>
    <x v="2"/>
    <s v="subordinate"/>
    <s v="ds"/>
    <x v="0"/>
    <s v="topic-drop"/>
    <s v="no_overt_NP"/>
    <m/>
    <m/>
    <x v="1"/>
  </r>
  <r>
    <x v="29"/>
    <s v="諸人目を澄ましけり (morobito me o sumashikeri)"/>
    <s v="causing all to stare open-eyed"/>
    <s v="澄ましけり"/>
    <s v="indicative"/>
    <x v="1"/>
    <x v="1"/>
    <s v="transitive"/>
    <s v="active"/>
    <s v="positive"/>
    <n v="1"/>
    <n v="2"/>
    <s v="O+IO"/>
    <n v="0"/>
    <x v="1"/>
    <n v="3"/>
    <s v="overt"/>
    <s v="overt"/>
    <n v="0"/>
    <n v="0"/>
    <s v="n/a"/>
    <x v="2"/>
    <n v="0"/>
    <n v="0"/>
    <s v="n/a"/>
    <s v="n/a"/>
    <n v="0"/>
    <x v="2"/>
    <s v="relative"/>
    <s v="ss"/>
    <x v="1"/>
    <s v="topic-drop"/>
    <s v="contains_new"/>
    <m/>
    <m/>
    <x v="2"/>
  </r>
  <r>
    <x v="30"/>
    <s v="また忠盛の郎等元は一門たりし( mata Tadamori no rōtō moto wa ichimon tarishi) "/>
    <s v="Moreover a retainer of Tadamori ... "/>
    <s v="たりし"/>
    <s v="indicative"/>
    <x v="1"/>
    <x v="0"/>
    <s v="intransitive"/>
    <s v="active"/>
    <s v="positive"/>
    <n v="1"/>
    <n v="1"/>
    <s v="SUB"/>
    <n v="1"/>
    <x v="0"/>
    <n v="3"/>
    <s v="n/a"/>
    <s v="n/a"/>
    <n v="0"/>
    <n v="0"/>
    <s v="REL"/>
    <x v="0"/>
    <n v="0"/>
    <n v="0"/>
    <s v="n/a"/>
    <s v="n/a"/>
    <n v="0"/>
    <x v="6"/>
    <s v="main"/>
    <s v="ds"/>
    <x v="0"/>
    <s v="topic-introduced"/>
    <s v="contains_new"/>
    <m/>
    <m/>
    <x v="0"/>
  </r>
  <r>
    <x v="31"/>
    <s v="木工助平貞光が孫新四郎太夫家房が子に左兵衛尉家貞といふ者あり (Moku no suke Sadamitsu ga mago Shinshirō Tayū Iefusa ga ko ni Sahyōe no jō Iesada to iu mono ari)"/>
    <s v="there was one named Sahyoe-no-jo Iesada"/>
    <s v="あり"/>
    <s v="indicative"/>
    <x v="1"/>
    <x v="7"/>
    <s v="intransitive"/>
    <s v="active"/>
    <s v="positive"/>
    <n v="1"/>
    <n v="1"/>
    <s v="SUB"/>
    <n v="2"/>
    <x v="0"/>
    <n v="3"/>
    <s v="n/a"/>
    <s v="n/a"/>
    <n v="0"/>
    <n v="0"/>
    <s v="n/a"/>
    <x v="2"/>
    <n v="0"/>
    <n v="0"/>
    <s v="n/a"/>
    <s v="n/a"/>
    <n v="0"/>
    <x v="2"/>
    <s v="relative"/>
    <s v="ss"/>
    <x v="0"/>
    <s v="topic-introduced"/>
    <s v="contains_new"/>
    <s v="frame predicate"/>
    <m/>
    <x v="0"/>
  </r>
  <r>
    <x v="32"/>
    <s v="薄青の狩衣の下に萌黄威の腹巻を着 (usuao no kariginu no shita ni moegi-odoshi no haramaki o ki)"/>
    <s v="wearing a body armour laced with bright green under a light green &quot;kariginu&quot;"/>
    <s v="着"/>
    <s v="indicative"/>
    <x v="1"/>
    <x v="1"/>
    <s v="transitive"/>
    <s v="active"/>
    <s v="positive"/>
    <n v="1"/>
    <n v="1"/>
    <s v="OBJ"/>
    <n v="1"/>
    <x v="1"/>
    <n v="3"/>
    <s v="overt"/>
    <s v="n/a"/>
    <n v="0"/>
    <n v="0"/>
    <s v="n/a"/>
    <x v="5"/>
    <n v="0"/>
    <n v="0"/>
    <s v="n/a"/>
    <s v="n/a"/>
    <n v="0"/>
    <x v="2"/>
    <s v="main"/>
    <s v="ss"/>
    <x v="0"/>
    <s v="topic-drop"/>
    <s v="contains_new"/>
    <m/>
    <m/>
    <x v="0"/>
  </r>
  <r>
    <x v="33"/>
    <s v="柄弦袋付けたる ezurubukuro tsuketaru "/>
    <s v="with a bowstring bag attached"/>
    <s v="付けたる"/>
    <s v="indicative"/>
    <x v="1"/>
    <x v="1"/>
    <s v="transitive"/>
    <s v="active"/>
    <s v="positive"/>
    <n v="1"/>
    <n v="1"/>
    <s v="OBJ"/>
    <n v="0"/>
    <x v="1"/>
    <n v="3"/>
    <s v="overt"/>
    <s v="n/a"/>
    <n v="1"/>
    <n v="0"/>
    <s v="REL"/>
    <x v="0"/>
    <n v="0"/>
    <n v="0"/>
    <s v="n/a"/>
    <s v="n/a"/>
    <n v="0"/>
    <x v="2"/>
    <s v="inf"/>
    <s v="ss"/>
    <x v="0"/>
    <s v="topic-drop"/>
    <s v="contains_new"/>
    <m/>
    <m/>
    <x v="0"/>
  </r>
  <r>
    <x v="34"/>
    <s v="太刀脇挟んで (tachi wakihasande)"/>
    <s v="and carrying under his arm a &quot;tachi&quot; "/>
    <s v="挟んで"/>
    <s v="indicative"/>
    <x v="1"/>
    <x v="1"/>
    <s v="transitive"/>
    <s v="active"/>
    <s v="positive"/>
    <n v="1"/>
    <n v="2"/>
    <s v="O+IO"/>
    <n v="0"/>
    <x v="1"/>
    <n v="3"/>
    <s v="overt"/>
    <s v="overt"/>
    <n v="0"/>
    <n v="0"/>
    <s v="n/a"/>
    <x v="1"/>
    <n v="0"/>
    <n v="0"/>
    <s v="n/a"/>
    <s v="n/a"/>
    <n v="0"/>
    <x v="2"/>
    <s v="relative"/>
    <s v="ss"/>
    <x v="0"/>
    <s v="topic-drop"/>
    <s v="contains_new"/>
    <m/>
    <m/>
    <x v="2"/>
  </r>
  <r>
    <x v="35"/>
    <s v="殿上の小庭に畏つてぞ候ひける (tenjō no koniwa ni kashikomatte zo soroikyeru)"/>
    <s v="was waiting in the &quot;koniwa,&quot; the small court by the Seiryoden"/>
    <s v="畏つて候ひける"/>
    <s v="indicative"/>
    <x v="1"/>
    <x v="2"/>
    <s v="intransitive"/>
    <s v="active"/>
    <s v="positive"/>
    <n v="1"/>
    <n v="0"/>
    <s v="n/a"/>
    <n v="1"/>
    <x v="1"/>
    <n v="3"/>
    <s v="n/a"/>
    <s v="n/a"/>
    <n v="0"/>
    <n v="0"/>
    <s v="n/a"/>
    <x v="2"/>
    <n v="0"/>
    <n v="1"/>
    <s v="sub"/>
    <s v="lexical_humble_verb"/>
    <n v="0"/>
    <x v="2"/>
    <s v="te"/>
    <s v="ss"/>
    <x v="1"/>
    <s v="topic-drop"/>
    <s v="no_overt_NP"/>
    <m/>
    <m/>
    <x v="1"/>
  </r>
  <r>
    <x v="36"/>
    <s v="貫首以下怪しみをなして (kanshu ika ayashimi o nashite)"/>
    <s v="Now the Kurando-no-to and others, thinking it strange,"/>
    <s v="なして"/>
    <s v="indicative"/>
    <x v="1"/>
    <x v="8"/>
    <s v="transitive"/>
    <s v="active"/>
    <s v="negative"/>
    <n v="1"/>
    <n v="2"/>
    <s v="S+O"/>
    <n v="0"/>
    <x v="0"/>
    <n v="3"/>
    <s v="overt"/>
    <s v="n/a"/>
    <n v="0"/>
    <n v="0"/>
    <s v="n/a"/>
    <x v="1"/>
    <n v="0"/>
    <n v="0"/>
    <s v="n/a"/>
    <s v="n/a"/>
    <n v="0"/>
    <x v="1"/>
    <s v="main"/>
    <s v="ds"/>
    <x v="0"/>
    <s v="topic-shift"/>
    <s v="contains_new"/>
    <m/>
    <m/>
    <x v="2"/>
  </r>
  <r>
    <x v="37"/>
    <s v="空柱より内鈴の綱の辺に布衣の者の候ふ  (sorabashira yori uchisuzu no tsuna no hen ni hoi no mono no soroou)"/>
    <s v="that one wearing unsuitable costume should be within the balustrade of the steps of the Court near the bell-rope of the library, "/>
    <s v="候ふ"/>
    <s v="indicative"/>
    <x v="1"/>
    <x v="1"/>
    <s v="intransitive"/>
    <s v="active"/>
    <s v="positive"/>
    <n v="1"/>
    <n v="1"/>
    <s v="SUB"/>
    <n v="1"/>
    <x v="0"/>
    <n v="3"/>
    <s v="n/a"/>
    <s v="n/a"/>
    <n v="0"/>
    <n v="0"/>
    <s v="SUB"/>
    <x v="4"/>
    <n v="1"/>
    <n v="0"/>
    <s v="sub"/>
    <s v="lexical_humble_verb"/>
    <n v="0"/>
    <x v="2"/>
    <s v="te"/>
    <s v="ss"/>
    <x v="0"/>
    <s v="topic-shift"/>
    <s v="contains_new"/>
    <s v="internally headed"/>
    <m/>
    <x v="0"/>
  </r>
  <r>
    <x v="38"/>
    <s v="は何者ぞ  wa nani mono zo"/>
    <s v="and wondering who he was."/>
    <s v="何者ぞ  "/>
    <s v="indicative"/>
    <x v="1"/>
    <x v="0"/>
    <s v="intransitive"/>
    <s v="active"/>
    <s v="positive"/>
    <n v="1"/>
    <n v="1"/>
    <s v="SUB"/>
    <n v="0"/>
    <x v="0"/>
    <n v="3"/>
    <s v="n/a"/>
    <s v="n/a"/>
    <n v="0"/>
    <n v="0"/>
    <s v="n/a"/>
    <x v="2"/>
    <n v="0"/>
    <n v="0"/>
    <s v="n/a"/>
    <s v="n/a"/>
    <n v="0"/>
    <x v="2"/>
    <s v="nominalised"/>
    <s v="ss"/>
    <x v="0"/>
    <s v="topic-continued"/>
    <s v="all given"/>
    <m/>
    <m/>
    <x v="0"/>
  </r>
  <r>
    <x v="39"/>
    <s v="狼藉なり (rōzaku nari)"/>
    <s v="&quot;[He is] disorderly&quot;"/>
    <s v="なり"/>
    <s v="indicative"/>
    <x v="0"/>
    <x v="0"/>
    <s v="intransitive"/>
    <s v="active"/>
    <s v="positive"/>
    <n v="1"/>
    <n v="0"/>
    <s v="n/a"/>
    <n v="0"/>
    <x v="4"/>
    <n v="3"/>
    <s v="n/a"/>
    <s v="n/a"/>
    <n v="0"/>
    <n v="0"/>
    <s v="n/a"/>
    <x v="2"/>
    <n v="0"/>
    <n v="0"/>
    <s v="n/a"/>
    <s v="n/a"/>
    <n v="0"/>
    <x v="2"/>
    <s v="main"/>
    <s v="ss"/>
    <x v="0"/>
    <s v="topic-drop"/>
    <s v="no_overt_NP"/>
    <m/>
    <m/>
    <x v="1"/>
  </r>
  <r>
    <x v="40"/>
    <s v="疾う疾う罷り出でよと (tōtō makari ideyo to)"/>
    <s v="&quot;Depart quickly&quot;"/>
    <s v="罷り出でよ"/>
    <s v="imperative"/>
    <x v="3"/>
    <x v="1"/>
    <s v="intransitive"/>
    <s v="active"/>
    <s v="positive"/>
    <n v="1"/>
    <n v="0"/>
    <s v="n/a"/>
    <n v="0"/>
    <x v="1"/>
    <n v="2"/>
    <s v="n/a"/>
    <s v="n/a"/>
    <n v="0"/>
    <n v="0"/>
    <s v="n/a"/>
    <x v="6"/>
    <n v="0"/>
    <n v="1"/>
    <s v="sub"/>
    <s v="lexical_humble_verb"/>
    <n v="0"/>
    <x v="4"/>
    <s v="main"/>
    <s v="ss"/>
    <x v="0"/>
    <s v="topic-drop"/>
    <s v="no_overt_NP"/>
    <s v="embedded"/>
    <m/>
    <x v="1"/>
  </r>
  <r>
    <x v="41"/>
    <s v="六位を以て云はせられたりければ (to roku-i o motte iwaseraretarikereba)"/>
    <s v="an official of the sixth rank ordered him to depart quickly."/>
    <s v="云はせられたりければ"/>
    <s v="indicative"/>
    <x v="0"/>
    <x v="1"/>
    <s v="intransitive"/>
    <s v="causative-passive-resultative"/>
    <s v="positive"/>
    <n v="1"/>
    <n v="2"/>
    <s v="O (Speech) +IO"/>
    <n v="1"/>
    <x v="1"/>
    <n v="3"/>
    <s v="overt"/>
    <s v="n/a"/>
    <n v="0"/>
    <n v="0"/>
    <s v="n/a"/>
    <x v="3"/>
    <n v="1"/>
    <n v="0"/>
    <s v="n/a"/>
    <s v="honorific_aux"/>
    <n v="0"/>
    <x v="2"/>
    <s v="complement"/>
    <s v="ss"/>
    <x v="0"/>
    <s v="topic-drop"/>
    <s v="contains_new"/>
    <m/>
    <m/>
    <x v="2"/>
  </r>
  <r>
    <x v="42"/>
    <s v="家貞畏つて申しけるは (Iesada kashikomatte mōshikeru wa)"/>
    <s v="But Iesada thus replied:"/>
    <s v="申しける"/>
    <s v="indicative"/>
    <x v="2"/>
    <x v="1"/>
    <s v="transitive"/>
    <s v="active"/>
    <s v="positive"/>
    <n v="1"/>
    <n v="1"/>
    <s v="SUB"/>
    <n v="0"/>
    <x v="0"/>
    <n v="3"/>
    <s v="zero_other"/>
    <s v="n/a"/>
    <n v="1"/>
    <n v="0"/>
    <s v="SUB"/>
    <x v="3"/>
    <n v="1"/>
    <n v="0"/>
    <s v="sub"/>
    <s v="lexical_humble_verb"/>
    <n v="0"/>
    <x v="2"/>
    <s v="subordinate"/>
    <s v="ss"/>
    <x v="1"/>
    <s v="topic-continued"/>
    <s v="all given"/>
    <s v="internally headed"/>
    <m/>
    <x v="0"/>
  </r>
  <r>
    <x v="43"/>
    <s v="相伝の主備前守殿今夜闇討にせられ給ふべき (sōden no aruji Bizen no kami-dono kon'ya yamiuchi ni serare-tamō beki) "/>
    <s v="tonight they will try to kill my Lord Bizen-no-kami dono&quot;"/>
    <s v="闇討にせられ給ふ"/>
    <s v="indicative"/>
    <x v="1"/>
    <x v="3"/>
    <s v="intransitive"/>
    <s v="passive"/>
    <s v="positive"/>
    <n v="1"/>
    <n v="1"/>
    <s v="SUB"/>
    <n v="1"/>
    <x v="0"/>
    <n v="3"/>
    <s v="n/a"/>
    <s v="n/a"/>
    <n v="0"/>
    <n v="1"/>
    <s v="REL"/>
    <x v="0"/>
    <n v="1"/>
    <n v="0"/>
    <s v="sub"/>
    <s v="lexical_honorific_verb"/>
    <n v="0"/>
    <x v="2"/>
    <s v="subordinate"/>
    <s v="ds"/>
    <x v="0"/>
    <s v="topic-shift"/>
    <s v="contains_new"/>
    <m/>
    <m/>
    <x v="0"/>
  </r>
  <r>
    <x v="44"/>
    <s v="由伝へ承つて(yoshi tsutae uketamawatte) "/>
    <s v="Because I have heard that"/>
    <s v="伝へ承つて"/>
    <s v="indicative"/>
    <x v="5"/>
    <x v="1"/>
    <s v="transitive"/>
    <s v="active"/>
    <s v="positive"/>
    <n v="1"/>
    <n v="1"/>
    <s v="OBJ"/>
    <n v="0"/>
    <x v="1"/>
    <n v="1"/>
    <s v="overt"/>
    <s v="n/a"/>
    <n v="0"/>
    <n v="0"/>
    <s v="n/a"/>
    <x v="1"/>
    <n v="0"/>
    <n v="1"/>
    <s v="sub"/>
    <s v="honorific_aux"/>
    <n v="0"/>
    <x v="1"/>
    <s v="relative"/>
    <s v="ss"/>
    <x v="1"/>
    <s v="topic-drop"/>
    <s v="contains_new"/>
    <m/>
    <m/>
    <x v="0"/>
  </r>
  <r>
    <x v="45"/>
    <s v="それならん  (sore naran )"/>
    <s v="&quot;whether it is so&quot;"/>
    <s v="ならん "/>
    <s v="epistemic"/>
    <x v="1"/>
    <x v="1"/>
    <s v="intransitive"/>
    <s v="active"/>
    <s v="positive"/>
    <n v="1"/>
    <n v="1"/>
    <s v="SUB"/>
    <n v="0"/>
    <x v="0"/>
    <n v="3"/>
    <s v="n/a"/>
    <s v="n/a"/>
    <n v="0"/>
    <n v="1"/>
    <s v="REL"/>
    <x v="0"/>
    <n v="0"/>
    <n v="0"/>
    <s v="n/a"/>
    <s v="n/a"/>
    <n v="0"/>
    <x v="2"/>
    <s v="te"/>
    <s v="ds"/>
    <x v="1"/>
    <s v="topic-continued"/>
    <s v="all given"/>
    <m/>
    <m/>
    <x v="0"/>
  </r>
  <r>
    <x v="46"/>
    <s v="やうを見んとて (yō o min to te)"/>
    <s v="and in order to see "/>
    <s v="見ん"/>
    <s v="dynamic"/>
    <x v="6"/>
    <x v="1"/>
    <s v="transitive"/>
    <s v="active"/>
    <s v="positive"/>
    <n v="1"/>
    <n v="1"/>
    <s v="OBJ"/>
    <n v="0"/>
    <x v="1"/>
    <n v="1"/>
    <s v="overt"/>
    <s v="n/a"/>
    <n v="0"/>
    <n v="0"/>
    <s v="REL"/>
    <x v="3"/>
    <n v="0"/>
    <n v="0"/>
    <s v="n/a"/>
    <s v="n/a"/>
    <n v="0"/>
    <x v="7"/>
    <s v="relative"/>
    <s v="ds"/>
    <x v="0"/>
    <s v="topic-drop"/>
    <s v="contains_new"/>
    <m/>
    <m/>
    <x v="0"/>
  </r>
  <r>
    <x v="47"/>
    <s v="かくて候ふなり (kakute soro fu nari)"/>
    <s v="&quot;have come and am thus waiting&quot;"/>
    <s v="候ふなり"/>
    <s v="indicative"/>
    <x v="0"/>
    <x v="2"/>
    <s v="intransitive"/>
    <s v="active"/>
    <s v="positive"/>
    <n v="1"/>
    <n v="0"/>
    <s v="n/a"/>
    <n v="1"/>
    <x v="2"/>
    <n v="1"/>
    <s v="n/a"/>
    <s v="n/a"/>
    <n v="0"/>
    <n v="0"/>
    <s v="n/a"/>
    <x v="2"/>
    <n v="0"/>
    <n v="1"/>
    <s v="sub"/>
    <s v="lexical_humble_verb"/>
    <n v="0"/>
    <x v="2"/>
    <s v="subordinate"/>
    <s v="ss"/>
    <x v="0"/>
    <s v="topic-drop"/>
    <s v="no_overt_NP"/>
    <m/>
    <m/>
    <x v="1"/>
  </r>
  <r>
    <x v="48"/>
    <s v="えこそ出でまじう候へ (e koso idema jiu soro e)"/>
    <s v="&quot;I cannot possibly go out&quot;"/>
    <s v="出でまじう候へ"/>
    <s v="dynamic"/>
    <x v="3"/>
    <x v="1"/>
    <s v="intransitive"/>
    <s v="active"/>
    <s v="negative"/>
    <n v="1"/>
    <n v="0"/>
    <s v="n/a"/>
    <n v="0"/>
    <x v="2"/>
    <n v="1"/>
    <s v="n/a"/>
    <s v="n/a"/>
    <n v="0"/>
    <n v="0"/>
    <s v="n/a"/>
    <x v="2"/>
    <n v="0"/>
    <n v="1"/>
    <s v="sub"/>
    <s v="polite_aux"/>
    <n v="0"/>
    <x v="2"/>
    <s v="main"/>
    <s v="ss"/>
    <x v="1"/>
    <s v="topic-drop"/>
    <s v="no_overt_NP"/>
    <m/>
    <m/>
    <x v="1"/>
  </r>
  <r>
    <x v="49"/>
    <s v="これらを由なしとや (korera o yoshi nashi to ya)"/>
    <s v=" there was nothing more to be done;"/>
    <s v="なし"/>
    <s v="indicative"/>
    <x v="0"/>
    <x v="7"/>
    <s v="intransitive"/>
    <s v="active"/>
    <s v="negative"/>
    <n v="1"/>
    <n v="1"/>
    <s v="SUB"/>
    <n v="1"/>
    <x v="0"/>
    <n v="3"/>
    <s v="n/a"/>
    <s v="n/a"/>
    <n v="0"/>
    <n v="0"/>
    <s v="n/a"/>
    <x v="6"/>
    <n v="0"/>
    <n v="0"/>
    <s v="n/a"/>
    <s v="n/a"/>
    <n v="0"/>
    <x v="4"/>
    <s v="main"/>
    <s v="ds"/>
    <x v="3"/>
    <s v="topic-continued"/>
    <s v="contains_new"/>
    <m/>
    <m/>
    <x v="0"/>
  </r>
  <r>
    <x v="50"/>
    <s v="思はれけん (omowareken)"/>
    <s v="And they saw that"/>
    <s v="思はれけん"/>
    <s v="epistemic"/>
    <x v="4"/>
    <x v="1"/>
    <s v="transitive"/>
    <s v="active"/>
    <s v="positive"/>
    <n v="1"/>
    <n v="1"/>
    <s v="O (Speech)"/>
    <n v="0"/>
    <x v="2"/>
    <n v="3"/>
    <s v="overt"/>
    <s v="n/a"/>
    <n v="0"/>
    <n v="0"/>
    <s v="n/a"/>
    <x v="2"/>
    <n v="0"/>
    <n v="1"/>
    <s v="sub"/>
    <s v="honorific_aux"/>
    <n v="0"/>
    <x v="8"/>
    <m/>
    <s v="ds"/>
    <x v="3"/>
    <s v="topic-drop"/>
    <s v="contains_new"/>
    <m/>
    <m/>
    <x v="0"/>
  </r>
  <r>
    <x v="51"/>
    <s v="その夜の闇討なかりけり (sono yo no yamiuchi nakarikeri)"/>
    <s v="and thus the attempt did not take place."/>
    <s v="なかりけり"/>
    <s v="indicative"/>
    <x v="7"/>
    <x v="1"/>
    <s v="intransitive"/>
    <s v="active"/>
    <s v="negative"/>
    <n v="1"/>
    <n v="1"/>
    <s v="SUB"/>
    <n v="0"/>
    <x v="0"/>
    <s v="inanimate"/>
    <s v="n/a"/>
    <s v="n/a"/>
    <n v="0"/>
    <n v="0"/>
    <s v="n/a"/>
    <x v="2"/>
    <n v="0"/>
    <n v="0"/>
    <s v="n/a"/>
    <s v="n/a"/>
    <n v="0"/>
    <x v="2"/>
    <s v="main"/>
    <s v="ss"/>
    <x v="1"/>
    <s v="topic-shift"/>
    <s v="contains_new"/>
    <m/>
    <m/>
    <x v="0"/>
  </r>
  <r>
    <x v="52"/>
    <s v="忠盛また御前の召しに舞はれけるに (Tadamori mata gozen no meshi ni mawarekeru ni)"/>
    <s v="But when Tadamori danced in the August presence of the Mikado at his Imperial wish,"/>
    <s v="舞はれける"/>
    <s v="indicative"/>
    <x v="2"/>
    <x v="1"/>
    <s v="intransitive"/>
    <s v="active"/>
    <s v="positive"/>
    <n v="1"/>
    <n v="1"/>
    <s v="SUB"/>
    <n v="1"/>
    <x v="0"/>
    <n v="3"/>
    <s v="n/a"/>
    <s v="n/a"/>
    <n v="0"/>
    <n v="0"/>
    <s v="REL"/>
    <x v="3"/>
    <n v="1"/>
    <n v="0"/>
    <s v="sub"/>
    <s v="honorific_aux"/>
    <n v="0"/>
    <x v="0"/>
    <s v="main"/>
    <s v="ds"/>
    <x v="1"/>
    <s v="topic-shift"/>
    <s v="contains_new"/>
    <m/>
    <m/>
    <x v="0"/>
  </r>
  <r>
    <x v="53"/>
    <s v="人々拍子を変へて (hitobito hyōshi o kaete)"/>
    <s v="the others mocked at him, changing the words of the music"/>
    <s v="変へて"/>
    <s v="indicative"/>
    <x v="1"/>
    <x v="1"/>
    <s v="transitive"/>
    <s v="active"/>
    <s v="positive"/>
    <n v="1"/>
    <n v="2"/>
    <s v="S+O"/>
    <n v="0"/>
    <x v="0"/>
    <n v="3"/>
    <s v="overt"/>
    <s v="n/a"/>
    <n v="0"/>
    <n v="0"/>
    <s v="n/a"/>
    <x v="1"/>
    <n v="0"/>
    <n v="0"/>
    <s v="n/a"/>
    <s v="n/a"/>
    <n v="0"/>
    <x v="1"/>
    <s v="subordinate"/>
    <s v="ds"/>
    <x v="1"/>
    <s v="topic-shift"/>
    <s v="contains_new"/>
    <m/>
    <m/>
    <x v="2"/>
  </r>
  <r>
    <x v="54"/>
    <s v="伊勢へいじはすがめなりけりとぞ (Ise heiji wa sugame narikeri)"/>
    <s v="&quot;the winepot of Ise has turned into a vinegar jar&quot;"/>
    <s v="なりけり"/>
    <s v="indicative"/>
    <x v="0"/>
    <x v="0"/>
    <s v="intransitive"/>
    <s v="active"/>
    <s v="positive"/>
    <n v="1"/>
    <n v="1"/>
    <s v="SUB"/>
    <n v="0"/>
    <x v="0"/>
    <n v="3"/>
    <s v="n/a"/>
    <s v="n/a"/>
    <n v="0"/>
    <n v="0"/>
    <s v="n/a"/>
    <x v="6"/>
    <n v="0"/>
    <n v="0"/>
    <s v="n/a"/>
    <s v="n/a"/>
    <n v="0"/>
    <x v="4"/>
    <s v="te"/>
    <s v="ds"/>
    <x v="0"/>
    <s v="topic-introduced"/>
    <s v="contains_new"/>
    <m/>
    <m/>
    <x v="0"/>
  </r>
  <r>
    <x v="55"/>
    <s v="囃されける (to zo hayasarekeru)"/>
    <s v="they sang in mockery"/>
    <s v="囃されける"/>
    <s v="indicative"/>
    <x v="2"/>
    <x v="1"/>
    <s v="transitive"/>
    <s v="active"/>
    <s v="positive"/>
    <n v="1"/>
    <n v="1"/>
    <s v="O (Speech)"/>
    <n v="0"/>
    <x v="2"/>
    <n v="3"/>
    <s v="overt"/>
    <s v="n/a"/>
    <n v="0"/>
    <n v="0"/>
    <s v="kakari-musubi"/>
    <x v="2"/>
    <n v="0"/>
    <n v="1"/>
    <s v="sub"/>
    <s v="honorific_aux"/>
    <n v="0"/>
    <x v="8"/>
    <s v="complement"/>
    <s v="ss"/>
    <x v="0"/>
    <s v="topic-drop"/>
    <s v="contains_new"/>
    <m/>
    <m/>
    <x v="0"/>
  </r>
  <r>
    <x v="56"/>
    <s v="かけまくも忝くこの人々は柏原天皇の御末とは申しながら (kakemakumo katabokaku kono hitobito wa Kashiwabara Tennō no o-sue to wa mōshinagara)"/>
    <s v="In thus mentioning the vessels of his province they punned on his title..."/>
    <s v="申しながら"/>
    <s v="indicative"/>
    <x v="5"/>
    <x v="1"/>
    <s v="transitive"/>
    <s v="active"/>
    <s v="positive"/>
    <n v="1"/>
    <n v="2"/>
    <s v="S+O (Speech)"/>
    <n v="1"/>
    <x v="0"/>
    <n v="3"/>
    <s v="overt"/>
    <s v="n/a"/>
    <n v="0"/>
    <n v="0"/>
    <s v="n/a"/>
    <x v="3"/>
    <n v="1"/>
    <n v="0"/>
    <s v="sub"/>
    <s v="lexical_humble_verb"/>
    <n v="0"/>
    <x v="0"/>
    <s v="main"/>
    <s v="ss"/>
    <x v="1"/>
    <s v="topic-shift"/>
    <s v="contains_new"/>
    <m/>
    <m/>
    <x v="2"/>
  </r>
  <r>
    <x v="57"/>
    <s v="中比は都の住まひも疎々しく (chūbi wa miyako no sumai mo utoutoshiku)"/>
    <s v="and since lately his family had lived away from the capital,"/>
    <s v="疎々しく"/>
    <s v="indicative"/>
    <x v="4"/>
    <x v="5"/>
    <s v="intransitive"/>
    <s v="active"/>
    <s v="positive"/>
    <n v="1"/>
    <n v="1"/>
    <s v="SUB"/>
    <n v="1"/>
    <x v="0"/>
    <n v="3"/>
    <s v="n/a"/>
    <s v="n/a"/>
    <n v="0"/>
    <n v="0"/>
    <s v="n/a"/>
    <x v="2"/>
    <n v="0"/>
    <n v="0"/>
    <s v="n/a"/>
    <s v="n/a"/>
    <n v="0"/>
    <x v="2"/>
    <s v="subordinate"/>
    <s v="ds"/>
    <x v="0"/>
    <s v="topic-shift"/>
    <s v="contains_new"/>
    <m/>
    <m/>
    <x v="0"/>
  </r>
  <r>
    <x v="58"/>
    <s v="地下にのみ振舞ひなつて ( jige ni nomi furumai natte)"/>
    <s v=" behaving as mere provincial folk"/>
    <s v="振舞ひなつて"/>
    <s v="indicative"/>
    <x v="1"/>
    <x v="4"/>
    <s v="intransitive"/>
    <s v="active"/>
    <s v="positive"/>
    <n v="1"/>
    <n v="1"/>
    <s v="IO"/>
    <n v="0"/>
    <x v="1"/>
    <n v="3"/>
    <s v="n/a"/>
    <s v="overt"/>
    <n v="0"/>
    <n v="0"/>
    <s v="n/a"/>
    <x v="1"/>
    <n v="0"/>
    <n v="0"/>
    <s v="n/a"/>
    <s v="n/a"/>
    <n v="0"/>
    <x v="1"/>
    <s v="main"/>
    <s v="ss"/>
    <x v="0"/>
    <s v="topic-drop"/>
    <s v="contains_new"/>
    <m/>
    <m/>
    <x v="0"/>
  </r>
  <r>
    <x v="59"/>
    <s v="伊勢国に住国深かりしかば  (Ise no kuni ni sumikoku fukakarishikaba)"/>
    <s v="and as they lived deep in Ise province, they likened him to the vessels of that province"/>
    <s v="深かりしかば"/>
    <s v="indicative"/>
    <x v="4"/>
    <x v="5"/>
    <s v="intransitive"/>
    <s v="active"/>
    <s v="positive"/>
    <n v="1"/>
    <n v="1"/>
    <s v="SUB"/>
    <n v="1"/>
    <x v="1"/>
    <n v="3"/>
    <s v="n/a"/>
    <s v="n/a"/>
    <n v="0"/>
    <n v="0"/>
    <s v="n/a"/>
    <x v="3"/>
    <n v="0"/>
    <n v="0"/>
    <s v="n/a"/>
    <s v="n/a"/>
    <n v="0"/>
    <x v="3"/>
    <s v="te"/>
    <s v="ss"/>
    <x v="1"/>
    <s v="topic-drop"/>
    <s v="contains_new"/>
    <m/>
    <m/>
    <x v="0"/>
  </r>
  <r>
    <x v="60"/>
    <s v="その国の器に言寄せて"/>
    <s v="sono kuni no utsuwa ni kotoyosete)"/>
    <s v="言寄せて"/>
    <s v="indicative"/>
    <x v="5"/>
    <x v="1"/>
    <s v="ditransitive"/>
    <s v="active"/>
    <s v="positive"/>
    <n v="1"/>
    <n v="1"/>
    <s v="IO"/>
    <n v="0"/>
    <x v="5"/>
    <n v="3"/>
    <s v="zero_uncertain"/>
    <s v="overt"/>
    <n v="0"/>
    <n v="0"/>
    <s v="n/a"/>
    <x v="1"/>
    <n v="0"/>
    <n v="0"/>
    <s v="n/a"/>
    <s v="n/a"/>
    <n v="0"/>
    <x v="1"/>
    <s v="subordinate"/>
    <s v="ds"/>
    <x v="0"/>
    <s v="topic-drop"/>
    <s v="contains_new"/>
    <m/>
    <m/>
    <x v="0"/>
  </r>
  <r>
    <x v="61"/>
    <s v="伊勢平氏とぞ囃されける (Ise Heishi to zo hayasarekeru)"/>
    <s v="so they mocked him as 'Ise Heishi'"/>
    <s v="囃されける"/>
    <s v="indicative"/>
    <x v="2"/>
    <x v="1"/>
    <s v="intransitive"/>
    <s v="passive"/>
    <s v="positive"/>
    <n v="1"/>
    <n v="1"/>
    <s v="O (Speech)"/>
    <n v="0"/>
    <x v="1"/>
    <n v="3"/>
    <s v="n/a"/>
    <s v="overt"/>
    <n v="0"/>
    <n v="0"/>
    <s v="kakari-musubi"/>
    <x v="2"/>
    <n v="0"/>
    <n v="0"/>
    <s v="n/a"/>
    <s v="n/a"/>
    <n v="0"/>
    <x v="2"/>
    <s v="te"/>
    <s v="ss"/>
    <x v="1"/>
    <s v="topic-drop"/>
    <s v="contains_new"/>
    <m/>
    <m/>
    <x v="0"/>
  </r>
  <r>
    <x v="62"/>
    <s v="その上忠盛目の眇まれたりける故にこそ (sono ue Tadamori me no sugamaretari keru yue ni koso)"/>
    <s v="moreover, because Tadamori's eyes were squinted, "/>
    <s v="眇まれたりける"/>
    <s v="indicative"/>
    <x v="2"/>
    <x v="1"/>
    <s v="intransitive"/>
    <s v="active"/>
    <s v="positive"/>
    <n v="1"/>
    <n v="1"/>
    <s v="SUB"/>
    <n v="1"/>
    <x v="0"/>
    <n v="3"/>
    <s v="n/a"/>
    <s v="n/a"/>
    <n v="0"/>
    <n v="1"/>
    <s v="REL"/>
    <x v="3"/>
    <n v="0"/>
    <n v="0"/>
    <s v="n/a"/>
    <s v="n/a"/>
    <n v="0"/>
    <x v="3"/>
    <s v="main"/>
    <s v="ds"/>
    <x v="0"/>
    <s v="topic-continued"/>
    <s v="contains_new"/>
    <m/>
    <m/>
    <x v="0"/>
  </r>
  <r>
    <x v="63"/>
    <s v="かやうには囃されけるなれ  (kayō ni wa hayasarekeru nare)"/>
    <s v="he was mocked in such a way"/>
    <s v="囃されけるなれ"/>
    <s v="indicative"/>
    <x v="1"/>
    <x v="1"/>
    <s v="intransitive"/>
    <s v="passive"/>
    <s v="positive"/>
    <n v="1"/>
    <n v="0"/>
    <s v="n/a"/>
    <n v="0"/>
    <x v="1"/>
    <n v="3"/>
    <s v="n/a"/>
    <s v="n/a"/>
    <n v="0"/>
    <n v="0"/>
    <s v="kakari-musubi"/>
    <x v="2"/>
    <n v="0"/>
    <n v="0"/>
    <s v="n/a"/>
    <s v="n/a"/>
    <n v="0"/>
    <x v="2"/>
    <s v="subordinate"/>
    <s v="ss"/>
    <x v="0"/>
    <s v="topic-drop"/>
    <s v="no_overt_NP"/>
    <m/>
    <m/>
    <x v="1"/>
  </r>
  <r>
    <x v="64"/>
    <s v="忠盛何とすべきやうもなくして (Tadamori nan to subeki yō mo nakushite)"/>
    <s v="Tadamori, having no way of dealing with the situation,"/>
    <s v="なくして"/>
    <s v="indicative"/>
    <x v="1"/>
    <x v="1"/>
    <s v="transitive"/>
    <s v="active"/>
    <s v="negative"/>
    <n v="1"/>
    <n v="2"/>
    <s v="S+O"/>
    <n v="0"/>
    <x v="0"/>
    <n v="3"/>
    <s v="overt"/>
    <s v="n/a"/>
    <n v="0"/>
    <n v="0"/>
    <s v="n/a"/>
    <x v="1"/>
    <n v="0"/>
    <n v="0"/>
    <s v="n/a"/>
    <s v="n/a"/>
    <n v="0"/>
    <x v="1"/>
    <s v="main"/>
    <s v="ss"/>
    <x v="1"/>
    <s v="topic-continued"/>
    <s v="contains_new"/>
    <m/>
    <m/>
    <x v="2"/>
  </r>
  <r>
    <x v="65"/>
    <s v="御遊も未だ終らざる前に (gyoyū mo mada owarazaru mae ni)"/>
    <s v="before the entertainment had ended,"/>
    <s v="終らざる"/>
    <s v="indicative"/>
    <x v="1"/>
    <x v="1"/>
    <s v="intransitive"/>
    <s v="active"/>
    <s v="negative"/>
    <n v="1"/>
    <n v="1"/>
    <s v="SUB"/>
    <n v="1"/>
    <x v="0"/>
    <n v="3"/>
    <s v="n/a"/>
    <s v="n/a"/>
    <n v="0"/>
    <n v="1"/>
    <s v="REL"/>
    <x v="3"/>
    <n v="0"/>
    <n v="0"/>
    <s v="n/a"/>
    <s v="n/a"/>
    <n v="0"/>
    <x v="0"/>
    <s v="te"/>
    <s v="ds"/>
    <x v="1"/>
    <s v="topic-drop"/>
    <s v="contains_new"/>
    <m/>
    <m/>
    <x v="0"/>
  </r>
  <r>
    <x v="66"/>
    <s v="密かに罷り出でらるとて (hisokani makari ideraru tote)"/>
    <s v="he secretly left the Presence,"/>
    <s v="罷り出でらる"/>
    <s v="indicative"/>
    <x v="3"/>
    <x v="1"/>
    <s v="intransitive"/>
    <s v="active"/>
    <s v="positive"/>
    <n v="1"/>
    <n v="0"/>
    <s v="n/a"/>
    <n v="1"/>
    <x v="2"/>
    <n v="3"/>
    <s v="n/a"/>
    <s v="n/a"/>
    <n v="0"/>
    <n v="0"/>
    <s v="REL"/>
    <x v="3"/>
    <n v="0"/>
    <n v="1"/>
    <s v="sub"/>
    <s v="honorific_aux+lexical_honorific_verb"/>
    <n v="0"/>
    <x v="0"/>
    <s v="subordinate"/>
    <s v="ds"/>
    <x v="0"/>
    <s v="topic-drop"/>
    <s v="no_overt_NP"/>
    <m/>
    <m/>
    <x v="1"/>
  </r>
  <r>
    <x v="67"/>
    <s v="紫宸殿の御後にして (Shishinden no o-ato ni shite)"/>
    <s v="and going behind the Shishinden,"/>
    <s v="後にして"/>
    <s v="indicative"/>
    <x v="1"/>
    <x v="9"/>
    <s v="intransitive"/>
    <s v="active"/>
    <s v="positive"/>
    <n v="1"/>
    <n v="0"/>
    <s v="n/a"/>
    <n v="1"/>
    <x v="1"/>
    <n v="3"/>
    <s v="n/a"/>
    <s v="n/a"/>
    <n v="0"/>
    <n v="0"/>
    <s v="n/a"/>
    <x v="1"/>
    <n v="0"/>
    <n v="0"/>
    <s v="n/a"/>
    <s v="n/a"/>
    <n v="0"/>
    <x v="1"/>
    <s v="subordinate"/>
    <s v="ss"/>
    <x v="1"/>
    <s v="topic-drop"/>
    <s v="no_overt_NP"/>
    <m/>
    <m/>
    <x v="1"/>
  </r>
  <r>
    <x v="68"/>
    <s v="かたへの殿上人の見られける (kata e no tenjōbito no mirarekeru)"/>
    <s v=" the court nobles could see him,"/>
    <s v="見られける"/>
    <s v="indicative"/>
    <x v="2"/>
    <x v="1"/>
    <s v="transitive"/>
    <s v="active"/>
    <s v="positive"/>
    <n v="1"/>
    <n v="1"/>
    <s v="SUB"/>
    <n v="0"/>
    <x v="0"/>
    <n v="3"/>
    <s v="zero_recoverable"/>
    <s v="n/a"/>
    <n v="0"/>
    <n v="1"/>
    <s v="REL"/>
    <x v="0"/>
    <n v="1"/>
    <n v="0"/>
    <s v="sub"/>
    <s v="honorific_aux"/>
    <n v="0"/>
    <x v="2"/>
    <s v="te"/>
    <s v="ds"/>
    <x v="0"/>
    <s v="topic-introduced"/>
    <s v="contains_new"/>
    <m/>
    <m/>
    <x v="0"/>
  </r>
  <r>
    <x v="69"/>
    <s v="所にて主殿司を召して (tokoro nite tonomotsukasa o meshite azukeokite zo iderarekeru)"/>
    <s v="in a place where… he summoned the Tonomotsukasa, "/>
    <s v="召して "/>
    <s v="indicative"/>
    <x v="2"/>
    <x v="1"/>
    <s v="transitive"/>
    <s v="active"/>
    <s v="positive"/>
    <n v="1"/>
    <n v="1"/>
    <s v="OBJ"/>
    <n v="1"/>
    <x v="2"/>
    <n v="3"/>
    <s v="overt"/>
    <s v="n/a"/>
    <n v="0"/>
    <n v="0"/>
    <s v="n/a"/>
    <x v="1"/>
    <n v="0"/>
    <n v="1"/>
    <s v="sub"/>
    <s v="lexical_honorific_verb"/>
    <n v="0"/>
    <x v="1"/>
    <s v="relative"/>
    <s v="ss"/>
    <x v="0"/>
    <s v="topic-drop"/>
    <s v="contains_new"/>
    <m/>
    <m/>
    <x v="0"/>
  </r>
  <r>
    <x v="70"/>
    <s v="預け置きてぞ"/>
    <s v=" entrusted [his sword]"/>
    <s v="預け置きて"/>
    <s v="indicative"/>
    <x v="1"/>
    <x v="1"/>
    <s v="transitive"/>
    <s v="active"/>
    <s v="positive"/>
    <n v="1"/>
    <n v="0"/>
    <s v="n/a"/>
    <n v="0"/>
    <x v="1"/>
    <n v="3"/>
    <s v="zero_recoverable"/>
    <s v="n/a"/>
    <n v="0"/>
    <n v="0"/>
    <s v="n/a"/>
    <x v="1"/>
    <n v="0"/>
    <n v="0"/>
    <s v="n/a"/>
    <s v="n/a"/>
    <n v="0"/>
    <x v="2"/>
    <s v="te"/>
    <s v="ss"/>
    <x v="0"/>
    <s v="topic-drop"/>
    <s v="no_overt_NP"/>
    <m/>
    <m/>
    <x v="1"/>
  </r>
  <r>
    <x v="71"/>
    <s v="出でられける"/>
    <s v="and left,"/>
    <s v="出でられける"/>
    <s v="indicative"/>
    <x v="3"/>
    <x v="1"/>
    <s v="intransitive"/>
    <s v="active"/>
    <s v="positive"/>
    <n v="1"/>
    <n v="0"/>
    <s v="n/a"/>
    <n v="0"/>
    <x v="2"/>
    <n v="3"/>
    <s v="n/a"/>
    <s v="n/a"/>
    <n v="0"/>
    <n v="0"/>
    <s v="n/a"/>
    <x v="2"/>
    <n v="0"/>
    <n v="1"/>
    <s v="sub"/>
    <s v="honorific_aux"/>
    <n v="0"/>
    <x v="2"/>
    <s v="te"/>
    <s v="ss"/>
    <x v="1"/>
    <s v="topic-drop"/>
    <s v="no_overt_NP"/>
    <m/>
    <m/>
    <x v="1"/>
  </r>
  <r>
    <x v="72"/>
    <s v="家貞待ち受け奉りて (Iesada machi-uke tatemawari-te)"/>
    <s v="Iesada, who was waiting for his lord,"/>
    <s v="待ち受け奉りて"/>
    <s v="indicative"/>
    <x v="2"/>
    <x v="2"/>
    <s v="transitive"/>
    <s v="active"/>
    <s v="positive"/>
    <n v="1"/>
    <n v="1"/>
    <s v="SUB"/>
    <n v="0"/>
    <x v="0"/>
    <n v="3"/>
    <s v="zero_recoverable"/>
    <s v="n/a"/>
    <n v="0"/>
    <n v="0"/>
    <s v="n/a"/>
    <x v="1"/>
    <n v="1"/>
    <n v="0"/>
    <s v="sub"/>
    <s v="lexical_humble_verb"/>
    <n v="0"/>
    <x v="1"/>
    <s v="main"/>
    <s v="ds"/>
    <x v="0"/>
    <s v="topic-shift"/>
    <s v="contains_new"/>
    <m/>
    <m/>
    <x v="0"/>
  </r>
  <r>
    <x v="73"/>
    <s v="さていかが候ひつると (sate ikaga soroitsuru to)"/>
    <s v="&quot;What has happened?&quot; he asked."/>
    <s v="候ひつる"/>
    <s v="indicative"/>
    <x v="1"/>
    <x v="1"/>
    <s v="intransitive"/>
    <s v="active"/>
    <s v="positive"/>
    <n v="1"/>
    <n v="0"/>
    <s v="n/a"/>
    <n v="1"/>
    <x v="4"/>
    <n v="3"/>
    <s v="n/a"/>
    <s v="n/a"/>
    <n v="0"/>
    <n v="0"/>
    <s v="REL"/>
    <x v="6"/>
    <n v="0"/>
    <n v="0"/>
    <s v="n/a"/>
    <s v="polite_aux"/>
    <n v="0"/>
    <x v="4"/>
    <s v="te"/>
    <s v="ss"/>
    <x v="0"/>
    <s v="topic-drop"/>
    <s v="no_overt_NP"/>
    <m/>
    <m/>
    <x v="1"/>
  </r>
  <r>
    <x v="74"/>
    <s v="申されければ (mōsarekeru ba)"/>
    <s v="he was asked,"/>
    <s v="申されける"/>
    <s v="indicative"/>
    <x v="2"/>
    <x v="1"/>
    <s v="intransitive"/>
    <s v="passive"/>
    <s v="positive"/>
    <n v="1"/>
    <n v="1"/>
    <s v="O (Speech)"/>
    <n v="0"/>
    <x v="2"/>
    <n v="3"/>
    <s v="overt"/>
    <s v="n/a"/>
    <n v="0"/>
    <n v="0"/>
    <s v="n/a"/>
    <x v="2"/>
    <n v="0"/>
    <n v="1"/>
    <s v="sub"/>
    <s v="honorific_aux+lexical_humble_verb"/>
    <n v="0"/>
    <x v="0"/>
    <s v="complement"/>
    <s v="ss"/>
    <x v="0"/>
    <s v="topic-drop"/>
    <s v="contains_new"/>
    <m/>
    <m/>
    <x v="0"/>
  </r>
  <r>
    <x v="75"/>
    <s v="かくとも云はまほしう"/>
    <s v="to tell him"/>
    <s v="云はまほしう"/>
    <s v="desiderative"/>
    <x v="1"/>
    <x v="1"/>
    <s v="intransitive"/>
    <s v="active"/>
    <s v="positive"/>
    <n v="1"/>
    <n v="0"/>
    <s v="n/a"/>
    <n v="1"/>
    <x v="4"/>
    <n v="3"/>
    <s v="not_applicable"/>
    <s v="not_applicable"/>
    <n v="0"/>
    <n v="0"/>
    <s v="n/a"/>
    <x v="2"/>
    <n v="0"/>
    <n v="0"/>
    <s v="n/a"/>
    <s v="n/a"/>
    <n v="0"/>
    <x v="2"/>
    <s v="main"/>
    <s v="ss"/>
    <x v="0"/>
    <s v="topic-drop"/>
    <s v="no_overt_NP"/>
    <m/>
    <m/>
    <x v="1"/>
  </r>
  <r>
    <x v="76"/>
    <s v="思はれけれども (kakutomo iwamahoshū omowarekeredomo)"/>
    <s v="although he greatly wished,"/>
    <s v="思はれけれども"/>
    <s v="indicative"/>
    <x v="4"/>
    <x v="1"/>
    <s v="transitive"/>
    <s v="active"/>
    <s v="positive"/>
    <n v="1"/>
    <n v="1"/>
    <s v="O (Speech)"/>
    <n v="1"/>
    <x v="4"/>
    <n v="3"/>
    <s v="overt"/>
    <s v="n/a"/>
    <n v="0"/>
    <n v="0"/>
    <s v="n/a"/>
    <x v="2"/>
    <n v="0"/>
    <n v="0"/>
    <s v="n/a"/>
    <s v="n/a"/>
    <n v="0"/>
    <x v="9"/>
    <s v="main"/>
    <s v="ss"/>
    <x v="0"/>
    <s v="topic-drop"/>
    <s v="contains_new"/>
    <s v="Psych predicate; かくとも as adjunct."/>
    <m/>
    <x v="0"/>
  </r>
  <r>
    <x v="77"/>
    <s v="云ひつるほどならば (iitsuru hodo naraba)"/>
    <s v="seeing that, if he told him,"/>
    <s v="云ひつる"/>
    <s v="indicative"/>
    <x v="1"/>
    <x v="1"/>
    <s v="transitive"/>
    <s v="active"/>
    <s v="positive"/>
    <n v="1"/>
    <n v="0"/>
    <s v="n/a"/>
    <n v="0"/>
    <x v="4"/>
    <n v="3"/>
    <s v="zero_recoverable"/>
    <s v="n/a"/>
    <n v="0"/>
    <n v="1"/>
    <s v="REL"/>
    <x v="3"/>
    <n v="0"/>
    <n v="0"/>
    <s v="n/a"/>
    <s v="n/a"/>
    <n v="0"/>
    <x v="10"/>
    <s v="main"/>
    <s v="ss"/>
    <x v="1"/>
    <s v="topic-drop"/>
    <s v="no_overt_NP"/>
    <m/>
    <m/>
    <x v="1"/>
  </r>
  <r>
    <x v="78"/>
    <s v="やがて殿上までも斬り上らんずる  yagate tenjō made mo kiriagaranzuru "/>
    <s v="who would even do violence in the Palace itself,"/>
    <s v="斬り上らんずる"/>
    <s v="dynamic"/>
    <x v="1"/>
    <x v="1"/>
    <s v="intransitive"/>
    <s v="active"/>
    <s v="positive"/>
    <n v="1"/>
    <n v="0"/>
    <s v="n/a"/>
    <n v="2"/>
    <x v="1"/>
    <n v="3"/>
    <s v="n/a"/>
    <s v="n/a"/>
    <n v="1"/>
    <n v="0"/>
    <s v="REL"/>
    <x v="0"/>
    <n v="0"/>
    <n v="0"/>
    <s v="n/a"/>
    <s v="n/a"/>
    <n v="0"/>
    <x v="2"/>
    <s v="subordinate"/>
    <s v="ds"/>
    <x v="0"/>
    <s v="topic-drop"/>
    <s v="no_overt_NP"/>
    <m/>
    <m/>
    <x v="1"/>
  </r>
  <r>
    <x v="79"/>
    <s v="者の面魂にてある間 mono no omodamashii nite aru aida"/>
    <s v="he appeared as one "/>
    <s v="にてある"/>
    <s v="indicative"/>
    <x v="1"/>
    <x v="0"/>
    <s v="intransitive"/>
    <s v="active"/>
    <s v="positive"/>
    <n v="1"/>
    <n v="0"/>
    <s v="n/a"/>
    <n v="0"/>
    <x v="1"/>
    <n v="3"/>
    <s v="n/a"/>
    <s v="n/a"/>
    <n v="0"/>
    <n v="0"/>
    <s v="REL"/>
    <x v="3"/>
    <n v="0"/>
    <n v="0"/>
    <s v="n/a"/>
    <s v="n/a"/>
    <n v="0"/>
    <x v="0"/>
    <s v="relative"/>
    <s v="ss"/>
    <x v="1"/>
    <s v="topic-drop"/>
    <s v="no_overt_NP"/>
    <m/>
    <m/>
    <x v="1"/>
  </r>
  <r>
    <x v="80"/>
    <s v="別の事なし (betsu no koto nashi)"/>
    <s v="nothing out of the ordinary had taken place."/>
    <s v="なし"/>
    <s v="indicative"/>
    <x v="1"/>
    <x v="7"/>
    <s v="intransitive"/>
    <s v="active"/>
    <s v="negative"/>
    <n v="1"/>
    <n v="1"/>
    <s v="SUB"/>
    <n v="0"/>
    <x v="0"/>
    <n v="3"/>
    <s v="n/a"/>
    <s v="n/a"/>
    <n v="0"/>
    <n v="0"/>
    <s v="n/a"/>
    <x v="2"/>
    <n v="0"/>
    <n v="0"/>
    <s v="n/a"/>
    <s v="n/a"/>
    <n v="0"/>
    <x v="2"/>
    <s v="subordinate"/>
    <s v="ds"/>
    <x v="1"/>
    <s v="topic-drop"/>
    <s v="contains_new"/>
    <s v="Subject = 別の事."/>
    <m/>
    <x v="0"/>
  </r>
  <r>
    <x v="81"/>
    <s v="五節には白薄様濃染紙の紙巻上の筆巴書いたる筆の軸など様々かやうに面白き事をのみこそ歌ひ舞はるるに (gosechi ni wa shirauzusama kozomegami no kamimaki ue no fude tomoe kaitaru fude no jiku nado samazama kayō ni omoshiroki koto o nomi koso utai mawaruru ni)"/>
    <s v="In the Go-sechie festival only such pleasing things as white paper, Shuzenji paper, wrapped brushes, or writing brushes with a tomoe on the stem were customarily sung and danced,"/>
    <s v="歌ひ舞はるる"/>
    <s v="indicative"/>
    <x v="1"/>
    <x v="4"/>
    <s v="transitive"/>
    <s v="active"/>
    <s v="positive"/>
    <n v="1"/>
    <n v="1"/>
    <s v="OBJ"/>
    <n v="2"/>
    <x v="2"/>
    <n v="3"/>
    <s v="overt"/>
    <s v="n/a"/>
    <n v="0"/>
    <n v="0"/>
    <s v="REL"/>
    <x v="3"/>
    <n v="0"/>
    <n v="1"/>
    <s v="sub"/>
    <s v="honorific_aux"/>
    <n v="0"/>
    <x v="9"/>
    <s v="main"/>
    <s v="ds"/>
    <x v="1"/>
    <s v="topic-shift"/>
    <s v="contains_new"/>
    <s v="Passive/respect; subject omitted; object 面白き事を overt."/>
    <m/>
    <x v="0"/>
  </r>
  <r>
    <x v="82"/>
    <s v="中比太宰権帥季仲卿といふ人ありけり (chūbi Dazai gon no so Sukechika kyō to iu hito arikeri)"/>
    <s v="but there was a certain Dazai Gon-no-sotsu Suenaka no Kyo,"/>
    <s v="ありけり"/>
    <s v="indicative"/>
    <x v="0"/>
    <x v="7"/>
    <s v="intransitive"/>
    <s v="active"/>
    <s v="positive"/>
    <n v="1"/>
    <n v="1"/>
    <s v="SUB"/>
    <n v="1"/>
    <x v="0"/>
    <n v="3"/>
    <s v="n/a"/>
    <s v="n/a"/>
    <n v="0"/>
    <n v="0"/>
    <s v="n/a"/>
    <x v="2"/>
    <n v="0"/>
    <n v="0"/>
    <s v="n/a"/>
    <s v="n/a"/>
    <n v="0"/>
    <x v="2"/>
    <s v="subordinate"/>
    <s v="ds"/>
    <x v="1"/>
    <s v="topic-introduced"/>
    <s v="contains_new"/>
    <s v="frame predicate"/>
    <m/>
    <x v="0"/>
  </r>
  <r>
    <x v="83"/>
    <s v="あまりに色の黒かりければ (amari ni iro no kurokarikereba)"/>
    <s v="who was of so dark a complexion that"/>
    <s v="黒かりければ"/>
    <s v="indicative"/>
    <x v="1"/>
    <x v="5"/>
    <s v="intransitive"/>
    <s v="active"/>
    <s v="positive"/>
    <n v="1"/>
    <n v="1"/>
    <s v="SUB"/>
    <n v="1"/>
    <x v="0"/>
    <n v="3"/>
    <s v="n/a"/>
    <s v="not_applicable"/>
    <n v="0"/>
    <n v="0"/>
    <s v="n/a"/>
    <x v="3"/>
    <n v="0"/>
    <n v="0"/>
    <s v="n/a"/>
    <s v="n/a"/>
    <n v="0"/>
    <x v="3"/>
    <s v="main"/>
    <s v="ds"/>
    <x v="1"/>
    <s v="topic-drop"/>
    <s v="contains_new"/>
    <s v="Adjectival predicate; subject = 色."/>
    <m/>
    <x v="0"/>
  </r>
  <r>
    <x v="84"/>
    <s v="見る人黒帥とぞ申しける (miru hito kurosotsu to zo mōshikeru)"/>
    <s v="people called him 'kuro-sotsu',"/>
    <s v="申しける"/>
    <s v="indicative"/>
    <x v="2"/>
    <x v="1"/>
    <s v="transitive"/>
    <s v="active"/>
    <s v="positive"/>
    <n v="1"/>
    <n v="2"/>
    <s v="S+O"/>
    <n v="0"/>
    <x v="0"/>
    <n v="3"/>
    <s v="overt"/>
    <s v="n/a"/>
    <n v="0"/>
    <n v="0"/>
    <s v="n/a"/>
    <x v="2"/>
    <n v="1"/>
    <n v="0"/>
    <s v="n/a"/>
    <s v="lexical_humble_verb"/>
    <n v="0"/>
    <x v="2"/>
    <s v="subordinate"/>
    <s v="ds"/>
    <x v="0"/>
    <s v="topic-drop"/>
    <s v="contains_new"/>
    <s v="申す humble; subject overt; counted as EXALT INSIG."/>
    <m/>
    <x v="2"/>
  </r>
  <r>
    <x v="85"/>
    <s v="その人未だ蔵人頭たりし時 (sono hito imada kurōdo no tō tarishi toki)"/>
    <s v="and while he was still Kurando-no-to, "/>
    <s v="たりし"/>
    <s v="indicative"/>
    <x v="0"/>
    <x v="0"/>
    <s v="intransitive"/>
    <s v="active"/>
    <s v="positive"/>
    <n v="1"/>
    <n v="1"/>
    <s v="SUB"/>
    <n v="0"/>
    <x v="0"/>
    <n v="3"/>
    <s v="n/a"/>
    <s v="n/a"/>
    <n v="0"/>
    <n v="0"/>
    <s v="REL"/>
    <x v="3"/>
    <n v="0"/>
    <n v="0"/>
    <s v="n/a"/>
    <s v="honorific_aux"/>
    <n v="0"/>
    <x v="0"/>
    <s v="main"/>
    <s v="ss"/>
    <x v="0"/>
    <s v="topic-continued"/>
    <s v="no_overt_NP"/>
    <m/>
    <m/>
    <x v="0"/>
  </r>
  <r>
    <x v="86"/>
    <s v="五節に舞はれけるに gosechi ni mawarekeru ni"/>
    <s v="when he danced at the Go-sechie,"/>
    <s v="舞はれける"/>
    <s v="indicative"/>
    <x v="2"/>
    <x v="1"/>
    <s v="intransitive"/>
    <s v="active"/>
    <s v="positive"/>
    <n v="1"/>
    <n v="0"/>
    <s v="n/a"/>
    <n v="0"/>
    <x v="2"/>
    <n v="3"/>
    <s v="n/a"/>
    <s v="n/a"/>
    <n v="0"/>
    <n v="0"/>
    <s v="REL"/>
    <x v="3"/>
    <n v="0"/>
    <n v="1"/>
    <s v="sub"/>
    <s v="lexical_honorific_verb"/>
    <n v="0"/>
    <x v="0"/>
    <s v="subordinate"/>
    <s v="ss"/>
    <x v="1"/>
    <s v="topic-drop"/>
    <s v="no_overt_NP"/>
    <m/>
    <m/>
    <x v="1"/>
  </r>
  <r>
    <x v="87"/>
    <s v="人々拍子を変へて (hitobito hyōshi o kaete)"/>
    <s v="they changed the rhythm of the music"/>
    <s v="変へて"/>
    <s v="indicative"/>
    <x v="1"/>
    <x v="1"/>
    <s v="transitive"/>
    <s v="active"/>
    <s v="positive"/>
    <n v="1"/>
    <n v="2"/>
    <s v="S+O"/>
    <n v="0"/>
    <x v="0"/>
    <n v="3"/>
    <s v="overt"/>
    <s v="n/a"/>
    <n v="0"/>
    <n v="0"/>
    <s v="n/a"/>
    <x v="1"/>
    <n v="0"/>
    <n v="0"/>
    <s v="n/a"/>
    <s v="n/a"/>
    <n v="0"/>
    <x v="1"/>
    <s v="subordinate"/>
    <s v="ds"/>
    <x v="0"/>
    <s v="topic-drop"/>
    <s v="contains_new"/>
    <m/>
    <m/>
    <x v="2"/>
  </r>
  <r>
    <x v="88"/>
    <s v="あなくろくろ黒き頭かな (ana kuro kuro kuroki atama kana)"/>
    <s v="&quot;Oh what a black, black head!&quot;"/>
    <s v="N/A (exclamatory nominal clause)"/>
    <s v="indicative"/>
    <x v="1"/>
    <x v="10"/>
    <s v="intransitive"/>
    <m/>
    <m/>
    <n v="0"/>
    <n v="1"/>
    <s v="SUB"/>
    <n v="0"/>
    <x v="0"/>
    <n v="3"/>
    <s v="n/a"/>
    <s v="n/a"/>
    <n v="0"/>
    <n v="0"/>
    <s v="n/a"/>
    <x v="2"/>
    <n v="0"/>
    <n v="0"/>
    <s v="n/a"/>
    <s v="n/a"/>
    <n v="0"/>
    <x v="2"/>
    <s v="te"/>
    <s v="ss"/>
    <x v="1"/>
    <s v="topic-drop"/>
    <s v="contains_new"/>
    <m/>
    <m/>
    <x v="3"/>
  </r>
  <r>
    <x v="89"/>
    <s v="いかなる人の漆塗りけんとぞ (ikanaru hito no urushinuriken to zo )"/>
    <s v="&quot;someone must have painted him with lacquer&quot;"/>
    <s v="漆塗りけん"/>
    <s v="epistemic"/>
    <x v="1"/>
    <x v="1"/>
    <s v="transitive"/>
    <s v="active"/>
    <s v="positive"/>
    <n v="1"/>
    <n v="2"/>
    <s v="S+O"/>
    <n v="0"/>
    <x v="0"/>
    <n v="3"/>
    <s v="overt"/>
    <s v="n/a"/>
    <n v="0"/>
    <n v="0"/>
    <s v="n/a"/>
    <x v="6"/>
    <n v="0"/>
    <n v="0"/>
    <s v="n/a"/>
    <s v="n/a"/>
    <n v="0"/>
    <x v="4"/>
    <s v="main"/>
    <s v="ds"/>
    <x v="1"/>
    <s v="topic-drop"/>
    <s v="contains_new"/>
    <m/>
    <m/>
    <x v="2"/>
  </r>
  <r>
    <x v="90"/>
    <s v="囃されける (hayasarekeru)"/>
    <s v="they sang in mockery."/>
    <s v="囃されける"/>
    <s v="indicative"/>
    <x v="5"/>
    <x v="1"/>
    <s v="transitive"/>
    <s v="active"/>
    <s v="positive"/>
    <n v="1"/>
    <n v="1"/>
    <s v="O (Speech)"/>
    <n v="0"/>
    <x v="2"/>
    <n v="3"/>
    <s v="overt"/>
    <s v="n/a"/>
    <n v="0"/>
    <n v="0"/>
    <s v="n/a"/>
    <x v="2"/>
    <n v="0"/>
    <n v="1"/>
    <s v="sub"/>
    <s v="honorific_aux"/>
    <n v="0"/>
    <x v="2"/>
    <s v="complement"/>
    <s v="ds"/>
    <x v="1"/>
    <s v="topic-drop"/>
    <s v="no_overt_NP"/>
    <m/>
    <m/>
    <x v="0"/>
  </r>
  <r>
    <x v="91"/>
    <s v="また花山院前太政大臣忠雅公未だ十歳と申しし時 (mata Kazanin no saki no Daijōdaijin Tadamasa kō imada jissai to mōshi shi toki)"/>
    <s v="Also, when Prince Tadamasa of the Kazan-in, the former Prime Minister, was only ten years old,"/>
    <s v="申しし"/>
    <s v="indicative"/>
    <x v="2"/>
    <x v="1"/>
    <s v="intransitive"/>
    <s v="active"/>
    <s v="positive"/>
    <n v="1"/>
    <n v="1"/>
    <s v="SUB"/>
    <n v="1"/>
    <x v="0"/>
    <n v="3"/>
    <s v="n/a"/>
    <s v="n/a"/>
    <n v="0"/>
    <n v="0"/>
    <s v="n/a"/>
    <x v="3"/>
    <n v="1"/>
    <n v="0"/>
    <s v="sub"/>
    <s v="lexical_humble_verb"/>
    <n v="0"/>
    <x v="0"/>
    <s v="main"/>
    <s v="ds"/>
    <x v="0"/>
    <s v="topic-introduced"/>
    <s v="contains_new"/>
    <m/>
    <m/>
    <x v="0"/>
  </r>
  <r>
    <x v="92"/>
    <s v="父中納言忠宗卿に後れ給ひて (chichi Chūnagon Tadamune kyō ni okure tamai te)"/>
    <s v="having lost his father, Chunagon Tadamune,"/>
    <s v="後れ給ひて"/>
    <s v="indicative"/>
    <x v="2"/>
    <x v="1"/>
    <s v="intransitive"/>
    <s v="active"/>
    <s v="positive"/>
    <n v="1"/>
    <n v="1"/>
    <s v="IO"/>
    <n v="0"/>
    <x v="2"/>
    <n v="3"/>
    <s v="n/a"/>
    <s v="overt"/>
    <n v="0"/>
    <n v="0"/>
    <s v="n/a"/>
    <x v="1"/>
    <n v="0"/>
    <n v="1"/>
    <s v="sub"/>
    <s v="lexical_honorific_verb"/>
    <n v="0"/>
    <x v="1"/>
    <s v="subordinate"/>
    <s v="ss"/>
    <x v="0"/>
    <s v="topic-introduced"/>
    <s v="contains_new"/>
    <m/>
    <m/>
    <x v="0"/>
  </r>
  <r>
    <x v="93"/>
    <s v="孤子にておはせしを (koji nite ohaseshi o)"/>
    <s v="and being left an orphan,"/>
    <s v="おはせし"/>
    <s v="indicative"/>
    <x v="2"/>
    <x v="7"/>
    <s v="intransitive"/>
    <s v="active"/>
    <s v="positive"/>
    <n v="1"/>
    <n v="0"/>
    <s v="n/a"/>
    <n v="0"/>
    <x v="2"/>
    <n v="3"/>
    <s v="n/a"/>
    <s v="n/a"/>
    <n v="0"/>
    <n v="0"/>
    <s v="REL"/>
    <x v="3"/>
    <n v="0"/>
    <n v="1"/>
    <s v="sub"/>
    <s v="lexical_honorific_verb"/>
    <n v="0"/>
    <x v="9"/>
    <s v="te"/>
    <s v="ss"/>
    <x v="1"/>
    <s v="topic-drop"/>
    <s v="contains_new"/>
    <m/>
    <m/>
    <x v="1"/>
  </r>
  <r>
    <x v="94"/>
    <s v="故中御門藤中納言家成卿未だ播磨守にておはしけるが ko-Nakamikado Fuji Chūnagon Ienari kyō imada Harima no kami nite ohasikeru ga"/>
    <s v=" by Fuji Chūnagon Ienari, then Harima no Kami,"/>
    <s v="おはしける"/>
    <s v="indicative"/>
    <x v="0"/>
    <x v="0"/>
    <s v="intransitive"/>
    <s v="active"/>
    <s v="positive"/>
    <n v="1"/>
    <n v="1"/>
    <s v="SUB"/>
    <n v="1"/>
    <x v="0"/>
    <n v="3"/>
    <s v="n/a"/>
    <s v="n/a"/>
    <n v="0"/>
    <n v="0"/>
    <s v="REL"/>
    <x v="3"/>
    <n v="1"/>
    <n v="0"/>
    <s v="sub"/>
    <s v="lexical_honorific_verb"/>
    <n v="0"/>
    <x v="9"/>
    <s v="subordinate"/>
    <s v="ds"/>
    <x v="0"/>
    <s v="topic-introduced"/>
    <s v="contains_new"/>
    <m/>
    <m/>
    <x v="0"/>
  </r>
  <r>
    <x v="95"/>
    <s v="聟に取りて muko ni torite "/>
    <s v="he was taken as son-in-law"/>
    <s v="取りて"/>
    <s v="indicative"/>
    <x v="2"/>
    <x v="1"/>
    <s v="transitive"/>
    <s v="active"/>
    <s v="positive"/>
    <n v="1"/>
    <n v="1"/>
    <s v="IO"/>
    <n v="0"/>
    <x v="1"/>
    <n v="3"/>
    <s v="zero_recoverable"/>
    <s v="overt"/>
    <n v="0"/>
    <n v="0"/>
    <s v="n/a"/>
    <x v="1"/>
    <n v="0"/>
    <n v="0"/>
    <s v="n/a"/>
    <s v="n/a"/>
    <n v="0"/>
    <x v="2"/>
    <s v="subordinate"/>
    <s v="ss"/>
    <x v="0"/>
    <s v="topic-drop"/>
    <s v="contains_new"/>
    <m/>
    <m/>
    <x v="0"/>
  </r>
  <r>
    <x v="96"/>
    <s v="華やかにもてなされければ  hanayaka ni motenasarekereba"/>
    <s v="and splendidly welcomed,"/>
    <s v="もてなされければ"/>
    <s v="indicative"/>
    <x v="2"/>
    <x v="1"/>
    <s v="intransitive"/>
    <s v="passive"/>
    <s v="positive"/>
    <n v="1"/>
    <n v="0"/>
    <s v="n/a"/>
    <n v="0"/>
    <x v="1"/>
    <n v="3"/>
    <s v="n/a"/>
    <s v="zero_recoverable"/>
    <n v="0"/>
    <n v="0"/>
    <s v="n/a"/>
    <x v="3"/>
    <n v="0"/>
    <n v="0"/>
    <s v="n/a"/>
    <s v="n/a"/>
    <n v="0"/>
    <x v="3"/>
    <s v="te"/>
    <s v="ss"/>
    <x v="1"/>
    <s v="topic-drop"/>
    <s v="contains_new"/>
    <s v="verbal sequence"/>
    <m/>
    <x v="1"/>
  </r>
  <r>
    <x v="97"/>
    <s v="これも五節には播磨の米は木賊か椋の葉か人の綺羅を磨くはとぞ (kore mo gosechi ni wa Harima no kome wa tokusa ka mukuno ha ka hito no kira o migaku wa to zo)"/>
    <s v="at that Go-sechie with the refrain ‘The rice of Harima...’"/>
    <s v="磨く"/>
    <s v="indicative"/>
    <x v="2"/>
    <x v="1"/>
    <s v="transitive"/>
    <s v="active"/>
    <s v="positive"/>
    <n v="1"/>
    <n v="2"/>
    <s v="S+O"/>
    <n v="1"/>
    <x v="0"/>
    <n v="3"/>
    <s v="overt"/>
    <s v="n/a"/>
    <n v="0"/>
    <n v="0"/>
    <s v="REL"/>
    <x v="6"/>
    <n v="0"/>
    <n v="0"/>
    <s v="n/a"/>
    <s v="honorific_aux"/>
    <n v="0"/>
    <x v="2"/>
    <s v="subordinate"/>
    <s v="ds"/>
    <x v="1"/>
    <s v="topic-drop"/>
    <s v="contains_new"/>
    <m/>
    <m/>
    <x v="2"/>
  </r>
  <r>
    <x v="98"/>
    <s v="囃されける hayasarekeru"/>
    <s v=" they also japed at him"/>
    <s v="囃されける"/>
    <s v="indicative"/>
    <x v="2"/>
    <x v="1"/>
    <s v="intransitive"/>
    <s v="passive"/>
    <s v="positive"/>
    <n v="1"/>
    <n v="0"/>
    <s v="n/a"/>
    <n v="1"/>
    <x v="1"/>
    <n v="3"/>
    <s v="n/a"/>
    <s v="n/a"/>
    <n v="0"/>
    <n v="0"/>
    <s v="kakari-musubi"/>
    <x v="2"/>
    <n v="0"/>
    <n v="0"/>
    <s v="n/a"/>
    <s v="n/a"/>
    <n v="0"/>
    <x v="4"/>
    <s v="complement"/>
    <s v="ds"/>
    <x v="1"/>
    <s v="topic-drop"/>
    <s v="no_overt_NP"/>
    <m/>
    <m/>
    <x v="1"/>
  </r>
  <r>
    <x v="99"/>
    <s v="上古にはかやうにありしかども (jōko ni wa kayō ni arishikadomo )"/>
    <s v="Long ago such things had happened, "/>
    <s v="ありし / 出で来ず"/>
    <s v="indicative"/>
    <x v="2"/>
    <x v="7"/>
    <s v="intransitive"/>
    <s v="active"/>
    <s v="positive"/>
    <n v="1"/>
    <n v="0"/>
    <s v="n/a"/>
    <n v="2"/>
    <x v="5"/>
    <n v="0"/>
    <s v="n/a"/>
    <s v="n/a"/>
    <n v="0"/>
    <n v="0"/>
    <s v="n/a"/>
    <x v="3"/>
    <n v="0"/>
    <n v="0"/>
    <s v="n/a"/>
    <s v="n/a"/>
    <n v="0"/>
    <x v="9"/>
    <s v="main"/>
    <s v="ds"/>
    <x v="1"/>
    <s v="topic-shift"/>
    <s v="contains_new"/>
    <m/>
    <m/>
    <x v="1"/>
  </r>
  <r>
    <x v="100"/>
    <s v="事出で来ず koto idekozu"/>
    <s v="but nothing had come of them,"/>
    <s v="出で来ず"/>
    <s v="indicative"/>
    <x v="0"/>
    <x v="11"/>
    <s v="intransitive"/>
    <s v="active"/>
    <s v="negative"/>
    <n v="1"/>
    <n v="1"/>
    <s v="SUB"/>
    <n v="0"/>
    <x v="0"/>
    <n v="3"/>
    <s v="n/a"/>
    <s v="n/a"/>
    <n v="0"/>
    <n v="0"/>
    <s v="n/a"/>
    <x v="3"/>
    <n v="0"/>
    <n v="0"/>
    <s v="n/a"/>
    <s v="n/a"/>
    <n v="0"/>
    <x v="2"/>
    <s v="subordinate"/>
    <s v="ds"/>
    <x v="2"/>
    <s v="topic-drop"/>
    <s v="contains_new"/>
    <m/>
    <m/>
    <x v="0"/>
  </r>
  <r>
    <x v="101"/>
    <s v="末代いかがあらんずらん (matsudai ikaga aranzuran obotsukanashi)"/>
    <s v="and people said that what was to be done"/>
    <s v="あらんずらん"/>
    <s v="epistemic"/>
    <x v="0"/>
    <x v="11"/>
    <m/>
    <m/>
    <m/>
    <m/>
    <m/>
    <m/>
    <m/>
    <x v="3"/>
    <m/>
    <m/>
    <m/>
    <m/>
    <m/>
    <m/>
    <x v="7"/>
    <m/>
    <m/>
    <s v="n/a"/>
    <s v="n/a"/>
    <m/>
    <x v="5"/>
    <s v="subordinate"/>
    <m/>
    <x v="1"/>
    <m/>
    <m/>
    <m/>
    <m/>
    <x v="3"/>
  </r>
  <r>
    <x v="102"/>
    <s v="覚束なし"/>
    <s v="was doubtful"/>
    <s v="覚束なし"/>
    <s v="indicative"/>
    <x v="4"/>
    <x v="5"/>
    <s v="intransitive"/>
    <s v="active"/>
    <s v="negative"/>
    <n v="1"/>
    <n v="0"/>
    <s v="n/a"/>
    <n v="0"/>
    <x v="5"/>
    <n v="0"/>
    <s v="n/a"/>
    <s v="n/a"/>
    <n v="0"/>
    <n v="0"/>
    <s v="n/a"/>
    <x v="2"/>
    <n v="0"/>
    <n v="0"/>
    <s v="n/a"/>
    <s v="n/a"/>
    <n v="0"/>
    <x v="2"/>
    <n v="0"/>
    <s v="ds"/>
    <x v="1"/>
    <s v="topic-drop"/>
    <s v="no_overt_NP"/>
    <m/>
    <m/>
    <x v="1"/>
  </r>
  <r>
    <x v="103"/>
    <s v="案の如く五節果てにしかば (an no gotoku gosechi hate ni shikaba)"/>
    <s v="As he had expected, after the conclusion of the festival,"/>
    <s v="果てにしかば"/>
    <s v="indicative"/>
    <x v="1"/>
    <x v="1"/>
    <s v="intransitive"/>
    <s v="active"/>
    <s v="positive"/>
    <n v="1"/>
    <n v="1"/>
    <s v="SUB"/>
    <n v="1"/>
    <x v="0"/>
    <n v="3"/>
    <s v="n/a"/>
    <s v="n/a"/>
    <n v="0"/>
    <n v="0"/>
    <s v="n/a"/>
    <x v="3"/>
    <n v="0"/>
    <n v="0"/>
    <s v="n/a"/>
    <s v="n/a"/>
    <n v="0"/>
    <x v="0"/>
    <s v="main"/>
    <s v="ds"/>
    <x v="1"/>
    <s v="topic-shift"/>
    <s v="contains_new"/>
    <m/>
    <m/>
    <x v="0"/>
  </r>
  <r>
    <x v="104"/>
    <s v="殿上人一同に訴へ申されけるは (tenjōbito ichidō ni uttaemōsarekeru wa)"/>
    <s v="all the courtiers and officials together appealed,"/>
    <s v="訴へ申されける"/>
    <s v="indicative"/>
    <x v="1"/>
    <x v="1"/>
    <s v="transitive"/>
    <s v="active"/>
    <s v="positive"/>
    <n v="1"/>
    <n v="1"/>
    <s v="SUB"/>
    <n v="1"/>
    <x v="0"/>
    <n v="3"/>
    <s v="zero_other"/>
    <s v="n/a"/>
    <n v="0"/>
    <n v="0"/>
    <s v="SUB"/>
    <x v="3"/>
    <n v="1"/>
    <n v="0"/>
    <s v="sub"/>
    <s v="honorific_aux+lexical_humble_verb"/>
    <n v="0"/>
    <x v="2"/>
    <s v="subordinate"/>
    <s v="ds"/>
    <x v="1"/>
    <s v="topic-drop"/>
    <s v="contains_new"/>
    <s v="nominalisation"/>
    <m/>
    <x v="0"/>
  </r>
  <r>
    <x v="105"/>
    <s v="それ雄剣を帯して (sore yūken o tai shitei)"/>
    <s v="that wearing a sword"/>
    <s v="帯して "/>
    <s v="indicative"/>
    <x v="2"/>
    <x v="3"/>
    <s v="transitive"/>
    <s v="active"/>
    <s v="positive"/>
    <n v="1"/>
    <n v="1"/>
    <s v="OBJ"/>
    <n v="0"/>
    <x v="1"/>
    <n v="3"/>
    <s v="overt"/>
    <s v="n/a"/>
    <n v="0"/>
    <n v="0"/>
    <s v="n/a"/>
    <x v="1"/>
    <n v="0"/>
    <n v="0"/>
    <s v="n/a"/>
    <s v="n/a"/>
    <n v="0"/>
    <x v="2"/>
    <s v="subordinate"/>
    <s v="ds"/>
    <x v="0"/>
    <s v="topic-drop"/>
    <s v="contains_new"/>
    <m/>
    <m/>
    <x v="0"/>
  </r>
  <r>
    <x v="106"/>
    <s v="公宴に列し  kōen ni res shi"/>
    <s v=" coming to a Court entertainment "/>
    <s v="列し"/>
    <s v="indicative"/>
    <x v="3"/>
    <x v="3"/>
    <s v="intransitive"/>
    <s v="active"/>
    <s v="positive"/>
    <n v="1"/>
    <n v="1"/>
    <s v="IO"/>
    <n v="0"/>
    <x v="1"/>
    <n v="3"/>
    <s v="none"/>
    <s v="overt"/>
    <n v="0"/>
    <n v="0"/>
    <s v="n/a"/>
    <x v="1"/>
    <n v="0"/>
    <n v="0"/>
    <s v="n/a"/>
    <s v="n/a"/>
    <n v="0"/>
    <x v="2"/>
    <s v="te"/>
    <s v="ss"/>
    <x v="0"/>
    <s v="topic-drop"/>
    <s v="contains_new"/>
    <m/>
    <m/>
    <x v="0"/>
  </r>
  <r>
    <x v="107"/>
    <s v="兵仗を賜はりて  hyōjō o tamawari te "/>
    <s v="and bearing arms "/>
    <s v="賜はりて"/>
    <s v="indicative"/>
    <x v="2"/>
    <x v="1"/>
    <s v="transitive"/>
    <s v="active"/>
    <s v="positive"/>
    <n v="1"/>
    <n v="1"/>
    <s v="OBJ"/>
    <n v="0"/>
    <x v="2"/>
    <n v="3"/>
    <s v="overt"/>
    <s v="n/a"/>
    <n v="0"/>
    <n v="0"/>
    <s v="n/a"/>
    <x v="1"/>
    <n v="0"/>
    <n v="1"/>
    <s v="sub"/>
    <s v="lexical_humble_verb"/>
    <n v="0"/>
    <x v="2"/>
    <s v="te"/>
    <s v="ss"/>
    <x v="0"/>
    <s v="topic-drop"/>
    <s v="contains_new"/>
    <m/>
    <m/>
    <x v="0"/>
  </r>
  <r>
    <x v="108"/>
    <s v="宮中を出入りするは kyūchū o ideiri suru wa "/>
    <s v="when passing in and out of the Palace"/>
    <s v="出入りする"/>
    <s v="indicative"/>
    <x v="3"/>
    <x v="1"/>
    <s v="transitive"/>
    <s v="active"/>
    <s v="positive"/>
    <n v="1"/>
    <n v="1"/>
    <s v="OBJ"/>
    <n v="0"/>
    <x v="1"/>
    <n v="3"/>
    <s v="overt"/>
    <s v="n/a"/>
    <n v="0"/>
    <n v="0"/>
    <s v="SUB"/>
    <x v="3"/>
    <n v="0"/>
    <n v="0"/>
    <s v="n/a"/>
    <s v="n/a"/>
    <n v="0"/>
    <x v="2"/>
    <s v="te"/>
    <s v="ss"/>
    <x v="1"/>
    <s v="topic-drop"/>
    <s v="contains_new"/>
    <s v="nominalisation"/>
    <m/>
    <x v="0"/>
  </r>
  <r>
    <x v="109"/>
    <s v="皆格式の礼を守る mina kakushiki no rei o mamoru"/>
    <s v=" is according to ancient precedent,"/>
    <s v="守る"/>
    <s v="indicative"/>
    <x v="2"/>
    <x v="1"/>
    <s v="transitive"/>
    <s v="active"/>
    <s v="positive"/>
    <n v="1"/>
    <n v="2"/>
    <s v="S+O"/>
    <n v="0"/>
    <x v="0"/>
    <n v="3"/>
    <s v="overt"/>
    <s v="n/a"/>
    <n v="0"/>
    <n v="1"/>
    <s v="REL"/>
    <x v="0"/>
    <n v="0"/>
    <n v="0"/>
    <s v="n/a"/>
    <s v="n/a"/>
    <n v="0"/>
    <x v="2"/>
    <s v="subordinate"/>
    <s v="ds"/>
    <x v="1"/>
    <s v="topic-drop"/>
    <s v="contains_new"/>
    <m/>
    <m/>
    <x v="2"/>
  </r>
  <r>
    <x v="110"/>
    <s v="綸命由ある  rinmei yoshi aru "/>
    <m/>
    <s v="ある"/>
    <s v="indicative"/>
    <x v="0"/>
    <x v="7"/>
    <s v="intransitive"/>
    <s v="active"/>
    <s v="positive"/>
    <n v="1"/>
    <n v="1"/>
    <s v="SUB"/>
    <n v="0"/>
    <x v="0"/>
    <n v="3"/>
    <s v="n/a"/>
    <s v="n/a"/>
    <n v="0"/>
    <n v="1"/>
    <s v="REL"/>
    <x v="0"/>
    <n v="0"/>
    <n v="0"/>
    <s v="n/a"/>
    <s v="n/a"/>
    <n v="0"/>
    <x v="2"/>
    <s v="relative"/>
    <s v="ds"/>
    <x v="4"/>
    <s v="topic-drop"/>
    <s v="contains_new"/>
    <m/>
    <m/>
    <x v="0"/>
  </r>
  <r>
    <x v="111"/>
    <s v="先規なり senki nari"/>
    <m/>
    <s v="なり"/>
    <s v="indicative"/>
    <x v="0"/>
    <x v="0"/>
    <s v="intransitive"/>
    <s v="active"/>
    <s v="positive"/>
    <n v="1"/>
    <n v="0"/>
    <s v="n/a"/>
    <n v="0"/>
    <x v="6"/>
    <n v="0"/>
    <s v="n/a"/>
    <s v="n/a"/>
    <n v="0"/>
    <n v="0"/>
    <s v="n/a"/>
    <x v="8"/>
    <n v="0"/>
    <n v="0"/>
    <s v="n/a"/>
    <s v="n/a"/>
    <n v="0"/>
    <x v="2"/>
    <s v="relative"/>
    <s v="n/a"/>
    <x v="1"/>
    <s v="topic-drop"/>
    <s v="no_overt_NP"/>
    <m/>
    <m/>
    <x v="1"/>
  </r>
  <r>
    <x v="112"/>
    <s v="然るを忠盛朝臣或いは相伝の郎従と号して (shikaru o Tadamori ason arui wa sōden no rōjū to gō shite)"/>
    <s v="but Ason Tadamori, calling a certain common soldier his hereditary retainer,"/>
    <s v="号して"/>
    <s v="indicative"/>
    <x v="2"/>
    <x v="1"/>
    <s v="transitive"/>
    <s v="active"/>
    <s v="positive"/>
    <n v="1"/>
    <n v="2"/>
    <s v="S+O"/>
    <n v="1"/>
    <x v="0"/>
    <n v="3"/>
    <s v="overt"/>
    <s v="n/a"/>
    <n v="0"/>
    <n v="0"/>
    <s v="n/a"/>
    <x v="1"/>
    <n v="0"/>
    <n v="0"/>
    <s v="n/a"/>
    <s v="n/a"/>
    <n v="0"/>
    <x v="9"/>
    <s v="none"/>
    <s v="ds"/>
    <x v="0"/>
    <s v="topic-shift"/>
    <s v="contains_new"/>
    <m/>
    <m/>
    <x v="2"/>
  </r>
  <r>
    <x v="113"/>
    <s v="布衣の兵を殿上の小庭に召し置き (hoi no hyō o tenjō no koniwa ni meshioki)"/>
    <s v=" and placing him in the small courtyard of the Palace,"/>
    <s v="召し置き"/>
    <s v="indicative"/>
    <x v="2"/>
    <x v="1"/>
    <s v="transitive"/>
    <s v="active"/>
    <s v="positive"/>
    <n v="1"/>
    <n v="2"/>
    <s v="O+IO"/>
    <n v="0"/>
    <x v="2"/>
    <n v="3"/>
    <s v="overt"/>
    <s v="overt"/>
    <n v="0"/>
    <n v="0"/>
    <s v="n/a"/>
    <x v="5"/>
    <n v="0"/>
    <n v="1"/>
    <s v="sub"/>
    <s v="lexical_honorific_verb"/>
    <n v="0"/>
    <x v="2"/>
    <s v="te"/>
    <s v="ss"/>
    <x v="0"/>
    <s v="topic-drop"/>
    <s v="contains_new"/>
    <m/>
    <m/>
    <x v="2"/>
  </r>
  <r>
    <x v="114"/>
    <s v="或いは腰の刀を横へ差いて (arui wa koshi no katana o yokoe saite)"/>
    <s v="wearing a sword at his side,"/>
    <s v="差いて"/>
    <s v="indicative"/>
    <x v="1"/>
    <x v="1"/>
    <s v="transitive"/>
    <s v="active"/>
    <s v="positive"/>
    <n v="1"/>
    <n v="3"/>
    <s v="S+O+IO"/>
    <n v="2"/>
    <x v="0"/>
    <n v="3"/>
    <s v="overt"/>
    <s v="overt"/>
    <n v="0"/>
    <n v="0"/>
    <s v="n/a"/>
    <x v="1"/>
    <n v="0"/>
    <n v="0"/>
    <s v="n/a"/>
    <s v="n/a"/>
    <n v="0"/>
    <x v="2"/>
    <s v="inf"/>
    <s v="ss"/>
    <x v="0"/>
    <s v="topic-drop"/>
    <s v="contains_new"/>
    <m/>
    <m/>
    <x v="4"/>
  </r>
  <r>
    <x v="115"/>
    <s v="節会の座に列なる setsue no za ni tsuranaru"/>
    <s v="and coming to the festival seat "/>
    <s v="列なる"/>
    <s v="indicative"/>
    <x v="1"/>
    <x v="1"/>
    <s v="intransitive"/>
    <s v="active"/>
    <s v="positive"/>
    <n v="1"/>
    <n v="1"/>
    <s v="IO"/>
    <n v="0"/>
    <x v="1"/>
    <n v="3"/>
    <s v="none"/>
    <s v="overt"/>
    <n v="0"/>
    <n v="1"/>
    <s v="REL"/>
    <x v="0"/>
    <n v="0"/>
    <n v="0"/>
    <s v="n/a"/>
    <s v="n/a"/>
    <n v="0"/>
    <x v="2"/>
    <s v="te"/>
    <s v="ss"/>
    <x v="4"/>
    <s v="topic-drop"/>
    <s v="contains_new"/>
    <m/>
    <m/>
    <x v="0"/>
  </r>
  <r>
    <x v="116"/>
    <s v="[両条稀代]未だ聞かざる (ryōjō kidai imada kikazaru)"/>
    <s v="both acts are unheard-of,"/>
    <s v="聞かざる"/>
    <s v="indicative"/>
    <x v="2"/>
    <x v="1"/>
    <s v="transitive"/>
    <s v="active"/>
    <s v="negative"/>
    <n v="1"/>
    <n v="0"/>
    <s v="n/a"/>
    <n v="1"/>
    <x v="4"/>
    <n v="3"/>
    <s v="n/a"/>
    <s v="n/a"/>
    <n v="1"/>
    <n v="0"/>
    <s v="REL"/>
    <x v="0"/>
    <n v="0"/>
    <n v="0"/>
    <s v="n/a"/>
    <s v="n/a"/>
    <n v="0"/>
    <x v="2"/>
    <s v="relative"/>
    <s v="n/a"/>
    <x v="1"/>
    <s v="topic-drop"/>
    <s v="contains_new"/>
    <m/>
    <m/>
    <x v="1"/>
  </r>
  <r>
    <x v="117"/>
    <s v="狼藉なり rōzaku nari"/>
    <s v="disorderliness"/>
    <s v="狼藉なり"/>
    <s v="indicative"/>
    <x v="0"/>
    <x v="0"/>
    <s v="intransitive"/>
    <s v="active"/>
    <s v="positive"/>
    <n v="1"/>
    <n v="1"/>
    <s v="SUB"/>
    <n v="0"/>
    <x v="0"/>
    <n v="3"/>
    <s v="n/a"/>
    <s v="n/a"/>
    <n v="0"/>
    <n v="0"/>
    <s v="n/a"/>
    <x v="2"/>
    <n v="0"/>
    <n v="0"/>
    <s v="n/a"/>
    <s v="n/a"/>
    <n v="0"/>
    <x v="2"/>
    <s v="relative"/>
    <s v="ds"/>
    <x v="1"/>
    <s v="topic-drop"/>
    <s v="contains_new"/>
    <m/>
    <m/>
    <x v="0"/>
  </r>
  <r>
    <x v="118"/>
    <s v="事既に重畳せり (koto sudeni chōjō seri)"/>
    <s v="indeed, one crime piled on another,"/>
    <s v="重畳せり"/>
    <s v="indicative"/>
    <x v="1"/>
    <x v="3"/>
    <s v="intransitive"/>
    <s v="active"/>
    <s v="positive"/>
    <n v="1"/>
    <n v="1"/>
    <s v="SUB"/>
    <n v="1"/>
    <x v="0"/>
    <n v="3"/>
    <s v="n/a"/>
    <s v="n/a"/>
    <n v="0"/>
    <n v="0"/>
    <s v="n/a"/>
    <x v="5"/>
    <n v="0"/>
    <n v="0"/>
    <s v="n/a"/>
    <s v="n/a"/>
    <n v="0"/>
    <x v="2"/>
    <s v="main"/>
    <s v="ds"/>
    <x v="0"/>
    <s v="topic-drop"/>
    <s v="all given"/>
    <m/>
    <m/>
    <x v="0"/>
  </r>
  <r>
    <x v="119"/>
    <s v="罪科尤も遁れ難し (tsumitoga mottomo nogaregatashi)"/>
    <s v="a charge he would find difficult to escape."/>
    <s v="遁れ難し"/>
    <s v="dynamic"/>
    <x v="0"/>
    <x v="1"/>
    <s v="transitive"/>
    <s v="active"/>
    <s v="positive"/>
    <n v="1"/>
    <n v="1"/>
    <s v="SUB"/>
    <n v="0"/>
    <x v="0"/>
    <n v="3"/>
    <s v="overt"/>
    <s v="n/a"/>
    <n v="0"/>
    <n v="0"/>
    <s v="n/a"/>
    <x v="2"/>
    <n v="0"/>
    <n v="0"/>
    <s v="n/a"/>
    <s v="n/a"/>
    <n v="0"/>
    <x v="2"/>
    <s v="inf"/>
    <s v="ss"/>
    <x v="1"/>
    <s v="topic-drop"/>
    <s v="contains_new"/>
    <m/>
    <m/>
    <x v="0"/>
  </r>
  <r>
    <x v="120"/>
    <s v="早く殿上の御札を削りて (hayaku tenjō no mifuda o kezurite)"/>
    <s v="they petitioned that his name be erased from the list of Courtiers"/>
    <s v="削りて "/>
    <s v="indicative"/>
    <x v="2"/>
    <x v="1"/>
    <s v="transitive"/>
    <s v="active"/>
    <s v="positive"/>
    <n v="1"/>
    <n v="1"/>
    <s v="OBJ"/>
    <n v="0"/>
    <x v="4"/>
    <n v="3"/>
    <s v="overt"/>
    <s v="n/a"/>
    <n v="0"/>
    <n v="0"/>
    <s v="n/a"/>
    <x v="1"/>
    <n v="0"/>
    <n v="0"/>
    <s v="n/a"/>
    <s v="n/a"/>
    <n v="0"/>
    <x v="2"/>
    <s v="main"/>
    <s v="ds"/>
    <x v="0"/>
    <s v="topic-drop"/>
    <s v="contains_new"/>
    <m/>
    <m/>
    <x v="0"/>
  </r>
  <r>
    <x v="121"/>
    <s v="欠官停任せらるべき (kekkan teinin seraru beki yoshi)"/>
    <s v=" and he be deprived of rank and office,"/>
    <s v="停任せらるべき"/>
    <s v="deontic"/>
    <x v="2"/>
    <x v="3"/>
    <s v="intransitive"/>
    <s v="passive"/>
    <s v="positive"/>
    <n v="1"/>
    <n v="0"/>
    <s v="n/a"/>
    <n v="0"/>
    <x v="1"/>
    <n v="3"/>
    <s v="n/a"/>
    <s v="n/a"/>
    <n v="0"/>
    <n v="1"/>
    <s v="REL"/>
    <x v="0"/>
    <n v="0"/>
    <n v="0"/>
    <s v="n/a"/>
    <s v="n/a"/>
    <n v="0"/>
    <x v="2"/>
    <s v="te"/>
    <s v="ss"/>
    <x v="1"/>
    <s v="topic-drop"/>
    <s v="no_overt_NP"/>
    <m/>
    <m/>
    <x v="1"/>
  </r>
  <r>
    <x v="122"/>
    <s v="由諸卿一同に訴へ申されければ (yoshi shokyō ichidō ni uttaemōsarekereba)"/>
    <s v="and all the Court Nobles together petitioned,"/>
    <s v="訴へ申されければ"/>
    <s v="indicative"/>
    <x v="2"/>
    <x v="1"/>
    <s v="transitive"/>
    <s v="active"/>
    <s v="positive"/>
    <n v="1"/>
    <n v="2"/>
    <s v="S+O"/>
    <n v="1"/>
    <x v="0"/>
    <n v="3"/>
    <s v="overt"/>
    <s v="n/a"/>
    <n v="0"/>
    <n v="0"/>
    <s v="n/a"/>
    <x v="3"/>
    <n v="1"/>
    <n v="0"/>
    <s v="sub"/>
    <s v="honorific_aux+lexical_honorific_verb"/>
    <n v="0"/>
    <x v="0"/>
    <s v="relative"/>
    <s v="ds"/>
    <x v="1"/>
    <s v="topic-drop"/>
    <s v="contains_new"/>
    <m/>
    <m/>
    <x v="2"/>
  </r>
  <r>
    <x v="123"/>
    <s v="上皇大きに驚かせ給ひて (Jōkō ōki ni odorokase tamai te)"/>
    <s v="His Majesty the Mikado, greatly surprised,"/>
    <s v="驚かせ給ひて"/>
    <s v="indicative"/>
    <x v="2"/>
    <x v="1"/>
    <s v="intransitive"/>
    <s v="active"/>
    <s v="positive"/>
    <n v="1"/>
    <n v="1"/>
    <s v="SUB"/>
    <n v="0"/>
    <x v="0"/>
    <n v="3"/>
    <s v="n/a"/>
    <s v="n/a"/>
    <n v="0"/>
    <n v="0"/>
    <s v="n/a"/>
    <x v="1"/>
    <n v="1"/>
    <n v="0"/>
    <s v="sub"/>
    <s v="honorific_aux+lexical_honorific_verb"/>
    <n v="0"/>
    <x v="2"/>
    <s v="subordinate"/>
    <s v="ds"/>
    <x v="0"/>
    <s v="topic-drop"/>
    <s v="contains_new"/>
    <m/>
    <m/>
    <x v="0"/>
  </r>
  <r>
    <x v="124"/>
    <s v="忠盛を召して (Tadamori o meshite)"/>
    <s v="ordered Tadamori into his Presence,"/>
    <s v="召して"/>
    <s v="indicative"/>
    <x v="2"/>
    <x v="1"/>
    <s v="intransitive"/>
    <s v="active"/>
    <s v="positive"/>
    <n v="1"/>
    <n v="1"/>
    <s v="OBJ"/>
    <n v="0"/>
    <x v="2"/>
    <n v="3"/>
    <s v="overt"/>
    <s v="n/a"/>
    <n v="0"/>
    <n v="0"/>
    <s v="n/a"/>
    <x v="1"/>
    <n v="0"/>
    <n v="1"/>
    <s v="sub"/>
    <s v="lexical_honorific_verb"/>
    <n v="0"/>
    <x v="2"/>
    <s v="te"/>
    <s v="ss"/>
    <x v="1"/>
    <s v="topic-drop"/>
    <s v="contains_new"/>
    <m/>
    <m/>
    <x v="0"/>
  </r>
  <r>
    <x v="125"/>
    <s v="御尋ねあり o-tazune ari"/>
    <s v=" to make examination into the affair"/>
    <s v="御尋ねあり"/>
    <s v="indicative"/>
    <x v="2"/>
    <x v="1"/>
    <s v="intransitive"/>
    <s v="active"/>
    <s v="positive"/>
    <n v="1"/>
    <n v="1"/>
    <s v="SUB"/>
    <n v="0"/>
    <x v="0"/>
    <n v="3"/>
    <s v="n/a"/>
    <s v="n/a"/>
    <n v="0"/>
    <n v="0"/>
    <s v="n/a"/>
    <x v="2"/>
    <n v="1"/>
    <n v="0"/>
    <s v="sub"/>
    <s v="honorific prefix"/>
    <n v="1"/>
    <x v="2"/>
    <s v="te"/>
    <s v="ds"/>
    <x v="1"/>
    <s v="topic-drop"/>
    <s v="contains_new"/>
    <m/>
    <m/>
    <x v="0"/>
  </r>
  <r>
    <x v="126"/>
    <s v="陳じ申されけるは (chinji mōsarekeru wa)"/>
    <s v="in his reply he stated that,"/>
    <s v="申されける"/>
    <s v="indicative"/>
    <x v="2"/>
    <x v="1"/>
    <s v="transitive"/>
    <s v="active"/>
    <s v="positive"/>
    <n v="1"/>
    <n v="0"/>
    <s v="n/a"/>
    <n v="0"/>
    <x v="2"/>
    <n v="3"/>
    <s v="zero_other"/>
    <s v="n/a"/>
    <n v="0"/>
    <n v="0"/>
    <s v="SUB"/>
    <x v="3"/>
    <n v="0"/>
    <n v="1"/>
    <s v="sub"/>
    <s v="honorific_aux+lexical_humble_verb"/>
    <n v="0"/>
    <x v="2"/>
    <s v="main"/>
    <s v="ds"/>
    <x v="0"/>
    <s v="topic-drop"/>
    <s v="no_overt_NP"/>
    <s v="nominalisation"/>
    <m/>
    <x v="1"/>
  </r>
  <r>
    <x v="127"/>
    <s v="まづ郎従小庭に伺候の由全く覚悟仕らず (mazu rōjū koniwa ni shikō no yoshi mattaku kakugo tsukamatsurazu)"/>
    <s v="as to the presence of his retainer in the Palace, he certainly knew nothing about it,"/>
    <s v="覚悟仕らず"/>
    <s v="indicative"/>
    <x v="2"/>
    <x v="3"/>
    <s v="transitive"/>
    <s v="active"/>
    <s v="negative"/>
    <n v="1"/>
    <n v="1"/>
    <s v="OBJ"/>
    <n v="2"/>
    <x v="2"/>
    <n v="3"/>
    <s v="overt"/>
    <s v="n/a"/>
    <n v="0"/>
    <n v="0"/>
    <s v="n/a"/>
    <x v="3"/>
    <n v="0"/>
    <n v="1"/>
    <s v="sub"/>
    <s v="lexical_humble_verb"/>
    <n v="0"/>
    <x v="2"/>
    <s v="subordinate"/>
    <s v="ss"/>
    <x v="1"/>
    <s v="topic-drop"/>
    <s v="contains_new"/>
    <m/>
    <m/>
    <x v="0"/>
  </r>
  <r>
    <x v="128"/>
    <s v="但し近日人々相巧まるる (tadashi kinjitsu hitobito ai-takuramaruru)"/>
    <s v=" [...]  the designs that people were plotting,"/>
    <s v="巧まるる"/>
    <s v="indicative"/>
    <x v="2"/>
    <x v="1"/>
    <s v="transitive"/>
    <s v="active"/>
    <s v="positive"/>
    <n v="1"/>
    <n v="1"/>
    <s v="SUB"/>
    <n v="1"/>
    <x v="0"/>
    <n v="3"/>
    <s v="zero_other"/>
    <s v="n/a"/>
    <n v="0"/>
    <n v="0"/>
    <s v="REL"/>
    <x v="0"/>
    <n v="1"/>
    <n v="0"/>
    <s v="sub"/>
    <s v="honorific_aux"/>
    <n v="0"/>
    <x v="2"/>
    <s v="subordinate"/>
    <s v="ds"/>
    <x v="1"/>
    <s v="topic-drop"/>
    <s v="contains_new"/>
    <m/>
    <m/>
    <x v="0"/>
  </r>
  <r>
    <x v="129"/>
    <s v="旨子細あるかの間 mune shisai aru ka no aida "/>
    <s v="[…] had lately heard of"/>
    <s v="ある"/>
    <s v="indicative"/>
    <x v="0"/>
    <x v="7"/>
    <s v="intransitive"/>
    <s v="active"/>
    <s v="positive"/>
    <n v="1"/>
    <n v="1"/>
    <s v="SUB"/>
    <n v="1"/>
    <x v="0"/>
    <n v="3"/>
    <s v="n/a"/>
    <s v="n/a"/>
    <n v="0"/>
    <n v="0"/>
    <s v="n/a"/>
    <x v="3"/>
    <n v="0"/>
    <n v="0"/>
    <s v="n/a"/>
    <s v="n/a"/>
    <n v="0"/>
    <x v="0"/>
    <s v="relative"/>
    <s v="ds"/>
    <x v="0"/>
    <s v="topic-drop"/>
    <s v="contains_new"/>
    <m/>
    <m/>
    <x v="0"/>
  </r>
  <r>
    <x v="130"/>
    <s v="年来の家人事を伝へ聞くかによつて (nenrai no kenin goto o tsutae kiku ka ni yotte)"/>
    <s v=" if his retainers"/>
    <s v="伝へ聞く"/>
    <s v="indicative"/>
    <x v="6"/>
    <x v="12"/>
    <s v="transitive"/>
    <s v="active"/>
    <s v="positive"/>
    <n v="1"/>
    <n v="2"/>
    <s v="S+O"/>
    <n v="1"/>
    <x v="0"/>
    <n v="3"/>
    <s v="overt"/>
    <s v="n/a"/>
    <n v="0"/>
    <n v="0"/>
    <s v="n/a"/>
    <x v="3"/>
    <n v="0"/>
    <n v="0"/>
    <s v="n/a"/>
    <s v="n/a"/>
    <n v="0"/>
    <x v="1"/>
    <s v="subordinate"/>
    <s v="ss"/>
    <x v="0"/>
    <s v="topic-drop"/>
    <s v="contains_new"/>
    <m/>
    <m/>
    <x v="2"/>
  </r>
  <r>
    <x v="131"/>
    <s v="その恥を助けんが為に (sono haji o tasuken ga tame ni)"/>
    <s v="and in order to help him against such dishonour,  intending to prevent dishonour,"/>
    <s v="助けん"/>
    <s v="dynamic"/>
    <x v="1"/>
    <x v="1"/>
    <s v="transitive"/>
    <s v="active"/>
    <s v="positive"/>
    <n v="1"/>
    <n v="1"/>
    <s v="OBJ"/>
    <n v="0"/>
    <x v="1"/>
    <n v="3"/>
    <s v="overt"/>
    <s v="n/a"/>
    <n v="0"/>
    <n v="0"/>
    <s v="n/a"/>
    <x v="3"/>
    <n v="0"/>
    <n v="0"/>
    <s v="n/a"/>
    <s v="n/a"/>
    <n v="0"/>
    <x v="7"/>
    <s v="subordinate"/>
    <s v="ss"/>
    <x v="0"/>
    <s v="topic-drop"/>
    <s v="contains_new"/>
    <m/>
    <m/>
    <x v="0"/>
  </r>
  <r>
    <x v="132"/>
    <s v="忠盛には知らせずして Tadamori ni wa shirasazu shite"/>
    <s v=" without informing him,  "/>
    <s v="知らせず"/>
    <s v="indicative"/>
    <x v="1"/>
    <x v="1"/>
    <s v="ditransitive"/>
    <s v="active"/>
    <s v="negative"/>
    <n v="1"/>
    <n v="2"/>
    <s v="IO"/>
    <n v="1"/>
    <x v="1"/>
    <n v="3"/>
    <s v="zero_recoverable"/>
    <s v="overt"/>
    <n v="0"/>
    <n v="0"/>
    <s v="n/a"/>
    <x v="1"/>
    <n v="0"/>
    <n v="0"/>
    <s v="n/a"/>
    <s v="n/a"/>
    <n v="0"/>
    <x v="1"/>
    <s v="subordinate"/>
    <s v="ss"/>
    <x v="2"/>
    <s v="topic-continued"/>
    <s v="contains_new"/>
    <m/>
    <m/>
    <x v="2"/>
  </r>
  <r>
    <x v="133"/>
    <s v="密かに参候の条 (hisoka ni sankō no jō)"/>
    <s v="his retainers had come hither secretly"/>
    <s v="N/A (nominal clause)"/>
    <s v="indicative"/>
    <x v="1"/>
    <x v="10"/>
    <m/>
    <m/>
    <m/>
    <m/>
    <m/>
    <m/>
    <m/>
    <x v="3"/>
    <m/>
    <m/>
    <m/>
    <m/>
    <m/>
    <m/>
    <x v="7"/>
    <m/>
    <m/>
    <s v="n/a"/>
    <s v="n/a"/>
    <m/>
    <x v="5"/>
    <s v="te"/>
    <m/>
    <x v="1"/>
    <m/>
    <m/>
    <s v="not sure if I should treat this as a nominal or verbal predicate or whether there is predication at all"/>
    <m/>
    <x v="3"/>
  </r>
  <r>
    <x v="134"/>
    <s v="力及ばざる chikara oyobazaru"/>
    <s v="his retainers had come hither secretly"/>
    <s v="及ばざる"/>
    <s v="indicative"/>
    <x v="1"/>
    <x v="1"/>
    <s v="intransitive"/>
    <s v="active"/>
    <s v="negative"/>
    <n v="1"/>
    <n v="1"/>
    <s v="SUB"/>
    <n v="0"/>
    <x v="0"/>
    <n v="3"/>
    <s v="n/a"/>
    <s v="n/a"/>
    <n v="0"/>
    <n v="1"/>
    <s v="REL"/>
    <x v="0"/>
    <n v="0"/>
    <n v="0"/>
    <s v="n/a"/>
    <s v="n/a"/>
    <n v="0"/>
    <x v="2"/>
    <n v="0"/>
    <s v="ds"/>
    <x v="1"/>
    <s v="topic-drop"/>
    <s v="contains_new"/>
    <m/>
    <m/>
    <x v="0"/>
  </r>
  <r>
    <x v="135"/>
    <s v="次第なり"/>
    <s v="shidai nari"/>
    <s v="なり"/>
    <s v="indicative"/>
    <x v="0"/>
    <x v="0"/>
    <s v="intransitive"/>
    <s v="active"/>
    <s v="positive"/>
    <n v="1"/>
    <n v="0"/>
    <s v="n/a"/>
    <n v="0"/>
    <x v="1"/>
    <n v="3"/>
    <s v="n/a"/>
    <s v="n/a"/>
    <n v="0"/>
    <n v="0"/>
    <s v="n/a"/>
    <x v="2"/>
    <n v="0"/>
    <n v="0"/>
    <s v="n/a"/>
    <s v="n/a"/>
    <n v="0"/>
    <x v="2"/>
    <s v="relative"/>
    <s v="ds"/>
    <x v="1"/>
    <s v="topic-drop"/>
    <s v="no_overt_NP"/>
    <m/>
    <m/>
    <x v="1"/>
  </r>
  <r>
    <x v="136"/>
    <s v="もしその咎あるべくば (moshi sono toga arubekuba)"/>
    <s v="&quot;if there be any blame, "/>
    <s v="ある"/>
    <s v="indicative"/>
    <x v="0"/>
    <x v="7"/>
    <s v="intransitive"/>
    <s v="active"/>
    <s v="positive"/>
    <n v="1"/>
    <n v="1"/>
    <s v="SUB"/>
    <n v="0"/>
    <x v="0"/>
    <n v="3"/>
    <s v="n/a"/>
    <s v="n/a"/>
    <n v="0"/>
    <n v="0"/>
    <s v="n/a"/>
    <x v="3"/>
    <n v="0"/>
    <n v="0"/>
    <s v="n/a"/>
    <s v="n/a"/>
    <n v="0"/>
    <x v="10"/>
    <s v="main"/>
    <s v="ds"/>
    <x v="1"/>
    <s v="topic-shift"/>
    <s v="contains_new"/>
    <m/>
    <m/>
    <x v="0"/>
  </r>
  <r>
    <x v="137"/>
    <s v="かの身を召し進ずべきか  ka no mi o meshi shinzu beki ka"/>
    <s v="do I not yield my body herewith?&quot;"/>
    <s v="召し進ずべき"/>
    <s v="deontic"/>
    <x v="2"/>
    <x v="3"/>
    <m/>
    <s v="active"/>
    <s v="positive"/>
    <n v="1"/>
    <n v="1"/>
    <s v="OBJ"/>
    <n v="0"/>
    <x v="2"/>
    <n v="1"/>
    <s v="overt"/>
    <s v="n/a"/>
    <n v="0"/>
    <n v="0"/>
    <s v="n/a"/>
    <x v="2"/>
    <n v="0"/>
    <n v="1"/>
    <s v="sub"/>
    <s v="lexical_honorific_verb"/>
    <n v="0"/>
    <x v="2"/>
    <s v="subordinate"/>
    <s v="ds"/>
    <x v="0"/>
    <s v="topic-drop"/>
    <s v="contains_new"/>
    <m/>
    <m/>
    <x v="0"/>
  </r>
  <r>
    <x v="138"/>
    <s v="次に刀の事は主殿司に預け置き候ひ畢んぬ (tsugi ni katana no koto wa tonomotsukasa ni azukeoki soroiowannu)"/>
    <s v="as for the sword, I deposited it in the Tonomotsukasa,"/>
    <s v="預け置き / 候ひ畢んぬ"/>
    <s v="indicative"/>
    <x v="2"/>
    <x v="12"/>
    <s v="transitive"/>
    <s v="active"/>
    <s v="positive"/>
    <n v="1"/>
    <n v="2"/>
    <s v="O+IO"/>
    <n v="0"/>
    <x v="1"/>
    <n v="1"/>
    <s v="overt"/>
    <s v="overt"/>
    <n v="0"/>
    <n v="0"/>
    <s v="n/a"/>
    <x v="2"/>
    <n v="0"/>
    <n v="0"/>
    <s v="n/a"/>
    <s v="polite_aux"/>
    <n v="0"/>
    <x v="2"/>
    <s v="main"/>
    <s v="ss"/>
    <x v="1"/>
    <s v="topic-shift"/>
    <s v="contains_new"/>
    <m/>
    <m/>
    <x v="2"/>
  </r>
  <r>
    <x v="139"/>
    <s v="召し出だされ (meshi idasare)"/>
    <s v="if it be brought out from thence,"/>
    <s v="召し出だされ "/>
    <s v="indicative"/>
    <x v="2"/>
    <x v="1"/>
    <s v="intransitive"/>
    <s v="passive"/>
    <s v="positive"/>
    <n v="1"/>
    <n v="0"/>
    <s v="n/a"/>
    <n v="0"/>
    <x v="2"/>
    <n v="3"/>
    <s v="zero_recoverable"/>
    <s v="zero_recoverable"/>
    <n v="0"/>
    <n v="0"/>
    <s v="n/a"/>
    <x v="2"/>
    <n v="0"/>
    <n v="1"/>
    <s v="sub"/>
    <s v="lexical_honorific_verb"/>
    <n v="0"/>
    <x v="2"/>
    <s v="main"/>
    <s v="ds"/>
    <x v="0"/>
    <s v="topic-drop"/>
    <s v="no_overt_NP"/>
    <m/>
    <m/>
    <x v="1"/>
  </r>
  <r>
    <x v="140"/>
    <s v="刀の実否に付きて咎の左右あるべきか  katana no jippi ni tsukite toga no sayū aru beki ka"/>
    <s v=" it may be seen if it be a real sword or not,"/>
    <s v="あるべき"/>
    <s v="deontic"/>
    <x v="0"/>
    <x v="7"/>
    <s v="intransitive"/>
    <s v="active"/>
    <s v="positive"/>
    <n v="1"/>
    <n v="1"/>
    <s v="SUB"/>
    <n v="1"/>
    <x v="0"/>
    <n v="3"/>
    <s v="n/a"/>
    <s v="n/a"/>
    <n v="0"/>
    <n v="0"/>
    <s v="n/a"/>
    <x v="2"/>
    <n v="0"/>
    <n v="0"/>
    <s v="n/a"/>
    <s v="n/a"/>
    <n v="0"/>
    <x v="2"/>
    <s v="main"/>
    <s v="ss"/>
    <x v="1"/>
    <s v="topic-drop"/>
    <s v="contains_new"/>
    <m/>
    <m/>
    <x v="0"/>
  </r>
  <r>
    <x v="141"/>
    <s v="この儀尤も然るべしとて (kono gi motto mo shikarubeshi tote)"/>
    <s v="&quot;This seems quite reasonable,&quot;"/>
    <s v="然るべし"/>
    <s v="deontic"/>
    <x v="0"/>
    <x v="5"/>
    <s v="intransitive"/>
    <s v="active"/>
    <s v="positive"/>
    <n v="1"/>
    <n v="1"/>
    <s v="SUB"/>
    <n v="0"/>
    <x v="0"/>
    <n v="3"/>
    <s v="n/a"/>
    <s v="n/a"/>
    <n v="0"/>
    <n v="0"/>
    <s v="n/a"/>
    <x v="3"/>
    <n v="0"/>
    <n v="0"/>
    <s v="n/a"/>
    <s v="n/a"/>
    <n v="0"/>
    <x v="3"/>
    <s v="main"/>
    <s v="ds"/>
    <x v="1"/>
    <s v="topic-drop"/>
    <s v="contains_new"/>
    <m/>
    <m/>
    <x v="0"/>
  </r>
  <r>
    <x v="142"/>
    <s v="かの刀を召し出でて (kano katana o meshi-idete)"/>
    <s v="and they hastened to bring forth the sword,"/>
    <s v="召し出でて"/>
    <s v="indicative"/>
    <x v="2"/>
    <x v="1"/>
    <s v="transitive"/>
    <s v="active"/>
    <s v="positive"/>
    <n v="1"/>
    <n v="1"/>
    <s v="OBJ"/>
    <n v="1"/>
    <x v="2"/>
    <n v="3"/>
    <s v="overt"/>
    <s v="n/a"/>
    <n v="0"/>
    <n v="0"/>
    <s v="n/a"/>
    <x v="1"/>
    <n v="0"/>
    <n v="1"/>
    <s v="sub"/>
    <s v="lexical_honorific_verb"/>
    <n v="0"/>
    <x v="1"/>
    <s v="subordinate"/>
    <s v="ds"/>
    <x v="0"/>
    <s v="topic-continued"/>
    <s v="all given"/>
    <m/>
    <m/>
    <x v="0"/>
  </r>
  <r>
    <x v="143"/>
    <s v="叡覧あるに (eiran aru ni)"/>
    <s v="and exhibit it before His Majesty,"/>
    <s v="叡覧ある"/>
    <s v="indicative"/>
    <x v="2"/>
    <x v="3"/>
    <s v="transitive"/>
    <s v="active"/>
    <s v="positive"/>
    <n v="1"/>
    <n v="0"/>
    <s v="n/a"/>
    <n v="0"/>
    <x v="2"/>
    <n v="3"/>
    <s v="zero_recoverable"/>
    <s v="n/a"/>
    <n v="0"/>
    <n v="0"/>
    <s v="n/a"/>
    <x v="3"/>
    <n v="0"/>
    <n v="1"/>
    <s v="sub"/>
    <s v="lexical_honorific_verb"/>
    <n v="0"/>
    <x v="0"/>
    <s v="te"/>
    <s v="ss"/>
    <x v="1"/>
    <s v="topic-drop"/>
    <s v="no_overt_NP"/>
    <m/>
    <m/>
    <x v="1"/>
  </r>
  <r>
    <x v="144"/>
    <s v="上は鞘巻の黒う塗つたりけるが (ue wa sayamaki no kuro u nuttari keru ga)"/>
    <s v="its outside was that of a dirk in a black lacquer sheath,"/>
    <s v="塗つたりける"/>
    <s v="indicative"/>
    <x v="0"/>
    <x v="1"/>
    <s v="intransitive"/>
    <s v="resultative"/>
    <s v="positive"/>
    <n v="1"/>
    <n v="1"/>
    <s v="SUB"/>
    <n v="0"/>
    <x v="0"/>
    <n v="3"/>
    <s v="n/a"/>
    <s v="n/a"/>
    <n v="0"/>
    <n v="0"/>
    <s v="n/a"/>
    <x v="3"/>
    <n v="0"/>
    <n v="0"/>
    <s v="n/a"/>
    <s v="n/a"/>
    <n v="0"/>
    <x v="9"/>
    <s v="subordinate"/>
    <s v="ds"/>
    <x v="1"/>
    <s v="topic-drop"/>
    <s v="contains_new"/>
    <m/>
    <m/>
    <x v="0"/>
  </r>
  <r>
    <x v="145"/>
    <s v="中は木刀に銀薄をぞ押したりける (naka wa bokutō ni gin-haku o zo oshitari keru)"/>
    <s v="but within was only a wooden blade covered with silver."/>
    <s v="押したりける"/>
    <s v="indicative"/>
    <x v="0"/>
    <x v="1"/>
    <s v="transitive"/>
    <s v="resultative"/>
    <s v="positive"/>
    <n v="1"/>
    <n v="3"/>
    <s v="S+O+IO"/>
    <n v="0"/>
    <x v="0"/>
    <n v="3"/>
    <s v="overt"/>
    <s v="overt"/>
    <n v="0"/>
    <n v="0"/>
    <s v="n/a"/>
    <x v="2"/>
    <n v="0"/>
    <n v="0"/>
    <s v="n/a"/>
    <s v="n/a"/>
    <n v="0"/>
    <x v="2"/>
    <s v="subordinate"/>
    <s v="ds"/>
    <x v="1"/>
    <s v="topic-drop"/>
    <s v="contains_new"/>
    <m/>
    <m/>
    <x v="4"/>
  </r>
  <r>
    <x v="146"/>
    <s v="当座の恥辱を遁れんが為に (tōza no chijoku o nogaren ga tame ni)"/>
    <s v=" to avoid dishonour at the moment,"/>
    <s v="遁れん "/>
    <s v="dynamic"/>
    <x v="1"/>
    <x v="1"/>
    <s v="transitive"/>
    <s v="active"/>
    <s v="positive"/>
    <n v="1"/>
    <n v="1"/>
    <s v="OBJ"/>
    <n v="0"/>
    <x v="1"/>
    <n v="3"/>
    <s v="overt"/>
    <s v="n/a"/>
    <n v="0"/>
    <n v="0"/>
    <s v="n/a"/>
    <x v="3"/>
    <n v="0"/>
    <n v="0"/>
    <s v="n/a"/>
    <s v="n/a"/>
    <n v="0"/>
    <x v="7"/>
    <s v="main"/>
    <s v="ds"/>
    <x v="0"/>
    <s v="topic-drop"/>
    <s v="contains_new"/>
    <m/>
    <m/>
    <x v="0"/>
  </r>
  <r>
    <x v="147"/>
    <s v="刀を帯する katana o taisuru "/>
    <s v="Although he had displayed "/>
    <s v="帯する"/>
    <s v="indicative"/>
    <x v="1"/>
    <x v="3"/>
    <s v="transitive"/>
    <s v="active"/>
    <s v="positive"/>
    <n v="1"/>
    <n v="1"/>
    <s v="OBJ"/>
    <n v="0"/>
    <x v="1"/>
    <n v="3"/>
    <s v="overt"/>
    <s v="n/a"/>
    <n v="0"/>
    <n v="1"/>
    <s v="REL"/>
    <x v="0"/>
    <n v="0"/>
    <n v="0"/>
    <s v="n/a"/>
    <s v="n/a"/>
    <n v="0"/>
    <x v="2"/>
    <s v="subordinate"/>
    <s v="ss"/>
    <x v="0"/>
    <s v="topic-drop"/>
    <s v="all given"/>
    <m/>
    <m/>
    <x v="0"/>
  </r>
  <r>
    <x v="148"/>
    <s v="由顕すといへども yoshi arawasu to iedomo"/>
    <s v="the appearance of a sword"/>
    <s v="顕す"/>
    <s v="indicative"/>
    <x v="1"/>
    <x v="1"/>
    <s v="transitive"/>
    <s v="active"/>
    <s v="positive"/>
    <n v="1"/>
    <n v="1"/>
    <s v="OBJ"/>
    <n v="0"/>
    <x v="1"/>
    <n v="3"/>
    <s v="overt"/>
    <s v="n/a"/>
    <n v="0"/>
    <n v="0"/>
    <s v="n/a"/>
    <x v="3"/>
    <n v="0"/>
    <n v="0"/>
    <s v="n/a"/>
    <s v="n/a"/>
    <n v="0"/>
    <x v="9"/>
    <s v="relative"/>
    <s v="ss"/>
    <x v="0"/>
    <s v="topic-drop"/>
    <s v="contains_new"/>
    <m/>
    <m/>
    <x v="0"/>
  </r>
  <r>
    <x v="149"/>
    <s v="後日の訴訟を存じて (gojitsu no soshō o zonjite)"/>
    <s v="his substitution of a wooden blade as a precaution against an after accusation was exceedingly praiseworthy."/>
    <s v="存じて"/>
    <s v="indicative"/>
    <x v="6"/>
    <x v="3"/>
    <s v="transitive"/>
    <s v="active"/>
    <s v="positive"/>
    <n v="1"/>
    <n v="1"/>
    <s v="OBJ"/>
    <n v="0"/>
    <x v="2"/>
    <n v="3"/>
    <s v="overt"/>
    <s v="n/a"/>
    <n v="0"/>
    <n v="0"/>
    <s v="n/a"/>
    <x v="1"/>
    <n v="0"/>
    <n v="1"/>
    <s v="sub"/>
    <s v="lexical_humble_verb"/>
    <n v="0"/>
    <x v="2"/>
    <s v="subordinate"/>
    <s v="ss"/>
    <x v="0"/>
    <s v="topic-drop"/>
    <s v="contains_new"/>
    <m/>
    <m/>
    <x v="0"/>
  </r>
  <r>
    <x v="150"/>
    <s v="木刀を帯したる"/>
    <s v=" bokutō o tachitaru "/>
    <s v="帯したる"/>
    <s v="indicative"/>
    <x v="2"/>
    <x v="3"/>
    <s v="transitive"/>
    <s v="active"/>
    <s v="positive"/>
    <n v="1"/>
    <n v="1"/>
    <s v="OBJ"/>
    <n v="0"/>
    <x v="1"/>
    <n v="3"/>
    <s v="overt"/>
    <s v="n/a"/>
    <n v="0"/>
    <n v="1"/>
    <s v="REL"/>
    <x v="0"/>
    <n v="0"/>
    <n v="0"/>
    <s v="n/a"/>
    <s v="n/a"/>
    <n v="0"/>
    <x v="2"/>
    <s v="te"/>
    <s v="ss"/>
    <x v="1"/>
    <s v="topic-drop"/>
    <s v="contains_new"/>
    <m/>
    <m/>
    <x v="0"/>
  </r>
  <r>
    <x v="151"/>
    <s v="用意のほどこそ神妙なれ yōi no hodo koso shinmyō nare"/>
    <m/>
    <s v="なれ"/>
    <s v="indicative"/>
    <x v="0"/>
    <x v="0"/>
    <s v="intransitive"/>
    <s v="active"/>
    <s v="positive"/>
    <n v="1"/>
    <n v="1"/>
    <s v="SUB"/>
    <n v="0"/>
    <x v="0"/>
    <n v="3"/>
    <s v="n/a"/>
    <s v="n/a"/>
    <n v="0"/>
    <n v="0"/>
    <s v="n/a"/>
    <x v="2"/>
    <n v="0"/>
    <n v="0"/>
    <s v="n/a"/>
    <s v="n/a"/>
    <n v="0"/>
    <x v="2"/>
    <s v="relative"/>
    <s v="ds"/>
    <x v="1"/>
    <s v="topic-drop"/>
    <s v="contains_new"/>
    <m/>
    <m/>
    <x v="0"/>
  </r>
  <r>
    <x v="152"/>
    <s v="弓箭に携らん (yumiya ni tazusaran)"/>
    <s v="Such prudence is most commendable in a warrior."/>
    <s v="携らん"/>
    <s v="dynamic"/>
    <x v="2"/>
    <x v="1"/>
    <s v="intransitive"/>
    <s v="active"/>
    <s v="positive"/>
    <n v="1"/>
    <n v="1"/>
    <s v="IO"/>
    <n v="0"/>
    <x v="1"/>
    <n v="3"/>
    <s v="n/a"/>
    <s v="overt"/>
    <n v="1"/>
    <n v="0"/>
    <s v="REL"/>
    <x v="0"/>
    <n v="0"/>
    <n v="0"/>
    <s v="n/a"/>
    <s v="n/a"/>
    <n v="0"/>
    <x v="2"/>
    <s v="main"/>
    <s v="ds"/>
    <x v="1"/>
    <s v="topic-shift"/>
    <s v="contains_new"/>
    <m/>
    <m/>
    <x v="0"/>
  </r>
  <r>
    <x v="153"/>
    <s v="ほどの者の謀は尤もかうこそあらまほしけれ hodo no mono no hakarigoto wa motto mo kō koso aramahoshikere"/>
    <m/>
    <s v="あらまほしけれ"/>
    <s v="desiderative"/>
    <x v="4"/>
    <x v="5"/>
    <s v="intransitive"/>
    <s v="active"/>
    <s v="positive"/>
    <n v="1"/>
    <n v="1"/>
    <s v="SUB"/>
    <n v="1"/>
    <x v="0"/>
    <n v="3"/>
    <s v="n/a"/>
    <s v="n/a"/>
    <n v="0"/>
    <n v="0"/>
    <s v="n/a"/>
    <x v="2"/>
    <n v="0"/>
    <n v="0"/>
    <s v="n/a"/>
    <s v="n/a"/>
    <n v="0"/>
    <x v="2"/>
    <s v="relative"/>
    <s v="ds"/>
    <x v="1"/>
    <s v="topic-shift"/>
    <s v="contains_new"/>
    <m/>
    <m/>
    <x v="0"/>
  </r>
  <r>
    <x v="154"/>
    <s v="予てはまた郎従小庭に伺候の由 (kanete wa mata rōjū koniwa ni shikō no yoshi) 且つは武士の郎等の習ひなり (katsu wa bushi no rōtō no narai nari)"/>
    <s v="As for his retainer being in the small court, that too is the custom of the retainers of the warrior class, "/>
    <s v="なり"/>
    <s v="indicative"/>
    <x v="0"/>
    <x v="0"/>
    <s v="intransitive"/>
    <s v="active"/>
    <s v="positive"/>
    <n v="1"/>
    <n v="1"/>
    <s v="SUB"/>
    <n v="3"/>
    <x v="0"/>
    <n v="3"/>
    <s v="n/a"/>
    <s v="n/a"/>
    <n v="0"/>
    <n v="0"/>
    <s v="n/a"/>
    <x v="2"/>
    <n v="0"/>
    <n v="0"/>
    <s v="n/a"/>
    <s v="n/a"/>
    <n v="0"/>
    <x v="2"/>
    <s v="main"/>
    <s v="ds"/>
    <x v="1"/>
    <s v="topic-shift"/>
    <s v="contains_new"/>
    <m/>
    <m/>
    <x v="0"/>
  </r>
  <r>
    <x v="155"/>
    <s v="忠盛が咎にはあらずとて (Tadamori ga toga ni wa arazu tote)"/>
    <s v="and no fault was found in Tadamori."/>
    <s v="あらず"/>
    <s v="indicative"/>
    <x v="0"/>
    <x v="0"/>
    <s v="intransitive"/>
    <s v="active"/>
    <s v="negative"/>
    <n v="1"/>
    <n v="1"/>
    <s v="SUB"/>
    <n v="0"/>
    <x v="0"/>
    <n v="3"/>
    <s v="n/a"/>
    <s v="n/a"/>
    <n v="0"/>
    <n v="0"/>
    <s v="n/a"/>
    <x v="3"/>
    <n v="0"/>
    <n v="0"/>
    <s v="n/a"/>
    <s v="n/a"/>
    <n v="0"/>
    <x v="3"/>
    <s v="main"/>
    <s v="ds"/>
    <x v="0"/>
    <s v="topic-shift"/>
    <s v="contains_new"/>
    <m/>
    <m/>
    <x v="0"/>
  </r>
  <r>
    <x v="156"/>
    <s v="却つて叡感に預かりし上は (kaette eikan ni azukarishi ue wa)"/>
    <s v="and on the contrary, his conduct was greatly admired,"/>
    <s v="預かりし"/>
    <s v="indicative"/>
    <x v="2"/>
    <x v="1"/>
    <s v="intransitive"/>
    <s v="active"/>
    <s v="positive"/>
    <n v="1"/>
    <n v="1"/>
    <s v="IO"/>
    <n v="1"/>
    <x v="1"/>
    <n v="3"/>
    <s v="n/a"/>
    <s v="overt"/>
    <n v="0"/>
    <n v="0"/>
    <s v="REL"/>
    <x v="3"/>
    <n v="0"/>
    <n v="0"/>
    <s v="n/a"/>
    <s v="n/a"/>
    <n v="1"/>
    <x v="6"/>
    <s v="subordinate"/>
    <s v="ss"/>
    <x v="1"/>
    <s v="topic-drop"/>
    <s v="contains_new"/>
    <m/>
    <m/>
    <x v="0"/>
  </r>
  <r>
    <x v="157"/>
    <s v="敢へて罪科の沙汰はなかりけり aete tsumikado no sata wa nakarikeri"/>
    <s v="and he was pronounced guiltless."/>
    <s v="なかりけり"/>
    <s v="indicative"/>
    <x v="7"/>
    <x v="1"/>
    <s v="intransitive"/>
    <s v="active"/>
    <s v="negative"/>
    <n v="1"/>
    <n v="1"/>
    <s v="SUB"/>
    <n v="1"/>
    <x v="0"/>
    <n v="3"/>
    <s v="n/a"/>
    <s v="n/a"/>
    <n v="0"/>
    <n v="0"/>
    <s v="n/a"/>
    <x v="2"/>
    <n v="0"/>
    <n v="0"/>
    <s v="n/a"/>
    <s v="n/a"/>
    <n v="0"/>
    <x v="8"/>
    <s v="subordinate"/>
    <s v="ds"/>
    <x v="2"/>
    <s v="topic-drop"/>
    <s v="contains_new"/>
    <m/>
    <m/>
    <x v="0"/>
  </r>
  <r>
    <x v="158"/>
    <m/>
    <m/>
    <m/>
    <m/>
    <x v="8"/>
    <x v="6"/>
    <m/>
    <m/>
    <m/>
    <n v="154"/>
    <n v="150"/>
    <m/>
    <n v="72"/>
    <x v="7"/>
    <n v="426"/>
    <n v="0"/>
    <n v="0"/>
    <n v="7"/>
    <n v="17"/>
    <n v="0"/>
    <x v="9"/>
    <n v="19"/>
    <n v="32"/>
    <n v="0"/>
    <n v="0"/>
    <n v="6"/>
    <x v="5"/>
    <m/>
    <m/>
    <x v="3"/>
    <m/>
    <m/>
    <m/>
    <m/>
    <x v="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Heike 2.1"/>
    <s v="忠盛朝臣未だ備前守たりし時 (Tadamori ason imada Bizen no kami tarishi toki)"/>
    <s v="Now Tadamori, while holding the office of Bizen no Kami,"/>
    <s v="たりし"/>
    <s v="indicative"/>
    <x v="0"/>
    <x v="0"/>
    <s v="intransitive"/>
    <s v="active"/>
    <s v="positive"/>
    <n v="1"/>
    <n v="1"/>
    <s v="SUB"/>
    <n v="0"/>
    <s v="overt"/>
    <n v="3"/>
    <s v="n/a"/>
    <s v="n/a"/>
    <n v="0"/>
    <n v="1"/>
    <s v="REL"/>
    <s v="relative"/>
    <n v="0"/>
    <x v="0"/>
    <s v="n/a"/>
    <s v="n/a"/>
    <n v="0"/>
    <s v="temporal"/>
    <m/>
    <s v="new"/>
    <s v="ss"/>
    <s v="topic-introduced"/>
    <s v="contains_new"/>
    <m/>
    <m/>
    <n v="1"/>
    <m/>
    <x v="0"/>
  </r>
  <r>
    <s v="Heike 2.2"/>
    <s v="鳥羽院の御願得長寿院を造進して (Toba-in no ogan Tokuchōju-in o zōshin shite)"/>
    <s v="by the request of the retired Emperor Toba,"/>
    <s v="造進して"/>
    <s v="indicative"/>
    <x v="1"/>
    <x v="1"/>
    <s v="transitive"/>
    <s v="active"/>
    <s v="positive"/>
    <n v="1"/>
    <n v="1"/>
    <s v="OBJ"/>
    <n v="1"/>
    <s v="zero_recoverable"/>
    <n v="3"/>
    <s v="overt"/>
    <s v="n/a"/>
    <n v="0"/>
    <n v="0"/>
    <s v="n/a"/>
    <s v="te"/>
    <n v="0"/>
    <x v="0"/>
    <s v="obj"/>
    <s v="nominal_prefix"/>
    <n v="1"/>
    <s v="sequential"/>
    <s v="relative"/>
    <s v="ss"/>
    <s v="ss"/>
    <s v="topic-drop"/>
    <s v="contains_new"/>
    <s v="stranded subject Tadamori"/>
    <m/>
    <n v="1"/>
    <m/>
    <x v="0"/>
  </r>
  <r>
    <s v="Heike 2.3"/>
    <s v="三十三間の御堂を建て (sanjūsangen no midō o tatete)"/>
    <s v=" had built the temple Toku-cho-juin and the Sa-ju-san-gen-do, or hall 33 ken long,"/>
    <s v="建て"/>
    <s v="indicative"/>
    <x v="1"/>
    <x v="1"/>
    <s v="transitive"/>
    <s v="active"/>
    <s v="positive"/>
    <n v="1"/>
    <n v="1"/>
    <s v="OBJ"/>
    <n v="0"/>
    <s v="zero_recoverable"/>
    <n v="3"/>
    <s v="overt"/>
    <s v="n/a"/>
    <n v="0"/>
    <n v="0"/>
    <s v="n/a"/>
    <s v="te"/>
    <n v="0"/>
    <x v="0"/>
    <s v="obj"/>
    <s v="nominal_prefix"/>
    <n v="1"/>
    <s v="sequential"/>
    <s v="te"/>
    <s v="ss"/>
    <s v="ss"/>
    <s v="topic-drop"/>
    <s v="contains_new"/>
    <m/>
    <m/>
    <n v="1"/>
    <m/>
    <x v="0"/>
  </r>
  <r>
    <s v="Heike 2.4"/>
    <s v="一千一体の御仏を据ゑ奉らる (issen ittai no mihotoke o sue-tatematsuraru)"/>
    <s v="within which were one thousand and one Buddhas;"/>
    <s v="据ゑ奉らる"/>
    <s v="indicative"/>
    <x v="2"/>
    <x v="1"/>
    <s v="transitive"/>
    <s v="active"/>
    <s v="positive"/>
    <n v="1"/>
    <n v="1"/>
    <s v="OBJ"/>
    <n v="0"/>
    <s v="zero_exalt"/>
    <n v="3"/>
    <s v="overt"/>
    <s v="n/a"/>
    <n v="0"/>
    <n v="1"/>
    <s v="REL"/>
    <s v="relative"/>
    <n v="1"/>
    <x v="1"/>
    <s v="sub"/>
    <s v="honorific_aux"/>
    <n v="1"/>
    <s v="none"/>
    <s v="te"/>
    <s v="ss"/>
    <s v="ds"/>
    <s v="topic-drop"/>
    <s v="contains_new"/>
    <s v="complex verbal form"/>
    <m/>
    <n v="1"/>
    <m/>
    <x v="0"/>
  </r>
  <r>
    <s v="Heike 2.5"/>
    <s v="供養は天承元年三月十三日なり (kuyō wa Tenshō gannen sangatsu jūsan-nichi nari)"/>
    <s v="its first festival being on the thirteenth day of the third month of the first year of Tensho."/>
    <s v="なり"/>
    <s v="indicative"/>
    <x v="0"/>
    <x v="0"/>
    <s v="intransitive"/>
    <s v="active"/>
    <s v="positive"/>
    <n v="1"/>
    <n v="1"/>
    <s v="SUB"/>
    <n v="0"/>
    <s v="overt"/>
    <n v="3"/>
    <s v="n/a"/>
    <s v="n/a"/>
    <n v="0"/>
    <n v="0"/>
    <s v="n/a"/>
    <s v="main"/>
    <n v="0"/>
    <x v="0"/>
    <s v="n/a"/>
    <s v="n/a"/>
    <n v="0"/>
    <s v="none"/>
    <s v="relative"/>
    <s v="ds"/>
    <s v="ds"/>
    <s v="topic-introduced"/>
    <s v="contains_new"/>
    <m/>
    <m/>
    <n v="1"/>
    <m/>
    <x v="0"/>
  </r>
  <r>
    <s v="Heike 2.6"/>
    <s v="勧賞には欠国を賜ふべき由 (kanshō ni wa kakukuni o tamau beki yoshi)"/>
    <s v="As a reward he was to be granted a fief,"/>
    <s v="賜ふべき"/>
    <s v="deontic"/>
    <x v="2"/>
    <x v="1"/>
    <s v="transitive"/>
    <s v="active"/>
    <s v="positive"/>
    <n v="1"/>
    <n v="1"/>
    <s v="OBJ"/>
    <n v="1"/>
    <s v="zero_exalt"/>
    <n v="3"/>
    <s v="overt"/>
    <s v="n/a"/>
    <n v="0"/>
    <n v="1"/>
    <s v="n/a"/>
    <s v="subordinate"/>
    <n v="0"/>
    <x v="1"/>
    <s v="sub"/>
    <s v="lexical_honorific_verb"/>
    <n v="0"/>
    <s v="causal"/>
    <s v="main"/>
    <s v="ds"/>
    <s v="ds"/>
    <s v="topic-shift"/>
    <s v="contains_new"/>
    <m/>
    <m/>
    <n v="1"/>
    <m/>
    <x v="0"/>
  </r>
  <r>
    <s v="Heike 2.7"/>
    <s v="仰せ下されける (ōse-kudasa rekeru)"/>
    <s v="he was honoured by receiving the territory of the province of Tamba,"/>
    <s v="仰せ下されける"/>
    <s v="indicative"/>
    <x v="2"/>
    <x v="2"/>
    <s v="intransitive"/>
    <s v="passive"/>
    <s v="positive"/>
    <n v="1"/>
    <n v="0"/>
    <s v="n/a"/>
    <n v="0"/>
    <s v="zero_exalt"/>
    <n v="3"/>
    <s v="not_applicable"/>
    <s v="not_applicable"/>
    <n v="1"/>
    <n v="0"/>
    <s v="REL"/>
    <s v="relative"/>
    <n v="0"/>
    <x v="1"/>
    <s v="io"/>
    <s v="lexical honorific+honorific aux"/>
    <n v="0"/>
    <s v="none"/>
    <s v="subordinate"/>
    <s v="ds"/>
    <s v="ss"/>
    <s v="topic-drop"/>
    <s v="no_overt_NP"/>
    <m/>
    <m/>
    <n v="0"/>
    <m/>
    <x v="0"/>
  </r>
  <r>
    <s v="Heike 2.8"/>
    <s v="折節但馬国の空きたりけるをぞ (orifushi Tamba no kuni no aki tarikeru o zo)"/>
    <s v="which then happened to be unappropriated."/>
    <s v="空きたりける"/>
    <s v="indicative"/>
    <x v="0"/>
    <x v="1"/>
    <s v="intransitive"/>
    <s v="resultative"/>
    <s v="positive"/>
    <n v="1"/>
    <n v="1"/>
    <s v="SUB"/>
    <n v="1"/>
    <s v="overt"/>
    <n v="3"/>
    <s v="n/a"/>
    <s v="n/a"/>
    <n v="0"/>
    <n v="0"/>
    <s v="OBJ"/>
    <s v="nominalised"/>
    <n v="0"/>
    <x v="0"/>
    <s v="n/a"/>
    <s v="n/a"/>
    <n v="0"/>
    <s v="none"/>
    <s v="relative"/>
    <s v="ss"/>
    <s v="ds"/>
    <s v="topic-drop"/>
    <s v="contains_new"/>
    <s v="internally headed"/>
    <m/>
    <n v="1"/>
    <m/>
    <x v="0"/>
  </r>
  <r>
    <s v="Heike 2.9"/>
    <s v="賜はりける (tamawari keru)"/>
    <s v="As a reward he was honoured by receiving the territory of the province of Tamba, which then happened to be unappropriated."/>
    <s v="賜はりける"/>
    <s v="indicative"/>
    <x v="2"/>
    <x v="1"/>
    <s v="transitive"/>
    <s v="active"/>
    <s v="positive"/>
    <n v="1"/>
    <n v="1"/>
    <s v="OBJ"/>
    <n v="0"/>
    <s v="zero_exalt"/>
    <n v="3"/>
    <s v="zero_recoverable"/>
    <s v="zero_recoverable"/>
    <n v="0"/>
    <n v="0"/>
    <s v="n/a"/>
    <s v="main"/>
    <n v="0"/>
    <x v="1"/>
    <s v="sub"/>
    <s v="lexical_humble_verb"/>
    <n v="0"/>
    <s v="none"/>
    <s v="nominalised"/>
    <s v="ds"/>
    <s v="ds"/>
    <s v="topic-drop"/>
    <s v="no_overt_NP"/>
    <m/>
    <m/>
    <n v="1"/>
    <m/>
    <x v="0"/>
  </r>
  <r>
    <s v="Heike 2.10"/>
    <s v="上皇御感のあまりに内の昇殿を許さる (jōkō go-kan no amari ni uchi no shōden o yurusaru)"/>
    <s v="Moreover the Emperor of his bounty graciously permitted him to attend the Court;"/>
    <s v="許さる"/>
    <s v="indicative"/>
    <x v="2"/>
    <x v="1"/>
    <s v="transitive"/>
    <s v="active"/>
    <s v="positive"/>
    <n v="1"/>
    <n v="2"/>
    <s v="S+O"/>
    <n v="1"/>
    <s v="overt"/>
    <n v="3"/>
    <s v="overt"/>
    <s v="zero_recoverable"/>
    <n v="1"/>
    <n v="0"/>
    <s v="REL"/>
    <s v="relative"/>
    <n v="1"/>
    <x v="0"/>
    <s v="sub"/>
    <s v="honorific_aux"/>
    <n v="1"/>
    <s v="none"/>
    <s v="main"/>
    <s v="ds"/>
    <s v="ds"/>
    <s v="topic-drop"/>
    <s v="contains_new"/>
    <s v="it's unlcear whether -re- in -yurusareru is passive or honorific"/>
    <m/>
    <n v="2"/>
    <m/>
    <x v="0"/>
  </r>
  <r>
    <s v="Heike 2.11"/>
    <s v="忠盛三十六にて初めて昇殿す (Tadamori sanjūroku nite hajimete shōden su)"/>
    <s v="which Tadamori did for the first time at the age of thirty six."/>
    <s v="昇殿す"/>
    <s v="indicative"/>
    <x v="3"/>
    <x v="3"/>
    <s v="intransitive"/>
    <s v="active"/>
    <s v="positive"/>
    <n v="1"/>
    <n v="1"/>
    <s v="SUB"/>
    <n v="2"/>
    <s v="overt"/>
    <n v="3"/>
    <s v="overt"/>
    <s v="n/a"/>
    <n v="0"/>
    <n v="0"/>
    <s v="n/a"/>
    <s v="main"/>
    <n v="0"/>
    <x v="0"/>
    <s v="n/a"/>
    <s v="n/a"/>
    <n v="0"/>
    <s v="none"/>
    <s v="relative"/>
    <s v="ds"/>
    <s v="ds"/>
    <s v="topic-continued"/>
    <s v="contains_new"/>
    <m/>
    <m/>
    <n v="1"/>
    <m/>
    <x v="0"/>
  </r>
  <r>
    <s v="Heike 2.12"/>
    <s v="雲の上人これを嫉み憤り (kumo no uebito kore o sonemi ikidori)"/>
    <s v="the higher Courtiers were furious with jealousy"/>
    <s v="嫉み憤り"/>
    <s v="indicative"/>
    <x v="4"/>
    <x v="4"/>
    <s v="transitive"/>
    <s v="active"/>
    <s v="positive"/>
    <n v="1"/>
    <n v="2"/>
    <s v="S+O"/>
    <n v="0"/>
    <s v="overt"/>
    <n v="3"/>
    <s v="overt"/>
    <s v="n/a"/>
    <n v="0"/>
    <n v="0"/>
    <s v="n/a"/>
    <s v="inf"/>
    <n v="0"/>
    <x v="0"/>
    <s v="n/a"/>
    <s v="n/a"/>
    <n v="0"/>
    <s v="none"/>
    <s v="main"/>
    <s v="ds"/>
    <s v="ss"/>
    <s v="topic-introduced"/>
    <s v="contains_new"/>
    <m/>
    <m/>
    <n v="2"/>
    <m/>
    <x v="0"/>
  </r>
  <r>
    <s v="Heike 2.13"/>
    <s v="同じき年の十一月二十三日五節豊の明の節会の夜 (onajiki toshi no jūichigatsu nijūsannichi gosechi Toyo-no-akari no setchie no yo) 忠盛を闇討にせん (Tadamori o yamiuchi ni sen "/>
    <s v="to assassinate him on the evening of the festival of Go-Sechi Toyo-no-akari-no-setchie, on the 23rd day of the eleventh month of the same year."/>
    <s v="闇討にせん"/>
    <s v="dynamic"/>
    <x v="1"/>
    <x v="3"/>
    <s v="transitive"/>
    <s v="active"/>
    <s v="positive"/>
    <n v="1"/>
    <n v="1"/>
    <s v="OBJ"/>
    <n v="1"/>
    <s v="zero_recoverable"/>
    <n v="3"/>
    <s v="overt"/>
    <s v="n/a"/>
    <n v="0"/>
    <n v="0"/>
    <s v="n/a"/>
    <s v="complement"/>
    <n v="0"/>
    <x v="0"/>
    <s v="n/a"/>
    <s v="n/a"/>
    <n v="0"/>
    <s v="quotative"/>
    <s v="inf"/>
    <s v="ss"/>
    <s v="ds"/>
    <s v="topic-continued"/>
    <s v="contains_new"/>
    <m/>
    <m/>
    <n v="1"/>
    <m/>
    <x v="0"/>
  </r>
  <r>
    <s v="Heike 2.14"/>
    <s v="とぞ議せられける (to zo giserarikeru)"/>
    <s v="they plotted"/>
    <s v="議せられける"/>
    <s v="indicative"/>
    <x v="5"/>
    <x v="3"/>
    <s v="intransitive"/>
    <s v="passive"/>
    <s v="positive"/>
    <n v="1"/>
    <n v="1"/>
    <s v="S (Speech)"/>
    <n v="0"/>
    <s v="overt"/>
    <s v="n/a"/>
    <s v="n/a"/>
    <s v="n/a"/>
    <n v="0"/>
    <n v="0"/>
    <s v="n/a"/>
    <s v="main"/>
    <n v="0"/>
    <x v="0"/>
    <s v="n/a"/>
    <s v="n/a"/>
    <n v="0"/>
    <s v="none"/>
    <s v="complement"/>
    <s v="ds"/>
    <s v="ds"/>
    <s v="topic-drop"/>
    <s v="all given"/>
    <m/>
    <m/>
    <n v="1"/>
    <m/>
    <x v="0"/>
  </r>
  <r>
    <s v="Heike 2.15"/>
    <s v="忠盛この由を伝へ聞きて (Tadamori kono yoshi o tsutae kikite)"/>
    <s v="Tadamori, on hearing of this"/>
    <s v="伝へ聞きて"/>
    <s v="indicative"/>
    <x v="6"/>
    <x v="4"/>
    <s v="transitive"/>
    <s v="active"/>
    <s v="positive"/>
    <n v="1"/>
    <n v="2"/>
    <s v="OBJ"/>
    <n v="0"/>
    <s v="overt"/>
    <n v="3"/>
    <s v="overt"/>
    <s v="n/a"/>
    <n v="0"/>
    <n v="0"/>
    <s v="n/a"/>
    <s v="te"/>
    <n v="0"/>
    <x v="0"/>
    <s v="n/a"/>
    <s v="n/a"/>
    <n v="0"/>
    <s v="sequential"/>
    <s v="main"/>
    <s v="ds"/>
    <s v="ds"/>
    <s v="topic-shift"/>
    <s v="all given"/>
    <m/>
    <m/>
    <n v="2"/>
    <m/>
    <x v="0"/>
  </r>
  <r>
    <s v="Heike 2.16"/>
    <s v="我右弼の身にあらず (ware ubitsu no mi ni a-razu)"/>
    <s v="I am not a civil official"/>
    <s v="あらず"/>
    <s v="indicative"/>
    <x v="1"/>
    <x v="0"/>
    <s v="intransitive"/>
    <s v="active"/>
    <s v="negative"/>
    <n v="1"/>
    <n v="1"/>
    <s v="SUB"/>
    <n v="0"/>
    <s v="overt"/>
    <n v="1"/>
    <s v="n/a"/>
    <s v="n/a"/>
    <n v="0"/>
    <n v="0"/>
    <s v="n/a"/>
    <s v="subordinate"/>
    <n v="0"/>
    <x v="0"/>
    <s v="n/a"/>
    <s v="n/a"/>
    <n v="0"/>
    <s v="sequential"/>
    <s v="te"/>
    <s v="ds"/>
    <s v="ss"/>
    <s v="topic-shift"/>
    <s v="contains_new"/>
    <m/>
    <m/>
    <n v="1"/>
    <m/>
    <x v="0"/>
  </r>
  <r>
    <s v="Heike 2.17"/>
    <s v="武勇の家に生れて (buyū no ie ni umarete)"/>
    <s v="being born of a line of warriors"/>
    <s v="生れて"/>
    <s v="indicative"/>
    <x v="1"/>
    <x v="1"/>
    <s v="intransitive"/>
    <s v="active"/>
    <s v="positive"/>
    <n v="1"/>
    <n v="1"/>
    <s v="SUB"/>
    <n v="1"/>
    <s v="zero_recoverable"/>
    <n v="1"/>
    <s v="n/a"/>
    <s v="n/a"/>
    <n v="0"/>
    <n v="0"/>
    <s v="n/a"/>
    <s v="te"/>
    <n v="0"/>
    <x v="0"/>
    <s v="n/a"/>
    <s v="n/a"/>
    <n v="0"/>
    <s v="sequential"/>
    <s v="subordinate"/>
    <s v="ss"/>
    <s v="ss"/>
    <s v="topic-drop"/>
    <s v="contains_new"/>
    <m/>
    <m/>
    <n v="1"/>
    <m/>
    <x v="0"/>
  </r>
  <r>
    <s v="Heike 2.18"/>
    <s v="今不慮の恥に遇はん (ima furyo no haji ni awan)"/>
    <s v="for myself and my house at this unexpected shame"/>
    <s v="遇はん"/>
    <s v="epistemic"/>
    <x v="1"/>
    <x v="1"/>
    <s v="intransitive"/>
    <s v="active"/>
    <s v="positive"/>
    <n v="1"/>
    <n v="1"/>
    <s v="IO"/>
    <n v="1"/>
    <s v="zero_recoverable"/>
    <s v="n/a"/>
    <s v="n/a"/>
    <s v="overt"/>
    <n v="0"/>
    <n v="1"/>
    <s v="n/a"/>
    <s v="relative"/>
    <n v="0"/>
    <x v="0"/>
    <s v="n/a"/>
    <s v="n/a"/>
    <n v="0"/>
    <s v="none"/>
    <s v="te"/>
    <s v="ss"/>
    <s v="ds"/>
    <s v="topic-drop"/>
    <s v="contains_new"/>
    <m/>
    <m/>
    <n v="1"/>
    <m/>
    <x v="0"/>
  </r>
  <r>
    <s v="Heike 2.19"/>
    <s v="事家の為身の為心憂かるべし (koto ie no tame mi no tame kokoroukarubeshi)"/>
    <s v="I am troubled in my heart"/>
    <s v="憂かるべし"/>
    <s v="epistemic"/>
    <x v="4"/>
    <x v="5"/>
    <s v="intransitive"/>
    <s v="active"/>
    <s v="positive"/>
    <n v="1"/>
    <n v="1"/>
    <s v="SUB"/>
    <n v="1"/>
    <s v="overt"/>
    <n v="3"/>
    <s v="n/a"/>
    <s v="n/a"/>
    <n v="0"/>
    <n v="0"/>
    <s v="n/a"/>
    <s v="main"/>
    <n v="0"/>
    <x v="0"/>
    <s v="n/a"/>
    <s v="n/a"/>
    <n v="0"/>
    <s v="none"/>
    <s v="relative"/>
    <s v="ds"/>
    <n v="0"/>
    <s v="topic-drop"/>
    <s v="contains_new"/>
    <m/>
    <m/>
    <n v="1"/>
    <m/>
    <x v="0"/>
  </r>
  <r>
    <s v="Heike 2.20"/>
    <s v="詮ずるところ (senzuru tokoro)"/>
    <s v="finally, as for what is to be done"/>
    <s v="詮ずる"/>
    <s v="indicative"/>
    <x v="1"/>
    <x v="6"/>
    <m/>
    <m/>
    <m/>
    <m/>
    <m/>
    <m/>
    <m/>
    <m/>
    <m/>
    <m/>
    <m/>
    <m/>
    <m/>
    <m/>
    <m/>
    <m/>
    <x v="2"/>
    <m/>
    <m/>
    <m/>
    <m/>
    <s v="main"/>
    <m/>
    <s v="ss"/>
    <m/>
    <m/>
    <m/>
    <m/>
    <m/>
    <m/>
    <x v="0"/>
  </r>
  <r>
    <s v="Heike 2.21"/>
    <s v="身を全うして (mi o mattō shite)"/>
    <s v="with all your might"/>
    <s v="全うして"/>
    <s v="indicative"/>
    <x v="1"/>
    <x v="3"/>
    <s v="transitive"/>
    <s v="active"/>
    <s v="positive"/>
    <n v="1"/>
    <n v="1"/>
    <s v="OBJ"/>
    <n v="0"/>
    <s v="zero_recoverable"/>
    <n v="1"/>
    <s v="overt"/>
    <s v="n/a"/>
    <n v="0"/>
    <n v="0"/>
    <s v="n/a"/>
    <s v="te"/>
    <n v="0"/>
    <x v="0"/>
    <s v="n/a"/>
    <s v="n/a"/>
    <n v="0"/>
    <s v="sequential"/>
    <n v="0"/>
    <s v="ss"/>
    <s v="ss"/>
    <s v="topic-drop"/>
    <s v="contains_new"/>
    <m/>
    <m/>
    <n v="1"/>
    <m/>
    <x v="0"/>
  </r>
  <r>
    <s v="Heike 2.22"/>
    <s v="君に仕へ奉れ"/>
    <s v=" kimi ni tsukae tatematsure"/>
    <s v="仕へ奉れ"/>
    <s v="imperative"/>
    <x v="2"/>
    <x v="1"/>
    <s v="intransitive"/>
    <s v="active"/>
    <s v="positive"/>
    <n v="1"/>
    <n v="1"/>
    <s v="IO"/>
    <n v="0"/>
    <s v="zero_exalt"/>
    <n v="1"/>
    <s v="n/a"/>
    <s v="overt"/>
    <n v="0"/>
    <n v="0"/>
    <s v="n/a"/>
    <s v="complement"/>
    <n v="1"/>
    <x v="1"/>
    <s v="sub"/>
    <s v="lexical_humble_verb"/>
    <n v="0"/>
    <s v="none"/>
    <s v="te"/>
    <s v="ss"/>
    <s v="ds"/>
    <s v="topic-drop"/>
    <s v="contains_new"/>
    <m/>
    <m/>
    <n v="1"/>
    <m/>
    <x v="0"/>
  </r>
  <r>
    <s v="Heike 2.23"/>
    <s v="といふ本文あり (to iu honbun ari)"/>
    <s v="so goes the original passage"/>
    <s v="あり"/>
    <s v="indicative"/>
    <x v="0"/>
    <x v="7"/>
    <s v="intransitive"/>
    <s v="active"/>
    <s v="positive"/>
    <n v="1"/>
    <n v="1"/>
    <s v="SUB"/>
    <n v="1"/>
    <s v="overt"/>
    <n v="3"/>
    <s v="n/a"/>
    <s v="n/a"/>
    <n v="0"/>
    <n v="0"/>
    <s v="n/a"/>
    <s v="main"/>
    <n v="0"/>
    <x v="0"/>
    <s v="n/a"/>
    <s v="n/a"/>
    <n v="0"/>
    <s v="none"/>
    <s v="complement"/>
    <s v="ds"/>
    <s v="ss"/>
    <s v="topic-drop"/>
    <s v="contains_new"/>
    <s v="frame predicate"/>
    <m/>
    <n v="1"/>
    <m/>
    <x v="0"/>
  </r>
  <r>
    <s v="Heike 2.24"/>
    <s v="参内の初めより大なる鞘巻を用意し (sannai no hajime yori ō-naru sayamaki o yōi shi)"/>
    <s v="Before entering the Court he provided himself with a long dirk"/>
    <s v="用意し"/>
    <s v="indicative"/>
    <x v="1"/>
    <x v="3"/>
    <s v="transitive"/>
    <s v="active"/>
    <s v="positive"/>
    <n v="1"/>
    <n v="1"/>
    <s v="OBJ"/>
    <n v="1"/>
    <s v="zero_recoverable"/>
    <n v="3"/>
    <s v="overt"/>
    <s v="n/a"/>
    <n v="0"/>
    <n v="0"/>
    <s v="n/a"/>
    <s v="inf"/>
    <n v="0"/>
    <x v="0"/>
    <s v="n/a"/>
    <s v="n/a"/>
    <n v="0"/>
    <s v="none"/>
    <s v="main"/>
    <s v="ss"/>
    <s v="ss"/>
    <s v="topic-drop"/>
    <s v="contains_new"/>
    <m/>
    <m/>
    <n v="1"/>
    <m/>
    <x v="0"/>
  </r>
  <r>
    <s v="Heike 2.25"/>
    <s v="束帯の下にしどけなげに差し (sokutai no shita ni shidokenage ni sashi)"/>
    <s v="which he girt on under his long court dress"/>
    <s v="差し"/>
    <s v="indicative"/>
    <x v="1"/>
    <x v="1"/>
    <s v="transitive"/>
    <s v="active"/>
    <s v="positive"/>
    <n v="1"/>
    <n v="1"/>
    <s v="IO"/>
    <n v="1"/>
    <s v="zero_recoverable"/>
    <n v="3"/>
    <s v="zero_recoverable"/>
    <s v="overt"/>
    <n v="0"/>
    <n v="0"/>
    <s v="n/a"/>
    <s v="inf"/>
    <n v="0"/>
    <x v="0"/>
    <s v="n/a"/>
    <s v="n/a"/>
    <n v="0"/>
    <s v="none"/>
    <s v="inf"/>
    <s v="ss"/>
    <s v="ss"/>
    <s v="topic-drop"/>
    <s v="contains_new"/>
    <m/>
    <m/>
    <n v="1"/>
    <m/>
    <x v="0"/>
  </r>
  <r>
    <s v="Heike 2.26"/>
    <s v="火の仄暗き方に向かつて (hi no hokuraki kata ni mukatte)"/>
    <s v="and turning aside to a dimly lit place"/>
    <s v="向かつて"/>
    <s v="indicative"/>
    <x v="1"/>
    <x v="1"/>
    <s v="intransitive"/>
    <s v="active"/>
    <s v="positive"/>
    <n v="1"/>
    <n v="1"/>
    <s v="IO"/>
    <n v="1"/>
    <s v="zero_recoverable"/>
    <n v="3"/>
    <s v="n/a"/>
    <s v="overt"/>
    <n v="0"/>
    <n v="0"/>
    <s v="n/a"/>
    <s v="te"/>
    <n v="0"/>
    <x v="0"/>
    <s v="n/a"/>
    <s v="n/a"/>
    <n v="0"/>
    <s v="sequential"/>
    <s v="inf"/>
    <s v="ss"/>
    <s v="ss"/>
    <s v="topic-drop"/>
    <s v="contains_new"/>
    <m/>
    <m/>
    <n v="1"/>
    <m/>
    <x v="0"/>
  </r>
  <r>
    <s v="Heike 2.27"/>
    <s v="やはらこの刀を抜き出でて (yahara kono katana o nuki-idete)"/>
    <s v="slowly drew the blade"/>
    <s v="抜き出でて"/>
    <s v="indicative"/>
    <x v="3"/>
    <x v="4"/>
    <s v="transitive"/>
    <s v="active"/>
    <s v="positive"/>
    <n v="1"/>
    <n v="1"/>
    <s v="OBJ"/>
    <n v="0"/>
    <s v="zero_recoverable"/>
    <n v="3"/>
    <s v="overt"/>
    <s v="n/a"/>
    <n v="0"/>
    <n v="0"/>
    <s v="n/a"/>
    <s v="te"/>
    <n v="0"/>
    <x v="0"/>
    <s v="n/a"/>
    <s v="n/a"/>
    <n v="0"/>
    <s v="sequential"/>
    <s v="te"/>
    <s v="ss"/>
    <s v="ss"/>
    <s v="topic-drop"/>
    <s v="all given"/>
    <s v="&quot;kono katana&quot; refers to the &quot;sayamaki&quot;, so all given"/>
    <m/>
    <n v="1"/>
    <m/>
    <x v="0"/>
  </r>
  <r>
    <s v="Heike 2.28"/>
    <s v="鬢に引き当てられたりけるが (kami ni hiki-ate raretarikeru ga)"/>
    <s v="and passed it through the hair of his head"/>
    <s v="引き当てられたりける"/>
    <s v="indicative"/>
    <x v="3"/>
    <x v="1"/>
    <s v="transitive"/>
    <s v="active"/>
    <s v="positive"/>
    <n v="1"/>
    <n v="1"/>
    <s v="IO"/>
    <n v="0"/>
    <s v="zero_exalt"/>
    <n v="3"/>
    <s v="zero_recoverable"/>
    <s v="overt"/>
    <n v="0"/>
    <n v="0"/>
    <s v="n/a"/>
    <s v="subordinate"/>
    <n v="0"/>
    <x v="1"/>
    <s v="sub"/>
    <s v="honorific_aux"/>
    <n v="0"/>
    <s v="conjunctive"/>
    <s v="te"/>
    <s v="ss"/>
    <s v="ds"/>
    <s v="topic-drop"/>
    <s v="contains_new"/>
    <s v="should the -to part be considered a clausal subject?"/>
    <m/>
    <n v="1"/>
    <m/>
    <x v="0"/>
  </r>
  <r>
    <s v="Heike 2.29"/>
    <s v="余所よりは氷などのやうにぞ見えたりける (yoso yori wa kōri nado no yō ni zo mieta rikeru)"/>
    <s v="so that it gleamed afar off with an icy sheen"/>
    <s v="見えたりける"/>
    <s v="indicative"/>
    <x v="6"/>
    <x v="1"/>
    <s v="intransitive"/>
    <s v="resultative"/>
    <s v="positive"/>
    <n v="1"/>
    <n v="0"/>
    <s v="n/a"/>
    <n v="2"/>
    <s v="zero_recoverable"/>
    <n v="3"/>
    <s v="n/a"/>
    <s v="n/a"/>
    <n v="0"/>
    <n v="0"/>
    <s v="n/a"/>
    <s v="relative"/>
    <n v="0"/>
    <x v="0"/>
    <s v="n/a"/>
    <s v="n/a"/>
    <n v="0"/>
    <s v="none"/>
    <s v="subordinate"/>
    <s v="ds"/>
    <s v="ss"/>
    <s v="topic-drop"/>
    <s v="no_overt_NP"/>
    <m/>
    <m/>
    <n v="0"/>
    <m/>
    <x v="0"/>
  </r>
  <r>
    <s v="Heike 2.30"/>
    <s v="諸人目を澄ましけり (morobito me o sumashikeri)"/>
    <s v="causing all to stare open-eyed"/>
    <s v="澄ましけり"/>
    <s v="indicative"/>
    <x v="1"/>
    <x v="1"/>
    <s v="transitive"/>
    <s v="active"/>
    <s v="positive"/>
    <n v="1"/>
    <n v="2"/>
    <s v="O+IO"/>
    <n v="0"/>
    <s v="zero_recoverable"/>
    <n v="3"/>
    <s v="overt"/>
    <s v="overt"/>
    <n v="0"/>
    <n v="0"/>
    <s v="n/a"/>
    <s v="main"/>
    <n v="0"/>
    <x v="0"/>
    <s v="n/a"/>
    <s v="n/a"/>
    <n v="0"/>
    <s v="none"/>
    <s v="relative"/>
    <s v="ss"/>
    <s v="ds"/>
    <s v="topic-drop"/>
    <s v="contains_new"/>
    <m/>
    <m/>
    <n v="2"/>
    <m/>
    <x v="0"/>
  </r>
  <r>
    <s v="Heike 2.31"/>
    <s v="また忠盛の郎等元は一門たりし( mata Tadamori no rōtō moto wa ichimon tarishi) "/>
    <s v="Moreover a retainer of Tadamori ... "/>
    <s v="たりし"/>
    <s v="indicative"/>
    <x v="1"/>
    <x v="0"/>
    <s v="intransitive"/>
    <s v="active"/>
    <s v="positive"/>
    <n v="1"/>
    <n v="1"/>
    <s v="SUB"/>
    <n v="1"/>
    <s v="overt"/>
    <n v="3"/>
    <s v="n/a"/>
    <s v="n/a"/>
    <n v="0"/>
    <n v="0"/>
    <s v="REL"/>
    <s v="relative"/>
    <n v="0"/>
    <x v="0"/>
    <s v="n/a"/>
    <s v="n/a"/>
    <n v="0"/>
    <s v="conjunctive"/>
    <s v="main"/>
    <s v="ds"/>
    <s v="ss"/>
    <s v="topic-introduced"/>
    <s v="contains_new"/>
    <m/>
    <m/>
    <n v="1"/>
    <m/>
    <x v="0"/>
  </r>
  <r>
    <s v="Heike 2.32"/>
    <s v="木工助平貞光が孫新四郎太夫家房が子に左兵衛尉家貞といふ者あり (Moku no suke Sadamitsu ga mago Shinshirō Tayū Iefusa ga ko ni Sahyōe no jō Iesada to iu mono ari)"/>
    <s v="there was one named Sahyoe-no-jo Iesada"/>
    <s v="あり"/>
    <s v="indicative"/>
    <x v="1"/>
    <x v="7"/>
    <s v="intransitive"/>
    <s v="active"/>
    <s v="positive"/>
    <n v="1"/>
    <n v="1"/>
    <s v="SUB"/>
    <n v="2"/>
    <s v="overt"/>
    <n v="3"/>
    <s v="n/a"/>
    <s v="n/a"/>
    <n v="0"/>
    <n v="0"/>
    <s v="n/a"/>
    <s v="main"/>
    <n v="0"/>
    <x v="0"/>
    <s v="n/a"/>
    <s v="n/a"/>
    <n v="0"/>
    <s v="none"/>
    <s v="relative"/>
    <s v="ss"/>
    <s v="ss"/>
    <s v="topic-introduced"/>
    <s v="contains_new"/>
    <s v="frame predicate"/>
    <m/>
    <n v="1"/>
    <m/>
    <x v="0"/>
  </r>
  <r>
    <s v="Heike 2.33"/>
    <s v="薄青の狩衣の下に萌黄威の腹巻を着 (usuao no kariginu no shita ni moegi-odoshi no haramaki o ki)"/>
    <s v="wearing a body armour laced with bright green under a light green &quot;kariginu&quot;"/>
    <s v="着"/>
    <s v="indicative"/>
    <x v="1"/>
    <x v="1"/>
    <s v="transitive"/>
    <s v="active"/>
    <s v="positive"/>
    <n v="1"/>
    <n v="1"/>
    <s v="OBJ"/>
    <n v="1"/>
    <s v="zero_recoverable"/>
    <n v="3"/>
    <s v="overt"/>
    <s v="n/a"/>
    <n v="0"/>
    <n v="0"/>
    <s v="n/a"/>
    <s v="inf"/>
    <n v="0"/>
    <x v="0"/>
    <s v="n/a"/>
    <s v="n/a"/>
    <n v="0"/>
    <s v="none"/>
    <s v="main"/>
    <s v="ss"/>
    <s v="ss"/>
    <s v="topic-drop"/>
    <s v="contains_new"/>
    <m/>
    <m/>
    <n v="1"/>
    <m/>
    <x v="0"/>
  </r>
  <r>
    <s v="Heike 2.34"/>
    <s v="柄弦袋付けたる ezurubukuro tsuketaru "/>
    <s v="with a bowstring bag attached"/>
    <s v="付けたる"/>
    <s v="indicative"/>
    <x v="1"/>
    <x v="1"/>
    <s v="transitive"/>
    <s v="active"/>
    <s v="positive"/>
    <n v="1"/>
    <n v="1"/>
    <s v="OBJ"/>
    <n v="0"/>
    <s v="zero_recoverable"/>
    <n v="3"/>
    <s v="overt"/>
    <s v="n/a"/>
    <n v="1"/>
    <n v="0"/>
    <s v="REL"/>
    <s v="relative"/>
    <n v="0"/>
    <x v="0"/>
    <s v="n/a"/>
    <s v="n/a"/>
    <n v="0"/>
    <s v="none"/>
    <s v="inf"/>
    <s v="ss"/>
    <s v="ss"/>
    <s v="topic-drop"/>
    <s v="contains_new"/>
    <m/>
    <m/>
    <n v="1"/>
    <m/>
    <x v="0"/>
  </r>
  <r>
    <s v="Heike 2.35"/>
    <s v="太刀脇挟んで (tachi wakihasande)"/>
    <s v="and carrying under his arm a &quot;tachi&quot; "/>
    <s v="挟んで"/>
    <s v="indicative"/>
    <x v="1"/>
    <x v="1"/>
    <s v="transitive"/>
    <s v="active"/>
    <s v="positive"/>
    <n v="1"/>
    <n v="2"/>
    <s v="O+IO"/>
    <n v="0"/>
    <s v="zero_recoverable"/>
    <n v="3"/>
    <s v="overt"/>
    <s v="overt"/>
    <n v="0"/>
    <n v="0"/>
    <s v="n/a"/>
    <s v="te"/>
    <n v="0"/>
    <x v="0"/>
    <s v="n/a"/>
    <s v="n/a"/>
    <n v="0"/>
    <s v="none"/>
    <s v="relative"/>
    <s v="ss"/>
    <s v="ss"/>
    <s v="topic-drop"/>
    <s v="contains_new"/>
    <m/>
    <m/>
    <n v="2"/>
    <m/>
    <x v="0"/>
  </r>
  <r>
    <s v="Heike 2.36"/>
    <s v="殿上の小庭に畏つてぞ候ひける (tenjō no koniwa ni kashikomatte zo soroikyeru)"/>
    <s v="was waiting in the &quot;koniwa,&quot; the small court by the Seiryoden"/>
    <s v="畏つて候ひける"/>
    <s v="indicative"/>
    <x v="1"/>
    <x v="2"/>
    <s v="intransitive"/>
    <s v="active"/>
    <s v="positive"/>
    <n v="1"/>
    <n v="0"/>
    <s v="n/a"/>
    <n v="1"/>
    <s v="zero_recoverable"/>
    <n v="3"/>
    <s v="n/a"/>
    <s v="n/a"/>
    <n v="0"/>
    <n v="0"/>
    <s v="n/a"/>
    <s v="main"/>
    <n v="0"/>
    <x v="1"/>
    <s v="sub"/>
    <s v="lexical_humble_verb"/>
    <n v="0"/>
    <s v="none"/>
    <s v="te"/>
    <s v="ss"/>
    <s v="ds"/>
    <s v="topic-drop"/>
    <s v="no_overt_NP"/>
    <m/>
    <m/>
    <n v="0"/>
    <m/>
    <x v="0"/>
  </r>
  <r>
    <s v="Heike 2.37"/>
    <s v="貫首以下怪しみをなして (kanshu ika ayashimi o nashite)"/>
    <s v="Now the Kurando-no-to and others, thinking it strange,"/>
    <s v="なして"/>
    <s v="indicative"/>
    <x v="1"/>
    <x v="8"/>
    <s v="transitive"/>
    <s v="active"/>
    <s v="negative"/>
    <n v="1"/>
    <n v="2"/>
    <s v="S+O"/>
    <n v="0"/>
    <s v="overt"/>
    <n v="3"/>
    <s v="overt"/>
    <s v="n/a"/>
    <n v="0"/>
    <n v="0"/>
    <s v="n/a"/>
    <s v="te"/>
    <n v="0"/>
    <x v="0"/>
    <s v="n/a"/>
    <s v="n/a"/>
    <n v="0"/>
    <s v="sequential"/>
    <s v="main"/>
    <s v="ds"/>
    <s v="ss"/>
    <s v="topic-shift"/>
    <s v="contains_new"/>
    <m/>
    <m/>
    <n v="2"/>
    <m/>
    <x v="0"/>
  </r>
  <r>
    <s v="Heike 2.38"/>
    <s v="空柱より内鈴の綱の辺に布衣の者の候ふ  (sorabashira yori uchisuzu no tsuna no hen ni hoi no mono no soroou)"/>
    <s v="that one wearing unsuitable costume should be within the balustrade of the steps of the Court near the bell-rope of the library, "/>
    <s v="候ふ"/>
    <s v="indicative"/>
    <x v="1"/>
    <x v="1"/>
    <s v="intransitive"/>
    <s v="active"/>
    <s v="positive"/>
    <n v="1"/>
    <n v="1"/>
    <s v="SUB"/>
    <n v="1"/>
    <s v="overt"/>
    <n v="3"/>
    <s v="n/a"/>
    <s v="n/a"/>
    <n v="0"/>
    <n v="0"/>
    <s v="SUB"/>
    <s v="nominalised"/>
    <n v="1"/>
    <x v="0"/>
    <s v="sub"/>
    <s v="lexical_humble_verb"/>
    <n v="0"/>
    <s v="none"/>
    <s v="te"/>
    <s v="ss"/>
    <s v="ss"/>
    <s v="topic-shift"/>
    <s v="contains_new"/>
    <s v="internally headed"/>
    <m/>
    <n v="1"/>
    <m/>
    <x v="0"/>
  </r>
  <r>
    <s v="Heike 2.39"/>
    <s v="は何者ぞ  wa nani mono zo"/>
    <s v="and wondering who he was."/>
    <s v="何者ぞ  "/>
    <s v="indicative"/>
    <x v="1"/>
    <x v="0"/>
    <s v="intransitive"/>
    <s v="active"/>
    <s v="positive"/>
    <n v="1"/>
    <n v="1"/>
    <s v="SUB"/>
    <n v="0"/>
    <s v="overt"/>
    <n v="3"/>
    <s v="n/a"/>
    <s v="n/a"/>
    <n v="0"/>
    <n v="0"/>
    <s v="n/a"/>
    <s v="main"/>
    <n v="0"/>
    <x v="0"/>
    <s v="n/a"/>
    <s v="n/a"/>
    <n v="0"/>
    <s v="none"/>
    <s v="nominalised"/>
    <s v="ss"/>
    <s v="ss"/>
    <s v="topic-continued"/>
    <s v="all given"/>
    <m/>
    <m/>
    <n v="1"/>
    <m/>
    <x v="0"/>
  </r>
  <r>
    <s v="Heike 2.40"/>
    <s v="狼藉なり (rōzaku nari)"/>
    <s v="&quot;[He is] disorderly&quot;"/>
    <s v="なり"/>
    <s v="indicative"/>
    <x v="0"/>
    <x v="0"/>
    <s v="intransitive"/>
    <s v="active"/>
    <s v="positive"/>
    <n v="1"/>
    <n v="0"/>
    <s v="n/a"/>
    <n v="0"/>
    <s v="zero_other"/>
    <n v="3"/>
    <s v="n/a"/>
    <s v="n/a"/>
    <n v="0"/>
    <n v="0"/>
    <s v="n/a"/>
    <s v="main"/>
    <n v="0"/>
    <x v="0"/>
    <s v="n/a"/>
    <s v="n/a"/>
    <n v="0"/>
    <s v="none"/>
    <s v="main"/>
    <s v="ss"/>
    <s v="ss"/>
    <s v="topic-drop"/>
    <s v="no_overt_NP"/>
    <m/>
    <m/>
    <n v="0"/>
    <m/>
    <x v="0"/>
  </r>
  <r>
    <s v="Heike 2.41"/>
    <s v="疾う疾う罷り出でよと (tōtō makari ideyo to)"/>
    <s v="&quot;Depart quickly&quot;"/>
    <s v="罷り出でよ"/>
    <s v="imperative"/>
    <x v="3"/>
    <x v="1"/>
    <s v="intransitive"/>
    <s v="active"/>
    <s v="positive"/>
    <n v="1"/>
    <n v="0"/>
    <s v="n/a"/>
    <n v="0"/>
    <s v="zero_recoverable"/>
    <n v="2"/>
    <s v="n/a"/>
    <s v="n/a"/>
    <n v="0"/>
    <n v="0"/>
    <s v="n/a"/>
    <s v="complement"/>
    <n v="0"/>
    <x v="1"/>
    <s v="sub"/>
    <s v="lexical_humble_verb"/>
    <n v="0"/>
    <s v="quotative"/>
    <s v="main"/>
    <s v="ss"/>
    <s v="ss"/>
    <s v="topic-drop"/>
    <s v="no_overt_NP"/>
    <s v="embedded"/>
    <m/>
    <n v="0"/>
    <m/>
    <x v="0"/>
  </r>
  <r>
    <s v="Heike 2.42"/>
    <s v="六位を以て云はせられたりければ (to roku-i o motte iwaseraretarikereba)"/>
    <s v="an official of the sixth rank ordered him to depart quickly."/>
    <s v="云はせられたりければ"/>
    <s v="indicative"/>
    <x v="0"/>
    <x v="1"/>
    <s v="intransitive"/>
    <s v="causative-passive-resultative"/>
    <s v="positive"/>
    <n v="1"/>
    <n v="2"/>
    <s v="O (Speech) +IO"/>
    <n v="1"/>
    <s v="zero_recoverable"/>
    <n v="3"/>
    <s v="overt"/>
    <s v="n/a"/>
    <n v="0"/>
    <n v="0"/>
    <s v="n/a"/>
    <s v="subordinate"/>
    <n v="1"/>
    <x v="0"/>
    <s v="n/a"/>
    <s v="honorific_aux"/>
    <n v="0"/>
    <s v="none"/>
    <s v="complement"/>
    <s v="ss"/>
    <s v="ss"/>
    <s v="topic-drop"/>
    <s v="contains_new"/>
    <m/>
    <m/>
    <n v="2"/>
    <m/>
    <x v="0"/>
  </r>
  <r>
    <s v="Heike 2.43"/>
    <s v="家貞畏つて申しけるは (Iesada kashikomatte mōshikeru wa)"/>
    <s v="But Iesada thus replied:"/>
    <s v="申しける"/>
    <s v="indicative"/>
    <x v="2"/>
    <x v="1"/>
    <s v="transitive"/>
    <s v="active"/>
    <s v="positive"/>
    <n v="1"/>
    <n v="1"/>
    <s v="SUB"/>
    <n v="0"/>
    <s v="overt"/>
    <n v="3"/>
    <s v="zero_other"/>
    <s v="n/a"/>
    <n v="1"/>
    <n v="0"/>
    <s v="SUB"/>
    <s v="subordinate"/>
    <n v="1"/>
    <x v="0"/>
    <s v="sub"/>
    <s v="lexical_humble_verb"/>
    <n v="0"/>
    <s v="none"/>
    <s v="subordinate"/>
    <s v="ss"/>
    <s v="ds"/>
    <s v="topic-continued"/>
    <s v="all given"/>
    <s v="internally headed"/>
    <m/>
    <n v="1"/>
    <m/>
    <x v="0"/>
  </r>
  <r>
    <s v="Heike 2.44"/>
    <s v="相伝の主備前守殿今夜闇討にせられ給ふべき (sōden no aruji Bizen no kami-dono kon'ya yamiuchi ni serare-tamō beki) "/>
    <s v="tonight they will try to kill my Lord Bizen-no-kami dono&quot;"/>
    <s v="闇討にせられ給ふ"/>
    <s v="indicative"/>
    <x v="1"/>
    <x v="3"/>
    <s v="intransitive"/>
    <s v="passive"/>
    <s v="positive"/>
    <n v="1"/>
    <n v="1"/>
    <s v="SUB"/>
    <n v="1"/>
    <s v="overt"/>
    <n v="3"/>
    <s v="n/a"/>
    <s v="n/a"/>
    <n v="0"/>
    <n v="1"/>
    <s v="REL"/>
    <s v="relative"/>
    <n v="1"/>
    <x v="0"/>
    <s v="sub"/>
    <s v="lexical_honorific_verb"/>
    <n v="0"/>
    <s v="none"/>
    <s v="subordinate"/>
    <s v="ds"/>
    <s v="ss"/>
    <s v="topic-shift"/>
    <s v="contains_new"/>
    <m/>
    <m/>
    <n v="1"/>
    <m/>
    <x v="0"/>
  </r>
  <r>
    <s v="Heike 2.45"/>
    <s v="由伝へ承つて(yoshi tsutae uketamawatte) "/>
    <s v="Because I have heard that"/>
    <s v="伝へ承つて"/>
    <s v="indicative"/>
    <x v="5"/>
    <x v="1"/>
    <s v="transitive"/>
    <s v="active"/>
    <s v="positive"/>
    <n v="1"/>
    <n v="1"/>
    <s v="OBJ"/>
    <n v="0"/>
    <s v="zero_recoverable"/>
    <n v="1"/>
    <s v="overt"/>
    <s v="n/a"/>
    <n v="0"/>
    <n v="0"/>
    <s v="n/a"/>
    <s v="te"/>
    <n v="0"/>
    <x v="1"/>
    <s v="sub"/>
    <s v="honorific_aux"/>
    <n v="0"/>
    <s v="sequential"/>
    <s v="relative"/>
    <s v="ss"/>
    <s v="ds"/>
    <s v="topic-drop"/>
    <s v="contains_new"/>
    <m/>
    <m/>
    <n v="1"/>
    <m/>
    <x v="0"/>
  </r>
  <r>
    <s v="Heike 2.46"/>
    <s v="それならん  (sore naran )"/>
    <s v="&quot;whether it is so&quot;"/>
    <s v="ならん "/>
    <s v="epistemic"/>
    <x v="1"/>
    <x v="1"/>
    <s v="intransitive"/>
    <s v="active"/>
    <s v="positive"/>
    <n v="1"/>
    <n v="1"/>
    <s v="SUB"/>
    <n v="0"/>
    <s v="overt"/>
    <n v="3"/>
    <s v="n/a"/>
    <s v="n/a"/>
    <n v="0"/>
    <n v="1"/>
    <s v="REL"/>
    <s v="relative"/>
    <n v="0"/>
    <x v="0"/>
    <s v="n/a"/>
    <s v="n/a"/>
    <n v="0"/>
    <s v="none"/>
    <s v="te"/>
    <s v="ds"/>
    <s v="ds"/>
    <s v="topic-continued"/>
    <s v="all given"/>
    <m/>
    <m/>
    <n v="1"/>
    <m/>
    <x v="0"/>
  </r>
  <r>
    <s v="Heike 2.47"/>
    <s v="やうを見んとて (yō o min to te)"/>
    <s v="and in order to see "/>
    <s v="見ん"/>
    <s v="dynamic"/>
    <x v="6"/>
    <x v="1"/>
    <s v="transitive"/>
    <s v="active"/>
    <s v="positive"/>
    <n v="1"/>
    <n v="1"/>
    <s v="OBJ"/>
    <n v="0"/>
    <s v="zero_recoverable"/>
    <n v="1"/>
    <s v="overt"/>
    <s v="n/a"/>
    <n v="0"/>
    <n v="0"/>
    <s v="REL"/>
    <s v="subordinate"/>
    <n v="0"/>
    <x v="0"/>
    <s v="n/a"/>
    <s v="n/a"/>
    <n v="0"/>
    <s v="purpose"/>
    <s v="relative"/>
    <s v="ds"/>
    <s v="ss"/>
    <s v="topic-drop"/>
    <s v="contains_new"/>
    <m/>
    <m/>
    <n v="1"/>
    <m/>
    <x v="0"/>
  </r>
  <r>
    <s v="Heike 2.48"/>
    <s v="かくて候ふなり (kakute soro fu nari)"/>
    <s v="&quot;have come and am thus waiting&quot;"/>
    <s v="候ふなり"/>
    <s v="indicative"/>
    <x v="0"/>
    <x v="2"/>
    <s v="intransitive"/>
    <s v="active"/>
    <s v="positive"/>
    <n v="1"/>
    <n v="0"/>
    <s v="n/a"/>
    <n v="1"/>
    <s v="zero_exalt"/>
    <n v="1"/>
    <s v="n/a"/>
    <s v="n/a"/>
    <n v="0"/>
    <n v="0"/>
    <s v="n/a"/>
    <s v="main"/>
    <n v="0"/>
    <x v="1"/>
    <s v="sub"/>
    <s v="lexical_humble_verb"/>
    <n v="0"/>
    <s v="none"/>
    <s v="subordinate"/>
    <s v="ss"/>
    <s v="ss"/>
    <s v="topic-drop"/>
    <s v="no_overt_NP"/>
    <m/>
    <m/>
    <n v="0"/>
    <m/>
    <x v="0"/>
  </r>
  <r>
    <s v="Heike 2.49"/>
    <s v="えこそ出でまじう候へ (e koso idema jiu soro e)"/>
    <s v="&quot;I cannot possibly go out&quot;"/>
    <s v="出でまじう候へ"/>
    <s v="dynamic"/>
    <x v="3"/>
    <x v="1"/>
    <s v="intransitive"/>
    <s v="active"/>
    <s v="negative"/>
    <n v="1"/>
    <n v="0"/>
    <s v="n/a"/>
    <n v="0"/>
    <s v="zero_exalt"/>
    <n v="1"/>
    <s v="n/a"/>
    <s v="n/a"/>
    <n v="0"/>
    <n v="0"/>
    <s v="n/a"/>
    <s v="main"/>
    <n v="0"/>
    <x v="1"/>
    <s v="sub"/>
    <s v="polite_aux"/>
    <n v="0"/>
    <s v="none"/>
    <s v="main"/>
    <s v="ss"/>
    <s v="ds"/>
    <s v="topic-drop"/>
    <s v="no_overt_NP"/>
    <m/>
    <m/>
    <n v="0"/>
    <m/>
    <x v="0"/>
  </r>
  <r>
    <s v="Heike 2.50"/>
    <s v="これらを由なしとや (korera o yoshi nashi to ya)"/>
    <s v=" there was nothing more to be done;"/>
    <s v="なし"/>
    <s v="indicative"/>
    <x v="0"/>
    <x v="7"/>
    <s v="intransitive"/>
    <s v="active"/>
    <s v="negative"/>
    <n v="1"/>
    <n v="1"/>
    <s v="SUB"/>
    <n v="1"/>
    <s v="overt"/>
    <n v="3"/>
    <s v="n/a"/>
    <s v="n/a"/>
    <n v="0"/>
    <n v="0"/>
    <s v="n/a"/>
    <s v="complement"/>
    <n v="0"/>
    <x v="0"/>
    <s v="n/a"/>
    <s v="n/a"/>
    <n v="0"/>
    <s v="quotative"/>
    <s v="main"/>
    <s v="ds"/>
    <m/>
    <s v="topic-continued"/>
    <s v="contains_new"/>
    <m/>
    <m/>
    <n v="1"/>
    <m/>
    <x v="0"/>
  </r>
  <r>
    <m/>
    <s v="思はれけん (omowareken)"/>
    <s v="And they saw that"/>
    <s v="思はれけん"/>
    <s v="epistemic"/>
    <x v="4"/>
    <x v="1"/>
    <s v="transitive"/>
    <s v="active"/>
    <s v="positive"/>
    <n v="1"/>
    <n v="1"/>
    <s v="O (Speech)"/>
    <n v="0"/>
    <s v="zero_exalt"/>
    <n v="3"/>
    <s v="overt"/>
    <s v="n/a"/>
    <n v="0"/>
    <n v="0"/>
    <s v="n/a"/>
    <s v="main"/>
    <n v="0"/>
    <x v="1"/>
    <s v="sub"/>
    <s v="honorific_aux"/>
    <n v="0"/>
    <s v="main"/>
    <m/>
    <s v="ds"/>
    <m/>
    <s v="topic-drop"/>
    <s v="contains_new"/>
    <m/>
    <m/>
    <n v="1"/>
    <m/>
    <x v="0"/>
  </r>
  <r>
    <s v="Heike 2.51"/>
    <s v="その夜の闇討なかりけり (sono yo no yamiuchi nakarikeri)"/>
    <s v="and thus the attempt did not take place."/>
    <s v="なかりけり"/>
    <s v="indicative"/>
    <x v="7"/>
    <x v="1"/>
    <s v="intransitive"/>
    <s v="active"/>
    <s v="negative"/>
    <n v="1"/>
    <n v="1"/>
    <s v="SUB"/>
    <n v="0"/>
    <s v="overt"/>
    <s v="inanimate"/>
    <s v="n/a"/>
    <s v="n/a"/>
    <n v="0"/>
    <n v="0"/>
    <s v="n/a"/>
    <s v="main"/>
    <n v="0"/>
    <x v="0"/>
    <s v="n/a"/>
    <s v="n/a"/>
    <n v="0"/>
    <s v="none"/>
    <s v="main"/>
    <s v="ss"/>
    <s v="ds"/>
    <s v="topic-shift"/>
    <s v="contains_new"/>
    <m/>
    <m/>
    <n v="1"/>
    <m/>
    <x v="0"/>
  </r>
  <r>
    <s v="Heike 2.52"/>
    <s v="忠盛また御前の召しに舞はれけるに (Tadamori mata gozen no meshi ni mawarekeru ni)"/>
    <s v="But when Tadamori danced in the August presence of the Mikado at his Imperial wish,"/>
    <s v="舞はれける"/>
    <s v="indicative"/>
    <x v="2"/>
    <x v="1"/>
    <s v="intransitive"/>
    <s v="active"/>
    <s v="positive"/>
    <n v="1"/>
    <n v="1"/>
    <s v="SUB"/>
    <n v="1"/>
    <s v="overt"/>
    <n v="3"/>
    <s v="n/a"/>
    <s v="n/a"/>
    <n v="0"/>
    <n v="0"/>
    <s v="REL"/>
    <s v="subordinate"/>
    <n v="1"/>
    <x v="0"/>
    <s v="sub"/>
    <s v="honorific_aux"/>
    <n v="0"/>
    <s v="temporal"/>
    <s v="main"/>
    <s v="ds"/>
    <s v="ds"/>
    <s v="topic-shift"/>
    <s v="contains_new"/>
    <m/>
    <m/>
    <n v="1"/>
    <m/>
    <x v="0"/>
  </r>
  <r>
    <s v="Heike 2.53"/>
    <s v="人々拍子を変へて (hitobito hyōshi o kaete)"/>
    <s v="the others mocked at him, changing the words of the music"/>
    <s v="変へて"/>
    <s v="indicative"/>
    <x v="1"/>
    <x v="1"/>
    <s v="transitive"/>
    <s v="active"/>
    <s v="positive"/>
    <n v="1"/>
    <n v="2"/>
    <s v="S+O"/>
    <n v="0"/>
    <s v="overt"/>
    <n v="3"/>
    <s v="overt"/>
    <s v="n/a"/>
    <n v="0"/>
    <n v="0"/>
    <s v="n/a"/>
    <s v="te"/>
    <n v="0"/>
    <x v="0"/>
    <s v="n/a"/>
    <s v="n/a"/>
    <n v="0"/>
    <s v="sequential"/>
    <s v="subordinate"/>
    <s v="ds"/>
    <s v="ds"/>
    <s v="topic-shift"/>
    <s v="contains_new"/>
    <m/>
    <m/>
    <n v="2"/>
    <m/>
    <x v="0"/>
  </r>
  <r>
    <s v="Heike 2.54"/>
    <s v="伊勢へいじはすがめなりけりとぞ (Ise heiji wa sugame narikeri)"/>
    <s v="&quot;the winepot of Ise has turned into a vinegar jar&quot;"/>
    <s v="なりけり"/>
    <s v="indicative"/>
    <x v="0"/>
    <x v="0"/>
    <s v="intransitive"/>
    <s v="active"/>
    <s v="positive"/>
    <n v="1"/>
    <n v="1"/>
    <s v="SUB"/>
    <n v="0"/>
    <s v="overt"/>
    <n v="3"/>
    <s v="n/a"/>
    <s v="n/a"/>
    <n v="0"/>
    <n v="0"/>
    <s v="n/a"/>
    <s v="complement"/>
    <n v="0"/>
    <x v="0"/>
    <s v="n/a"/>
    <s v="n/a"/>
    <n v="0"/>
    <s v="quotative"/>
    <s v="te"/>
    <s v="ds"/>
    <s v="ss"/>
    <s v="topic-introduced"/>
    <s v="contains_new"/>
    <m/>
    <m/>
    <n v="1"/>
    <m/>
    <x v="0"/>
  </r>
  <r>
    <s v="Heike 2.55"/>
    <s v="囃されける (to zo hayasarekeru)"/>
    <s v="they sang in mockery"/>
    <s v="囃されける"/>
    <s v="indicative"/>
    <x v="2"/>
    <x v="1"/>
    <s v="transitive"/>
    <s v="active"/>
    <s v="positive"/>
    <n v="1"/>
    <n v="1"/>
    <s v="O (Speech)"/>
    <n v="0"/>
    <s v="zero_exalt"/>
    <n v="3"/>
    <s v="overt"/>
    <s v="n/a"/>
    <n v="0"/>
    <n v="0"/>
    <s v="kakari-musubi"/>
    <s v="main"/>
    <n v="0"/>
    <x v="1"/>
    <s v="sub"/>
    <s v="honorific_aux"/>
    <n v="0"/>
    <s v="main"/>
    <s v="complement"/>
    <s v="ss"/>
    <s v="ss"/>
    <s v="topic-drop"/>
    <s v="contains_new"/>
    <m/>
    <m/>
    <n v="1"/>
    <m/>
    <x v="0"/>
  </r>
  <r>
    <s v="Heike 2.56"/>
    <s v="かけまくも忝くこの人々は柏原天皇の御末とは申しながら (kakemakumo katabokaku kono hitobito wa Kashiwabara Tennō no o-sue to wa mōshinagara)"/>
    <s v="In thus mentioning the vessels of his province they punned on his title..."/>
    <s v="申しながら"/>
    <s v="indicative"/>
    <x v="5"/>
    <x v="1"/>
    <s v="transitive"/>
    <s v="active"/>
    <s v="positive"/>
    <n v="1"/>
    <n v="2"/>
    <s v="S+O (Speech)"/>
    <n v="1"/>
    <s v="overt"/>
    <n v="3"/>
    <s v="overt"/>
    <s v="n/a"/>
    <n v="0"/>
    <n v="0"/>
    <s v="n/a"/>
    <s v="subordinate"/>
    <n v="1"/>
    <x v="0"/>
    <s v="sub"/>
    <s v="lexical_humble_verb"/>
    <n v="0"/>
    <s v="temporal"/>
    <s v="main"/>
    <s v="ss"/>
    <s v="ds"/>
    <s v="topic-shift"/>
    <s v="contains_new"/>
    <m/>
    <m/>
    <n v="2"/>
    <m/>
    <x v="0"/>
  </r>
  <r>
    <s v="Heike 2.57"/>
    <s v="中比は都の住まひも疎々しく (chūbi wa miyako no sumai mo utoutoshiku)"/>
    <s v="and since lately his family had lived away from the capital,"/>
    <s v="疎々しく"/>
    <s v="indicative"/>
    <x v="4"/>
    <x v="5"/>
    <s v="intransitive"/>
    <s v="active"/>
    <s v="positive"/>
    <n v="1"/>
    <n v="1"/>
    <s v="SUB"/>
    <n v="1"/>
    <s v="overt"/>
    <n v="3"/>
    <s v="n/a"/>
    <s v="n/a"/>
    <n v="0"/>
    <n v="0"/>
    <s v="n/a"/>
    <s v="main"/>
    <n v="0"/>
    <x v="0"/>
    <s v="n/a"/>
    <s v="n/a"/>
    <n v="0"/>
    <s v="none"/>
    <s v="subordinate"/>
    <s v="ds"/>
    <s v="ss"/>
    <s v="topic-shift"/>
    <s v="contains_new"/>
    <m/>
    <m/>
    <n v="1"/>
    <m/>
    <x v="0"/>
  </r>
  <r>
    <s v="Heike 2.58"/>
    <s v="地下にのみ振舞ひなつて ( jige ni nomi furumai natte)"/>
    <s v=" behaving as mere provincial folk"/>
    <s v="振舞ひなつて"/>
    <s v="indicative"/>
    <x v="1"/>
    <x v="4"/>
    <s v="intransitive"/>
    <s v="active"/>
    <s v="positive"/>
    <n v="1"/>
    <n v="1"/>
    <s v="IO"/>
    <n v="0"/>
    <s v="zero_recoverable"/>
    <n v="3"/>
    <s v="n/a"/>
    <s v="overt"/>
    <n v="0"/>
    <n v="0"/>
    <s v="n/a"/>
    <s v="te"/>
    <n v="0"/>
    <x v="0"/>
    <s v="n/a"/>
    <s v="n/a"/>
    <n v="0"/>
    <s v="sequential"/>
    <s v="main"/>
    <s v="ss"/>
    <s v="ss"/>
    <s v="topic-drop"/>
    <s v="contains_new"/>
    <m/>
    <m/>
    <n v="1"/>
    <m/>
    <x v="0"/>
  </r>
  <r>
    <s v="Heike 2.59"/>
    <s v="伊勢国に住国深かりしかば  (Ise no kuni ni sumikoku fukakarishikaba)"/>
    <s v="and as they lived deep in Ise province, they likened him to the vessels of that province"/>
    <s v="深かりしかば"/>
    <s v="indicative"/>
    <x v="4"/>
    <x v="5"/>
    <s v="intransitive"/>
    <s v="active"/>
    <s v="positive"/>
    <n v="1"/>
    <n v="1"/>
    <s v="SUB"/>
    <n v="1"/>
    <s v="zero_recoverable"/>
    <n v="3"/>
    <s v="n/a"/>
    <s v="n/a"/>
    <n v="0"/>
    <n v="0"/>
    <s v="n/a"/>
    <s v="subordinate"/>
    <n v="0"/>
    <x v="0"/>
    <s v="n/a"/>
    <s v="n/a"/>
    <n v="0"/>
    <s v="causal"/>
    <s v="te"/>
    <s v="ss"/>
    <s v="ds"/>
    <s v="topic-drop"/>
    <s v="contains_new"/>
    <m/>
    <m/>
    <n v="1"/>
    <m/>
    <x v="0"/>
  </r>
  <r>
    <s v="Heike 2.60"/>
    <s v="その国の器に言寄せて"/>
    <s v="sono kuni no utsuwa ni kotoyosete)"/>
    <s v="言寄せて"/>
    <s v="indicative"/>
    <x v="5"/>
    <x v="1"/>
    <s v="ditransitive"/>
    <s v="active"/>
    <s v="positive"/>
    <n v="1"/>
    <n v="1"/>
    <s v="IO"/>
    <n v="0"/>
    <s v="zero_uncertain"/>
    <n v="3"/>
    <s v="zero_uncertain"/>
    <s v="overt"/>
    <n v="0"/>
    <n v="0"/>
    <s v="n/a"/>
    <s v="te"/>
    <n v="0"/>
    <x v="0"/>
    <s v="n/a"/>
    <s v="n/a"/>
    <n v="0"/>
    <s v="sequential"/>
    <s v="subordinate"/>
    <s v="ds"/>
    <s v="ss"/>
    <s v="topic-drop"/>
    <s v="contains_new"/>
    <m/>
    <m/>
    <n v="1"/>
    <m/>
    <x v="0"/>
  </r>
  <r>
    <s v="Heike 2.61"/>
    <s v="伊勢平氏とぞ囃されける (Ise Heishi to zo hayasarekeru)"/>
    <s v="so they mocked him as 'Ise Heishi'"/>
    <s v="囃されける"/>
    <s v="indicative"/>
    <x v="2"/>
    <x v="1"/>
    <s v="intransitive"/>
    <s v="passive"/>
    <s v="positive"/>
    <n v="1"/>
    <n v="1"/>
    <s v="O (Speech)"/>
    <n v="0"/>
    <s v="zero_recoverable"/>
    <n v="3"/>
    <s v="n/a"/>
    <s v="overt"/>
    <n v="0"/>
    <n v="0"/>
    <s v="kakari-musubi"/>
    <s v="main"/>
    <n v="0"/>
    <x v="0"/>
    <s v="n/a"/>
    <s v="n/a"/>
    <n v="0"/>
    <s v="none"/>
    <s v="te"/>
    <s v="ss"/>
    <s v="ds"/>
    <s v="topic-drop"/>
    <s v="contains_new"/>
    <m/>
    <m/>
    <n v="1"/>
    <m/>
    <x v="0"/>
  </r>
  <r>
    <s v="Heike 2.62"/>
    <s v="その上忠盛目の眇まれたりける故にこそ (sono ue Tadamori me no sugamaretari keru yue ni koso)"/>
    <s v="moreover, because Tadamori's eyes were squinted, "/>
    <s v="眇まれたりける"/>
    <s v="indicative"/>
    <x v="2"/>
    <x v="1"/>
    <s v="intransitive"/>
    <s v="active"/>
    <s v="positive"/>
    <n v="1"/>
    <n v="1"/>
    <s v="SUB"/>
    <n v="1"/>
    <s v="overt"/>
    <n v="3"/>
    <s v="n/a"/>
    <s v="n/a"/>
    <n v="0"/>
    <n v="1"/>
    <s v="REL"/>
    <s v="subordinate"/>
    <n v="0"/>
    <x v="0"/>
    <s v="n/a"/>
    <s v="n/a"/>
    <n v="0"/>
    <s v="causal"/>
    <s v="main"/>
    <s v="ds"/>
    <s v="ss"/>
    <s v="topic-continued"/>
    <s v="contains_new"/>
    <m/>
    <m/>
    <n v="1"/>
    <m/>
    <x v="0"/>
  </r>
  <r>
    <s v="Heike 2.63"/>
    <s v="かやうには囃されけるなれ  (kayō ni wa hayasarekeru nare)"/>
    <s v="he was mocked in such a way"/>
    <s v="囃されけるなれ"/>
    <s v="indicative"/>
    <x v="1"/>
    <x v="1"/>
    <s v="intransitive"/>
    <s v="passive"/>
    <s v="positive"/>
    <n v="1"/>
    <n v="0"/>
    <s v="n/a"/>
    <n v="0"/>
    <s v="zero_recoverable"/>
    <n v="3"/>
    <s v="n/a"/>
    <s v="n/a"/>
    <n v="0"/>
    <n v="0"/>
    <s v="kakari-musubi"/>
    <s v="main"/>
    <n v="0"/>
    <x v="0"/>
    <s v="n/a"/>
    <s v="n/a"/>
    <n v="0"/>
    <s v="none"/>
    <s v="subordinate"/>
    <s v="ss"/>
    <s v="ss"/>
    <s v="topic-drop"/>
    <s v="no_overt_NP"/>
    <m/>
    <m/>
    <n v="0"/>
    <m/>
    <x v="0"/>
  </r>
  <r>
    <s v="Heike 2.64"/>
    <s v="忠盛何とすべきやうもなくして (Tadamori nan to subeki yō mo nakushite)"/>
    <s v="Tadamori, having no way of dealing with the situation,"/>
    <s v="なくして"/>
    <s v="indicative"/>
    <x v="1"/>
    <x v="1"/>
    <s v="transitive"/>
    <s v="active"/>
    <s v="negative"/>
    <n v="1"/>
    <n v="2"/>
    <s v="S+O"/>
    <n v="0"/>
    <s v="overt"/>
    <n v="3"/>
    <s v="overt"/>
    <s v="n/a"/>
    <n v="0"/>
    <n v="0"/>
    <s v="n/a"/>
    <s v="te"/>
    <n v="0"/>
    <x v="0"/>
    <s v="n/a"/>
    <s v="n/a"/>
    <n v="0"/>
    <s v="sequential"/>
    <s v="main"/>
    <s v="ss"/>
    <s v="ds"/>
    <s v="topic-continued"/>
    <s v="contains_new"/>
    <m/>
    <m/>
    <n v="2"/>
    <m/>
    <x v="0"/>
  </r>
  <r>
    <s v="Heike 2.65"/>
    <s v="御遊も未だ終らざる前に (gyoyū mo mada owarazaru mae ni)"/>
    <s v="before the entertainment had ended,"/>
    <s v="終らざる"/>
    <s v="indicative"/>
    <x v="1"/>
    <x v="1"/>
    <s v="intransitive"/>
    <s v="active"/>
    <s v="negative"/>
    <n v="1"/>
    <n v="1"/>
    <s v="SUB"/>
    <n v="1"/>
    <s v="overt"/>
    <n v="3"/>
    <s v="n/a"/>
    <s v="n/a"/>
    <n v="0"/>
    <n v="1"/>
    <s v="REL"/>
    <s v="subordinate"/>
    <n v="0"/>
    <x v="0"/>
    <s v="n/a"/>
    <s v="n/a"/>
    <n v="0"/>
    <s v="temporal"/>
    <s v="te"/>
    <s v="ds"/>
    <s v="ds"/>
    <s v="topic-drop"/>
    <s v="contains_new"/>
    <m/>
    <m/>
    <n v="1"/>
    <m/>
    <x v="0"/>
  </r>
  <r>
    <s v="Heike 2.66"/>
    <s v="密かに罷り出でらるとて (hisokani makari ideraru tote)"/>
    <s v="he secretly left the Presence,"/>
    <s v="罷り出でらる"/>
    <s v="indicative"/>
    <x v="3"/>
    <x v="1"/>
    <s v="intransitive"/>
    <s v="active"/>
    <s v="positive"/>
    <n v="1"/>
    <n v="0"/>
    <s v="n/a"/>
    <n v="1"/>
    <s v="zero_exalt"/>
    <n v="3"/>
    <s v="n/a"/>
    <s v="n/a"/>
    <n v="0"/>
    <n v="0"/>
    <s v="REL"/>
    <s v="subordinate"/>
    <n v="0"/>
    <x v="1"/>
    <s v="sub"/>
    <s v="honorific_aux+lexical_honorific_verb"/>
    <n v="0"/>
    <s v="temporal"/>
    <s v="subordinate"/>
    <s v="ds"/>
    <s v="ss"/>
    <s v="topic-drop"/>
    <s v="no_overt_NP"/>
    <m/>
    <m/>
    <n v="0"/>
    <m/>
    <x v="0"/>
  </r>
  <r>
    <s v="Heike 2.67"/>
    <s v="紫宸殿の御後にして (Shishinden no o-ato ni shite)"/>
    <s v="and going behind the Shishinden,"/>
    <s v="後にして"/>
    <s v="indicative"/>
    <x v="1"/>
    <x v="9"/>
    <s v="intransitive"/>
    <s v="active"/>
    <s v="positive"/>
    <n v="1"/>
    <n v="0"/>
    <s v="n/a"/>
    <n v="1"/>
    <s v="zero_recoverable"/>
    <n v="3"/>
    <s v="n/a"/>
    <s v="n/a"/>
    <n v="0"/>
    <n v="0"/>
    <s v="n/a"/>
    <s v="te"/>
    <n v="0"/>
    <x v="0"/>
    <s v="n/a"/>
    <s v="n/a"/>
    <n v="0"/>
    <s v="sequential"/>
    <s v="subordinate"/>
    <s v="ss"/>
    <s v="ds"/>
    <s v="topic-drop"/>
    <s v="no_overt_NP"/>
    <m/>
    <m/>
    <n v="0"/>
    <m/>
    <x v="0"/>
  </r>
  <r>
    <s v="Heike 2.68"/>
    <s v="かたへの殿上人の見られける (kata e no tenjōbito no mirarekeru)"/>
    <s v=" the court nobles could see him,"/>
    <s v="見られける"/>
    <s v="indicative"/>
    <x v="2"/>
    <x v="1"/>
    <s v="transitive"/>
    <s v="active"/>
    <s v="positive"/>
    <n v="1"/>
    <n v="1"/>
    <s v="SUB"/>
    <n v="0"/>
    <s v="overt"/>
    <n v="3"/>
    <s v="zero_recoverable"/>
    <s v="n/a"/>
    <n v="0"/>
    <n v="1"/>
    <s v="REL"/>
    <s v="relative"/>
    <n v="1"/>
    <x v="0"/>
    <s v="sub"/>
    <s v="honorific_aux"/>
    <n v="0"/>
    <s v="none"/>
    <s v="te"/>
    <s v="ds"/>
    <s v="ss"/>
    <s v="topic-introduced"/>
    <s v="contains_new"/>
    <m/>
    <m/>
    <n v="1"/>
    <m/>
    <x v="0"/>
  </r>
  <r>
    <s v="Heike 2.69"/>
    <s v="所にて主殿司を召して (tokoro nite tonomotsukasa o meshite azukeokite zo iderarekeru)"/>
    <s v="in a place where… he summoned the Tonomotsukasa, "/>
    <s v="召して "/>
    <s v="indicative"/>
    <x v="2"/>
    <x v="1"/>
    <s v="transitive"/>
    <s v="active"/>
    <s v="positive"/>
    <n v="1"/>
    <n v="1"/>
    <s v="OBJ"/>
    <n v="1"/>
    <s v="zero_exalt"/>
    <n v="3"/>
    <s v="overt"/>
    <s v="n/a"/>
    <n v="0"/>
    <n v="0"/>
    <s v="n/a"/>
    <s v="te"/>
    <n v="0"/>
    <x v="1"/>
    <s v="sub"/>
    <s v="lexical_honorific_verb"/>
    <n v="0"/>
    <s v="sequential"/>
    <s v="relative"/>
    <s v="ss"/>
    <s v="ss"/>
    <s v="topic-drop"/>
    <s v="contains_new"/>
    <m/>
    <m/>
    <n v="1"/>
    <m/>
    <x v="0"/>
  </r>
  <r>
    <s v="Heike 2.70"/>
    <s v="預け置きてぞ"/>
    <s v=" entrusted [his sword]"/>
    <s v="預け置きて"/>
    <s v="indicative"/>
    <x v="1"/>
    <x v="1"/>
    <s v="transitive"/>
    <s v="active"/>
    <s v="positive"/>
    <n v="1"/>
    <n v="0"/>
    <s v="n/a"/>
    <n v="0"/>
    <s v="zero_recoverable"/>
    <n v="3"/>
    <s v="zero_recoverable"/>
    <s v="n/a"/>
    <n v="0"/>
    <n v="0"/>
    <s v="n/a"/>
    <s v="te"/>
    <n v="0"/>
    <x v="0"/>
    <s v="n/a"/>
    <s v="n/a"/>
    <n v="0"/>
    <s v="none"/>
    <s v="te"/>
    <s v="ss"/>
    <s v="ss"/>
    <s v="topic-drop"/>
    <s v="no_overt_NP"/>
    <m/>
    <m/>
    <n v="0"/>
    <m/>
    <x v="0"/>
  </r>
  <r>
    <s v="Heike 2.71"/>
    <s v="出でられける"/>
    <s v="and left,"/>
    <s v="出でられける"/>
    <s v="indicative"/>
    <x v="3"/>
    <x v="1"/>
    <s v="intransitive"/>
    <s v="active"/>
    <s v="positive"/>
    <n v="1"/>
    <n v="0"/>
    <s v="n/a"/>
    <n v="0"/>
    <s v="zero_exalt"/>
    <n v="3"/>
    <s v="n/a"/>
    <s v="n/a"/>
    <n v="0"/>
    <n v="0"/>
    <s v="n/a"/>
    <s v="main"/>
    <n v="0"/>
    <x v="1"/>
    <s v="sub"/>
    <s v="honorific_aux"/>
    <n v="0"/>
    <s v="none"/>
    <s v="te"/>
    <s v="ss"/>
    <s v="ds"/>
    <s v="topic-drop"/>
    <s v="no_overt_NP"/>
    <m/>
    <m/>
    <n v="0"/>
    <m/>
    <x v="0"/>
  </r>
  <r>
    <s v="Heike 2.72"/>
    <s v="家貞待ち受け奉りて (Iesada machi-uke tatemawari-te)"/>
    <s v="Iesada, who was waiting for his lord,"/>
    <s v="待ち受け奉りて"/>
    <s v="indicative"/>
    <x v="2"/>
    <x v="2"/>
    <s v="transitive"/>
    <s v="active"/>
    <s v="positive"/>
    <n v="1"/>
    <n v="1"/>
    <s v="SUB"/>
    <n v="0"/>
    <s v="overt"/>
    <n v="3"/>
    <s v="zero_recoverable"/>
    <s v="n/a"/>
    <n v="0"/>
    <n v="0"/>
    <s v="n/a"/>
    <s v="te"/>
    <n v="1"/>
    <x v="0"/>
    <s v="sub"/>
    <s v="lexical_humble_verb"/>
    <n v="0"/>
    <s v="sequential"/>
    <s v="main"/>
    <s v="ds"/>
    <s v="ss"/>
    <s v="topic-shift"/>
    <s v="contains_new"/>
    <m/>
    <m/>
    <n v="1"/>
    <m/>
    <x v="0"/>
  </r>
  <r>
    <s v="Heike 2.73"/>
    <s v="さていかが候ひつると (sate ikaga soroitsuru to)"/>
    <s v="&quot;What has happened?&quot; he asked."/>
    <s v="候ひつる"/>
    <s v="indicative"/>
    <x v="1"/>
    <x v="1"/>
    <s v="intransitive"/>
    <s v="active"/>
    <s v="positive"/>
    <n v="1"/>
    <n v="0"/>
    <s v="n/a"/>
    <n v="1"/>
    <s v="zero_other"/>
    <n v="3"/>
    <s v="n/a"/>
    <s v="n/a"/>
    <n v="0"/>
    <n v="0"/>
    <s v="REL"/>
    <s v="complement"/>
    <n v="0"/>
    <x v="0"/>
    <s v="n/a"/>
    <s v="polite_aux"/>
    <n v="0"/>
    <s v="quotative"/>
    <s v="te"/>
    <s v="ss"/>
    <s v="ss"/>
    <s v="topic-drop"/>
    <s v="no_overt_NP"/>
    <m/>
    <m/>
    <n v="0"/>
    <m/>
    <x v="0"/>
  </r>
  <r>
    <s v="Heike 2.74"/>
    <s v="申されければ (mōsarekeru ba)"/>
    <s v="he was asked,"/>
    <s v="申されける"/>
    <s v="indicative"/>
    <x v="2"/>
    <x v="1"/>
    <s v="intransitive"/>
    <s v="passive"/>
    <s v="positive"/>
    <n v="1"/>
    <n v="1"/>
    <s v="O (Speech)"/>
    <n v="0"/>
    <s v="zero_exalt"/>
    <n v="3"/>
    <s v="overt"/>
    <s v="n/a"/>
    <n v="0"/>
    <n v="0"/>
    <s v="n/a"/>
    <s v="main"/>
    <n v="0"/>
    <x v="1"/>
    <s v="sub"/>
    <s v="honorific_aux+lexical_humble_verb"/>
    <n v="0"/>
    <s v="temporal"/>
    <s v="complement"/>
    <s v="ss"/>
    <s v="ss"/>
    <s v="topic-drop"/>
    <s v="contains_new"/>
    <m/>
    <m/>
    <n v="1"/>
    <m/>
    <x v="0"/>
  </r>
  <r>
    <s v="Heike 2.75"/>
    <s v="かくとも云はまほしう"/>
    <s v="to tell him"/>
    <s v="云はまほしう"/>
    <s v="desiderative"/>
    <x v="1"/>
    <x v="1"/>
    <s v="intransitive"/>
    <s v="active"/>
    <s v="positive"/>
    <n v="1"/>
    <n v="0"/>
    <s v="n/a"/>
    <n v="1"/>
    <s v="zero_other"/>
    <n v="3"/>
    <s v="not_applicable"/>
    <s v="not_applicable"/>
    <n v="0"/>
    <n v="0"/>
    <s v="n/a"/>
    <s v="main"/>
    <n v="0"/>
    <x v="0"/>
    <s v="n/a"/>
    <s v="n/a"/>
    <n v="0"/>
    <s v="none"/>
    <s v="main"/>
    <s v="ss"/>
    <s v="ss"/>
    <s v="topic-drop"/>
    <s v="no_overt_NP"/>
    <m/>
    <m/>
    <n v="0"/>
    <m/>
    <x v="0"/>
  </r>
  <r>
    <s v="Heike 2.76"/>
    <s v="思はれけれども (kakutomo iwamahoshū omowarekeredomo)"/>
    <s v="although he greatly wished,"/>
    <s v="思はれけれども"/>
    <s v="indicative"/>
    <x v="4"/>
    <x v="1"/>
    <s v="transitive"/>
    <s v="active"/>
    <s v="positive"/>
    <n v="1"/>
    <n v="1"/>
    <s v="O (Speech)"/>
    <n v="1"/>
    <s v="zero_other"/>
    <n v="3"/>
    <s v="overt"/>
    <s v="n/a"/>
    <n v="0"/>
    <n v="0"/>
    <s v="n/a"/>
    <s v="main"/>
    <n v="0"/>
    <x v="0"/>
    <s v="n/a"/>
    <s v="n/a"/>
    <n v="0"/>
    <s v="concessive"/>
    <s v="main"/>
    <s v="ss"/>
    <s v="ss"/>
    <s v="topic-drop"/>
    <s v="contains_new"/>
    <s v="Psych predicate; かくとも as adjunct."/>
    <m/>
    <n v="1"/>
    <m/>
    <x v="0"/>
  </r>
  <r>
    <s v="Heike 2.77"/>
    <s v="云ひつるほどならば (iitsuru hodo naraba)"/>
    <s v="seeing that, if he told him,"/>
    <s v="云ひつる"/>
    <s v="indicative"/>
    <x v="1"/>
    <x v="1"/>
    <s v="transitive"/>
    <s v="active"/>
    <s v="positive"/>
    <n v="1"/>
    <n v="0"/>
    <s v="n/a"/>
    <n v="0"/>
    <s v="zero_other"/>
    <n v="3"/>
    <s v="zero_recoverable"/>
    <s v="n/a"/>
    <n v="0"/>
    <n v="1"/>
    <s v="REL"/>
    <s v="subordinate"/>
    <n v="0"/>
    <x v="0"/>
    <s v="n/a"/>
    <s v="n/a"/>
    <n v="0"/>
    <s v="conditional"/>
    <s v="main"/>
    <s v="ss"/>
    <s v="ds"/>
    <s v="topic-drop"/>
    <s v="no_overt_NP"/>
    <m/>
    <m/>
    <n v="0"/>
    <m/>
    <x v="0"/>
  </r>
  <r>
    <s v="Heike 2.78"/>
    <s v="やがて殿上までも斬り上らんずる  yagate tenjō made mo kiriagaranzuru "/>
    <s v="who would even do violence in the Palace itself,"/>
    <s v="斬り上らんずる"/>
    <s v="dynamic"/>
    <x v="1"/>
    <x v="1"/>
    <s v="intransitive"/>
    <s v="active"/>
    <s v="positive"/>
    <n v="1"/>
    <n v="0"/>
    <s v="n/a"/>
    <n v="2"/>
    <s v="zero_recoverable"/>
    <n v="3"/>
    <s v="n/a"/>
    <s v="n/a"/>
    <n v="1"/>
    <n v="0"/>
    <s v="REL"/>
    <s v="relative"/>
    <n v="0"/>
    <x v="0"/>
    <s v="n/a"/>
    <s v="n/a"/>
    <n v="0"/>
    <s v="none"/>
    <s v="subordinate"/>
    <s v="ds"/>
    <s v="ss"/>
    <s v="topic-drop"/>
    <s v="no_overt_NP"/>
    <m/>
    <m/>
    <n v="0"/>
    <m/>
    <x v="0"/>
  </r>
  <r>
    <s v="Heike 2.79"/>
    <s v="者の面魂にてある間 mono no omodamashii nite aru aida"/>
    <s v="he appeared as one "/>
    <s v="にてある"/>
    <s v="indicative"/>
    <x v="1"/>
    <x v="0"/>
    <s v="intransitive"/>
    <s v="active"/>
    <s v="positive"/>
    <n v="1"/>
    <n v="0"/>
    <s v="n/a"/>
    <n v="0"/>
    <s v="zero_recoverable"/>
    <n v="3"/>
    <s v="n/a"/>
    <s v="n/a"/>
    <n v="0"/>
    <n v="0"/>
    <s v="REL"/>
    <s v="subordinate"/>
    <n v="0"/>
    <x v="0"/>
    <s v="n/a"/>
    <s v="n/a"/>
    <n v="0"/>
    <s v="temporal"/>
    <s v="relative"/>
    <s v="ss"/>
    <s v="ds"/>
    <s v="topic-drop"/>
    <s v="no_overt_NP"/>
    <m/>
    <m/>
    <n v="0"/>
    <m/>
    <x v="0"/>
  </r>
  <r>
    <s v="Heike 2.80"/>
    <s v="別の事なし (betsu no koto nashi)"/>
    <s v="nothing out of the ordinary had taken place."/>
    <s v="なし"/>
    <s v="indicative"/>
    <x v="1"/>
    <x v="7"/>
    <s v="intransitive"/>
    <s v="active"/>
    <s v="negative"/>
    <n v="1"/>
    <n v="1"/>
    <s v="SUB"/>
    <n v="0"/>
    <s v="overt"/>
    <n v="3"/>
    <s v="n/a"/>
    <s v="n/a"/>
    <n v="0"/>
    <n v="0"/>
    <s v="n/a"/>
    <s v="main"/>
    <n v="0"/>
    <x v="0"/>
    <s v="n/a"/>
    <s v="n/a"/>
    <n v="0"/>
    <s v="none"/>
    <s v="subordinate"/>
    <s v="ds"/>
    <s v="ds"/>
    <s v="topic-drop"/>
    <s v="contains_new"/>
    <s v="Subject = 別の事."/>
    <m/>
    <n v="1"/>
    <m/>
    <x v="0"/>
  </r>
  <r>
    <s v="Heike 2.81"/>
    <s v="五節には白薄様濃染紙の紙巻上の筆巴書いたる筆の軸など様々かやうに面白き事をのみこそ歌ひ舞はるるに (gosechi ni wa shirauzusama kozomegami no kamimaki ue no fude tomoe kaitaru fude no jiku nado samazama kayō ni omoshiroki koto o nomi koso utai mawaruru ni)"/>
    <s v="In the Go-sechie festival only such pleasing things as white paper, Shuzenji paper, wrapped brushes, or writing brushes with a tomoe on the stem were customarily sung and danced,"/>
    <s v="歌ひ舞はるる"/>
    <s v="indicative"/>
    <x v="1"/>
    <x v="4"/>
    <s v="transitive"/>
    <s v="active"/>
    <s v="positive"/>
    <n v="1"/>
    <n v="1"/>
    <s v="OBJ"/>
    <n v="2"/>
    <s v="zero_exalt"/>
    <n v="3"/>
    <s v="overt"/>
    <s v="n/a"/>
    <n v="0"/>
    <n v="0"/>
    <s v="REL"/>
    <s v="subordinate"/>
    <n v="0"/>
    <x v="1"/>
    <s v="sub"/>
    <s v="honorific_aux"/>
    <n v="0"/>
    <s v="concessive"/>
    <s v="main"/>
    <s v="ds"/>
    <s v="ds"/>
    <s v="topic-shift"/>
    <s v="contains_new"/>
    <s v="Passive/respect; subject omitted; object 面白き事を overt."/>
    <m/>
    <n v="1"/>
    <m/>
    <x v="0"/>
  </r>
  <r>
    <s v="Heike 2.82"/>
    <s v="中比太宰権帥季仲卿といふ人ありけり (chūbi Dazai gon no so Sukechika kyō to iu hito arikeri)"/>
    <s v="but there was a certain Dazai Gon-no-sotsu Suenaka no Kyo,"/>
    <s v="ありけり"/>
    <s v="indicative"/>
    <x v="0"/>
    <x v="7"/>
    <s v="intransitive"/>
    <s v="active"/>
    <s v="positive"/>
    <n v="1"/>
    <n v="1"/>
    <s v="SUB"/>
    <n v="1"/>
    <s v="overt"/>
    <n v="3"/>
    <s v="n/a"/>
    <s v="n/a"/>
    <n v="0"/>
    <n v="0"/>
    <s v="n/a"/>
    <s v="main"/>
    <n v="0"/>
    <x v="0"/>
    <s v="n/a"/>
    <s v="n/a"/>
    <n v="0"/>
    <s v="none"/>
    <s v="subordinate"/>
    <s v="ds"/>
    <s v="ds"/>
    <s v="topic-introduced"/>
    <s v="contains_new"/>
    <s v="frame predicate"/>
    <m/>
    <n v="1"/>
    <m/>
    <x v="0"/>
  </r>
  <r>
    <s v="Heike 2.83"/>
    <s v="あまりに色の黒かりければ (amari ni iro no kurokarikereba)"/>
    <s v="who was of so dark a complexion that"/>
    <s v="黒かりければ"/>
    <s v="indicative"/>
    <x v="1"/>
    <x v="5"/>
    <s v="intransitive"/>
    <s v="active"/>
    <s v="positive"/>
    <n v="1"/>
    <n v="1"/>
    <s v="SUB"/>
    <n v="1"/>
    <s v="overt"/>
    <n v="3"/>
    <s v="n/a"/>
    <s v="not_applicable"/>
    <n v="0"/>
    <n v="0"/>
    <s v="n/a"/>
    <s v="subordinate"/>
    <n v="0"/>
    <x v="0"/>
    <s v="n/a"/>
    <s v="n/a"/>
    <n v="0"/>
    <s v="causal"/>
    <s v="main"/>
    <s v="ds"/>
    <s v="ds"/>
    <s v="topic-drop"/>
    <s v="contains_new"/>
    <s v="Adjectival predicate; subject = 色."/>
    <m/>
    <n v="1"/>
    <m/>
    <x v="0"/>
  </r>
  <r>
    <s v="Heike 2.84"/>
    <s v="見る人黒帥とぞ申しける (miru hito kurosotsu to zo mōshikeru)"/>
    <s v="people called him 'kuro-sotsu',"/>
    <s v="申しける"/>
    <s v="indicative"/>
    <x v="2"/>
    <x v="1"/>
    <s v="transitive"/>
    <s v="active"/>
    <s v="positive"/>
    <n v="1"/>
    <n v="2"/>
    <s v="S+O"/>
    <n v="0"/>
    <s v="overt"/>
    <n v="3"/>
    <s v="overt"/>
    <s v="n/a"/>
    <n v="0"/>
    <n v="0"/>
    <s v="n/a"/>
    <s v="main"/>
    <n v="1"/>
    <x v="0"/>
    <s v="n/a"/>
    <s v="lexical_humble_verb"/>
    <n v="0"/>
    <s v="none"/>
    <s v="subordinate"/>
    <s v="ds"/>
    <s v="ss"/>
    <s v="topic-drop"/>
    <s v="contains_new"/>
    <s v="申す humble; subject overt; counted as EXALT INSIG."/>
    <m/>
    <n v="2"/>
    <m/>
    <x v="0"/>
  </r>
  <r>
    <s v="Heike 2.85"/>
    <s v="その人未だ蔵人頭たりし時 (sono hito imada kurōdo no tō tarishi toki)"/>
    <s v="and while he was still Kurando-no-to, "/>
    <s v="たりし"/>
    <s v="indicative"/>
    <x v="0"/>
    <x v="0"/>
    <s v="intransitive"/>
    <s v="active"/>
    <s v="positive"/>
    <n v="1"/>
    <n v="1"/>
    <s v="SUB"/>
    <n v="0"/>
    <s v="overt"/>
    <n v="3"/>
    <s v="n/a"/>
    <s v="n/a"/>
    <n v="0"/>
    <n v="0"/>
    <s v="REL"/>
    <s v="subordinate"/>
    <n v="0"/>
    <x v="0"/>
    <s v="n/a"/>
    <s v="honorific_aux"/>
    <n v="0"/>
    <s v="temporal"/>
    <s v="main"/>
    <s v="ss"/>
    <s v="ss"/>
    <s v="topic-continued"/>
    <s v="no_overt_NP"/>
    <m/>
    <m/>
    <n v="1"/>
    <m/>
    <x v="0"/>
  </r>
  <r>
    <s v="Heike 2.86"/>
    <s v="五節に舞はれけるに gosechi ni mawarekeru ni"/>
    <s v="when he danced at the Go-sechie,"/>
    <s v="舞はれける"/>
    <s v="indicative"/>
    <x v="2"/>
    <x v="1"/>
    <s v="intransitive"/>
    <s v="active"/>
    <s v="positive"/>
    <n v="1"/>
    <n v="0"/>
    <s v="n/a"/>
    <n v="0"/>
    <s v="zero_exalt"/>
    <n v="3"/>
    <s v="n/a"/>
    <s v="n/a"/>
    <n v="0"/>
    <n v="0"/>
    <s v="REL"/>
    <s v="subordinate"/>
    <n v="0"/>
    <x v="1"/>
    <s v="sub"/>
    <s v="lexical_honorific_verb"/>
    <n v="0"/>
    <s v="temporal"/>
    <s v="subordinate"/>
    <s v="ss"/>
    <s v="ds"/>
    <s v="topic-drop"/>
    <s v="no_overt_NP"/>
    <m/>
    <m/>
    <n v="0"/>
    <m/>
    <x v="0"/>
  </r>
  <r>
    <s v="Heike 2.87"/>
    <s v="人々拍子を変へて (hitobito hyōshi o kaete)"/>
    <s v="they changed the rhythm of the music"/>
    <s v="変へて"/>
    <s v="indicative"/>
    <x v="1"/>
    <x v="1"/>
    <s v="transitive"/>
    <s v="active"/>
    <s v="positive"/>
    <n v="1"/>
    <n v="2"/>
    <s v="S+O"/>
    <n v="0"/>
    <s v="overt"/>
    <n v="3"/>
    <s v="overt"/>
    <s v="n/a"/>
    <n v="0"/>
    <n v="0"/>
    <s v="n/a"/>
    <s v="te"/>
    <n v="0"/>
    <x v="0"/>
    <s v="n/a"/>
    <s v="n/a"/>
    <n v="0"/>
    <s v="sequential"/>
    <s v="subordinate"/>
    <s v="ds"/>
    <s v="ss"/>
    <s v="topic-drop"/>
    <s v="contains_new"/>
    <m/>
    <m/>
    <n v="2"/>
    <m/>
    <x v="0"/>
  </r>
  <r>
    <s v="Heike 2.88"/>
    <s v="あなくろくろ黒き頭かな (ana kuro kuro kuroki atama kana)"/>
    <s v="&quot;Oh what a black, black head!&quot;"/>
    <s v="N/A (exclamatory nominal clause)"/>
    <s v="indicative"/>
    <x v="1"/>
    <x v="10"/>
    <s v="intransitive"/>
    <m/>
    <m/>
    <n v="0"/>
    <n v="1"/>
    <s v="SUB"/>
    <n v="0"/>
    <s v="overt"/>
    <n v="3"/>
    <s v="n/a"/>
    <s v="n/a"/>
    <n v="0"/>
    <n v="0"/>
    <s v="n/a"/>
    <s v="main"/>
    <n v="0"/>
    <x v="0"/>
    <s v="n/a"/>
    <s v="n/a"/>
    <n v="0"/>
    <s v="none"/>
    <s v="te"/>
    <s v="ss"/>
    <s v="ds"/>
    <s v="topic-drop"/>
    <s v="contains_new"/>
    <m/>
    <m/>
    <m/>
    <m/>
    <x v="0"/>
  </r>
  <r>
    <s v="Heike 2.89"/>
    <s v="いかなる人の漆塗りけんとぞ (ikanaru hito no urushinuriken to zo )"/>
    <s v="&quot;someone must have painted him with lacquer&quot;"/>
    <s v="漆塗りけん"/>
    <s v="epistemic"/>
    <x v="1"/>
    <x v="1"/>
    <s v="transitive"/>
    <s v="active"/>
    <s v="positive"/>
    <n v="1"/>
    <n v="2"/>
    <s v="S+O"/>
    <n v="0"/>
    <s v="overt"/>
    <n v="3"/>
    <s v="overt"/>
    <s v="n/a"/>
    <n v="0"/>
    <n v="0"/>
    <s v="n/a"/>
    <s v="complement"/>
    <n v="0"/>
    <x v="0"/>
    <s v="n/a"/>
    <s v="n/a"/>
    <n v="0"/>
    <s v="quotative"/>
    <s v="main"/>
    <s v="ds"/>
    <s v="ds"/>
    <s v="topic-drop"/>
    <s v="contains_new"/>
    <m/>
    <m/>
    <n v="2"/>
    <m/>
    <x v="0"/>
  </r>
  <r>
    <s v="Heike 2.90"/>
    <s v="囃されける (hayasarekeru)"/>
    <s v="they sang in mockery."/>
    <s v="囃されける"/>
    <s v="indicative"/>
    <x v="5"/>
    <x v="1"/>
    <s v="transitive"/>
    <s v="active"/>
    <s v="positive"/>
    <n v="1"/>
    <n v="1"/>
    <s v="O (Speech)"/>
    <n v="0"/>
    <s v="zero_exalt"/>
    <n v="3"/>
    <s v="overt"/>
    <s v="n/a"/>
    <n v="0"/>
    <n v="0"/>
    <s v="n/a"/>
    <s v="main"/>
    <n v="0"/>
    <x v="1"/>
    <s v="sub"/>
    <s v="honorific_aux"/>
    <n v="0"/>
    <s v="none"/>
    <s v="complement"/>
    <s v="ds"/>
    <s v="ds"/>
    <s v="topic-drop"/>
    <s v="no_overt_NP"/>
    <m/>
    <m/>
    <n v="1"/>
    <m/>
    <x v="0"/>
  </r>
  <r>
    <s v="Heike 2.91"/>
    <s v="また花山院前太政大臣忠雅公未だ十歳と申しし時 (mata Kazanin no saki no Daijōdaijin Tadamasa kō imada jissai to mōshi shi toki)"/>
    <s v="Also, when Prince Tadamasa of the Kazan-in, the former Prime Minister, was only ten years old,"/>
    <s v="申しし"/>
    <s v="indicative"/>
    <x v="2"/>
    <x v="1"/>
    <s v="intransitive"/>
    <s v="active"/>
    <s v="positive"/>
    <n v="1"/>
    <n v="1"/>
    <s v="SUB"/>
    <n v="1"/>
    <s v="overt"/>
    <n v="3"/>
    <s v="n/a"/>
    <s v="n/a"/>
    <n v="0"/>
    <n v="0"/>
    <s v="n/a"/>
    <s v="subordinate"/>
    <n v="1"/>
    <x v="0"/>
    <s v="sub"/>
    <s v="lexical_humble_verb"/>
    <n v="0"/>
    <s v="temporal"/>
    <s v="main"/>
    <s v="ds"/>
    <s v="ss"/>
    <s v="topic-introduced"/>
    <s v="contains_new"/>
    <m/>
    <m/>
    <n v="1"/>
    <m/>
    <x v="0"/>
  </r>
  <r>
    <s v="Heike 2.92"/>
    <s v="父中納言忠宗卿に後れ給ひて (chichi Chūnagon Tadamune kyō ni okure tamai te)"/>
    <s v="having lost his father, Chunagon Tadamune,"/>
    <s v="後れ給ひて"/>
    <s v="indicative"/>
    <x v="2"/>
    <x v="1"/>
    <s v="intransitive"/>
    <s v="active"/>
    <s v="positive"/>
    <n v="1"/>
    <n v="1"/>
    <s v="IO"/>
    <n v="0"/>
    <s v="zero_exalt"/>
    <n v="3"/>
    <s v="n/a"/>
    <s v="overt"/>
    <n v="0"/>
    <n v="0"/>
    <s v="n/a"/>
    <s v="te"/>
    <n v="0"/>
    <x v="1"/>
    <s v="sub"/>
    <s v="lexical_honorific_verb"/>
    <n v="0"/>
    <s v="sequential"/>
    <s v="subordinate"/>
    <s v="ss"/>
    <s v="ss"/>
    <s v="topic-introduced"/>
    <s v="contains_new"/>
    <m/>
    <m/>
    <n v="1"/>
    <m/>
    <x v="0"/>
  </r>
  <r>
    <s v="Heike 2.93"/>
    <s v="孤子にておはせしを (koji nite ohaseshi o)"/>
    <s v="and being left an orphan,"/>
    <s v="おはせし"/>
    <s v="indicative"/>
    <x v="2"/>
    <x v="7"/>
    <s v="intransitive"/>
    <s v="active"/>
    <s v="positive"/>
    <n v="1"/>
    <n v="0"/>
    <s v="n/a"/>
    <n v="0"/>
    <s v="zero_exalt"/>
    <n v="3"/>
    <s v="n/a"/>
    <s v="n/a"/>
    <n v="0"/>
    <n v="0"/>
    <s v="REL"/>
    <s v="subordinate"/>
    <n v="0"/>
    <x v="1"/>
    <s v="sub"/>
    <s v="lexical_honorific_verb"/>
    <n v="0"/>
    <s v="concessive"/>
    <s v="te"/>
    <s v="ss"/>
    <s v="ds"/>
    <s v="topic-drop"/>
    <s v="contains_new"/>
    <m/>
    <m/>
    <n v="0"/>
    <m/>
    <x v="0"/>
  </r>
  <r>
    <s v="Heike 2.94"/>
    <s v="故中御門藤中納言家成卿未だ播磨守にておはしけるが ko-Nakamikado Fuji Chūnagon Ienari kyō imada Harima no kami nite ohasikeru ga"/>
    <s v=" by Fuji Chūnagon Ienari, then Harima no Kami,"/>
    <s v="おはしける"/>
    <s v="indicative"/>
    <x v="0"/>
    <x v="0"/>
    <s v="intransitive"/>
    <s v="active"/>
    <s v="positive"/>
    <n v="1"/>
    <n v="1"/>
    <s v="SUB"/>
    <n v="1"/>
    <s v="overt"/>
    <n v="3"/>
    <s v="n/a"/>
    <s v="n/a"/>
    <n v="0"/>
    <n v="0"/>
    <s v="REL"/>
    <s v="subordinate"/>
    <n v="1"/>
    <x v="0"/>
    <s v="sub"/>
    <s v="lexical_honorific_verb"/>
    <n v="0"/>
    <s v="concessive"/>
    <s v="subordinate"/>
    <s v="ds"/>
    <s v="ss"/>
    <s v="topic-introduced"/>
    <s v="contains_new"/>
    <m/>
    <m/>
    <n v="1"/>
    <m/>
    <x v="0"/>
  </r>
  <r>
    <s v="Heike 2.95"/>
    <s v="聟に取りて muko ni torite "/>
    <s v="he was taken as son-in-law"/>
    <s v="取りて"/>
    <s v="indicative"/>
    <x v="2"/>
    <x v="1"/>
    <s v="transitive"/>
    <s v="active"/>
    <s v="positive"/>
    <n v="1"/>
    <n v="1"/>
    <s v="IO"/>
    <n v="0"/>
    <s v="zero_recoverable"/>
    <n v="3"/>
    <s v="zero_recoverable"/>
    <s v="overt"/>
    <n v="0"/>
    <n v="0"/>
    <s v="n/a"/>
    <s v="te"/>
    <n v="0"/>
    <x v="0"/>
    <s v="n/a"/>
    <s v="n/a"/>
    <n v="0"/>
    <s v="none"/>
    <s v="subordinate"/>
    <s v="ss"/>
    <s v="ss"/>
    <s v="topic-drop"/>
    <s v="contains_new"/>
    <m/>
    <m/>
    <n v="1"/>
    <m/>
    <x v="0"/>
  </r>
  <r>
    <s v="Heike 2.96"/>
    <s v="華やかにもてなされければ  hanayaka ni motenasarekereba"/>
    <s v="and splendidly welcomed,"/>
    <s v="もてなされければ"/>
    <s v="indicative"/>
    <x v="2"/>
    <x v="1"/>
    <s v="intransitive"/>
    <s v="passive"/>
    <s v="positive"/>
    <n v="1"/>
    <n v="0"/>
    <s v="n/a"/>
    <n v="0"/>
    <s v="zero_recoverable"/>
    <n v="3"/>
    <s v="n/a"/>
    <s v="zero_recoverable"/>
    <n v="0"/>
    <n v="0"/>
    <s v="n/a"/>
    <s v="subordinate"/>
    <n v="0"/>
    <x v="0"/>
    <s v="n/a"/>
    <s v="n/a"/>
    <n v="0"/>
    <s v="causal"/>
    <s v="te"/>
    <s v="ss"/>
    <s v="ds"/>
    <s v="topic-drop"/>
    <s v="contains_new"/>
    <s v="verbal sequence"/>
    <m/>
    <n v="0"/>
    <m/>
    <x v="0"/>
  </r>
  <r>
    <s v="Heike 2.97"/>
    <s v="これも五節には播磨の米は木賊か椋の葉か人の綺羅を磨くはとぞ (kore mo gosechi ni wa Harima no kome wa tokusa ka mukuno ha ka hito no kira o migaku wa to zo)"/>
    <s v="at that Go-sechie with the refrain ‘The rice of Harima...’"/>
    <s v="磨く"/>
    <s v="indicative"/>
    <x v="2"/>
    <x v="1"/>
    <s v="transitive"/>
    <s v="active"/>
    <s v="positive"/>
    <n v="1"/>
    <n v="2"/>
    <s v="S+O"/>
    <n v="1"/>
    <s v="overt"/>
    <n v="3"/>
    <s v="overt"/>
    <s v="n/a"/>
    <n v="0"/>
    <n v="0"/>
    <s v="REL"/>
    <s v="complement"/>
    <n v="0"/>
    <x v="0"/>
    <s v="n/a"/>
    <s v="honorific_aux"/>
    <n v="0"/>
    <s v="none"/>
    <s v="subordinate"/>
    <s v="ds"/>
    <s v="ds"/>
    <s v="topic-drop"/>
    <s v="contains_new"/>
    <m/>
    <m/>
    <n v="2"/>
    <m/>
    <x v="0"/>
  </r>
  <r>
    <s v="Heike 2.98"/>
    <s v="囃されける hayasarekeru"/>
    <s v=" they also japed at him"/>
    <s v="囃されける"/>
    <s v="indicative"/>
    <x v="2"/>
    <x v="1"/>
    <s v="intransitive"/>
    <s v="passive"/>
    <s v="positive"/>
    <n v="1"/>
    <n v="0"/>
    <s v="n/a"/>
    <n v="1"/>
    <s v="zero_recoverable"/>
    <n v="3"/>
    <s v="n/a"/>
    <s v="n/a"/>
    <n v="0"/>
    <n v="0"/>
    <s v="kakari-musubi"/>
    <s v="main"/>
    <n v="0"/>
    <x v="0"/>
    <s v="n/a"/>
    <s v="n/a"/>
    <n v="0"/>
    <s v="quotative"/>
    <s v="complement"/>
    <s v="ds"/>
    <s v="ds"/>
    <s v="topic-drop"/>
    <s v="no_overt_NP"/>
    <m/>
    <m/>
    <n v="0"/>
    <m/>
    <x v="0"/>
  </r>
  <r>
    <s v="Heike 2.99"/>
    <s v="上古にはかやうにありしかども (jōko ni wa kayō ni arishikadomo )"/>
    <s v="Long ago such things had happened, "/>
    <s v="ありし / 出で来ず"/>
    <s v="indicative"/>
    <x v="2"/>
    <x v="7"/>
    <s v="intransitive"/>
    <s v="active"/>
    <s v="positive"/>
    <n v="1"/>
    <n v="0"/>
    <s v="n/a"/>
    <n v="2"/>
    <s v="zero_uncertain"/>
    <n v="0"/>
    <s v="n/a"/>
    <s v="n/a"/>
    <n v="0"/>
    <n v="0"/>
    <s v="n/a"/>
    <s v="subordinate"/>
    <n v="0"/>
    <x v="0"/>
    <s v="n/a"/>
    <s v="n/a"/>
    <n v="0"/>
    <s v="concessive"/>
    <s v="main"/>
    <s v="ds"/>
    <s v="ds"/>
    <s v="topic-shift"/>
    <s v="contains_new"/>
    <m/>
    <m/>
    <n v="0"/>
    <m/>
    <x v="0"/>
  </r>
  <r>
    <s v="Heike 2.100"/>
    <s v="事出で来ず koto idekozu"/>
    <s v="but nothing had come of them,"/>
    <s v="出で来ず"/>
    <s v="indicative"/>
    <x v="0"/>
    <x v="11"/>
    <s v="intransitive"/>
    <s v="active"/>
    <s v="negative"/>
    <n v="1"/>
    <n v="1"/>
    <s v="SUB"/>
    <n v="0"/>
    <s v="overt"/>
    <n v="3"/>
    <s v="n/a"/>
    <s v="n/a"/>
    <n v="0"/>
    <n v="0"/>
    <s v="n/a"/>
    <s v="subordinate"/>
    <n v="0"/>
    <x v="0"/>
    <s v="n/a"/>
    <s v="n/a"/>
    <n v="0"/>
    <s v="none"/>
    <s v="subordinate"/>
    <s v="ds"/>
    <n v="0"/>
    <s v="topic-drop"/>
    <s v="contains_new"/>
    <m/>
    <m/>
    <n v="1"/>
    <m/>
    <x v="0"/>
  </r>
  <r>
    <s v="Heike 2.101"/>
    <s v="末代いかがあらんずらん (matsudai ikaga aranzuran obotsukanashi)"/>
    <s v="and people said that what was to be done"/>
    <s v="あらんずらん"/>
    <s v="epistemic"/>
    <x v="0"/>
    <x v="11"/>
    <m/>
    <m/>
    <m/>
    <m/>
    <m/>
    <m/>
    <m/>
    <m/>
    <m/>
    <m/>
    <m/>
    <m/>
    <m/>
    <m/>
    <m/>
    <m/>
    <x v="2"/>
    <s v="n/a"/>
    <s v="n/a"/>
    <m/>
    <m/>
    <s v="subordinate"/>
    <m/>
    <s v="ds"/>
    <m/>
    <m/>
    <m/>
    <m/>
    <m/>
    <m/>
    <x v="0"/>
  </r>
  <r>
    <s v="Heike 2.102"/>
    <s v="覚束なし"/>
    <s v="was doubtful"/>
    <s v="覚束なし"/>
    <s v="indicative"/>
    <x v="4"/>
    <x v="5"/>
    <s v="intransitive"/>
    <s v="active"/>
    <s v="negative"/>
    <n v="1"/>
    <n v="0"/>
    <s v="n/a"/>
    <n v="0"/>
    <s v="zero_uncertain"/>
    <n v="0"/>
    <s v="n/a"/>
    <s v="n/a"/>
    <n v="0"/>
    <n v="0"/>
    <s v="n/a"/>
    <s v="main"/>
    <n v="0"/>
    <x v="0"/>
    <s v="n/a"/>
    <s v="n/a"/>
    <n v="0"/>
    <s v="none"/>
    <n v="0"/>
    <s v="ds"/>
    <s v="ds"/>
    <s v="topic-drop"/>
    <s v="no_overt_NP"/>
    <m/>
    <m/>
    <n v="0"/>
    <m/>
    <x v="0"/>
  </r>
  <r>
    <s v="Heike 2.103"/>
    <s v="案の如く五節果てにしかば (an no gotoku gosechi hate ni shikaba)"/>
    <s v="As he had expected, after the conclusion of the festival,"/>
    <s v="果てにしかば"/>
    <s v="indicative"/>
    <x v="1"/>
    <x v="1"/>
    <s v="intransitive"/>
    <s v="active"/>
    <s v="positive"/>
    <n v="1"/>
    <n v="1"/>
    <s v="SUB"/>
    <n v="1"/>
    <s v="overt"/>
    <n v="3"/>
    <s v="n/a"/>
    <s v="n/a"/>
    <n v="0"/>
    <n v="0"/>
    <s v="n/a"/>
    <s v="subordinate"/>
    <n v="0"/>
    <x v="0"/>
    <s v="n/a"/>
    <s v="n/a"/>
    <n v="0"/>
    <s v="temporal"/>
    <s v="main"/>
    <s v="ds"/>
    <s v="ds"/>
    <s v="topic-shift"/>
    <s v="contains_new"/>
    <m/>
    <m/>
    <n v="1"/>
    <m/>
    <x v="0"/>
  </r>
  <r>
    <s v="Heike 2.104"/>
    <s v="殿上人一同に訴へ申されけるは (tenjōbito ichidō ni uttaemōsarekeru wa)"/>
    <s v="all the courtiers and officials together appealed,"/>
    <s v="訴へ申されける"/>
    <s v="indicative"/>
    <x v="1"/>
    <x v="1"/>
    <s v="transitive"/>
    <s v="active"/>
    <s v="positive"/>
    <n v="1"/>
    <n v="1"/>
    <s v="SUB"/>
    <n v="1"/>
    <s v="overt"/>
    <n v="3"/>
    <s v="zero_other"/>
    <s v="n/a"/>
    <n v="0"/>
    <n v="0"/>
    <s v="SUB"/>
    <s v="subordinate"/>
    <n v="1"/>
    <x v="0"/>
    <s v="sub"/>
    <s v="honorific_aux+lexical_humble_verb"/>
    <n v="0"/>
    <s v="none"/>
    <s v="subordinate"/>
    <s v="ds"/>
    <s v="ds"/>
    <s v="topic-drop"/>
    <s v="contains_new"/>
    <s v="nominalisation"/>
    <m/>
    <n v="1"/>
    <m/>
    <x v="0"/>
  </r>
  <r>
    <s v="Heike 2.105"/>
    <s v="それ雄剣を帯して (sore yūken o tai shitei)"/>
    <s v="that wearing a sword"/>
    <s v="帯して "/>
    <s v="indicative"/>
    <x v="2"/>
    <x v="3"/>
    <s v="transitive"/>
    <s v="active"/>
    <s v="positive"/>
    <n v="1"/>
    <n v="1"/>
    <s v="OBJ"/>
    <n v="0"/>
    <s v="zero_recoverable"/>
    <n v="3"/>
    <s v="overt"/>
    <s v="n/a"/>
    <n v="0"/>
    <n v="0"/>
    <s v="n/a"/>
    <s v="te"/>
    <n v="0"/>
    <x v="0"/>
    <s v="n/a"/>
    <s v="n/a"/>
    <n v="0"/>
    <s v="none"/>
    <s v="subordinate"/>
    <s v="ds"/>
    <s v="ss"/>
    <s v="topic-drop"/>
    <s v="contains_new"/>
    <m/>
    <m/>
    <n v="1"/>
    <m/>
    <x v="0"/>
  </r>
  <r>
    <s v="Heike 2.106"/>
    <s v="公宴に列し  kōen ni res shi"/>
    <s v=" coming to a Court entertainment "/>
    <s v="列し"/>
    <s v="indicative"/>
    <x v="3"/>
    <x v="3"/>
    <s v="intransitive"/>
    <s v="active"/>
    <s v="positive"/>
    <n v="1"/>
    <n v="1"/>
    <s v="IO"/>
    <n v="0"/>
    <s v="zero_recoverable"/>
    <n v="3"/>
    <s v="none"/>
    <s v="overt"/>
    <n v="0"/>
    <n v="0"/>
    <s v="n/a"/>
    <s v="te"/>
    <n v="0"/>
    <x v="0"/>
    <s v="n/a"/>
    <s v="n/a"/>
    <n v="0"/>
    <s v="none"/>
    <s v="te"/>
    <s v="ss"/>
    <s v="ss"/>
    <s v="topic-drop"/>
    <s v="contains_new"/>
    <m/>
    <m/>
    <n v="1"/>
    <m/>
    <x v="0"/>
  </r>
  <r>
    <s v="Heike 2.107"/>
    <s v="兵仗を賜はりて  hyōjō o tamawari te "/>
    <s v="and bearing arms "/>
    <s v="賜はりて"/>
    <s v="indicative"/>
    <x v="2"/>
    <x v="1"/>
    <s v="transitive"/>
    <s v="active"/>
    <s v="positive"/>
    <n v="1"/>
    <n v="1"/>
    <s v="OBJ"/>
    <n v="0"/>
    <s v="zero_exalt"/>
    <n v="3"/>
    <s v="overt"/>
    <s v="n/a"/>
    <n v="0"/>
    <n v="0"/>
    <s v="n/a"/>
    <s v="te"/>
    <n v="0"/>
    <x v="1"/>
    <s v="sub"/>
    <s v="lexical_humble_verb"/>
    <n v="0"/>
    <s v="none"/>
    <s v="te"/>
    <s v="ss"/>
    <s v="ss"/>
    <s v="topic-drop"/>
    <s v="contains_new"/>
    <m/>
    <m/>
    <n v="1"/>
    <m/>
    <x v="0"/>
  </r>
  <r>
    <s v="Heike 2.108"/>
    <s v="宮中を出入りするは kyūchū o ideiri suru wa "/>
    <s v="when passing in and out of the Palace"/>
    <s v="出入りする"/>
    <s v="indicative"/>
    <x v="3"/>
    <x v="1"/>
    <s v="transitive"/>
    <s v="active"/>
    <s v="positive"/>
    <n v="1"/>
    <n v="1"/>
    <s v="OBJ"/>
    <n v="0"/>
    <s v="zero_recoverable"/>
    <n v="3"/>
    <s v="overt"/>
    <s v="n/a"/>
    <n v="0"/>
    <n v="0"/>
    <s v="SUB"/>
    <s v="subordinate"/>
    <n v="0"/>
    <x v="0"/>
    <s v="n/a"/>
    <s v="n/a"/>
    <n v="0"/>
    <s v="none"/>
    <s v="te"/>
    <s v="ss"/>
    <s v="ds"/>
    <s v="topic-drop"/>
    <s v="contains_new"/>
    <s v="nominalisation"/>
    <m/>
    <n v="1"/>
    <m/>
    <x v="0"/>
  </r>
  <r>
    <s v="Heike 2.109"/>
    <s v="皆格式の礼を守る mina kakushiki no rei o mamoru"/>
    <s v=" is according to ancient precedent,"/>
    <s v="守る"/>
    <s v="indicative"/>
    <x v="2"/>
    <x v="1"/>
    <s v="transitive"/>
    <s v="active"/>
    <s v="positive"/>
    <n v="1"/>
    <n v="2"/>
    <s v="S+O"/>
    <n v="0"/>
    <s v="overt"/>
    <n v="3"/>
    <s v="overt"/>
    <s v="n/a"/>
    <n v="0"/>
    <n v="1"/>
    <s v="REL"/>
    <s v="relative"/>
    <n v="0"/>
    <x v="0"/>
    <s v="n/a"/>
    <s v="n/a"/>
    <n v="0"/>
    <s v="none"/>
    <s v="subordinate"/>
    <s v="ds"/>
    <s v="ds"/>
    <s v="topic-drop"/>
    <s v="contains_new"/>
    <m/>
    <m/>
    <n v="2"/>
    <m/>
    <x v="0"/>
  </r>
  <r>
    <s v="Heike 2.110"/>
    <s v="綸命由ある  rinmei yoshi aru "/>
    <m/>
    <s v="ある"/>
    <s v="indicative"/>
    <x v="0"/>
    <x v="7"/>
    <s v="intransitive"/>
    <s v="active"/>
    <s v="positive"/>
    <n v="1"/>
    <n v="1"/>
    <s v="SUB"/>
    <n v="0"/>
    <s v="overt"/>
    <n v="3"/>
    <s v="n/a"/>
    <s v="n/a"/>
    <n v="0"/>
    <n v="1"/>
    <s v="REL"/>
    <s v="relative"/>
    <n v="0"/>
    <x v="0"/>
    <s v="n/a"/>
    <s v="n/a"/>
    <n v="0"/>
    <s v="none"/>
    <s v="relative"/>
    <s v="ds"/>
    <s v="n/a"/>
    <s v="topic-drop"/>
    <s v="contains_new"/>
    <m/>
    <m/>
    <n v="1"/>
    <m/>
    <x v="0"/>
  </r>
  <r>
    <s v="Heike 2.111"/>
    <s v="先規なり senki nari"/>
    <m/>
    <s v="なり"/>
    <s v="indicative"/>
    <x v="0"/>
    <x v="0"/>
    <s v="intransitive"/>
    <s v="active"/>
    <s v="positive"/>
    <n v="1"/>
    <n v="0"/>
    <s v="n/a"/>
    <n v="0"/>
    <s v="none"/>
    <n v="0"/>
    <s v="n/a"/>
    <s v="n/a"/>
    <n v="0"/>
    <n v="0"/>
    <s v="n/a"/>
    <s v="none"/>
    <n v="0"/>
    <x v="0"/>
    <s v="n/a"/>
    <s v="n/a"/>
    <n v="0"/>
    <s v="none"/>
    <s v="relative"/>
    <s v="n/a"/>
    <s v="ds"/>
    <s v="topic-drop"/>
    <s v="no_overt_NP"/>
    <m/>
    <m/>
    <n v="0"/>
    <m/>
    <x v="0"/>
  </r>
  <r>
    <s v="Heike 2.112"/>
    <s v="然るを忠盛朝臣或いは相伝の郎従と号して (shikaru o Tadamori ason arui wa sōden no rōjū to gō shite)"/>
    <s v="but Ason Tadamori, calling a certain common soldier his hereditary retainer,"/>
    <s v="号して"/>
    <s v="indicative"/>
    <x v="2"/>
    <x v="1"/>
    <s v="transitive"/>
    <s v="active"/>
    <s v="positive"/>
    <n v="1"/>
    <n v="2"/>
    <s v="S+O"/>
    <n v="1"/>
    <s v="overt"/>
    <n v="3"/>
    <s v="overt"/>
    <s v="n/a"/>
    <n v="0"/>
    <n v="0"/>
    <s v="n/a"/>
    <s v="te"/>
    <n v="0"/>
    <x v="0"/>
    <s v="n/a"/>
    <s v="n/a"/>
    <n v="0"/>
    <s v="concessive"/>
    <s v="none"/>
    <s v="ds"/>
    <s v="ss"/>
    <s v="topic-shift"/>
    <s v="contains_new"/>
    <m/>
    <m/>
    <n v="2"/>
    <m/>
    <x v="0"/>
  </r>
  <r>
    <s v="Heike 2.113"/>
    <s v="布衣の兵を殿上の小庭に召し置き (hoi no hyō o tenjō no koniwa ni meshioki)"/>
    <s v=" and placing him in the small courtyard of the Palace,"/>
    <s v="召し置き"/>
    <s v="indicative"/>
    <x v="2"/>
    <x v="1"/>
    <s v="transitive"/>
    <s v="active"/>
    <s v="positive"/>
    <n v="1"/>
    <n v="2"/>
    <s v="O+IO"/>
    <n v="0"/>
    <s v="zero_exalt"/>
    <n v="3"/>
    <s v="overt"/>
    <s v="overt"/>
    <n v="0"/>
    <n v="0"/>
    <s v="n/a"/>
    <s v="inf"/>
    <n v="0"/>
    <x v="1"/>
    <s v="sub"/>
    <s v="lexical_honorific_verb"/>
    <n v="0"/>
    <s v="none"/>
    <s v="te"/>
    <s v="ss"/>
    <s v="ss"/>
    <s v="topic-drop"/>
    <s v="contains_new"/>
    <m/>
    <m/>
    <n v="2"/>
    <m/>
    <x v="0"/>
  </r>
  <r>
    <s v="Heike 2.114"/>
    <s v="或いは腰の刀を横へ差いて (arui wa koshi no katana o yokoe saite)"/>
    <s v="wearing a sword at his side,"/>
    <s v="差いて"/>
    <s v="indicative"/>
    <x v="1"/>
    <x v="1"/>
    <s v="transitive"/>
    <s v="active"/>
    <s v="positive"/>
    <n v="1"/>
    <n v="3"/>
    <s v="S+O+IO"/>
    <n v="2"/>
    <s v="overt"/>
    <n v="3"/>
    <s v="overt"/>
    <s v="overt"/>
    <n v="0"/>
    <n v="0"/>
    <s v="n/a"/>
    <s v="te"/>
    <n v="0"/>
    <x v="0"/>
    <s v="n/a"/>
    <s v="n/a"/>
    <n v="0"/>
    <s v="none"/>
    <s v="inf"/>
    <s v="ss"/>
    <s v="ss"/>
    <s v="topic-drop"/>
    <s v="contains_new"/>
    <m/>
    <m/>
    <n v="3"/>
    <m/>
    <x v="0"/>
  </r>
  <r>
    <s v="Heike 2.115"/>
    <s v="節会の座に列なる setsue no za ni tsuranaru"/>
    <s v="and coming to the festival seat "/>
    <s v="列なる"/>
    <s v="indicative"/>
    <x v="1"/>
    <x v="1"/>
    <s v="intransitive"/>
    <s v="active"/>
    <s v="positive"/>
    <n v="1"/>
    <n v="1"/>
    <s v="IO"/>
    <n v="0"/>
    <s v="zero_recoverable"/>
    <n v="3"/>
    <s v="none"/>
    <s v="overt"/>
    <n v="0"/>
    <n v="1"/>
    <s v="REL"/>
    <s v="relative"/>
    <n v="0"/>
    <x v="0"/>
    <s v="n/a"/>
    <s v="n/a"/>
    <n v="0"/>
    <s v="none"/>
    <s v="te"/>
    <s v="ss"/>
    <s v="n/a"/>
    <s v="topic-drop"/>
    <s v="contains_new"/>
    <m/>
    <m/>
    <n v="1"/>
    <m/>
    <x v="0"/>
  </r>
  <r>
    <s v="Heike 2.116"/>
    <s v="[両条稀代]未だ聞かざる (ryōjō kidai imada kikazaru)"/>
    <s v="both acts are unheard-of,"/>
    <s v="聞かざる"/>
    <s v="indicative"/>
    <x v="2"/>
    <x v="1"/>
    <s v="transitive"/>
    <s v="active"/>
    <s v="negative"/>
    <n v="1"/>
    <n v="0"/>
    <s v="n/a"/>
    <n v="1"/>
    <s v="zero_other"/>
    <n v="3"/>
    <s v="n/a"/>
    <s v="n/a"/>
    <n v="1"/>
    <n v="0"/>
    <s v="REL"/>
    <s v="relative"/>
    <n v="0"/>
    <x v="0"/>
    <s v="n/a"/>
    <s v="n/a"/>
    <n v="0"/>
    <s v="none"/>
    <s v="relative"/>
    <s v="n/a"/>
    <s v="ds"/>
    <s v="topic-drop"/>
    <s v="contains_new"/>
    <m/>
    <m/>
    <n v="0"/>
    <m/>
    <x v="0"/>
  </r>
  <r>
    <s v="Heike 2.117"/>
    <s v="狼藉なり rōzaku nari"/>
    <s v="disorderliness"/>
    <s v="狼藉なり"/>
    <s v="indicative"/>
    <x v="0"/>
    <x v="0"/>
    <s v="intransitive"/>
    <s v="active"/>
    <s v="positive"/>
    <n v="1"/>
    <n v="1"/>
    <s v="SUB"/>
    <n v="0"/>
    <s v="overt"/>
    <n v="3"/>
    <s v="n/a"/>
    <s v="n/a"/>
    <n v="0"/>
    <n v="0"/>
    <s v="n/a"/>
    <s v="main"/>
    <n v="0"/>
    <x v="0"/>
    <s v="n/a"/>
    <s v="n/a"/>
    <n v="0"/>
    <s v="none"/>
    <s v="relative"/>
    <s v="ds"/>
    <s v="ds"/>
    <s v="topic-drop"/>
    <s v="contains_new"/>
    <m/>
    <m/>
    <n v="1"/>
    <m/>
    <x v="0"/>
  </r>
  <r>
    <s v="Heike 2.118"/>
    <s v="事既に重畳せり (koto sudeni chōjō seri)"/>
    <s v="indeed, one crime piled on another,"/>
    <s v="重畳せり"/>
    <s v="indicative"/>
    <x v="1"/>
    <x v="3"/>
    <s v="intransitive"/>
    <s v="active"/>
    <s v="positive"/>
    <n v="1"/>
    <n v="1"/>
    <s v="SUB"/>
    <n v="1"/>
    <s v="overt"/>
    <n v="3"/>
    <s v="n/a"/>
    <s v="n/a"/>
    <n v="0"/>
    <n v="0"/>
    <s v="n/a"/>
    <s v="inf"/>
    <n v="0"/>
    <x v="0"/>
    <s v="n/a"/>
    <s v="n/a"/>
    <n v="0"/>
    <s v="none"/>
    <s v="main"/>
    <s v="ds"/>
    <s v="ss"/>
    <s v="topic-drop"/>
    <s v="all given"/>
    <m/>
    <m/>
    <n v="1"/>
    <m/>
    <x v="0"/>
  </r>
  <r>
    <s v="Heike 2.119"/>
    <s v="罪科尤も遁れ難し (tsumitoga mottomo nogaregatashi)"/>
    <s v="a charge he would find difficult to escape."/>
    <s v="遁れ難し"/>
    <s v="dynamic"/>
    <x v="0"/>
    <x v="1"/>
    <s v="transitive"/>
    <s v="active"/>
    <s v="positive"/>
    <n v="1"/>
    <n v="1"/>
    <s v="SUB"/>
    <n v="0"/>
    <s v="overt"/>
    <n v="3"/>
    <s v="overt"/>
    <s v="n/a"/>
    <n v="0"/>
    <n v="0"/>
    <s v="n/a"/>
    <s v="main"/>
    <n v="0"/>
    <x v="0"/>
    <s v="n/a"/>
    <s v="n/a"/>
    <n v="0"/>
    <s v="none"/>
    <s v="inf"/>
    <s v="ss"/>
    <s v="ds"/>
    <s v="topic-drop"/>
    <s v="contains_new"/>
    <m/>
    <m/>
    <n v="1"/>
    <m/>
    <x v="0"/>
  </r>
  <r>
    <s v="Heike 2.120"/>
    <s v="早く殿上の御札を削りて (hayaku tenjō no mifuda o kezurite)"/>
    <s v="they petitioned that his name be erased from the list of Courtiers"/>
    <s v="削りて "/>
    <s v="indicative"/>
    <x v="2"/>
    <x v="1"/>
    <s v="transitive"/>
    <s v="active"/>
    <s v="positive"/>
    <n v="1"/>
    <n v="1"/>
    <s v="OBJ"/>
    <n v="0"/>
    <s v="zero_other"/>
    <n v="3"/>
    <s v="overt"/>
    <s v="n/a"/>
    <n v="0"/>
    <n v="0"/>
    <s v="n/a"/>
    <s v="te"/>
    <n v="0"/>
    <x v="0"/>
    <s v="n/a"/>
    <s v="n/a"/>
    <n v="0"/>
    <s v="none"/>
    <s v="main"/>
    <s v="ds"/>
    <s v="ss"/>
    <s v="topic-drop"/>
    <s v="contains_new"/>
    <m/>
    <m/>
    <n v="1"/>
    <m/>
    <x v="0"/>
  </r>
  <r>
    <s v="Heike 2.121"/>
    <s v="欠官停任せらるべき (kekkan teinin seraru beki yoshi)"/>
    <s v=" and he be deprived of rank and office,"/>
    <s v="停任せらるべき"/>
    <s v="deontic"/>
    <x v="2"/>
    <x v="3"/>
    <s v="intransitive"/>
    <s v="passive"/>
    <s v="positive"/>
    <n v="1"/>
    <n v="0"/>
    <s v="n/a"/>
    <n v="0"/>
    <s v="zero_recoverable"/>
    <n v="3"/>
    <s v="n/a"/>
    <s v="n/a"/>
    <n v="0"/>
    <n v="1"/>
    <s v="REL"/>
    <s v="relative"/>
    <n v="0"/>
    <x v="0"/>
    <s v="n/a"/>
    <s v="n/a"/>
    <n v="0"/>
    <s v="none"/>
    <s v="te"/>
    <s v="ss"/>
    <s v="ds"/>
    <s v="topic-drop"/>
    <s v="no_overt_NP"/>
    <m/>
    <m/>
    <n v="0"/>
    <m/>
    <x v="0"/>
  </r>
  <r>
    <s v="Heike 2.122"/>
    <s v="由諸卿一同に訴へ申されければ (yoshi shokyō ichidō ni uttaemōsarekereba)"/>
    <s v="and all the Court Nobles together petitioned,"/>
    <s v="訴へ申されければ"/>
    <s v="indicative"/>
    <x v="2"/>
    <x v="1"/>
    <s v="transitive"/>
    <s v="active"/>
    <s v="positive"/>
    <n v="1"/>
    <n v="2"/>
    <s v="S+O"/>
    <n v="1"/>
    <s v="overt"/>
    <n v="3"/>
    <s v="overt"/>
    <s v="n/a"/>
    <n v="0"/>
    <n v="0"/>
    <s v="n/a"/>
    <s v="subordinate"/>
    <n v="1"/>
    <x v="0"/>
    <s v="sub"/>
    <s v="honorific_aux+lexical_honorific_verb"/>
    <n v="0"/>
    <s v="temporal"/>
    <s v="relative"/>
    <s v="ds"/>
    <s v="ds"/>
    <s v="topic-drop"/>
    <s v="contains_new"/>
    <m/>
    <m/>
    <n v="2"/>
    <m/>
    <x v="0"/>
  </r>
  <r>
    <s v="Heike 2.123"/>
    <s v="上皇大きに驚かせ給ひて (Jōkō ōki ni odorokase tamai te)"/>
    <s v="His Majesty the Mikado, greatly surprised,"/>
    <s v="驚かせ給ひて"/>
    <s v="indicative"/>
    <x v="2"/>
    <x v="1"/>
    <s v="intransitive"/>
    <s v="active"/>
    <s v="positive"/>
    <n v="1"/>
    <n v="1"/>
    <s v="SUB"/>
    <n v="0"/>
    <s v="overt"/>
    <n v="3"/>
    <s v="n/a"/>
    <s v="n/a"/>
    <n v="0"/>
    <n v="0"/>
    <s v="n/a"/>
    <s v="te"/>
    <n v="1"/>
    <x v="0"/>
    <s v="sub"/>
    <s v="honorific_aux+lexical_honorific_verb"/>
    <n v="0"/>
    <s v="none"/>
    <s v="subordinate"/>
    <s v="ds"/>
    <s v="ss"/>
    <s v="topic-drop"/>
    <s v="contains_new"/>
    <m/>
    <m/>
    <n v="1"/>
    <m/>
    <x v="0"/>
  </r>
  <r>
    <s v="Heike 2.124"/>
    <s v="忠盛を召して (Tadamori o meshite)"/>
    <s v="ordered Tadamori into his Presence,"/>
    <s v="召して"/>
    <s v="indicative"/>
    <x v="2"/>
    <x v="1"/>
    <s v="intransitive"/>
    <s v="active"/>
    <s v="positive"/>
    <n v="1"/>
    <n v="1"/>
    <s v="OBJ"/>
    <n v="0"/>
    <s v="zero_exalt"/>
    <n v="3"/>
    <s v="overt"/>
    <s v="n/a"/>
    <n v="0"/>
    <n v="0"/>
    <s v="n/a"/>
    <s v="te"/>
    <n v="0"/>
    <x v="1"/>
    <s v="sub"/>
    <s v="lexical_honorific_verb"/>
    <n v="0"/>
    <s v="none"/>
    <s v="te"/>
    <s v="ss"/>
    <s v="ds"/>
    <s v="topic-drop"/>
    <s v="contains_new"/>
    <m/>
    <m/>
    <n v="1"/>
    <m/>
    <x v="0"/>
  </r>
  <r>
    <s v="Heike 2.125"/>
    <s v="御尋ねあり o-tazune ari"/>
    <s v=" to make examination into the affair"/>
    <s v="御尋ねあり"/>
    <s v="indicative"/>
    <x v="2"/>
    <x v="1"/>
    <s v="intransitive"/>
    <s v="active"/>
    <s v="positive"/>
    <n v="1"/>
    <n v="1"/>
    <s v="SUB"/>
    <n v="0"/>
    <s v="overt"/>
    <n v="3"/>
    <s v="n/a"/>
    <s v="n/a"/>
    <n v="0"/>
    <n v="0"/>
    <s v="n/a"/>
    <s v="main"/>
    <n v="1"/>
    <x v="0"/>
    <s v="sub"/>
    <s v="honorific prefix"/>
    <n v="1"/>
    <s v="none"/>
    <s v="te"/>
    <s v="ds"/>
    <s v="ds"/>
    <s v="topic-drop"/>
    <s v="contains_new"/>
    <m/>
    <m/>
    <n v="1"/>
    <m/>
    <x v="0"/>
  </r>
  <r>
    <s v="Heike 2.126"/>
    <s v="陳じ申されけるは (chinji mōsarekeru wa)"/>
    <s v="in his reply he stated that,"/>
    <s v="申されける"/>
    <s v="indicative"/>
    <x v="2"/>
    <x v="1"/>
    <s v="transitive"/>
    <s v="active"/>
    <s v="positive"/>
    <n v="1"/>
    <n v="0"/>
    <s v="n/a"/>
    <n v="0"/>
    <s v="zero_exalt"/>
    <n v="3"/>
    <s v="zero_other"/>
    <s v="n/a"/>
    <n v="0"/>
    <n v="0"/>
    <s v="SUB"/>
    <s v="subordinate"/>
    <n v="0"/>
    <x v="1"/>
    <s v="sub"/>
    <s v="honorific_aux+lexical_humble_verb"/>
    <n v="0"/>
    <s v="none"/>
    <s v="main"/>
    <s v="ds"/>
    <s v="ss"/>
    <s v="topic-drop"/>
    <s v="no_overt_NP"/>
    <s v="nominalisation"/>
    <m/>
    <n v="0"/>
    <m/>
    <x v="0"/>
  </r>
  <r>
    <s v="Heike 2.127"/>
    <s v="まづ郎従小庭に伺候の由全く覚悟仕らず (mazu rōjū koniwa ni shikō no yoshi mattaku kakugo tsukamatsurazu)"/>
    <s v="as to the presence of his retainer in the Palace, he certainly knew nothing about it,"/>
    <s v="覚悟仕らず"/>
    <s v="indicative"/>
    <x v="2"/>
    <x v="3"/>
    <s v="transitive"/>
    <s v="active"/>
    <s v="negative"/>
    <n v="1"/>
    <n v="1"/>
    <s v="OBJ"/>
    <n v="2"/>
    <s v="zero_exalt"/>
    <n v="3"/>
    <s v="overt"/>
    <s v="n/a"/>
    <n v="0"/>
    <n v="0"/>
    <s v="n/a"/>
    <s v="subordinate"/>
    <n v="0"/>
    <x v="1"/>
    <s v="sub"/>
    <s v="lexical_humble_verb"/>
    <n v="0"/>
    <s v="none"/>
    <s v="subordinate"/>
    <s v="ss"/>
    <s v="ds"/>
    <s v="topic-drop"/>
    <s v="contains_new"/>
    <m/>
    <m/>
    <n v="1"/>
    <m/>
    <x v="0"/>
  </r>
  <r>
    <s v="Heike 2.128"/>
    <s v="但し近日人々相巧まるる (tadashi kinjitsu hitobito ai-takuramaruru)"/>
    <s v=" [...]  the designs that people were plotting,"/>
    <s v="巧まるる"/>
    <s v="indicative"/>
    <x v="2"/>
    <x v="1"/>
    <s v="transitive"/>
    <s v="active"/>
    <s v="positive"/>
    <n v="1"/>
    <n v="1"/>
    <s v="SUB"/>
    <n v="1"/>
    <s v="overt"/>
    <n v="3"/>
    <s v="zero_other"/>
    <s v="n/a"/>
    <n v="0"/>
    <n v="0"/>
    <s v="REL"/>
    <s v="relative"/>
    <n v="1"/>
    <x v="0"/>
    <s v="sub"/>
    <s v="honorific_aux"/>
    <n v="0"/>
    <s v="none"/>
    <s v="subordinate"/>
    <s v="ds"/>
    <s v="ds"/>
    <s v="topic-drop"/>
    <s v="contains_new"/>
    <m/>
    <m/>
    <n v="1"/>
    <m/>
    <x v="0"/>
  </r>
  <r>
    <s v="Heike 2.129"/>
    <s v="旨子細あるかの間 mune shisai aru ka no aida "/>
    <s v="[…] had lately heard of"/>
    <s v="ある"/>
    <s v="indicative"/>
    <x v="0"/>
    <x v="7"/>
    <s v="intransitive"/>
    <s v="active"/>
    <s v="positive"/>
    <n v="1"/>
    <n v="1"/>
    <s v="SUB"/>
    <n v="1"/>
    <s v="overt"/>
    <n v="3"/>
    <s v="n/a"/>
    <s v="n/a"/>
    <n v="0"/>
    <n v="0"/>
    <s v="n/a"/>
    <s v="subordinate"/>
    <n v="0"/>
    <x v="0"/>
    <s v="n/a"/>
    <s v="n/a"/>
    <n v="0"/>
    <s v="temporal"/>
    <s v="relative"/>
    <s v="ds"/>
    <s v="ss"/>
    <s v="topic-drop"/>
    <s v="contains_new"/>
    <m/>
    <m/>
    <n v="1"/>
    <m/>
    <x v="0"/>
  </r>
  <r>
    <s v="Heike 2.130"/>
    <s v="年来の家人事を伝へ聞くかによつて (nenrai no kenin goto o tsutae kiku ka ni yotte)"/>
    <s v=" if his retainers"/>
    <s v="伝へ聞く"/>
    <s v="indicative"/>
    <x v="6"/>
    <x v="12"/>
    <s v="transitive"/>
    <s v="active"/>
    <s v="positive"/>
    <n v="1"/>
    <n v="2"/>
    <s v="S+O"/>
    <n v="1"/>
    <s v="overt"/>
    <n v="3"/>
    <s v="overt"/>
    <s v="n/a"/>
    <n v="0"/>
    <n v="0"/>
    <s v="n/a"/>
    <s v="subordinate"/>
    <n v="0"/>
    <x v="0"/>
    <s v="n/a"/>
    <s v="n/a"/>
    <n v="0"/>
    <s v="sequential"/>
    <s v="subordinate"/>
    <s v="ss"/>
    <s v="ss"/>
    <s v="topic-drop"/>
    <s v="contains_new"/>
    <m/>
    <m/>
    <n v="2"/>
    <m/>
    <x v="0"/>
  </r>
  <r>
    <s v="Heike 2.131"/>
    <s v="その恥を助けんが為に (sono haji o tasuken ga tame ni)"/>
    <s v="and in order to help him against such dishonour,  intending to prevent dishonour,"/>
    <s v="助けん"/>
    <s v="dynamic"/>
    <x v="1"/>
    <x v="1"/>
    <s v="transitive"/>
    <s v="active"/>
    <s v="positive"/>
    <n v="1"/>
    <n v="1"/>
    <s v="OBJ"/>
    <n v="0"/>
    <s v="zero_recoverable"/>
    <n v="3"/>
    <s v="overt"/>
    <s v="n/a"/>
    <n v="0"/>
    <n v="0"/>
    <s v="n/a"/>
    <s v="subordinate"/>
    <n v="0"/>
    <x v="0"/>
    <s v="n/a"/>
    <s v="n/a"/>
    <n v="0"/>
    <s v="purpose"/>
    <s v="subordinate"/>
    <s v="ss"/>
    <s v="ss"/>
    <s v="topic-drop"/>
    <s v="contains_new"/>
    <m/>
    <m/>
    <n v="1"/>
    <m/>
    <x v="0"/>
  </r>
  <r>
    <s v="Heike 2.132"/>
    <s v="忠盛には知らせずして Tadamori ni wa shirasazu shite"/>
    <s v=" without informing him,  "/>
    <s v="知らせず"/>
    <s v="indicative"/>
    <x v="1"/>
    <x v="1"/>
    <s v="ditransitive"/>
    <s v="active"/>
    <s v="negative"/>
    <n v="1"/>
    <n v="2"/>
    <s v="IO"/>
    <n v="1"/>
    <s v="zero_recoverable"/>
    <n v="3"/>
    <s v="zero_recoverable"/>
    <s v="overt"/>
    <n v="0"/>
    <n v="0"/>
    <s v="n/a"/>
    <s v="te"/>
    <n v="0"/>
    <x v="0"/>
    <s v="n/a"/>
    <s v="n/a"/>
    <n v="0"/>
    <s v="sequential"/>
    <s v="subordinate"/>
    <s v="ss"/>
    <n v="0"/>
    <s v="topic-continued"/>
    <s v="contains_new"/>
    <m/>
    <m/>
    <n v="2"/>
    <m/>
    <x v="0"/>
  </r>
  <r>
    <s v="Heike 2.133"/>
    <s v="密かに参候の条 (hisoka ni sankō no jō)"/>
    <s v="his retainers had come hither secretly"/>
    <s v="N/A (nominal clause)"/>
    <s v="indicative"/>
    <x v="1"/>
    <x v="10"/>
    <m/>
    <m/>
    <m/>
    <m/>
    <m/>
    <m/>
    <m/>
    <m/>
    <m/>
    <m/>
    <m/>
    <m/>
    <m/>
    <m/>
    <m/>
    <m/>
    <x v="2"/>
    <s v="n/a"/>
    <s v="n/a"/>
    <m/>
    <m/>
    <s v="te"/>
    <m/>
    <s v="ds"/>
    <m/>
    <m/>
    <s v="not sure if I should treat this as a nominal or verbal predicate or whether there is predication at all"/>
    <m/>
    <m/>
    <m/>
    <x v="0"/>
  </r>
  <r>
    <s v="Heike 2.134"/>
    <s v="力及ばざる chikara oyobazaru"/>
    <s v="his retainers had come hither secretly"/>
    <s v="及ばざる"/>
    <s v="indicative"/>
    <x v="1"/>
    <x v="1"/>
    <s v="intransitive"/>
    <s v="active"/>
    <s v="negative"/>
    <n v="1"/>
    <n v="1"/>
    <s v="SUB"/>
    <n v="0"/>
    <s v="overt"/>
    <n v="3"/>
    <s v="n/a"/>
    <s v="n/a"/>
    <n v="0"/>
    <n v="1"/>
    <s v="REL"/>
    <s v="relative"/>
    <n v="0"/>
    <x v="0"/>
    <s v="n/a"/>
    <s v="n/a"/>
    <n v="0"/>
    <s v="none"/>
    <n v="0"/>
    <s v="ds"/>
    <s v="ds"/>
    <s v="topic-drop"/>
    <s v="contains_new"/>
    <m/>
    <m/>
    <n v="1"/>
    <m/>
    <x v="0"/>
  </r>
  <r>
    <s v="Heike 2.135"/>
    <s v="次第なり"/>
    <s v="shidai nari"/>
    <s v="なり"/>
    <s v="indicative"/>
    <x v="0"/>
    <x v="0"/>
    <s v="intransitive"/>
    <s v="active"/>
    <s v="positive"/>
    <n v="1"/>
    <n v="0"/>
    <s v="n/a"/>
    <n v="0"/>
    <s v="zero_recoverable"/>
    <n v="3"/>
    <s v="n/a"/>
    <s v="n/a"/>
    <n v="0"/>
    <n v="0"/>
    <s v="n/a"/>
    <s v="main"/>
    <n v="0"/>
    <x v="0"/>
    <s v="n/a"/>
    <s v="n/a"/>
    <n v="0"/>
    <s v="none"/>
    <s v="relative"/>
    <s v="ds"/>
    <s v="ds"/>
    <s v="topic-drop"/>
    <s v="no_overt_NP"/>
    <m/>
    <m/>
    <n v="0"/>
    <m/>
    <x v="0"/>
  </r>
  <r>
    <s v="Heike 2.136"/>
    <s v="もしその咎あるべくば (moshi sono toga arubekuba)"/>
    <s v="&quot;if there be any blame, "/>
    <s v="ある"/>
    <s v="indicative"/>
    <x v="0"/>
    <x v="7"/>
    <s v="intransitive"/>
    <s v="active"/>
    <s v="positive"/>
    <n v="1"/>
    <n v="1"/>
    <s v="SUB"/>
    <n v="0"/>
    <s v="overt"/>
    <n v="3"/>
    <s v="n/a"/>
    <s v="n/a"/>
    <n v="0"/>
    <n v="0"/>
    <s v="n/a"/>
    <s v="subordinate"/>
    <n v="0"/>
    <x v="0"/>
    <s v="n/a"/>
    <s v="n/a"/>
    <n v="0"/>
    <s v="conditional"/>
    <s v="main"/>
    <s v="ds"/>
    <s v="ds"/>
    <s v="topic-shift"/>
    <s v="contains_new"/>
    <m/>
    <m/>
    <n v="1"/>
    <m/>
    <x v="0"/>
  </r>
  <r>
    <s v="Heike 2.137"/>
    <s v="かの身を召し進ずべきか  ka no mi o meshi shinzu beki ka"/>
    <s v="do I not yield my body herewith?&quot;"/>
    <s v="召し進ずべき"/>
    <s v="deontic"/>
    <x v="2"/>
    <x v="3"/>
    <m/>
    <s v="active"/>
    <s v="positive"/>
    <n v="1"/>
    <n v="1"/>
    <s v="OBJ"/>
    <n v="0"/>
    <s v="zero_exalt"/>
    <n v="1"/>
    <s v="overt"/>
    <s v="n/a"/>
    <n v="0"/>
    <n v="0"/>
    <s v="n/a"/>
    <s v="main"/>
    <n v="0"/>
    <x v="1"/>
    <s v="sub"/>
    <s v="lexical_honorific_verb"/>
    <n v="0"/>
    <s v="none"/>
    <s v="subordinate"/>
    <s v="ds"/>
    <s v="ss"/>
    <s v="topic-drop"/>
    <s v="contains_new"/>
    <m/>
    <m/>
    <n v="1"/>
    <m/>
    <x v="0"/>
  </r>
  <r>
    <s v="Heike 2.138"/>
    <s v="次に刀の事は主殿司に預け置き候ひ畢んぬ (tsugi ni katana no koto wa tonomotsukasa ni azukeoki soroiowannu)"/>
    <s v="as for the sword, I deposited it in the Tonomotsukasa,"/>
    <s v="預け置き / 候ひ畢んぬ"/>
    <s v="indicative"/>
    <x v="2"/>
    <x v="12"/>
    <s v="transitive"/>
    <s v="active"/>
    <s v="positive"/>
    <n v="1"/>
    <n v="2"/>
    <s v="O+IO"/>
    <n v="0"/>
    <s v="zero_recoverable"/>
    <n v="1"/>
    <s v="overt"/>
    <s v="overt"/>
    <n v="0"/>
    <n v="0"/>
    <s v="n/a"/>
    <s v="main"/>
    <n v="0"/>
    <x v="0"/>
    <s v="n/a"/>
    <s v="polite_aux"/>
    <n v="0"/>
    <s v="none"/>
    <s v="main"/>
    <s v="ss"/>
    <s v="ds"/>
    <s v="topic-shift"/>
    <s v="contains_new"/>
    <m/>
    <m/>
    <n v="2"/>
    <m/>
    <x v="0"/>
  </r>
  <r>
    <s v="Heike 2.139"/>
    <s v="召し出だされ (meshi idasare)"/>
    <s v="if it be brought out from thence,"/>
    <s v="召し出だされ "/>
    <s v="indicative"/>
    <x v="2"/>
    <x v="1"/>
    <s v="intransitive"/>
    <s v="passive"/>
    <s v="positive"/>
    <n v="1"/>
    <n v="0"/>
    <s v="n/a"/>
    <n v="0"/>
    <s v="zero_exalt"/>
    <n v="3"/>
    <s v="zero_recoverable"/>
    <s v="zero_recoverable"/>
    <n v="0"/>
    <n v="0"/>
    <s v="n/a"/>
    <s v="main"/>
    <n v="0"/>
    <x v="1"/>
    <s v="sub"/>
    <s v="lexical_honorific_verb"/>
    <n v="0"/>
    <s v="none"/>
    <s v="main"/>
    <s v="ds"/>
    <s v="ss"/>
    <s v="topic-drop"/>
    <s v="no_overt_NP"/>
    <m/>
    <m/>
    <n v="0"/>
    <m/>
    <x v="0"/>
  </r>
  <r>
    <s v="Heike 2.140"/>
    <s v="刀の実否に付きて咎の左右あるべきか  katana no jippi ni tsukite toga no sayū aru beki ka"/>
    <s v=" it may be seen if it be a real sword or not,"/>
    <s v="あるべき"/>
    <s v="deontic"/>
    <x v="0"/>
    <x v="7"/>
    <s v="intransitive"/>
    <s v="active"/>
    <s v="positive"/>
    <n v="1"/>
    <n v="1"/>
    <s v="SUB"/>
    <n v="1"/>
    <s v="overt"/>
    <n v="3"/>
    <s v="n/a"/>
    <s v="n/a"/>
    <n v="0"/>
    <n v="0"/>
    <s v="n/a"/>
    <s v="main"/>
    <n v="0"/>
    <x v="0"/>
    <s v="n/a"/>
    <s v="n/a"/>
    <n v="0"/>
    <s v="none"/>
    <s v="main"/>
    <s v="ss"/>
    <s v="ds"/>
    <s v="topic-drop"/>
    <s v="contains_new"/>
    <m/>
    <m/>
    <n v="1"/>
    <m/>
    <x v="0"/>
  </r>
  <r>
    <s v="Heike 2.141"/>
    <s v="この儀尤も然るべしとて (kono gi motto mo shikarubeshi tote)"/>
    <s v="&quot;This seems quite reasonable,&quot;"/>
    <s v="然るべし"/>
    <s v="deontic"/>
    <x v="0"/>
    <x v="5"/>
    <s v="intransitive"/>
    <s v="active"/>
    <s v="positive"/>
    <n v="1"/>
    <n v="1"/>
    <s v="SUB"/>
    <n v="0"/>
    <s v="overt"/>
    <n v="3"/>
    <s v="n/a"/>
    <s v="n/a"/>
    <n v="0"/>
    <n v="0"/>
    <s v="n/a"/>
    <s v="subordinate"/>
    <n v="0"/>
    <x v="0"/>
    <s v="n/a"/>
    <s v="n/a"/>
    <n v="0"/>
    <s v="causal"/>
    <s v="main"/>
    <s v="ds"/>
    <s v="ds"/>
    <s v="topic-drop"/>
    <s v="contains_new"/>
    <m/>
    <m/>
    <n v="1"/>
    <m/>
    <x v="0"/>
  </r>
  <r>
    <s v="Heike 2.142"/>
    <s v="かの刀を召し出でて (kano katana o meshi-idete)"/>
    <s v="and they hastened to bring forth the sword,"/>
    <s v="召し出でて"/>
    <s v="indicative"/>
    <x v="2"/>
    <x v="1"/>
    <s v="transitive"/>
    <s v="active"/>
    <s v="positive"/>
    <n v="1"/>
    <n v="1"/>
    <s v="OBJ"/>
    <n v="1"/>
    <s v="zero_exalt"/>
    <n v="3"/>
    <s v="overt"/>
    <s v="n/a"/>
    <n v="0"/>
    <n v="0"/>
    <s v="n/a"/>
    <s v="te"/>
    <n v="0"/>
    <x v="1"/>
    <s v="sub"/>
    <s v="lexical_honorific_verb"/>
    <n v="0"/>
    <s v="sequential"/>
    <s v="subordinate"/>
    <s v="ds"/>
    <s v="ss"/>
    <s v="topic-continued"/>
    <s v="all given"/>
    <m/>
    <m/>
    <n v="1"/>
    <m/>
    <x v="0"/>
  </r>
  <r>
    <s v="Heike 2.143"/>
    <s v="叡覧あるに (eiran aru ni)"/>
    <s v="and exhibit it before His Majesty,"/>
    <s v="叡覧ある"/>
    <s v="indicative"/>
    <x v="2"/>
    <x v="3"/>
    <s v="transitive"/>
    <s v="active"/>
    <s v="positive"/>
    <n v="1"/>
    <n v="0"/>
    <s v="n/a"/>
    <n v="0"/>
    <s v="zero_exalt"/>
    <n v="3"/>
    <s v="zero_recoverable"/>
    <s v="n/a"/>
    <n v="0"/>
    <n v="0"/>
    <s v="n/a"/>
    <s v="subordinate"/>
    <n v="0"/>
    <x v="1"/>
    <s v="sub"/>
    <s v="lexical_honorific_verb"/>
    <n v="0"/>
    <s v="temporal"/>
    <s v="te"/>
    <s v="ss"/>
    <s v="ds"/>
    <s v="topic-drop"/>
    <s v="no_overt_NP"/>
    <m/>
    <m/>
    <n v="0"/>
    <m/>
    <x v="0"/>
  </r>
  <r>
    <s v="Heike 2.144"/>
    <s v="上は鞘巻の黒う塗つたりけるが (ue wa sayamaki no kuro u nuttari keru ga)"/>
    <s v="its outside was that of a dirk in a black lacquer sheath,"/>
    <s v="塗つたりける"/>
    <s v="indicative"/>
    <x v="0"/>
    <x v="1"/>
    <s v="intransitive"/>
    <s v="resultative"/>
    <s v="positive"/>
    <n v="1"/>
    <n v="1"/>
    <s v="SUB"/>
    <n v="0"/>
    <s v="overt"/>
    <n v="3"/>
    <s v="n/a"/>
    <s v="n/a"/>
    <n v="0"/>
    <n v="0"/>
    <s v="n/a"/>
    <s v="subordinate"/>
    <n v="0"/>
    <x v="0"/>
    <s v="n/a"/>
    <s v="n/a"/>
    <n v="0"/>
    <s v="concessive"/>
    <s v="subordinate"/>
    <s v="ds"/>
    <s v="ds"/>
    <s v="topic-drop"/>
    <s v="contains_new"/>
    <m/>
    <m/>
    <n v="1"/>
    <m/>
    <x v="0"/>
  </r>
  <r>
    <s v="Heike 2.145"/>
    <s v="中は木刀に銀薄をぞ押したりける (naka wa bokutō ni gin-haku o zo oshitari keru)"/>
    <s v="but within was only a wooden blade covered with silver."/>
    <s v="押したりける"/>
    <s v="indicative"/>
    <x v="0"/>
    <x v="1"/>
    <s v="transitive"/>
    <s v="resultative"/>
    <s v="positive"/>
    <n v="1"/>
    <n v="3"/>
    <s v="S+O+IO"/>
    <n v="0"/>
    <s v="overt"/>
    <n v="3"/>
    <s v="overt"/>
    <s v="overt"/>
    <n v="0"/>
    <n v="0"/>
    <s v="n/a"/>
    <s v="main"/>
    <n v="0"/>
    <x v="0"/>
    <s v="n/a"/>
    <s v="n/a"/>
    <n v="0"/>
    <s v="none"/>
    <s v="subordinate"/>
    <s v="ds"/>
    <s v="ds"/>
    <s v="topic-drop"/>
    <s v="contains_new"/>
    <m/>
    <m/>
    <n v="3"/>
    <m/>
    <x v="0"/>
  </r>
  <r>
    <s v="Heike 2.146"/>
    <s v="当座の恥辱を遁れんが為に (tōza no chijoku o nogaren ga tame ni)"/>
    <s v=" to avoid dishonour at the moment,"/>
    <s v="遁れん "/>
    <s v="dynamic"/>
    <x v="1"/>
    <x v="1"/>
    <s v="transitive"/>
    <s v="active"/>
    <s v="positive"/>
    <n v="1"/>
    <n v="1"/>
    <s v="OBJ"/>
    <n v="0"/>
    <s v="zero_recoverable"/>
    <n v="3"/>
    <s v="overt"/>
    <s v="n/a"/>
    <n v="0"/>
    <n v="0"/>
    <s v="n/a"/>
    <s v="subordinate"/>
    <n v="0"/>
    <x v="0"/>
    <s v="n/a"/>
    <s v="n/a"/>
    <n v="0"/>
    <s v="purpose"/>
    <s v="main"/>
    <s v="ds"/>
    <s v="ss"/>
    <s v="topic-drop"/>
    <s v="contains_new"/>
    <m/>
    <m/>
    <n v="1"/>
    <m/>
    <x v="0"/>
  </r>
  <r>
    <s v="Heike 2.147"/>
    <s v="刀を帯する katana o taisuru "/>
    <s v="Although he had displayed "/>
    <s v="帯する"/>
    <s v="indicative"/>
    <x v="1"/>
    <x v="3"/>
    <s v="transitive"/>
    <s v="active"/>
    <s v="positive"/>
    <n v="1"/>
    <n v="1"/>
    <s v="OBJ"/>
    <n v="0"/>
    <s v="zero_recoverable"/>
    <n v="3"/>
    <s v="overt"/>
    <s v="n/a"/>
    <n v="0"/>
    <n v="1"/>
    <s v="REL"/>
    <s v="relative"/>
    <n v="0"/>
    <x v="0"/>
    <s v="n/a"/>
    <s v="n/a"/>
    <n v="0"/>
    <s v="none"/>
    <s v="subordinate"/>
    <s v="ss"/>
    <s v="ss"/>
    <s v="topic-drop"/>
    <s v="all given"/>
    <m/>
    <m/>
    <n v="1"/>
    <m/>
    <x v="0"/>
  </r>
  <r>
    <s v="Heike 2.148"/>
    <s v="由顕すといへども yoshi arawasu to iedomo"/>
    <s v="the appearance of a sword"/>
    <s v="顕す"/>
    <s v="indicative"/>
    <x v="1"/>
    <x v="1"/>
    <s v="transitive"/>
    <s v="active"/>
    <s v="positive"/>
    <n v="1"/>
    <n v="1"/>
    <s v="OBJ"/>
    <n v="0"/>
    <s v="zero_recoverable"/>
    <n v="3"/>
    <s v="overt"/>
    <s v="n/a"/>
    <n v="0"/>
    <n v="0"/>
    <s v="n/a"/>
    <s v="subordinate"/>
    <n v="0"/>
    <x v="0"/>
    <s v="n/a"/>
    <s v="n/a"/>
    <n v="0"/>
    <s v="concessive"/>
    <s v="relative"/>
    <s v="ss"/>
    <s v="ss"/>
    <s v="topic-drop"/>
    <s v="contains_new"/>
    <m/>
    <m/>
    <n v="1"/>
    <m/>
    <x v="0"/>
  </r>
  <r>
    <s v="Heike 2.149"/>
    <s v="後日の訴訟を存じて (gojitsu no soshō o zonjite)"/>
    <s v="his substitution of a wooden blade as a precaution against an after accusation was exceedingly praiseworthy."/>
    <s v="存じて"/>
    <s v="indicative"/>
    <x v="6"/>
    <x v="3"/>
    <s v="transitive"/>
    <s v="active"/>
    <s v="positive"/>
    <n v="1"/>
    <n v="1"/>
    <s v="OBJ"/>
    <n v="0"/>
    <s v="zero_exalt"/>
    <n v="3"/>
    <s v="overt"/>
    <s v="n/a"/>
    <n v="0"/>
    <n v="0"/>
    <s v="n/a"/>
    <s v="te"/>
    <n v="0"/>
    <x v="1"/>
    <s v="sub"/>
    <s v="lexical_humble_verb"/>
    <n v="0"/>
    <s v="none"/>
    <s v="subordinate"/>
    <s v="ss"/>
    <s v="ss"/>
    <s v="topic-drop"/>
    <s v="contains_new"/>
    <m/>
    <m/>
    <n v="1"/>
    <m/>
    <x v="0"/>
  </r>
  <r>
    <s v="Heike 2.150"/>
    <s v="木刀を帯したる"/>
    <s v=" bokutō o tachitaru "/>
    <s v="帯したる"/>
    <s v="indicative"/>
    <x v="2"/>
    <x v="3"/>
    <s v="transitive"/>
    <s v="active"/>
    <s v="positive"/>
    <n v="1"/>
    <n v="1"/>
    <s v="OBJ"/>
    <n v="0"/>
    <s v="zero_recoverable"/>
    <n v="3"/>
    <s v="overt"/>
    <s v="n/a"/>
    <n v="0"/>
    <n v="1"/>
    <s v="REL"/>
    <s v="relative"/>
    <n v="0"/>
    <x v="0"/>
    <s v="n/a"/>
    <s v="n/a"/>
    <n v="0"/>
    <s v="none"/>
    <s v="te"/>
    <s v="ss"/>
    <s v="ds"/>
    <s v="topic-drop"/>
    <s v="contains_new"/>
    <m/>
    <m/>
    <n v="1"/>
    <m/>
    <x v="0"/>
  </r>
  <r>
    <s v="Heike 2.151"/>
    <s v="用意のほどこそ神妙なれ yōi no hodo koso shinmyō nare"/>
    <m/>
    <s v="なれ"/>
    <s v="indicative"/>
    <x v="0"/>
    <x v="0"/>
    <s v="intransitive"/>
    <s v="active"/>
    <s v="positive"/>
    <n v="1"/>
    <n v="1"/>
    <s v="SUB"/>
    <n v="0"/>
    <s v="overt"/>
    <n v="3"/>
    <s v="n/a"/>
    <s v="n/a"/>
    <n v="0"/>
    <n v="0"/>
    <s v="n/a"/>
    <s v="main"/>
    <n v="0"/>
    <x v="0"/>
    <s v="n/a"/>
    <s v="n/a"/>
    <n v="0"/>
    <s v="none"/>
    <s v="relative"/>
    <s v="ds"/>
    <s v="ds"/>
    <s v="topic-drop"/>
    <s v="contains_new"/>
    <m/>
    <m/>
    <n v="1"/>
    <m/>
    <x v="0"/>
  </r>
  <r>
    <s v="Heike 2.152"/>
    <s v="弓箭に携らん (yumiya ni tazusaran)"/>
    <s v="Such prudence is most commendable in a warrior."/>
    <s v="携らん"/>
    <s v="dynamic"/>
    <x v="2"/>
    <x v="1"/>
    <s v="intransitive"/>
    <s v="active"/>
    <s v="positive"/>
    <n v="1"/>
    <n v="1"/>
    <s v="IO"/>
    <n v="0"/>
    <s v="zero_recoverable"/>
    <n v="3"/>
    <s v="n/a"/>
    <s v="overt"/>
    <n v="1"/>
    <n v="0"/>
    <s v="REL"/>
    <s v="relative"/>
    <n v="0"/>
    <x v="0"/>
    <s v="n/a"/>
    <s v="n/a"/>
    <n v="0"/>
    <s v="none"/>
    <s v="main"/>
    <s v="ds"/>
    <s v="ds"/>
    <s v="topic-shift"/>
    <s v="contains_new"/>
    <m/>
    <m/>
    <n v="1"/>
    <m/>
    <x v="0"/>
  </r>
  <r>
    <s v="Heike 2.153"/>
    <s v="ほどの者の謀は尤もかうこそあらまほしけれ hodo no mono no hakarigoto wa motto mo kō koso aramahoshikere"/>
    <m/>
    <s v="あらまほしけれ"/>
    <s v="desiderative"/>
    <x v="4"/>
    <x v="5"/>
    <s v="intransitive"/>
    <s v="active"/>
    <s v="positive"/>
    <n v="1"/>
    <n v="1"/>
    <s v="SUB"/>
    <n v="1"/>
    <s v="overt"/>
    <n v="3"/>
    <s v="n/a"/>
    <s v="n/a"/>
    <n v="0"/>
    <n v="0"/>
    <s v="n/a"/>
    <s v="main"/>
    <n v="0"/>
    <x v="0"/>
    <s v="n/a"/>
    <s v="n/a"/>
    <n v="0"/>
    <s v="none"/>
    <s v="relative"/>
    <s v="ds"/>
    <s v="ds"/>
    <s v="topic-shift"/>
    <s v="contains_new"/>
    <m/>
    <m/>
    <n v="1"/>
    <m/>
    <x v="0"/>
  </r>
  <r>
    <s v="Heike 2.154"/>
    <s v="予てはまた郎従小庭に伺候の由 (kanete wa mata rōjū koniwa ni shikō no yoshi) 且つは武士の郎等の習ひなり (katsu wa bushi no rōtō no narai nari)"/>
    <s v="As for his retainer being in the small court, that too is the custom of the retainers of the warrior class, "/>
    <s v="なり"/>
    <s v="indicative"/>
    <x v="0"/>
    <x v="0"/>
    <s v="intransitive"/>
    <s v="active"/>
    <s v="positive"/>
    <n v="1"/>
    <n v="1"/>
    <s v="SUB"/>
    <n v="3"/>
    <s v="overt"/>
    <n v="3"/>
    <s v="n/a"/>
    <s v="n/a"/>
    <n v="0"/>
    <n v="0"/>
    <s v="n/a"/>
    <s v="main"/>
    <n v="0"/>
    <x v="0"/>
    <s v="n/a"/>
    <s v="n/a"/>
    <n v="0"/>
    <s v="none"/>
    <s v="main"/>
    <s v="ds"/>
    <s v="ds"/>
    <s v="topic-shift"/>
    <s v="contains_new"/>
    <m/>
    <m/>
    <n v="1"/>
    <m/>
    <x v="0"/>
  </r>
  <r>
    <s v="Heike 2.155"/>
    <s v="忠盛が咎にはあらずとて (Tadamori ga toga ni wa arazu tote)"/>
    <s v="and no fault was found in Tadamori."/>
    <s v="あらず"/>
    <s v="indicative"/>
    <x v="0"/>
    <x v="0"/>
    <s v="intransitive"/>
    <s v="active"/>
    <s v="negative"/>
    <n v="1"/>
    <n v="1"/>
    <s v="SUB"/>
    <n v="0"/>
    <s v="overt"/>
    <n v="3"/>
    <s v="n/a"/>
    <s v="n/a"/>
    <n v="0"/>
    <n v="0"/>
    <s v="n/a"/>
    <s v="subordinate"/>
    <n v="0"/>
    <x v="0"/>
    <s v="n/a"/>
    <s v="n/a"/>
    <n v="0"/>
    <s v="causal"/>
    <s v="main"/>
    <s v="ds"/>
    <s v="ss"/>
    <s v="topic-shift"/>
    <s v="contains_new"/>
    <m/>
    <m/>
    <n v="1"/>
    <m/>
    <x v="0"/>
  </r>
  <r>
    <s v="Heike 2.156"/>
    <s v="却つて叡感に預かりし上は (kaette eikan ni azukarishi ue wa)"/>
    <s v="and on the contrary, his conduct was greatly admired,"/>
    <s v="預かりし"/>
    <s v="indicative"/>
    <x v="2"/>
    <x v="1"/>
    <s v="intransitive"/>
    <s v="active"/>
    <s v="positive"/>
    <n v="1"/>
    <n v="1"/>
    <s v="IO"/>
    <n v="1"/>
    <s v="zero_recoverable"/>
    <n v="3"/>
    <s v="n/a"/>
    <s v="overt"/>
    <n v="0"/>
    <n v="0"/>
    <s v="REL"/>
    <s v="subordinate"/>
    <n v="0"/>
    <x v="0"/>
    <s v="n/a"/>
    <s v="n/a"/>
    <n v="1"/>
    <s v="conjunctive"/>
    <s v="subordinate"/>
    <s v="ss"/>
    <s v="ds"/>
    <s v="topic-drop"/>
    <s v="contains_new"/>
    <m/>
    <m/>
    <n v="1"/>
    <m/>
    <x v="0"/>
  </r>
  <r>
    <s v="Heike 2.157"/>
    <s v="敢へて罪科の沙汰はなかりけり aete tsumikado no sata wa nakarikeri"/>
    <s v="and he was pronounced guiltless."/>
    <s v="なかりけり"/>
    <s v="indicative"/>
    <x v="7"/>
    <x v="1"/>
    <s v="intransitive"/>
    <s v="active"/>
    <s v="negative"/>
    <n v="1"/>
    <n v="1"/>
    <s v="SUB"/>
    <n v="1"/>
    <s v="overt"/>
    <n v="3"/>
    <s v="n/a"/>
    <s v="n/a"/>
    <n v="0"/>
    <n v="0"/>
    <s v="n/a"/>
    <s v="main"/>
    <n v="0"/>
    <x v="0"/>
    <s v="n/a"/>
    <s v="n/a"/>
    <n v="0"/>
    <s v="main"/>
    <s v="subordinate"/>
    <s v="ds"/>
    <n v="0"/>
    <s v="topic-drop"/>
    <s v="contains_new"/>
    <m/>
    <m/>
    <n v="1"/>
    <m/>
    <x v="1"/>
  </r>
  <r>
    <s v="Total"/>
    <m/>
    <m/>
    <m/>
    <m/>
    <x v="8"/>
    <x v="6"/>
    <m/>
    <m/>
    <m/>
    <n v="154"/>
    <n v="150"/>
    <m/>
    <n v="72"/>
    <n v="0"/>
    <n v="426"/>
    <n v="0"/>
    <n v="0"/>
    <n v="7"/>
    <n v="17"/>
    <n v="0"/>
    <n v="0"/>
    <n v="19"/>
    <x v="3"/>
    <n v="0"/>
    <n v="0"/>
    <n v="6"/>
    <m/>
    <m/>
    <m/>
    <m/>
    <m/>
    <m/>
    <m/>
    <m/>
    <n v="0.97402597402597402"/>
    <m/>
    <x v="2"/>
  </r>
  <r>
    <m/>
    <m/>
    <m/>
    <m/>
    <m/>
    <x v="8"/>
    <x v="6"/>
    <m/>
    <m/>
    <m/>
    <m/>
    <m/>
    <m/>
    <m/>
    <m/>
    <m/>
    <m/>
    <m/>
    <m/>
    <m/>
    <m/>
    <m/>
    <m/>
    <x v="2"/>
    <m/>
    <m/>
    <m/>
    <m/>
    <m/>
    <m/>
    <m/>
    <m/>
    <m/>
    <m/>
    <m/>
    <m/>
    <m/>
    <x v="2"/>
  </r>
  <r>
    <m/>
    <m/>
    <m/>
    <m/>
    <m/>
    <x v="8"/>
    <x v="13"/>
    <s v="intransitive / transitive / ditransitive / copular/stative / unknown"/>
    <s v="active / passive"/>
    <s v="positive / negative / negative_existential / negative_potential / unknown"/>
    <m/>
    <m/>
    <s v="S, DO, IO, O (Speech), S+O, O+IO, S+IO, S+O+IO"/>
    <m/>
    <s v="overt; zero_exalt; zero_recoverable; zero_other – omitted, recoverability uncertain; not_applicable."/>
    <m/>
    <s v="same"/>
    <s v="same"/>
    <m/>
    <m/>
    <m/>
    <m/>
    <m/>
    <x v="2"/>
    <s v="None, sub, obj, io, addressee, multiple, unknown"/>
    <s v="lexical_honorific_verb"/>
    <m/>
    <s v="none; conjunctive; temporal; causal; concessive; conditional; quotative; other."/>
    <m/>
    <s v="SS; DS; unknown"/>
    <m/>
    <s v="topic-introduced – overt topic marking a (re)introduced aboutness centre"/>
    <s v="no_overt_NP; "/>
    <m/>
    <m/>
    <m/>
    <m/>
    <x v="2"/>
  </r>
  <r>
    <s v="RD2"/>
    <b v="1"/>
    <s v="ACT-ARG/~Ø-Verbal"/>
    <m/>
    <m/>
    <x v="8"/>
    <x v="6"/>
    <m/>
    <m/>
    <m/>
    <m/>
    <m/>
    <m/>
    <m/>
    <m/>
    <m/>
    <m/>
    <m/>
    <m/>
    <m/>
    <m/>
    <m/>
    <m/>
    <x v="2"/>
    <m/>
    <m/>
    <m/>
    <m/>
    <m/>
    <m/>
    <m/>
    <m/>
    <m/>
    <m/>
    <m/>
    <m/>
    <m/>
    <x v="2"/>
  </r>
  <r>
    <s v="RD2+"/>
    <n v="1.1818181818181801"/>
    <s v="(ACT-ARG+V-ARG-Ø-ARG)/~Ø-Verbal"/>
    <m/>
    <m/>
    <x v="8"/>
    <x v="6"/>
    <m/>
    <m/>
    <m/>
    <m/>
    <m/>
    <m/>
    <m/>
    <m/>
    <m/>
    <m/>
    <m/>
    <m/>
    <m/>
    <m/>
    <m/>
    <m/>
    <x v="2"/>
    <m/>
    <s v="lexical_humble_verb"/>
    <m/>
    <m/>
    <m/>
    <m/>
    <m/>
    <s v="topic-continued – same topic as previous clause, even if zero/pronoun"/>
    <s v="all_given; "/>
    <m/>
    <m/>
    <m/>
    <m/>
    <x v="2"/>
  </r>
  <r>
    <s v="RD2++"/>
    <n v="1.0194805194805201"/>
    <s v="(ACT-ARG+GAP-ACT-ARG)/~Ø-Verbal"/>
    <m/>
    <m/>
    <x v="8"/>
    <x v="6"/>
    <m/>
    <m/>
    <m/>
    <m/>
    <m/>
    <m/>
    <m/>
    <m/>
    <m/>
    <m/>
    <m/>
    <m/>
    <m/>
    <m/>
    <m/>
    <m/>
    <x v="2"/>
    <m/>
    <m/>
    <m/>
    <m/>
    <m/>
    <m/>
    <m/>
    <m/>
    <m/>
    <m/>
    <m/>
    <m/>
    <m/>
    <x v="2"/>
  </r>
  <r>
    <s v="RD2+++"/>
    <n v="1.22727272727273"/>
    <s v="(ACT-ARG+V-ARG-Ø-ARG+GAP-ACT-ARG)/~Ø-Verbal"/>
    <m/>
    <m/>
    <x v="8"/>
    <x v="6"/>
    <m/>
    <m/>
    <m/>
    <m/>
    <m/>
    <m/>
    <m/>
    <m/>
    <m/>
    <m/>
    <m/>
    <m/>
    <m/>
    <m/>
    <m/>
    <m/>
    <x v="2"/>
    <m/>
    <s v="honorific_aux"/>
    <m/>
    <m/>
    <m/>
    <m/>
    <m/>
    <s v="topic-shift – new entity becomes the discourse centre"/>
    <s v="contains_new – at least one overt NP is discourse-new; "/>
    <m/>
    <m/>
    <m/>
    <m/>
    <x v="2"/>
  </r>
  <r>
    <s v="RD2-"/>
    <n v="0.207792207792208"/>
    <s v="V-ARG-Ø-ARG/~Ø-Verbal"/>
    <m/>
    <m/>
    <x v="8"/>
    <x v="6"/>
    <m/>
    <m/>
    <m/>
    <m/>
    <m/>
    <m/>
    <m/>
    <m/>
    <m/>
    <m/>
    <m/>
    <m/>
    <m/>
    <m/>
    <m/>
    <m/>
    <x v="2"/>
    <m/>
    <m/>
    <m/>
    <m/>
    <m/>
    <m/>
    <m/>
    <m/>
    <m/>
    <m/>
    <m/>
    <m/>
    <m/>
    <x v="2"/>
  </r>
  <r>
    <m/>
    <m/>
    <m/>
    <m/>
    <m/>
    <x v="8"/>
    <x v="6"/>
    <m/>
    <m/>
    <m/>
    <m/>
    <m/>
    <m/>
    <m/>
    <m/>
    <m/>
    <m/>
    <m/>
    <m/>
    <m/>
    <m/>
    <m/>
    <m/>
    <x v="2"/>
    <m/>
    <s v="humble_aux"/>
    <m/>
    <m/>
    <m/>
    <m/>
    <m/>
    <s v="topic-drop – discourse topic still relevant, but not expressed here"/>
    <s v="unknown "/>
    <m/>
    <m/>
    <m/>
    <m/>
    <x v="2"/>
  </r>
  <r>
    <m/>
    <m/>
    <m/>
    <m/>
    <m/>
    <x v="8"/>
    <x v="6"/>
    <m/>
    <m/>
    <m/>
    <m/>
    <m/>
    <m/>
    <m/>
    <m/>
    <m/>
    <m/>
    <m/>
    <m/>
    <m/>
    <m/>
    <m/>
    <m/>
    <x v="2"/>
    <m/>
    <m/>
    <m/>
    <m/>
    <m/>
    <m/>
    <m/>
    <m/>
    <m/>
    <m/>
    <m/>
    <m/>
    <m/>
    <x v="2"/>
  </r>
  <r>
    <m/>
    <m/>
    <m/>
    <m/>
    <m/>
    <x v="8"/>
    <x v="6"/>
    <m/>
    <m/>
    <m/>
    <m/>
    <m/>
    <m/>
    <m/>
    <m/>
    <m/>
    <m/>
    <m/>
    <m/>
    <m/>
    <m/>
    <m/>
    <m/>
    <x v="2"/>
    <m/>
    <s v="polite_aux"/>
    <m/>
    <m/>
    <m/>
    <m/>
    <m/>
    <s v="no-topic – no clear topic in the clause"/>
    <m/>
    <m/>
    <m/>
    <m/>
    <m/>
    <x v="2"/>
  </r>
  <r>
    <m/>
    <m/>
    <m/>
    <m/>
    <m/>
    <x v="8"/>
    <x v="6"/>
    <m/>
    <m/>
    <m/>
    <m/>
    <m/>
    <m/>
    <m/>
    <m/>
    <m/>
    <m/>
    <m/>
    <m/>
    <m/>
    <m/>
    <m/>
    <m/>
    <x v="2"/>
    <m/>
    <m/>
    <m/>
    <m/>
    <m/>
    <m/>
    <m/>
    <m/>
    <m/>
    <m/>
    <m/>
    <m/>
    <m/>
    <x v="2"/>
  </r>
  <r>
    <m/>
    <m/>
    <m/>
    <m/>
    <m/>
    <x v="8"/>
    <x v="6"/>
    <m/>
    <m/>
    <m/>
    <m/>
    <m/>
    <m/>
    <m/>
    <m/>
    <m/>
    <m/>
    <m/>
    <m/>
    <m/>
    <m/>
    <m/>
    <m/>
    <x v="2"/>
    <m/>
    <s v="honorific_copula"/>
    <m/>
    <m/>
    <m/>
    <m/>
    <m/>
    <s v="unknown"/>
    <m/>
    <m/>
    <m/>
    <m/>
    <m/>
    <x v="2"/>
  </r>
  <r>
    <m/>
    <m/>
    <m/>
    <m/>
    <m/>
    <x v="8"/>
    <x v="6"/>
    <m/>
    <m/>
    <m/>
    <m/>
    <m/>
    <m/>
    <m/>
    <m/>
    <m/>
    <m/>
    <m/>
    <m/>
    <m/>
    <m/>
    <m/>
    <m/>
    <x v="2"/>
    <m/>
    <m/>
    <m/>
    <m/>
    <m/>
    <m/>
    <m/>
    <m/>
    <m/>
    <m/>
    <m/>
    <m/>
    <m/>
    <x v="2"/>
  </r>
  <r>
    <m/>
    <m/>
    <m/>
    <m/>
    <m/>
    <x v="8"/>
    <x v="6"/>
    <m/>
    <m/>
    <m/>
    <m/>
    <m/>
    <m/>
    <m/>
    <m/>
    <m/>
    <m/>
    <m/>
    <m/>
    <m/>
    <m/>
    <m/>
    <m/>
    <x v="2"/>
    <m/>
    <s v="nominal_prefix"/>
    <m/>
    <m/>
    <m/>
    <m/>
    <m/>
    <m/>
    <m/>
    <m/>
    <m/>
    <m/>
    <m/>
    <x v="2"/>
  </r>
  <r>
    <m/>
    <m/>
    <m/>
    <m/>
    <m/>
    <x v="8"/>
    <x v="6"/>
    <m/>
    <m/>
    <m/>
    <m/>
    <m/>
    <m/>
    <m/>
    <m/>
    <m/>
    <m/>
    <m/>
    <m/>
    <m/>
    <m/>
    <m/>
    <m/>
    <x v="2"/>
    <m/>
    <m/>
    <m/>
    <m/>
    <m/>
    <m/>
    <m/>
    <m/>
    <m/>
    <m/>
    <m/>
    <m/>
    <m/>
    <x v="2"/>
  </r>
  <r>
    <m/>
    <m/>
    <m/>
    <m/>
    <m/>
    <x v="8"/>
    <x v="6"/>
    <m/>
    <m/>
    <m/>
    <m/>
    <m/>
    <m/>
    <m/>
    <m/>
    <m/>
    <m/>
    <m/>
    <m/>
    <m/>
    <m/>
    <m/>
    <m/>
    <x v="2"/>
    <m/>
    <s v="honorific_title"/>
    <m/>
    <m/>
    <m/>
    <m/>
    <m/>
    <m/>
    <m/>
    <m/>
    <m/>
    <m/>
    <m/>
    <x v="2"/>
  </r>
  <r>
    <m/>
    <m/>
    <m/>
    <m/>
    <m/>
    <x v="8"/>
    <x v="6"/>
    <m/>
    <m/>
    <m/>
    <m/>
    <m/>
    <m/>
    <m/>
    <m/>
    <m/>
    <m/>
    <m/>
    <m/>
    <m/>
    <m/>
    <m/>
    <m/>
    <x v="2"/>
    <m/>
    <m/>
    <m/>
    <m/>
    <m/>
    <m/>
    <m/>
    <m/>
    <m/>
    <m/>
    <m/>
    <m/>
    <m/>
    <x v="2"/>
  </r>
  <r>
    <m/>
    <m/>
    <m/>
    <m/>
    <m/>
    <x v="8"/>
    <x v="6"/>
    <m/>
    <m/>
    <m/>
    <m/>
    <m/>
    <m/>
    <m/>
    <m/>
    <m/>
    <m/>
    <m/>
    <m/>
    <m/>
    <m/>
    <m/>
    <m/>
    <x v="2"/>
    <m/>
    <s v="other"/>
    <m/>
    <m/>
    <m/>
    <m/>
    <m/>
    <m/>
    <m/>
    <m/>
    <m/>
    <m/>
    <m/>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Heike 2.1"/>
    <s v="忠盛朝臣未だ備前守たりし時 (Tadamori ason imada Bizen no kami tarishi toki)"/>
    <s v="Now Tadamori, while holding the office of Bizen no Kami,"/>
    <s v="たりし"/>
    <s v="indicative"/>
    <s v="stative"/>
    <x v="0"/>
    <x v="0"/>
    <s v="active"/>
    <s v="positive"/>
    <n v="1"/>
    <n v="1"/>
    <x v="0"/>
    <n v="0"/>
    <x v="0"/>
    <n v="3"/>
    <x v="0"/>
    <s v="n/a"/>
    <n v="0"/>
    <n v="1"/>
    <s v="REL"/>
    <x v="0"/>
    <n v="0"/>
    <n v="0"/>
    <s v="n/a"/>
    <s v="n/a"/>
    <n v="0"/>
    <x v="0"/>
    <m/>
    <s v="new"/>
    <s v="ss"/>
    <s v="topic-introduced"/>
    <s v="contains_new"/>
    <m/>
    <m/>
    <n v="1"/>
    <x v="0"/>
    <s v="Yes"/>
  </r>
  <r>
    <s v="Heike 2.2"/>
    <s v="鳥羽院の御願得長寿院を造進して (Toba-in no ogan Tokuchōju-in o zōshin shite)"/>
    <s v="by the request of the retired Emperor Toba,"/>
    <s v="造進して"/>
    <s v="indicative"/>
    <s v="other"/>
    <x v="1"/>
    <x v="1"/>
    <s v="active"/>
    <s v="positive"/>
    <n v="1"/>
    <n v="1"/>
    <x v="1"/>
    <n v="1"/>
    <x v="1"/>
    <n v="3"/>
    <x v="1"/>
    <s v="n/a"/>
    <n v="0"/>
    <n v="0"/>
    <s v="n/a"/>
    <x v="1"/>
    <n v="0"/>
    <n v="0"/>
    <s v="obj"/>
    <s v="nominal_prefix"/>
    <n v="1"/>
    <x v="1"/>
    <s v="relative"/>
    <s v="ss"/>
    <s v="ss"/>
    <s v="topic-drop"/>
    <s v="contains_new"/>
    <s v="stranded subject Tadamori"/>
    <m/>
    <n v="1"/>
    <x v="0"/>
    <s v="Yes"/>
  </r>
  <r>
    <s v="Heike 2.3"/>
    <s v="三十三間の御堂を建て (sanjūsangen no midō o tatete)"/>
    <s v=" had built the temple Toku-cho-juin and the Sa-ju-san-gen-do, or hall 33 ken long,"/>
    <s v="建て"/>
    <s v="indicative"/>
    <s v="other"/>
    <x v="1"/>
    <x v="1"/>
    <s v="active"/>
    <s v="positive"/>
    <n v="1"/>
    <n v="1"/>
    <x v="1"/>
    <n v="0"/>
    <x v="1"/>
    <n v="3"/>
    <x v="1"/>
    <s v="n/a"/>
    <n v="0"/>
    <n v="0"/>
    <s v="n/a"/>
    <x v="1"/>
    <n v="0"/>
    <n v="0"/>
    <s v="obj"/>
    <s v="nominal_prefix"/>
    <n v="1"/>
    <x v="1"/>
    <s v="te"/>
    <s v="ss"/>
    <s v="ss"/>
    <s v="topic-drop"/>
    <s v="contains_new"/>
    <m/>
    <m/>
    <n v="1"/>
    <x v="0"/>
    <s v="Yes"/>
  </r>
  <r>
    <s v="Heike 2.4"/>
    <s v="一千一体の御仏を据ゑ奉らる (issen ittai no mihotoke o sue-tatematsuraru)"/>
    <s v="within which were one thousand and one Buddhas;"/>
    <s v="据ゑ奉らる"/>
    <s v="indicative"/>
    <s v="action"/>
    <x v="1"/>
    <x v="1"/>
    <s v="active"/>
    <s v="positive"/>
    <n v="1"/>
    <n v="1"/>
    <x v="1"/>
    <n v="0"/>
    <x v="2"/>
    <n v="3"/>
    <x v="1"/>
    <s v="n/a"/>
    <n v="0"/>
    <n v="1"/>
    <s v="REL"/>
    <x v="0"/>
    <n v="1"/>
    <n v="1"/>
    <s v="sub"/>
    <s v="honorific_aux"/>
    <n v="1"/>
    <x v="2"/>
    <s v="te"/>
    <s v="ss"/>
    <s v="ds"/>
    <s v="topic-drop"/>
    <s v="contains_new"/>
    <s v="complex verbal form"/>
    <m/>
    <n v="1"/>
    <x v="0"/>
    <s v="Yes"/>
  </r>
  <r>
    <s v="Heike 2.5"/>
    <s v="供養は天承元年三月十三日なり (kuyō wa Tenshō gannen sangatsu jūsan-nichi nari)"/>
    <s v="its first festival being on the thirteenth day of the third month of the first year of Tensho."/>
    <s v="なり"/>
    <s v="indicative"/>
    <s v="stative"/>
    <x v="0"/>
    <x v="0"/>
    <s v="active"/>
    <s v="positive"/>
    <n v="1"/>
    <n v="1"/>
    <x v="0"/>
    <n v="0"/>
    <x v="0"/>
    <n v="3"/>
    <x v="0"/>
    <s v="n/a"/>
    <n v="0"/>
    <n v="0"/>
    <s v="n/a"/>
    <x v="2"/>
    <n v="0"/>
    <n v="0"/>
    <s v="n/a"/>
    <s v="n/a"/>
    <n v="0"/>
    <x v="2"/>
    <s v="relative"/>
    <s v="ds"/>
    <s v="ds"/>
    <s v="topic-introduced"/>
    <s v="contains_new"/>
    <m/>
    <m/>
    <n v="1"/>
    <x v="0"/>
    <s v="Yes"/>
  </r>
  <r>
    <s v="Heike 2.6"/>
    <s v="勧賞には欠国を賜ふべき由 (kanshō ni wa kakukuni o tamau beki yoshi)"/>
    <s v="As a reward he was to be granted a fief,"/>
    <s v="賜ふべき"/>
    <s v="deontic"/>
    <s v="action"/>
    <x v="1"/>
    <x v="1"/>
    <s v="active"/>
    <s v="positive"/>
    <n v="1"/>
    <n v="1"/>
    <x v="1"/>
    <n v="1"/>
    <x v="2"/>
    <n v="3"/>
    <x v="1"/>
    <s v="n/a"/>
    <n v="0"/>
    <n v="1"/>
    <s v="n/a"/>
    <x v="3"/>
    <n v="0"/>
    <n v="1"/>
    <s v="sub"/>
    <s v="lexical_honorific_verb"/>
    <n v="0"/>
    <x v="3"/>
    <s v="main"/>
    <s v="ds"/>
    <s v="ds"/>
    <s v="topic-shift"/>
    <s v="contains_new"/>
    <m/>
    <m/>
    <n v="1"/>
    <x v="0"/>
    <s v="Yes"/>
  </r>
  <r>
    <s v="Heike 2.7"/>
    <s v="仰せ下されける (ōse-kudasa rekeru)"/>
    <s v="he was honoured by receiving the territory of the province of Tamba,"/>
    <s v="仰せ下されける"/>
    <s v="indicative"/>
    <s v="action"/>
    <x v="2"/>
    <x v="0"/>
    <s v="passive"/>
    <s v="positive"/>
    <n v="1"/>
    <n v="0"/>
    <x v="2"/>
    <n v="0"/>
    <x v="2"/>
    <n v="3"/>
    <x v="2"/>
    <s v="not_applicable"/>
    <n v="1"/>
    <n v="0"/>
    <s v="REL"/>
    <x v="0"/>
    <n v="0"/>
    <n v="1"/>
    <s v="io"/>
    <s v="lexical honorific+honorific aux"/>
    <n v="0"/>
    <x v="2"/>
    <s v="subordinate"/>
    <s v="ds"/>
    <s v="ss"/>
    <s v="topic-drop"/>
    <s v="no_overt_NP"/>
    <m/>
    <m/>
    <n v="0"/>
    <x v="0"/>
    <s v="Yes"/>
  </r>
  <r>
    <s v="Heike 2.8"/>
    <s v="折節但馬国の空きたりけるをぞ (orifushi Tamba no kuni no aki tarikeru o zo)"/>
    <s v="which then happened to be unappropriated."/>
    <s v="空きたりける"/>
    <s v="indicative"/>
    <s v="stative"/>
    <x v="1"/>
    <x v="0"/>
    <s v="resultative"/>
    <s v="positive"/>
    <n v="1"/>
    <n v="1"/>
    <x v="0"/>
    <n v="1"/>
    <x v="0"/>
    <n v="3"/>
    <x v="0"/>
    <s v="n/a"/>
    <n v="0"/>
    <n v="0"/>
    <s v="OBJ"/>
    <x v="4"/>
    <n v="0"/>
    <n v="0"/>
    <s v="n/a"/>
    <s v="n/a"/>
    <n v="0"/>
    <x v="2"/>
    <s v="relative"/>
    <s v="ss"/>
    <s v="ds"/>
    <s v="topic-drop"/>
    <s v="contains_new"/>
    <s v="internally headed"/>
    <m/>
    <n v="1"/>
    <x v="0"/>
    <s v="Yes"/>
  </r>
  <r>
    <s v="Heike 2.9"/>
    <s v="賜はりける (tamawari keru)"/>
    <s v="As a reward he was honoured by receiving the territory of the province of Tamba, which then happened to be unappropriated."/>
    <s v="賜はりける"/>
    <s v="indicative"/>
    <s v="action"/>
    <x v="1"/>
    <x v="1"/>
    <s v="active"/>
    <s v="positive"/>
    <n v="1"/>
    <n v="1"/>
    <x v="1"/>
    <n v="0"/>
    <x v="2"/>
    <n v="3"/>
    <x v="3"/>
    <s v="zero_recoverable"/>
    <n v="0"/>
    <n v="0"/>
    <s v="n/a"/>
    <x v="2"/>
    <n v="0"/>
    <n v="1"/>
    <s v="sub"/>
    <s v="lexical_humble_verb"/>
    <n v="0"/>
    <x v="2"/>
    <s v="nominalised"/>
    <s v="ds"/>
    <s v="ds"/>
    <s v="topic-drop"/>
    <s v="no_overt_NP"/>
    <m/>
    <m/>
    <n v="1"/>
    <x v="0"/>
    <s v="Yes"/>
  </r>
  <r>
    <s v="Heike 2.10"/>
    <s v="上皇御感のあまりに内の昇殿を許さる (jōkō go-kan no amari ni uchi no shōden o yurusaru)"/>
    <s v="Moreover the Emperor of his bounty graciously permitted him to attend the Court;"/>
    <s v="許さる"/>
    <s v="indicative"/>
    <s v="action"/>
    <x v="1"/>
    <x v="1"/>
    <s v="active"/>
    <s v="positive"/>
    <n v="1"/>
    <n v="2"/>
    <x v="3"/>
    <n v="1"/>
    <x v="0"/>
    <n v="3"/>
    <x v="1"/>
    <s v="zero_recoverable"/>
    <n v="1"/>
    <n v="0"/>
    <s v="REL"/>
    <x v="0"/>
    <n v="1"/>
    <n v="0"/>
    <s v="sub"/>
    <s v="honorific_aux"/>
    <n v="1"/>
    <x v="2"/>
    <s v="main"/>
    <s v="ds"/>
    <s v="ds"/>
    <s v="topic-drop"/>
    <s v="contains_new"/>
    <s v="it's unlcear whether -re- in -yurusareru is passive or honorific"/>
    <m/>
    <n v="2"/>
    <x v="0"/>
    <s v="Yes"/>
  </r>
  <r>
    <s v="Heike 2.11"/>
    <s v="忠盛三十六にて初めて昇殿す (Tadamori sanjūroku nite hajimete shōden su)"/>
    <s v="which Tadamori did for the first time at the age of thirty six."/>
    <s v="昇殿す"/>
    <s v="indicative"/>
    <s v="motion"/>
    <x v="3"/>
    <x v="0"/>
    <s v="active"/>
    <s v="positive"/>
    <n v="1"/>
    <n v="1"/>
    <x v="0"/>
    <n v="2"/>
    <x v="0"/>
    <n v="3"/>
    <x v="1"/>
    <s v="n/a"/>
    <n v="0"/>
    <n v="0"/>
    <s v="n/a"/>
    <x v="2"/>
    <n v="0"/>
    <n v="0"/>
    <s v="n/a"/>
    <s v="n/a"/>
    <n v="0"/>
    <x v="2"/>
    <s v="relative"/>
    <s v="ds"/>
    <s v="ds"/>
    <s v="topic-continued"/>
    <s v="contains_new"/>
    <m/>
    <m/>
    <n v="1"/>
    <x v="1"/>
    <s v="Yes"/>
  </r>
  <r>
    <s v="Heike 2.12"/>
    <s v="雲の上人これを嫉み憤り (kumo no uebito kore o sonemi ikidori)"/>
    <s v="the higher Courtiers were furious with jealousy"/>
    <s v="嫉み憤り"/>
    <s v="indicative"/>
    <s v="psych-state"/>
    <x v="4"/>
    <x v="1"/>
    <s v="active"/>
    <s v="positive"/>
    <n v="1"/>
    <n v="2"/>
    <x v="3"/>
    <n v="0"/>
    <x v="0"/>
    <n v="3"/>
    <x v="1"/>
    <s v="n/a"/>
    <n v="0"/>
    <n v="0"/>
    <s v="n/a"/>
    <x v="5"/>
    <n v="0"/>
    <n v="0"/>
    <s v="n/a"/>
    <s v="n/a"/>
    <n v="0"/>
    <x v="2"/>
    <s v="main"/>
    <s v="ds"/>
    <s v="ss"/>
    <s v="topic-introduced"/>
    <s v="contains_new"/>
    <m/>
    <m/>
    <n v="2"/>
    <x v="0"/>
    <s v="Yes"/>
  </r>
  <r>
    <s v="Heike 2.13"/>
    <s v="同じき年の十一月二十三日五節豊の明の節会の夜 (onajiki toshi no jūichigatsu nijūsannichi gosechi Toyo-no-akari no setchie no yo) 忠盛を闇討にせん (Tadamori o yamiuchi ni sen "/>
    <s v="to assassinate him on the evening of the festival of Go-Sechi Toyo-no-akari-no-setchie, on the 23rd day of the eleventh month of the same year."/>
    <s v="闇討にせん"/>
    <s v="dynamic"/>
    <s v="other"/>
    <x v="3"/>
    <x v="1"/>
    <s v="active"/>
    <s v="positive"/>
    <n v="1"/>
    <n v="1"/>
    <x v="1"/>
    <n v="1"/>
    <x v="1"/>
    <n v="3"/>
    <x v="1"/>
    <s v="n/a"/>
    <n v="0"/>
    <n v="0"/>
    <s v="n/a"/>
    <x v="6"/>
    <n v="0"/>
    <n v="0"/>
    <s v="n/a"/>
    <s v="n/a"/>
    <n v="0"/>
    <x v="4"/>
    <s v="inf"/>
    <s v="ss"/>
    <s v="ds"/>
    <s v="topic-continued"/>
    <s v="contains_new"/>
    <m/>
    <m/>
    <n v="1"/>
    <x v="1"/>
    <s v="Yes"/>
  </r>
  <r>
    <s v="Heike 2.14"/>
    <s v="とぞ議せられける (to zo giserarikeru)"/>
    <s v="they plotted"/>
    <s v="議せられける"/>
    <s v="indicative"/>
    <s v="communication"/>
    <x v="3"/>
    <x v="0"/>
    <s v="passive"/>
    <s v="positive"/>
    <n v="1"/>
    <n v="1"/>
    <x v="4"/>
    <n v="0"/>
    <x v="0"/>
    <s v="n/a"/>
    <x v="0"/>
    <s v="n/a"/>
    <n v="0"/>
    <n v="0"/>
    <s v="n/a"/>
    <x v="2"/>
    <n v="0"/>
    <n v="0"/>
    <s v="n/a"/>
    <s v="n/a"/>
    <n v="0"/>
    <x v="2"/>
    <s v="complement"/>
    <s v="ds"/>
    <s v="ds"/>
    <s v="topic-drop"/>
    <s v="all given"/>
    <m/>
    <m/>
    <n v="1"/>
    <x v="1"/>
    <s v="Yes"/>
  </r>
  <r>
    <s v="Heike 2.15"/>
    <s v="忠盛この由を伝へ聞きて (Tadamori kono yoshi o tsutae kikite)"/>
    <s v="Tadamori, on hearing of this"/>
    <s v="伝へ聞きて"/>
    <s v="indicative"/>
    <s v="perception"/>
    <x v="4"/>
    <x v="1"/>
    <s v="active"/>
    <s v="positive"/>
    <n v="1"/>
    <n v="2"/>
    <x v="1"/>
    <n v="0"/>
    <x v="0"/>
    <n v="3"/>
    <x v="1"/>
    <s v="n/a"/>
    <n v="0"/>
    <n v="0"/>
    <s v="n/a"/>
    <x v="1"/>
    <n v="0"/>
    <n v="0"/>
    <s v="n/a"/>
    <s v="n/a"/>
    <n v="0"/>
    <x v="1"/>
    <s v="main"/>
    <s v="ds"/>
    <s v="ds"/>
    <s v="topic-shift"/>
    <s v="all given"/>
    <m/>
    <m/>
    <n v="2"/>
    <x v="0"/>
    <s v="Yes"/>
  </r>
  <r>
    <s v="Heike 2.16"/>
    <s v="我右弼の身にあらず (ware ubitsu no mi ni a-razu)"/>
    <s v="I am not a civil official"/>
    <s v="あらず"/>
    <s v="indicative"/>
    <s v="other"/>
    <x v="0"/>
    <x v="0"/>
    <s v="active"/>
    <s v="negative"/>
    <n v="1"/>
    <n v="1"/>
    <x v="0"/>
    <n v="0"/>
    <x v="0"/>
    <n v="1"/>
    <x v="0"/>
    <s v="n/a"/>
    <n v="0"/>
    <n v="0"/>
    <s v="n/a"/>
    <x v="3"/>
    <n v="0"/>
    <n v="0"/>
    <s v="n/a"/>
    <s v="n/a"/>
    <n v="0"/>
    <x v="1"/>
    <s v="te"/>
    <s v="ds"/>
    <s v="ss"/>
    <s v="topic-shift"/>
    <s v="contains_new"/>
    <m/>
    <m/>
    <n v="1"/>
    <x v="0"/>
    <s v="Yes"/>
  </r>
  <r>
    <s v="Heike 2.17"/>
    <s v="武勇の家に生れて (buyū no ie ni umarete)"/>
    <s v="being born of a line of warriors"/>
    <s v="生れて"/>
    <s v="indicative"/>
    <s v="other"/>
    <x v="1"/>
    <x v="0"/>
    <s v="active"/>
    <s v="positive"/>
    <n v="1"/>
    <n v="1"/>
    <x v="0"/>
    <n v="1"/>
    <x v="1"/>
    <n v="1"/>
    <x v="0"/>
    <s v="n/a"/>
    <n v="0"/>
    <n v="0"/>
    <s v="n/a"/>
    <x v="1"/>
    <n v="0"/>
    <n v="0"/>
    <s v="n/a"/>
    <s v="n/a"/>
    <n v="0"/>
    <x v="1"/>
    <s v="subordinate"/>
    <s v="ss"/>
    <s v="ss"/>
    <s v="topic-drop"/>
    <s v="contains_new"/>
    <m/>
    <m/>
    <n v="1"/>
    <x v="0"/>
    <s v="Yes"/>
  </r>
  <r>
    <s v="Heike 2.18"/>
    <s v="今不慮の恥に遇はん (ima furyo no haji ni awan)"/>
    <s v="for myself and my house at this unexpected shame"/>
    <s v="遇はん"/>
    <s v="epistemic"/>
    <s v="other"/>
    <x v="1"/>
    <x v="0"/>
    <s v="active"/>
    <s v="positive"/>
    <n v="1"/>
    <n v="1"/>
    <x v="5"/>
    <n v="1"/>
    <x v="1"/>
    <s v="n/a"/>
    <x v="0"/>
    <s v="overt"/>
    <n v="0"/>
    <n v="1"/>
    <s v="n/a"/>
    <x v="0"/>
    <n v="0"/>
    <n v="0"/>
    <s v="n/a"/>
    <s v="n/a"/>
    <n v="0"/>
    <x v="2"/>
    <s v="te"/>
    <s v="ss"/>
    <s v="ds"/>
    <s v="topic-drop"/>
    <s v="contains_new"/>
    <m/>
    <m/>
    <n v="1"/>
    <x v="0"/>
    <s v="Yes"/>
  </r>
  <r>
    <s v="Heike 2.19"/>
    <s v="事家の為身の為心憂かるべし (koto ie no tame mi no tame kokoroukarubeshi)"/>
    <s v="I am troubled in my heart"/>
    <s v="憂かるべし"/>
    <s v="epistemic"/>
    <s v="psych-state"/>
    <x v="5"/>
    <x v="0"/>
    <s v="active"/>
    <s v="positive"/>
    <n v="1"/>
    <n v="1"/>
    <x v="0"/>
    <n v="1"/>
    <x v="0"/>
    <n v="3"/>
    <x v="0"/>
    <s v="n/a"/>
    <n v="0"/>
    <n v="0"/>
    <s v="n/a"/>
    <x v="2"/>
    <n v="0"/>
    <n v="0"/>
    <s v="n/a"/>
    <s v="n/a"/>
    <n v="0"/>
    <x v="2"/>
    <s v="relative"/>
    <s v="ds"/>
    <n v="0"/>
    <s v="topic-drop"/>
    <s v="contains_new"/>
    <m/>
    <m/>
    <n v="1"/>
    <x v="0"/>
    <s v="Yes"/>
  </r>
  <r>
    <s v="Heike 2.20"/>
    <s v="詮ずるところ (senzuru tokoro)"/>
    <s v="finally, as for what is to be done"/>
    <s v="詮ずる"/>
    <s v="indicative"/>
    <s v="other"/>
    <x v="6"/>
    <x v="2"/>
    <m/>
    <m/>
    <m/>
    <m/>
    <x v="6"/>
    <m/>
    <x v="3"/>
    <m/>
    <x v="4"/>
    <m/>
    <m/>
    <m/>
    <m/>
    <x v="7"/>
    <m/>
    <m/>
    <m/>
    <m/>
    <m/>
    <x v="5"/>
    <s v="main"/>
    <m/>
    <s v="ss"/>
    <m/>
    <m/>
    <m/>
    <m/>
    <m/>
    <x v="0"/>
    <s v="Yes"/>
  </r>
  <r>
    <s v="Heike 2.21"/>
    <s v="身を全うして (mi o mattō shite)"/>
    <s v="with all your might"/>
    <s v="全うして"/>
    <s v="indicative"/>
    <s v="other"/>
    <x v="3"/>
    <x v="1"/>
    <s v="active"/>
    <s v="positive"/>
    <n v="1"/>
    <n v="1"/>
    <x v="1"/>
    <n v="0"/>
    <x v="1"/>
    <n v="1"/>
    <x v="1"/>
    <s v="n/a"/>
    <n v="0"/>
    <n v="0"/>
    <s v="n/a"/>
    <x v="1"/>
    <n v="0"/>
    <n v="0"/>
    <s v="n/a"/>
    <s v="n/a"/>
    <n v="0"/>
    <x v="1"/>
    <n v="0"/>
    <s v="ss"/>
    <s v="ss"/>
    <s v="topic-drop"/>
    <s v="contains_new"/>
    <m/>
    <m/>
    <n v="1"/>
    <x v="1"/>
    <s v="Yes"/>
  </r>
  <r>
    <s v="Heike 2.22"/>
    <s v="君に仕へ奉れ"/>
    <s v=" kimi ni tsukae tatematsure"/>
    <s v="仕へ奉れ"/>
    <s v="imperative"/>
    <s v="action"/>
    <x v="1"/>
    <x v="0"/>
    <s v="active"/>
    <s v="positive"/>
    <n v="1"/>
    <n v="1"/>
    <x v="5"/>
    <n v="0"/>
    <x v="2"/>
    <n v="1"/>
    <x v="0"/>
    <s v="overt"/>
    <n v="0"/>
    <n v="0"/>
    <s v="n/a"/>
    <x v="6"/>
    <n v="1"/>
    <n v="1"/>
    <s v="sub"/>
    <s v="lexical_humble_verb"/>
    <n v="0"/>
    <x v="2"/>
    <s v="te"/>
    <s v="ss"/>
    <s v="ds"/>
    <s v="topic-drop"/>
    <s v="contains_new"/>
    <m/>
    <m/>
    <n v="1"/>
    <x v="0"/>
    <s v="Yes"/>
  </r>
  <r>
    <s v="Heike 2.23"/>
    <s v="といふ本文あり (to iu honbun ari)"/>
    <s v="so goes the original passage"/>
    <s v="あり"/>
    <s v="indicative"/>
    <s v="stative"/>
    <x v="7"/>
    <x v="0"/>
    <s v="active"/>
    <s v="positive"/>
    <n v="1"/>
    <n v="1"/>
    <x v="0"/>
    <n v="1"/>
    <x v="0"/>
    <n v="3"/>
    <x v="0"/>
    <s v="n/a"/>
    <n v="0"/>
    <n v="0"/>
    <s v="n/a"/>
    <x v="2"/>
    <n v="0"/>
    <n v="0"/>
    <s v="n/a"/>
    <s v="n/a"/>
    <n v="0"/>
    <x v="2"/>
    <s v="complement"/>
    <s v="ds"/>
    <s v="ss"/>
    <s v="topic-drop"/>
    <s v="contains_new"/>
    <s v="frame predicate"/>
    <m/>
    <n v="1"/>
    <x v="0"/>
    <s v="Yes"/>
  </r>
  <r>
    <s v="Heike 2.24"/>
    <s v="参内の初めより大なる鞘巻を用意し (sannai no hajime yori ō-naru sayamaki o yōi shi)"/>
    <s v="Before entering the Court he provided himself with a long dirk"/>
    <s v="用意し"/>
    <s v="indicative"/>
    <s v="other"/>
    <x v="3"/>
    <x v="1"/>
    <s v="active"/>
    <s v="positive"/>
    <n v="1"/>
    <n v="1"/>
    <x v="1"/>
    <n v="1"/>
    <x v="1"/>
    <n v="3"/>
    <x v="1"/>
    <s v="n/a"/>
    <n v="0"/>
    <n v="0"/>
    <s v="n/a"/>
    <x v="5"/>
    <n v="0"/>
    <n v="0"/>
    <s v="n/a"/>
    <s v="n/a"/>
    <n v="0"/>
    <x v="2"/>
    <s v="main"/>
    <s v="ss"/>
    <s v="ss"/>
    <s v="topic-drop"/>
    <s v="contains_new"/>
    <m/>
    <m/>
    <n v="1"/>
    <x v="1"/>
    <s v="Yes"/>
  </r>
  <r>
    <s v="Heike 2.25"/>
    <s v="束帯の下にしどけなげに差し (sokutai no shita ni shidokenage ni sashi)"/>
    <s v="which he girt on under his long court dress"/>
    <s v="差し"/>
    <s v="indicative"/>
    <s v="other"/>
    <x v="1"/>
    <x v="1"/>
    <s v="active"/>
    <s v="positive"/>
    <n v="1"/>
    <n v="1"/>
    <x v="5"/>
    <n v="1"/>
    <x v="1"/>
    <n v="3"/>
    <x v="3"/>
    <s v="overt"/>
    <n v="0"/>
    <n v="0"/>
    <s v="n/a"/>
    <x v="5"/>
    <n v="0"/>
    <n v="0"/>
    <s v="n/a"/>
    <s v="n/a"/>
    <n v="0"/>
    <x v="2"/>
    <s v="inf"/>
    <s v="ss"/>
    <s v="ss"/>
    <s v="topic-drop"/>
    <s v="contains_new"/>
    <m/>
    <m/>
    <n v="1"/>
    <x v="0"/>
    <s v="Yes"/>
  </r>
  <r>
    <s v="Heike 2.26"/>
    <s v="火の仄暗き方に向かつて (hi no hokuraki kata ni mukatte)"/>
    <s v="and turning aside to a dimly lit place"/>
    <s v="向かつて"/>
    <s v="indicative"/>
    <s v="other"/>
    <x v="1"/>
    <x v="0"/>
    <s v="active"/>
    <s v="positive"/>
    <n v="1"/>
    <n v="1"/>
    <x v="5"/>
    <n v="1"/>
    <x v="1"/>
    <n v="3"/>
    <x v="0"/>
    <s v="overt"/>
    <n v="0"/>
    <n v="0"/>
    <s v="n/a"/>
    <x v="1"/>
    <n v="0"/>
    <n v="0"/>
    <s v="n/a"/>
    <s v="n/a"/>
    <n v="0"/>
    <x v="1"/>
    <s v="inf"/>
    <s v="ss"/>
    <s v="ss"/>
    <s v="topic-drop"/>
    <s v="contains_new"/>
    <m/>
    <m/>
    <n v="1"/>
    <x v="0"/>
    <s v="Yes"/>
  </r>
  <r>
    <s v="Heike 2.27"/>
    <s v="やはらこの刀を抜き出でて (yahara kono katana o nuki-idete)"/>
    <s v="slowly drew the blade"/>
    <s v="抜き出でて"/>
    <s v="indicative"/>
    <s v="motion"/>
    <x v="4"/>
    <x v="1"/>
    <s v="active"/>
    <s v="positive"/>
    <n v="1"/>
    <n v="1"/>
    <x v="1"/>
    <n v="0"/>
    <x v="1"/>
    <n v="3"/>
    <x v="1"/>
    <s v="n/a"/>
    <n v="0"/>
    <n v="0"/>
    <s v="n/a"/>
    <x v="1"/>
    <n v="0"/>
    <n v="0"/>
    <s v="n/a"/>
    <s v="n/a"/>
    <n v="0"/>
    <x v="1"/>
    <s v="te"/>
    <s v="ss"/>
    <s v="ss"/>
    <s v="topic-drop"/>
    <s v="all given"/>
    <s v="&quot;kono katana&quot; refers to the &quot;sayamaki&quot;, so all given"/>
    <m/>
    <n v="1"/>
    <x v="0"/>
    <s v="Yes"/>
  </r>
  <r>
    <s v="Heike 2.28"/>
    <s v="鬢に引き当てられたりけるが (kami ni hiki-ate raretarikeru ga)"/>
    <s v="and passed it through the hair of his head"/>
    <s v="引き当てられたりける"/>
    <s v="indicative"/>
    <s v="motion"/>
    <x v="1"/>
    <x v="1"/>
    <s v="active"/>
    <s v="positive"/>
    <n v="1"/>
    <n v="1"/>
    <x v="5"/>
    <n v="0"/>
    <x v="2"/>
    <n v="3"/>
    <x v="3"/>
    <s v="overt"/>
    <n v="0"/>
    <n v="0"/>
    <s v="n/a"/>
    <x v="3"/>
    <n v="0"/>
    <n v="1"/>
    <s v="sub"/>
    <s v="honorific_aux"/>
    <n v="0"/>
    <x v="6"/>
    <s v="te"/>
    <s v="ss"/>
    <s v="ds"/>
    <s v="topic-drop"/>
    <s v="contains_new"/>
    <s v="should the -to part be considered a clausal subject?"/>
    <m/>
    <n v="1"/>
    <x v="0"/>
    <s v="Yes"/>
  </r>
  <r>
    <s v="Heike 2.29"/>
    <s v="余所よりは氷などのやうにぞ見えたりける (yoso yori wa kōri nado no yō ni zo mieta rikeru)"/>
    <s v="so that it gleamed afar off with an icy sheen"/>
    <s v="見えたりける"/>
    <s v="indicative"/>
    <s v="perception"/>
    <x v="1"/>
    <x v="0"/>
    <s v="resultative"/>
    <s v="positive"/>
    <n v="1"/>
    <n v="0"/>
    <x v="2"/>
    <n v="2"/>
    <x v="1"/>
    <n v="3"/>
    <x v="0"/>
    <s v="n/a"/>
    <n v="0"/>
    <n v="0"/>
    <s v="n/a"/>
    <x v="0"/>
    <n v="0"/>
    <n v="0"/>
    <s v="n/a"/>
    <s v="n/a"/>
    <n v="0"/>
    <x v="2"/>
    <s v="subordinate"/>
    <s v="ds"/>
    <s v="ss"/>
    <s v="topic-drop"/>
    <s v="no_overt_NP"/>
    <m/>
    <m/>
    <n v="0"/>
    <x v="0"/>
    <s v="Yes"/>
  </r>
  <r>
    <s v="Heike 2.30"/>
    <s v="諸人目を澄ましけり (morobito me o sumashikeri)"/>
    <s v="causing all to stare open-eyed"/>
    <s v="澄ましけり"/>
    <s v="indicative"/>
    <s v="other"/>
    <x v="1"/>
    <x v="1"/>
    <s v="active"/>
    <s v="positive"/>
    <n v="1"/>
    <n v="2"/>
    <x v="7"/>
    <n v="0"/>
    <x v="1"/>
    <n v="3"/>
    <x v="1"/>
    <s v="overt"/>
    <n v="0"/>
    <n v="0"/>
    <s v="n/a"/>
    <x v="2"/>
    <n v="0"/>
    <n v="0"/>
    <s v="n/a"/>
    <s v="n/a"/>
    <n v="0"/>
    <x v="2"/>
    <s v="relative"/>
    <s v="ss"/>
    <s v="ds"/>
    <s v="topic-drop"/>
    <s v="contains_new"/>
    <m/>
    <m/>
    <n v="2"/>
    <x v="0"/>
    <s v="Yes"/>
  </r>
  <r>
    <s v="Heike 2.31"/>
    <s v="また忠盛の郎等元は一門たりし( mata Tadamori no rōtō moto wa ichimon tarishi) "/>
    <s v="Moreover a retainer of Tadamori ... "/>
    <s v="たりし"/>
    <s v="indicative"/>
    <s v="other"/>
    <x v="0"/>
    <x v="0"/>
    <s v="active"/>
    <s v="positive"/>
    <n v="1"/>
    <n v="1"/>
    <x v="0"/>
    <n v="1"/>
    <x v="0"/>
    <n v="3"/>
    <x v="0"/>
    <s v="n/a"/>
    <n v="0"/>
    <n v="0"/>
    <s v="REL"/>
    <x v="0"/>
    <n v="0"/>
    <n v="0"/>
    <s v="n/a"/>
    <s v="n/a"/>
    <n v="0"/>
    <x v="6"/>
    <s v="main"/>
    <s v="ds"/>
    <s v="ss"/>
    <s v="topic-introduced"/>
    <s v="contains_new"/>
    <m/>
    <m/>
    <n v="1"/>
    <x v="0"/>
    <s v="Yes"/>
  </r>
  <r>
    <s v="Heike 2.32"/>
    <s v="木工助平貞光が孫新四郎太夫家房が子に左兵衛尉家貞といふ者あり (Moku no suke Sadamitsu ga mago Shinshirō Tayū Iefusa ga ko ni Sahyōe no jō Iesada to iu mono ari)"/>
    <s v="there was one named Sahyoe-no-jo Iesada"/>
    <s v="あり"/>
    <s v="indicative"/>
    <s v="other"/>
    <x v="7"/>
    <x v="0"/>
    <s v="active"/>
    <s v="positive"/>
    <n v="1"/>
    <n v="1"/>
    <x v="0"/>
    <n v="2"/>
    <x v="0"/>
    <n v="3"/>
    <x v="0"/>
    <s v="n/a"/>
    <n v="0"/>
    <n v="0"/>
    <s v="n/a"/>
    <x v="2"/>
    <n v="0"/>
    <n v="0"/>
    <s v="n/a"/>
    <s v="n/a"/>
    <n v="0"/>
    <x v="2"/>
    <s v="relative"/>
    <s v="ss"/>
    <s v="ss"/>
    <s v="topic-introduced"/>
    <s v="contains_new"/>
    <s v="frame predicate"/>
    <m/>
    <n v="1"/>
    <x v="0"/>
    <s v="Yes"/>
  </r>
  <r>
    <s v="Heike 2.33"/>
    <s v="薄青の狩衣の下に萌黄威の腹巻を着 (usuao no kariginu no shita ni moegi-odoshi no haramaki o ki)"/>
    <s v="wearing a body armour laced with bright green under a light green &quot;kariginu&quot;"/>
    <s v="着"/>
    <s v="indicative"/>
    <s v="other"/>
    <x v="1"/>
    <x v="1"/>
    <s v="active"/>
    <s v="positive"/>
    <n v="1"/>
    <n v="1"/>
    <x v="1"/>
    <n v="1"/>
    <x v="1"/>
    <n v="3"/>
    <x v="1"/>
    <s v="n/a"/>
    <n v="0"/>
    <n v="0"/>
    <s v="n/a"/>
    <x v="5"/>
    <n v="0"/>
    <n v="0"/>
    <s v="n/a"/>
    <s v="n/a"/>
    <n v="0"/>
    <x v="2"/>
    <s v="main"/>
    <s v="ss"/>
    <s v="ss"/>
    <s v="topic-drop"/>
    <s v="contains_new"/>
    <m/>
    <m/>
    <n v="1"/>
    <x v="0"/>
    <s v="Yes"/>
  </r>
  <r>
    <s v="Heike 2.34"/>
    <s v="柄弦袋付けたる ezurubukuro tsuketaru "/>
    <s v="with a bowstring bag attached"/>
    <s v="付けたる"/>
    <s v="indicative"/>
    <s v="other"/>
    <x v="1"/>
    <x v="1"/>
    <s v="active"/>
    <s v="positive"/>
    <n v="1"/>
    <n v="1"/>
    <x v="1"/>
    <n v="0"/>
    <x v="1"/>
    <n v="3"/>
    <x v="1"/>
    <s v="n/a"/>
    <n v="1"/>
    <n v="0"/>
    <s v="REL"/>
    <x v="0"/>
    <n v="0"/>
    <n v="0"/>
    <s v="n/a"/>
    <s v="n/a"/>
    <n v="0"/>
    <x v="2"/>
    <s v="inf"/>
    <s v="ss"/>
    <s v="ss"/>
    <s v="topic-drop"/>
    <s v="contains_new"/>
    <m/>
    <m/>
    <n v="1"/>
    <x v="0"/>
    <s v="Yes"/>
  </r>
  <r>
    <s v="Heike 2.35"/>
    <s v="太刀脇挟んで (tachi wakihasande)"/>
    <s v="and carrying under his arm a &quot;tachi&quot; "/>
    <s v="挟んで"/>
    <s v="indicative"/>
    <s v="other"/>
    <x v="1"/>
    <x v="1"/>
    <s v="active"/>
    <s v="positive"/>
    <n v="1"/>
    <n v="2"/>
    <x v="7"/>
    <n v="0"/>
    <x v="1"/>
    <n v="3"/>
    <x v="1"/>
    <s v="overt"/>
    <n v="0"/>
    <n v="0"/>
    <s v="n/a"/>
    <x v="1"/>
    <n v="0"/>
    <n v="0"/>
    <s v="n/a"/>
    <s v="n/a"/>
    <n v="0"/>
    <x v="2"/>
    <s v="relative"/>
    <s v="ss"/>
    <s v="ss"/>
    <s v="topic-drop"/>
    <s v="contains_new"/>
    <m/>
    <m/>
    <n v="2"/>
    <x v="0"/>
    <s v="Yes"/>
  </r>
  <r>
    <s v="Heike 2.36"/>
    <s v="殿上の小庭に畏つてぞ候ひける (tenjō no koniwa ni kashikomatte zo soroikyeru)"/>
    <s v="was waiting in the &quot;koniwa,&quot; the small court by the Seiryoden"/>
    <s v="畏つて候ひける"/>
    <s v="indicative"/>
    <s v="other"/>
    <x v="2"/>
    <x v="0"/>
    <s v="active"/>
    <s v="positive"/>
    <n v="1"/>
    <n v="0"/>
    <x v="2"/>
    <n v="1"/>
    <x v="1"/>
    <n v="3"/>
    <x v="0"/>
    <s v="n/a"/>
    <n v="0"/>
    <n v="0"/>
    <s v="n/a"/>
    <x v="2"/>
    <n v="0"/>
    <n v="1"/>
    <s v="sub"/>
    <s v="lexical_humble_verb"/>
    <n v="0"/>
    <x v="2"/>
    <s v="te"/>
    <s v="ss"/>
    <s v="ds"/>
    <s v="topic-drop"/>
    <s v="no_overt_NP"/>
    <m/>
    <m/>
    <n v="0"/>
    <x v="0"/>
    <s v="Yes"/>
  </r>
  <r>
    <s v="Heike 2.37"/>
    <s v="貫首以下怪しみをなして (kanshu ika ayashimi o nashite)"/>
    <s v="Now the Kurando-no-to and others, thinking it strange,"/>
    <s v="なして"/>
    <s v="indicative"/>
    <s v="other"/>
    <x v="8"/>
    <x v="1"/>
    <s v="active"/>
    <s v="negative"/>
    <n v="1"/>
    <n v="2"/>
    <x v="3"/>
    <n v="0"/>
    <x v="0"/>
    <n v="3"/>
    <x v="1"/>
    <s v="n/a"/>
    <n v="0"/>
    <n v="0"/>
    <s v="n/a"/>
    <x v="1"/>
    <n v="0"/>
    <n v="0"/>
    <s v="n/a"/>
    <s v="n/a"/>
    <n v="0"/>
    <x v="1"/>
    <s v="main"/>
    <s v="ds"/>
    <s v="ss"/>
    <s v="topic-shift"/>
    <s v="contains_new"/>
    <m/>
    <m/>
    <n v="2"/>
    <x v="0"/>
    <s v="Yes"/>
  </r>
  <r>
    <s v="Heike 2.38"/>
    <s v="空柱より内鈴の綱の辺に布衣の者の候ふ  (sorabashira yori uchisuzu no tsuna no hen ni hoi no mono no soroou)"/>
    <s v="that one wearing unsuitable costume should be within the balustrade of the steps of the Court near the bell-rope of the library, "/>
    <s v="候ふ"/>
    <s v="indicative"/>
    <s v="other"/>
    <x v="1"/>
    <x v="0"/>
    <s v="active"/>
    <s v="positive"/>
    <n v="1"/>
    <n v="1"/>
    <x v="0"/>
    <n v="1"/>
    <x v="0"/>
    <n v="3"/>
    <x v="0"/>
    <s v="n/a"/>
    <n v="0"/>
    <n v="0"/>
    <s v="SUB"/>
    <x v="4"/>
    <n v="1"/>
    <n v="0"/>
    <s v="sub"/>
    <s v="lexical_humble_verb"/>
    <n v="0"/>
    <x v="2"/>
    <s v="te"/>
    <s v="ss"/>
    <s v="ss"/>
    <s v="topic-shift"/>
    <s v="contains_new"/>
    <s v="internally headed"/>
    <m/>
    <n v="1"/>
    <x v="0"/>
    <s v="Yes"/>
  </r>
  <r>
    <s v="Heike 2.39"/>
    <s v="は何者ぞ  wa nani mono zo"/>
    <s v="and wondering who he was."/>
    <s v="何者ぞ  "/>
    <s v="indicative"/>
    <s v="other"/>
    <x v="0"/>
    <x v="0"/>
    <s v="active"/>
    <s v="positive"/>
    <n v="1"/>
    <n v="1"/>
    <x v="0"/>
    <n v="0"/>
    <x v="0"/>
    <n v="3"/>
    <x v="0"/>
    <s v="n/a"/>
    <n v="0"/>
    <n v="0"/>
    <s v="n/a"/>
    <x v="2"/>
    <n v="0"/>
    <n v="0"/>
    <s v="n/a"/>
    <s v="n/a"/>
    <n v="0"/>
    <x v="2"/>
    <s v="nominalised"/>
    <s v="ss"/>
    <s v="ss"/>
    <s v="topic-continued"/>
    <s v="all given"/>
    <m/>
    <m/>
    <n v="1"/>
    <x v="0"/>
    <s v="Yes"/>
  </r>
  <r>
    <s v="Heike 2.40"/>
    <s v="狼藉なり (rōzaku nari)"/>
    <s v="&quot;[He is] disorderly&quot;"/>
    <s v="なり"/>
    <s v="indicative"/>
    <s v="stative"/>
    <x v="0"/>
    <x v="0"/>
    <s v="active"/>
    <s v="positive"/>
    <n v="1"/>
    <n v="0"/>
    <x v="2"/>
    <n v="0"/>
    <x v="4"/>
    <n v="3"/>
    <x v="0"/>
    <s v="n/a"/>
    <n v="0"/>
    <n v="0"/>
    <s v="n/a"/>
    <x v="2"/>
    <n v="0"/>
    <n v="0"/>
    <s v="n/a"/>
    <s v="n/a"/>
    <n v="0"/>
    <x v="2"/>
    <s v="main"/>
    <s v="ss"/>
    <s v="ss"/>
    <s v="topic-drop"/>
    <s v="no_overt_NP"/>
    <m/>
    <m/>
    <n v="0"/>
    <x v="0"/>
    <s v="Yes"/>
  </r>
  <r>
    <s v="Heike 2.41"/>
    <s v="疾う疾う罷り出でよと (tōtō makari ideyo to)"/>
    <s v="&quot;Depart quickly&quot;"/>
    <s v="罷り出でよ"/>
    <s v="imperative"/>
    <s v="motion"/>
    <x v="1"/>
    <x v="0"/>
    <s v="active"/>
    <s v="positive"/>
    <n v="1"/>
    <n v="0"/>
    <x v="2"/>
    <n v="0"/>
    <x v="1"/>
    <n v="2"/>
    <x v="0"/>
    <s v="n/a"/>
    <n v="0"/>
    <n v="0"/>
    <s v="n/a"/>
    <x v="6"/>
    <n v="0"/>
    <n v="1"/>
    <s v="sub"/>
    <s v="lexical_humble_verb"/>
    <n v="0"/>
    <x v="4"/>
    <s v="main"/>
    <s v="ss"/>
    <s v="ss"/>
    <s v="topic-drop"/>
    <s v="no_overt_NP"/>
    <s v="embedded"/>
    <m/>
    <n v="0"/>
    <x v="0"/>
    <s v="Yes"/>
  </r>
  <r>
    <s v="Heike 2.42"/>
    <s v="六位を以て云はせられたりければ (to roku-i o motte iwaseraretarikereba)"/>
    <s v="an official of the sixth rank ordered him to depart quickly."/>
    <s v="云はせられたりければ"/>
    <s v="indicative"/>
    <s v="stative"/>
    <x v="1"/>
    <x v="0"/>
    <s v="causative-passive-resultative"/>
    <s v="positive"/>
    <n v="1"/>
    <n v="2"/>
    <x v="8"/>
    <n v="1"/>
    <x v="1"/>
    <n v="3"/>
    <x v="1"/>
    <s v="n/a"/>
    <n v="0"/>
    <n v="0"/>
    <s v="n/a"/>
    <x v="3"/>
    <n v="1"/>
    <n v="0"/>
    <s v="n/a"/>
    <s v="honorific_aux"/>
    <n v="0"/>
    <x v="2"/>
    <s v="complement"/>
    <s v="ss"/>
    <s v="ss"/>
    <s v="topic-drop"/>
    <s v="contains_new"/>
    <m/>
    <m/>
    <n v="2"/>
    <x v="0"/>
    <s v="Yes"/>
  </r>
  <r>
    <s v="Heike 2.43"/>
    <s v="家貞畏つて申しけるは (Iesada kashikomatte mōshikeru wa)"/>
    <s v="But Iesada thus replied:"/>
    <s v="申しける"/>
    <s v="indicative"/>
    <s v="action"/>
    <x v="1"/>
    <x v="1"/>
    <s v="active"/>
    <s v="positive"/>
    <n v="1"/>
    <n v="1"/>
    <x v="0"/>
    <n v="0"/>
    <x v="0"/>
    <n v="3"/>
    <x v="5"/>
    <s v="n/a"/>
    <n v="1"/>
    <n v="0"/>
    <s v="SUB"/>
    <x v="3"/>
    <n v="1"/>
    <n v="0"/>
    <s v="sub"/>
    <s v="lexical_humble_verb"/>
    <n v="0"/>
    <x v="2"/>
    <s v="subordinate"/>
    <s v="ss"/>
    <s v="ds"/>
    <s v="topic-continued"/>
    <s v="all given"/>
    <s v="internally headed"/>
    <m/>
    <n v="1"/>
    <x v="0"/>
    <s v="Yes"/>
  </r>
  <r>
    <s v="Heike 2.44"/>
    <s v="相伝の主備前守殿今夜闇討にせられ給ふべき (sōden no aruji Bizen no kami-dono kon'ya yamiuchi ni serare-tamō beki) "/>
    <s v="tonight they will try to kill my Lord Bizen-no-kami dono&quot;"/>
    <s v="闇討にせられ給ふ"/>
    <s v="indicative"/>
    <s v="other"/>
    <x v="3"/>
    <x v="0"/>
    <s v="passive"/>
    <s v="positive"/>
    <n v="1"/>
    <n v="1"/>
    <x v="0"/>
    <n v="1"/>
    <x v="0"/>
    <n v="3"/>
    <x v="0"/>
    <s v="n/a"/>
    <n v="0"/>
    <n v="1"/>
    <s v="REL"/>
    <x v="0"/>
    <n v="1"/>
    <n v="0"/>
    <s v="sub"/>
    <s v="lexical_honorific_verb"/>
    <n v="0"/>
    <x v="2"/>
    <s v="subordinate"/>
    <s v="ds"/>
    <s v="ss"/>
    <s v="topic-shift"/>
    <s v="contains_new"/>
    <m/>
    <m/>
    <n v="1"/>
    <x v="1"/>
    <s v="Yes"/>
  </r>
  <r>
    <s v="Heike 2.45"/>
    <s v="由伝へ承つて(yoshi tsutae uketamawatte) "/>
    <s v="Because I have heard that"/>
    <s v="伝へ承つて"/>
    <s v="indicative"/>
    <s v="communication"/>
    <x v="1"/>
    <x v="1"/>
    <s v="active"/>
    <s v="positive"/>
    <n v="1"/>
    <n v="1"/>
    <x v="1"/>
    <n v="0"/>
    <x v="1"/>
    <n v="1"/>
    <x v="1"/>
    <s v="n/a"/>
    <n v="0"/>
    <n v="0"/>
    <s v="n/a"/>
    <x v="1"/>
    <n v="0"/>
    <n v="1"/>
    <s v="sub"/>
    <s v="honorific_aux"/>
    <n v="0"/>
    <x v="1"/>
    <s v="relative"/>
    <s v="ss"/>
    <s v="ds"/>
    <s v="topic-drop"/>
    <s v="contains_new"/>
    <m/>
    <m/>
    <n v="1"/>
    <x v="0"/>
    <s v="Yes"/>
  </r>
  <r>
    <s v="Heike 2.46"/>
    <s v="それならん  (sore naran )"/>
    <s v="&quot;whether it is so&quot;"/>
    <s v="ならん "/>
    <s v="epistemic"/>
    <s v="other"/>
    <x v="1"/>
    <x v="0"/>
    <s v="active"/>
    <s v="positive"/>
    <n v="1"/>
    <n v="1"/>
    <x v="0"/>
    <n v="0"/>
    <x v="0"/>
    <n v="3"/>
    <x v="0"/>
    <s v="n/a"/>
    <n v="0"/>
    <n v="1"/>
    <s v="REL"/>
    <x v="0"/>
    <n v="0"/>
    <n v="0"/>
    <s v="n/a"/>
    <s v="n/a"/>
    <n v="0"/>
    <x v="2"/>
    <s v="te"/>
    <s v="ds"/>
    <s v="ds"/>
    <s v="topic-continued"/>
    <s v="all given"/>
    <m/>
    <m/>
    <n v="1"/>
    <x v="0"/>
    <s v="Yes"/>
  </r>
  <r>
    <s v="Heike 2.47"/>
    <s v="やうを見んとて (yō o min to te)"/>
    <s v="and in order to see "/>
    <s v="見ん"/>
    <s v="dynamic"/>
    <s v="perception"/>
    <x v="1"/>
    <x v="1"/>
    <s v="active"/>
    <s v="positive"/>
    <n v="1"/>
    <n v="1"/>
    <x v="1"/>
    <n v="0"/>
    <x v="1"/>
    <n v="1"/>
    <x v="1"/>
    <s v="n/a"/>
    <n v="0"/>
    <n v="0"/>
    <s v="REL"/>
    <x v="3"/>
    <n v="0"/>
    <n v="0"/>
    <s v="n/a"/>
    <s v="n/a"/>
    <n v="0"/>
    <x v="7"/>
    <s v="relative"/>
    <s v="ds"/>
    <s v="ss"/>
    <s v="topic-drop"/>
    <s v="contains_new"/>
    <m/>
    <m/>
    <n v="1"/>
    <x v="0"/>
    <s v="Yes"/>
  </r>
  <r>
    <s v="Heike 2.48"/>
    <s v="かくて候ふなり (kakute soro fu nari)"/>
    <s v="&quot;have come and am thus waiting&quot;"/>
    <s v="候ふなり"/>
    <s v="indicative"/>
    <s v="stative"/>
    <x v="2"/>
    <x v="0"/>
    <s v="active"/>
    <s v="positive"/>
    <n v="1"/>
    <n v="0"/>
    <x v="2"/>
    <n v="1"/>
    <x v="2"/>
    <n v="1"/>
    <x v="0"/>
    <s v="n/a"/>
    <n v="0"/>
    <n v="0"/>
    <s v="n/a"/>
    <x v="2"/>
    <n v="0"/>
    <n v="1"/>
    <s v="sub"/>
    <s v="lexical_humble_verb"/>
    <n v="0"/>
    <x v="2"/>
    <s v="subordinate"/>
    <s v="ss"/>
    <s v="ss"/>
    <s v="topic-drop"/>
    <s v="no_overt_NP"/>
    <m/>
    <m/>
    <n v="0"/>
    <x v="0"/>
    <s v="Yes"/>
  </r>
  <r>
    <s v="Heike 2.49"/>
    <s v="えこそ出でまじう候へ (e koso idema jiu soro e)"/>
    <s v="&quot;I cannot possibly go out&quot;"/>
    <s v="出でまじう候へ"/>
    <s v="dynamic"/>
    <s v="motion"/>
    <x v="1"/>
    <x v="0"/>
    <s v="active"/>
    <s v="negative"/>
    <n v="1"/>
    <n v="0"/>
    <x v="2"/>
    <n v="0"/>
    <x v="2"/>
    <n v="1"/>
    <x v="0"/>
    <s v="n/a"/>
    <n v="0"/>
    <n v="0"/>
    <s v="n/a"/>
    <x v="2"/>
    <n v="0"/>
    <n v="1"/>
    <s v="sub"/>
    <s v="polite_aux"/>
    <n v="0"/>
    <x v="2"/>
    <s v="main"/>
    <s v="ss"/>
    <s v="ds"/>
    <s v="topic-drop"/>
    <s v="no_overt_NP"/>
    <m/>
    <m/>
    <n v="0"/>
    <x v="0"/>
    <s v="Yes"/>
  </r>
  <r>
    <s v="Heike 2.50"/>
    <s v="これらを由なしとや (korera o yoshi nashi to ya)"/>
    <s v=" there was nothing more to be done;"/>
    <s v="なし"/>
    <s v="indicative"/>
    <s v="stative"/>
    <x v="7"/>
    <x v="0"/>
    <s v="active"/>
    <s v="negative"/>
    <n v="1"/>
    <n v="1"/>
    <x v="0"/>
    <n v="1"/>
    <x v="0"/>
    <n v="3"/>
    <x v="0"/>
    <s v="n/a"/>
    <n v="0"/>
    <n v="0"/>
    <s v="n/a"/>
    <x v="6"/>
    <n v="0"/>
    <n v="0"/>
    <s v="n/a"/>
    <s v="n/a"/>
    <n v="0"/>
    <x v="4"/>
    <s v="main"/>
    <s v="ds"/>
    <m/>
    <s v="topic-continued"/>
    <s v="contains_new"/>
    <m/>
    <m/>
    <n v="1"/>
    <x v="0"/>
    <s v="Yes"/>
  </r>
  <r>
    <m/>
    <s v="思はれけん (omowareken)"/>
    <s v="And they saw that"/>
    <s v="思はれけん"/>
    <s v="epistemic"/>
    <s v="psych-state"/>
    <x v="1"/>
    <x v="1"/>
    <s v="active"/>
    <s v="positive"/>
    <n v="1"/>
    <n v="1"/>
    <x v="9"/>
    <n v="0"/>
    <x v="2"/>
    <n v="3"/>
    <x v="1"/>
    <s v="n/a"/>
    <n v="0"/>
    <n v="0"/>
    <s v="n/a"/>
    <x v="2"/>
    <n v="0"/>
    <n v="1"/>
    <s v="sub"/>
    <s v="honorific_aux"/>
    <n v="0"/>
    <x v="8"/>
    <m/>
    <s v="ds"/>
    <m/>
    <s v="topic-drop"/>
    <s v="contains_new"/>
    <m/>
    <m/>
    <n v="1"/>
    <x v="0"/>
    <s v="Yes"/>
  </r>
  <r>
    <s v="Heike 2.51"/>
    <s v="その夜の闇討なかりけり (sono yo no yamiuchi nakarikeri)"/>
    <s v="and thus the attempt did not take place."/>
    <s v="なかりけり"/>
    <s v="indicative"/>
    <s v="aux/modal"/>
    <x v="1"/>
    <x v="0"/>
    <s v="active"/>
    <s v="negative"/>
    <n v="1"/>
    <n v="1"/>
    <x v="0"/>
    <n v="0"/>
    <x v="0"/>
    <s v="inanimate"/>
    <x v="0"/>
    <s v="n/a"/>
    <n v="0"/>
    <n v="0"/>
    <s v="n/a"/>
    <x v="2"/>
    <n v="0"/>
    <n v="0"/>
    <s v="n/a"/>
    <s v="n/a"/>
    <n v="0"/>
    <x v="2"/>
    <s v="main"/>
    <s v="ss"/>
    <s v="ds"/>
    <s v="topic-shift"/>
    <s v="contains_new"/>
    <m/>
    <m/>
    <n v="1"/>
    <x v="0"/>
    <s v="Yes"/>
  </r>
  <r>
    <s v="Heike 2.52"/>
    <s v="忠盛また御前の召しに舞はれけるに (Tadamori mata gozen no meshi ni mawarekeru ni)"/>
    <s v="But when Tadamori danced in the August presence of the Mikado at his Imperial wish,"/>
    <s v="舞はれける"/>
    <s v="indicative"/>
    <s v="action"/>
    <x v="1"/>
    <x v="0"/>
    <s v="active"/>
    <s v="positive"/>
    <n v="1"/>
    <n v="1"/>
    <x v="0"/>
    <n v="1"/>
    <x v="0"/>
    <n v="3"/>
    <x v="0"/>
    <s v="n/a"/>
    <n v="0"/>
    <n v="0"/>
    <s v="REL"/>
    <x v="3"/>
    <n v="1"/>
    <n v="0"/>
    <s v="sub"/>
    <s v="honorific_aux"/>
    <n v="0"/>
    <x v="0"/>
    <s v="main"/>
    <s v="ds"/>
    <s v="ds"/>
    <s v="topic-shift"/>
    <s v="contains_new"/>
    <m/>
    <m/>
    <n v="1"/>
    <x v="0"/>
    <s v="Yes"/>
  </r>
  <r>
    <s v="Heike 2.53"/>
    <s v="人々拍子を変へて (hitobito hyōshi o kaete)"/>
    <s v="the others mocked at him, changing the words of the music"/>
    <s v="変へて"/>
    <s v="indicative"/>
    <s v="other"/>
    <x v="1"/>
    <x v="1"/>
    <s v="active"/>
    <s v="positive"/>
    <n v="1"/>
    <n v="2"/>
    <x v="3"/>
    <n v="0"/>
    <x v="0"/>
    <n v="3"/>
    <x v="1"/>
    <s v="n/a"/>
    <n v="0"/>
    <n v="0"/>
    <s v="n/a"/>
    <x v="1"/>
    <n v="0"/>
    <n v="0"/>
    <s v="n/a"/>
    <s v="n/a"/>
    <n v="0"/>
    <x v="1"/>
    <s v="subordinate"/>
    <s v="ds"/>
    <s v="ds"/>
    <s v="topic-shift"/>
    <s v="contains_new"/>
    <m/>
    <m/>
    <n v="2"/>
    <x v="0"/>
    <s v="Yes"/>
  </r>
  <r>
    <s v="Heike 2.54"/>
    <s v="伊勢へいじはすがめなりけりとぞ (Ise heiji wa sugame narikeri)"/>
    <s v="&quot;the winepot of Ise has turned into a vinegar jar&quot;"/>
    <s v="なりけり"/>
    <s v="indicative"/>
    <s v="stative"/>
    <x v="0"/>
    <x v="0"/>
    <s v="active"/>
    <s v="positive"/>
    <n v="1"/>
    <n v="1"/>
    <x v="0"/>
    <n v="0"/>
    <x v="0"/>
    <n v="3"/>
    <x v="0"/>
    <s v="n/a"/>
    <n v="0"/>
    <n v="0"/>
    <s v="n/a"/>
    <x v="6"/>
    <n v="0"/>
    <n v="0"/>
    <s v="n/a"/>
    <s v="n/a"/>
    <n v="0"/>
    <x v="4"/>
    <s v="te"/>
    <s v="ds"/>
    <s v="ss"/>
    <s v="topic-introduced"/>
    <s v="contains_new"/>
    <m/>
    <m/>
    <n v="1"/>
    <x v="0"/>
    <s v="Yes"/>
  </r>
  <r>
    <s v="Heike 2.55"/>
    <s v="囃されける (to zo hayasarekeru)"/>
    <s v="they sang in mockery"/>
    <s v="囃されける"/>
    <s v="indicative"/>
    <s v="action"/>
    <x v="1"/>
    <x v="1"/>
    <s v="active"/>
    <s v="positive"/>
    <n v="1"/>
    <n v="1"/>
    <x v="9"/>
    <n v="0"/>
    <x v="2"/>
    <n v="3"/>
    <x v="1"/>
    <s v="n/a"/>
    <n v="0"/>
    <n v="0"/>
    <s v="kakari-musubi"/>
    <x v="2"/>
    <n v="0"/>
    <n v="1"/>
    <s v="sub"/>
    <s v="honorific_aux"/>
    <n v="0"/>
    <x v="8"/>
    <s v="complement"/>
    <s v="ss"/>
    <s v="ss"/>
    <s v="topic-drop"/>
    <s v="contains_new"/>
    <m/>
    <m/>
    <n v="1"/>
    <x v="0"/>
    <s v="Yes"/>
  </r>
  <r>
    <s v="Heike 2.56"/>
    <s v="かけまくも忝くこの人々は柏原天皇の御末とは申しながら (kakemakumo katabokaku kono hitobito wa Kashiwabara Tennō no o-sue to wa mōshinagara)"/>
    <s v="In thus mentioning the vessels of his province they punned on his title..."/>
    <s v="申しながら"/>
    <s v="indicative"/>
    <s v="communication"/>
    <x v="1"/>
    <x v="1"/>
    <s v="active"/>
    <s v="positive"/>
    <n v="1"/>
    <n v="2"/>
    <x v="10"/>
    <n v="1"/>
    <x v="0"/>
    <n v="3"/>
    <x v="1"/>
    <s v="n/a"/>
    <n v="0"/>
    <n v="0"/>
    <s v="n/a"/>
    <x v="3"/>
    <n v="1"/>
    <n v="0"/>
    <s v="sub"/>
    <s v="lexical_humble_verb"/>
    <n v="0"/>
    <x v="0"/>
    <s v="main"/>
    <s v="ss"/>
    <s v="ds"/>
    <s v="topic-shift"/>
    <s v="contains_new"/>
    <m/>
    <m/>
    <n v="2"/>
    <x v="0"/>
    <s v="Yes"/>
  </r>
  <r>
    <s v="Heike 2.57"/>
    <s v="中比は都の住まひも疎々しく (chūbi wa miyako no sumai mo utoutoshiku)"/>
    <s v="and since lately his family had lived away from the capital,"/>
    <s v="疎々しく"/>
    <s v="indicative"/>
    <s v="psych-state"/>
    <x v="5"/>
    <x v="0"/>
    <s v="active"/>
    <s v="positive"/>
    <n v="1"/>
    <n v="1"/>
    <x v="0"/>
    <n v="1"/>
    <x v="0"/>
    <n v="3"/>
    <x v="0"/>
    <s v="n/a"/>
    <n v="0"/>
    <n v="0"/>
    <s v="n/a"/>
    <x v="2"/>
    <n v="0"/>
    <n v="0"/>
    <s v="n/a"/>
    <s v="n/a"/>
    <n v="0"/>
    <x v="2"/>
    <s v="subordinate"/>
    <s v="ds"/>
    <s v="ss"/>
    <s v="topic-shift"/>
    <s v="contains_new"/>
    <m/>
    <m/>
    <n v="1"/>
    <x v="0"/>
    <s v="Yes"/>
  </r>
  <r>
    <s v="Heike 2.58"/>
    <s v="地下にのみ振舞ひなつて ( jige ni nomi furumai natte)"/>
    <s v=" behaving as mere provincial folk"/>
    <s v="振舞ひなつて"/>
    <s v="indicative"/>
    <s v="other"/>
    <x v="4"/>
    <x v="0"/>
    <s v="active"/>
    <s v="positive"/>
    <n v="1"/>
    <n v="1"/>
    <x v="5"/>
    <n v="0"/>
    <x v="1"/>
    <n v="3"/>
    <x v="0"/>
    <s v="overt"/>
    <n v="0"/>
    <n v="0"/>
    <s v="n/a"/>
    <x v="1"/>
    <n v="0"/>
    <n v="0"/>
    <s v="n/a"/>
    <s v="n/a"/>
    <n v="0"/>
    <x v="1"/>
    <s v="main"/>
    <s v="ss"/>
    <s v="ss"/>
    <s v="topic-drop"/>
    <s v="contains_new"/>
    <m/>
    <m/>
    <n v="1"/>
    <x v="0"/>
    <s v="Yes"/>
  </r>
  <r>
    <s v="Heike 2.59"/>
    <s v="伊勢国に住国深かりしかば  (Ise no kuni ni sumikoku fukakarishikaba)"/>
    <s v="and as they lived deep in Ise province, they likened him to the vessels of that province"/>
    <s v="深かりしかば"/>
    <s v="indicative"/>
    <s v="psych-state"/>
    <x v="5"/>
    <x v="0"/>
    <s v="active"/>
    <s v="positive"/>
    <n v="1"/>
    <n v="1"/>
    <x v="0"/>
    <n v="1"/>
    <x v="1"/>
    <n v="3"/>
    <x v="0"/>
    <s v="n/a"/>
    <n v="0"/>
    <n v="0"/>
    <s v="n/a"/>
    <x v="3"/>
    <n v="0"/>
    <n v="0"/>
    <s v="n/a"/>
    <s v="n/a"/>
    <n v="0"/>
    <x v="3"/>
    <s v="te"/>
    <s v="ss"/>
    <s v="ds"/>
    <s v="topic-drop"/>
    <s v="contains_new"/>
    <m/>
    <m/>
    <n v="1"/>
    <x v="0"/>
    <s v="Yes"/>
  </r>
  <r>
    <s v="Heike 2.60"/>
    <s v="その国の器に言寄せて"/>
    <s v="sono kuni no utsuwa ni kotoyosete)"/>
    <s v="言寄せて"/>
    <s v="indicative"/>
    <s v="communication"/>
    <x v="1"/>
    <x v="3"/>
    <s v="active"/>
    <s v="positive"/>
    <n v="1"/>
    <n v="1"/>
    <x v="5"/>
    <n v="0"/>
    <x v="5"/>
    <n v="3"/>
    <x v="6"/>
    <s v="overt"/>
    <n v="0"/>
    <n v="0"/>
    <s v="n/a"/>
    <x v="1"/>
    <n v="0"/>
    <n v="0"/>
    <s v="n/a"/>
    <s v="n/a"/>
    <n v="0"/>
    <x v="1"/>
    <s v="subordinate"/>
    <s v="ds"/>
    <s v="ss"/>
    <s v="topic-drop"/>
    <s v="contains_new"/>
    <m/>
    <m/>
    <n v="1"/>
    <x v="0"/>
    <s v="Yes"/>
  </r>
  <r>
    <s v="Heike 2.61"/>
    <s v="伊勢平氏とぞ囃されける (Ise Heishi to zo hayasarekeru)"/>
    <s v="so they mocked him as 'Ise Heishi'"/>
    <s v="囃されける"/>
    <s v="indicative"/>
    <s v="action"/>
    <x v="1"/>
    <x v="0"/>
    <s v="passive"/>
    <s v="positive"/>
    <n v="1"/>
    <n v="1"/>
    <x v="9"/>
    <n v="0"/>
    <x v="1"/>
    <n v="3"/>
    <x v="0"/>
    <s v="overt"/>
    <n v="0"/>
    <n v="0"/>
    <s v="kakari-musubi"/>
    <x v="2"/>
    <n v="0"/>
    <n v="0"/>
    <s v="n/a"/>
    <s v="n/a"/>
    <n v="0"/>
    <x v="2"/>
    <s v="te"/>
    <s v="ss"/>
    <s v="ds"/>
    <s v="topic-drop"/>
    <s v="contains_new"/>
    <m/>
    <m/>
    <n v="1"/>
    <x v="0"/>
    <s v="Yes"/>
  </r>
  <r>
    <s v="Heike 2.62"/>
    <s v="その上忠盛目の眇まれたりける故にこそ (sono ue Tadamori me no sugamaretari keru yue ni koso)"/>
    <s v="moreover, because Tadamori's eyes were squinted, "/>
    <s v="眇まれたりける"/>
    <s v="indicative"/>
    <s v="action"/>
    <x v="1"/>
    <x v="0"/>
    <s v="active"/>
    <s v="positive"/>
    <n v="1"/>
    <n v="1"/>
    <x v="0"/>
    <n v="1"/>
    <x v="0"/>
    <n v="3"/>
    <x v="0"/>
    <s v="n/a"/>
    <n v="0"/>
    <n v="1"/>
    <s v="REL"/>
    <x v="3"/>
    <n v="0"/>
    <n v="0"/>
    <s v="n/a"/>
    <s v="n/a"/>
    <n v="0"/>
    <x v="3"/>
    <s v="main"/>
    <s v="ds"/>
    <s v="ss"/>
    <s v="topic-continued"/>
    <s v="contains_new"/>
    <m/>
    <m/>
    <n v="1"/>
    <x v="0"/>
    <s v="Yes"/>
  </r>
  <r>
    <s v="Heike 2.63"/>
    <s v="かやうには囃されけるなれ  (kayō ni wa hayasarekeru nare)"/>
    <s v="he was mocked in such a way"/>
    <s v="囃されけるなれ"/>
    <s v="indicative"/>
    <s v="other"/>
    <x v="1"/>
    <x v="0"/>
    <s v="passive"/>
    <s v="positive"/>
    <n v="1"/>
    <n v="0"/>
    <x v="2"/>
    <n v="0"/>
    <x v="1"/>
    <n v="3"/>
    <x v="0"/>
    <s v="n/a"/>
    <n v="0"/>
    <n v="0"/>
    <s v="kakari-musubi"/>
    <x v="2"/>
    <n v="0"/>
    <n v="0"/>
    <s v="n/a"/>
    <s v="n/a"/>
    <n v="0"/>
    <x v="2"/>
    <s v="subordinate"/>
    <s v="ss"/>
    <s v="ss"/>
    <s v="topic-drop"/>
    <s v="no_overt_NP"/>
    <m/>
    <m/>
    <n v="0"/>
    <x v="0"/>
    <s v="Yes"/>
  </r>
  <r>
    <s v="Heike 2.64"/>
    <s v="忠盛何とすべきやうもなくして (Tadamori nan to subeki yō mo nakushite)"/>
    <s v="Tadamori, having no way of dealing with the situation,"/>
    <s v="なくして"/>
    <s v="indicative"/>
    <s v="other"/>
    <x v="1"/>
    <x v="1"/>
    <s v="active"/>
    <s v="negative"/>
    <n v="1"/>
    <n v="2"/>
    <x v="3"/>
    <n v="0"/>
    <x v="0"/>
    <n v="3"/>
    <x v="1"/>
    <s v="n/a"/>
    <n v="0"/>
    <n v="0"/>
    <s v="n/a"/>
    <x v="1"/>
    <n v="0"/>
    <n v="0"/>
    <s v="n/a"/>
    <s v="n/a"/>
    <n v="0"/>
    <x v="1"/>
    <s v="main"/>
    <s v="ss"/>
    <s v="ds"/>
    <s v="topic-continued"/>
    <s v="contains_new"/>
    <m/>
    <m/>
    <n v="2"/>
    <x v="0"/>
    <s v="Yes"/>
  </r>
  <r>
    <s v="Heike 2.65"/>
    <s v="御遊も未だ終らざる前に (gyoyū mo mada owarazaru mae ni)"/>
    <s v="before the entertainment had ended,"/>
    <s v="終らざる"/>
    <s v="indicative"/>
    <s v="other"/>
    <x v="1"/>
    <x v="0"/>
    <s v="active"/>
    <s v="negative"/>
    <n v="1"/>
    <n v="1"/>
    <x v="0"/>
    <n v="1"/>
    <x v="0"/>
    <n v="3"/>
    <x v="0"/>
    <s v="n/a"/>
    <n v="0"/>
    <n v="1"/>
    <s v="REL"/>
    <x v="3"/>
    <n v="0"/>
    <n v="0"/>
    <s v="n/a"/>
    <s v="n/a"/>
    <n v="0"/>
    <x v="0"/>
    <s v="te"/>
    <s v="ds"/>
    <s v="ds"/>
    <s v="topic-drop"/>
    <s v="contains_new"/>
    <m/>
    <m/>
    <n v="1"/>
    <x v="0"/>
    <s v="Yes"/>
  </r>
  <r>
    <s v="Heike 2.66"/>
    <s v="密かに罷り出でらるとて (hisokani makari ideraru tote)"/>
    <s v="he secretly left the Presence,"/>
    <s v="罷り出でらる"/>
    <s v="indicative"/>
    <s v="motion"/>
    <x v="1"/>
    <x v="0"/>
    <s v="active"/>
    <s v="positive"/>
    <n v="1"/>
    <n v="0"/>
    <x v="2"/>
    <n v="1"/>
    <x v="2"/>
    <n v="3"/>
    <x v="0"/>
    <s v="n/a"/>
    <n v="0"/>
    <n v="0"/>
    <s v="REL"/>
    <x v="3"/>
    <n v="0"/>
    <n v="1"/>
    <s v="sub"/>
    <s v="honorific_aux+lexical_honorific_verb"/>
    <n v="0"/>
    <x v="0"/>
    <s v="subordinate"/>
    <s v="ds"/>
    <s v="ss"/>
    <s v="topic-drop"/>
    <s v="no_overt_NP"/>
    <m/>
    <m/>
    <n v="0"/>
    <x v="0"/>
    <s v="Yes"/>
  </r>
  <r>
    <s v="Heike 2.67"/>
    <s v="紫宸殿の御後にして (Shishinden no o-ato ni shite)"/>
    <s v="and going behind the Shishinden,"/>
    <s v="後にして"/>
    <s v="indicative"/>
    <s v="other"/>
    <x v="9"/>
    <x v="0"/>
    <s v="active"/>
    <s v="positive"/>
    <n v="1"/>
    <n v="0"/>
    <x v="2"/>
    <n v="1"/>
    <x v="1"/>
    <n v="3"/>
    <x v="0"/>
    <s v="n/a"/>
    <n v="0"/>
    <n v="0"/>
    <s v="n/a"/>
    <x v="1"/>
    <n v="0"/>
    <n v="0"/>
    <s v="n/a"/>
    <s v="n/a"/>
    <n v="0"/>
    <x v="1"/>
    <s v="subordinate"/>
    <s v="ss"/>
    <s v="ds"/>
    <s v="topic-drop"/>
    <s v="no_overt_NP"/>
    <m/>
    <m/>
    <n v="0"/>
    <x v="1"/>
    <s v="Yes"/>
  </r>
  <r>
    <s v="Heike 2.68"/>
    <s v="かたへの殿上人の見られける (kata e no tenjōbito no mirarekeru)"/>
    <s v=" the court nobles could see him,"/>
    <s v="見られける"/>
    <s v="indicative"/>
    <s v="action"/>
    <x v="1"/>
    <x v="1"/>
    <s v="active"/>
    <s v="positive"/>
    <n v="1"/>
    <n v="1"/>
    <x v="0"/>
    <n v="0"/>
    <x v="0"/>
    <n v="3"/>
    <x v="3"/>
    <s v="n/a"/>
    <n v="0"/>
    <n v="1"/>
    <s v="REL"/>
    <x v="0"/>
    <n v="1"/>
    <n v="0"/>
    <s v="sub"/>
    <s v="honorific_aux"/>
    <n v="0"/>
    <x v="2"/>
    <s v="te"/>
    <s v="ds"/>
    <s v="ss"/>
    <s v="topic-introduced"/>
    <s v="contains_new"/>
    <m/>
    <m/>
    <n v="1"/>
    <x v="0"/>
    <s v="Yes"/>
  </r>
  <r>
    <s v="Heike 2.69"/>
    <s v="所にて主殿司を召して (tokoro nite tonomotsukasa o meshite azukeokite zo iderarekeru)"/>
    <s v="in a place where… he summoned the Tonomotsukasa, "/>
    <s v="召して "/>
    <s v="indicative"/>
    <s v="action"/>
    <x v="1"/>
    <x v="1"/>
    <s v="active"/>
    <s v="positive"/>
    <n v="1"/>
    <n v="1"/>
    <x v="1"/>
    <n v="1"/>
    <x v="2"/>
    <n v="3"/>
    <x v="1"/>
    <s v="n/a"/>
    <n v="0"/>
    <n v="0"/>
    <s v="n/a"/>
    <x v="1"/>
    <n v="0"/>
    <n v="1"/>
    <s v="sub"/>
    <s v="lexical_honorific_verb"/>
    <n v="0"/>
    <x v="1"/>
    <s v="relative"/>
    <s v="ss"/>
    <s v="ss"/>
    <s v="topic-drop"/>
    <s v="contains_new"/>
    <m/>
    <m/>
    <n v="1"/>
    <x v="0"/>
    <s v="Yes"/>
  </r>
  <r>
    <s v="Heike 2.70"/>
    <s v="預け置きてぞ"/>
    <s v=" entrusted [his sword]"/>
    <s v="預け置きて"/>
    <s v="indicative"/>
    <s v="other"/>
    <x v="1"/>
    <x v="1"/>
    <s v="active"/>
    <s v="positive"/>
    <n v="1"/>
    <n v="0"/>
    <x v="2"/>
    <n v="0"/>
    <x v="1"/>
    <n v="3"/>
    <x v="3"/>
    <s v="n/a"/>
    <n v="0"/>
    <n v="0"/>
    <s v="n/a"/>
    <x v="1"/>
    <n v="0"/>
    <n v="0"/>
    <s v="n/a"/>
    <s v="n/a"/>
    <n v="0"/>
    <x v="2"/>
    <s v="te"/>
    <s v="ss"/>
    <s v="ss"/>
    <s v="topic-drop"/>
    <s v="no_overt_NP"/>
    <m/>
    <m/>
    <n v="0"/>
    <x v="0"/>
    <s v="Yes"/>
  </r>
  <r>
    <s v="Heike 2.71"/>
    <s v="出でられける"/>
    <s v="and left,"/>
    <s v="出でられける"/>
    <s v="indicative"/>
    <s v="motion"/>
    <x v="1"/>
    <x v="0"/>
    <s v="active"/>
    <s v="positive"/>
    <n v="1"/>
    <n v="0"/>
    <x v="2"/>
    <n v="0"/>
    <x v="2"/>
    <n v="3"/>
    <x v="0"/>
    <s v="n/a"/>
    <n v="0"/>
    <n v="0"/>
    <s v="n/a"/>
    <x v="2"/>
    <n v="0"/>
    <n v="1"/>
    <s v="sub"/>
    <s v="honorific_aux"/>
    <n v="0"/>
    <x v="2"/>
    <s v="te"/>
    <s v="ss"/>
    <s v="ds"/>
    <s v="topic-drop"/>
    <s v="no_overt_NP"/>
    <m/>
    <m/>
    <n v="0"/>
    <x v="0"/>
    <s v="Yes"/>
  </r>
  <r>
    <s v="Heike 2.72"/>
    <s v="家貞待ち受け奉りて (Iesada machi-uke tatemawari-te)"/>
    <s v="Iesada, who was waiting for his lord,"/>
    <s v="待ち受け奉りて"/>
    <s v="indicative"/>
    <s v="action"/>
    <x v="2"/>
    <x v="1"/>
    <s v="active"/>
    <s v="positive"/>
    <n v="1"/>
    <n v="1"/>
    <x v="0"/>
    <n v="0"/>
    <x v="0"/>
    <n v="3"/>
    <x v="3"/>
    <s v="n/a"/>
    <n v="0"/>
    <n v="0"/>
    <s v="n/a"/>
    <x v="1"/>
    <n v="1"/>
    <n v="0"/>
    <s v="sub"/>
    <s v="lexical_humble_verb"/>
    <n v="0"/>
    <x v="1"/>
    <s v="main"/>
    <s v="ds"/>
    <s v="ss"/>
    <s v="topic-shift"/>
    <s v="contains_new"/>
    <m/>
    <m/>
    <n v="1"/>
    <x v="0"/>
    <s v="Yes"/>
  </r>
  <r>
    <s v="Heike 2.73"/>
    <s v="さていかが候ひつると (sate ikaga soroitsuru to)"/>
    <s v="&quot;What has happened?&quot; he asked."/>
    <s v="候ひつる"/>
    <s v="indicative"/>
    <s v="other"/>
    <x v="1"/>
    <x v="0"/>
    <s v="active"/>
    <s v="positive"/>
    <n v="1"/>
    <n v="0"/>
    <x v="2"/>
    <n v="1"/>
    <x v="4"/>
    <n v="3"/>
    <x v="0"/>
    <s v="n/a"/>
    <n v="0"/>
    <n v="0"/>
    <s v="REL"/>
    <x v="6"/>
    <n v="0"/>
    <n v="0"/>
    <s v="n/a"/>
    <s v="polite_aux"/>
    <n v="0"/>
    <x v="4"/>
    <s v="te"/>
    <s v="ss"/>
    <s v="ss"/>
    <s v="topic-drop"/>
    <s v="no_overt_NP"/>
    <m/>
    <m/>
    <n v="0"/>
    <x v="0"/>
    <s v="Yes"/>
  </r>
  <r>
    <s v="Heike 2.74"/>
    <s v="申されければ (mōsarekeru ba)"/>
    <s v="he was asked,"/>
    <s v="申されける"/>
    <s v="indicative"/>
    <s v="action"/>
    <x v="1"/>
    <x v="0"/>
    <s v="passive"/>
    <s v="positive"/>
    <n v="1"/>
    <n v="1"/>
    <x v="9"/>
    <n v="0"/>
    <x v="2"/>
    <n v="3"/>
    <x v="1"/>
    <s v="n/a"/>
    <n v="0"/>
    <n v="0"/>
    <s v="n/a"/>
    <x v="2"/>
    <n v="0"/>
    <n v="1"/>
    <s v="sub"/>
    <s v="honorific_aux+lexical_humble_verb"/>
    <n v="0"/>
    <x v="0"/>
    <s v="complement"/>
    <s v="ss"/>
    <s v="ss"/>
    <s v="topic-drop"/>
    <s v="contains_new"/>
    <m/>
    <m/>
    <n v="1"/>
    <x v="0"/>
    <s v="Yes"/>
  </r>
  <r>
    <s v="Heike 2.75"/>
    <s v="かくとも云はまほしう"/>
    <s v="to tell him"/>
    <s v="云はまほしう"/>
    <s v="desiderative"/>
    <s v="other"/>
    <x v="1"/>
    <x v="0"/>
    <s v="active"/>
    <s v="positive"/>
    <n v="1"/>
    <n v="0"/>
    <x v="2"/>
    <n v="1"/>
    <x v="4"/>
    <n v="3"/>
    <x v="2"/>
    <s v="not_applicable"/>
    <n v="0"/>
    <n v="0"/>
    <s v="n/a"/>
    <x v="2"/>
    <n v="0"/>
    <n v="0"/>
    <s v="n/a"/>
    <s v="n/a"/>
    <n v="0"/>
    <x v="2"/>
    <s v="main"/>
    <s v="ss"/>
    <s v="ss"/>
    <s v="topic-drop"/>
    <s v="no_overt_NP"/>
    <m/>
    <m/>
    <n v="0"/>
    <x v="0"/>
    <s v="Yes"/>
  </r>
  <r>
    <s v="Heike 2.76"/>
    <s v="思はれけれども (kakutomo iwamahoshū omowarekeredomo)"/>
    <s v="although he greatly wished,"/>
    <s v="思はれけれども"/>
    <s v="indicative"/>
    <s v="psych-state"/>
    <x v="1"/>
    <x v="1"/>
    <s v="active"/>
    <s v="positive"/>
    <n v="1"/>
    <n v="1"/>
    <x v="9"/>
    <n v="1"/>
    <x v="4"/>
    <n v="3"/>
    <x v="1"/>
    <s v="n/a"/>
    <n v="0"/>
    <n v="0"/>
    <s v="n/a"/>
    <x v="2"/>
    <n v="0"/>
    <n v="0"/>
    <s v="n/a"/>
    <s v="n/a"/>
    <n v="0"/>
    <x v="9"/>
    <s v="main"/>
    <s v="ss"/>
    <s v="ss"/>
    <s v="topic-drop"/>
    <s v="contains_new"/>
    <s v="Psych predicate; かくとも as adjunct."/>
    <m/>
    <n v="1"/>
    <x v="0"/>
    <s v="Yes"/>
  </r>
  <r>
    <s v="Heike 2.77"/>
    <s v="云ひつるほどならば (iitsuru hodo naraba)"/>
    <s v="seeing that, if he told him,"/>
    <s v="云ひつる"/>
    <s v="indicative"/>
    <s v="other"/>
    <x v="1"/>
    <x v="1"/>
    <s v="active"/>
    <s v="positive"/>
    <n v="1"/>
    <n v="0"/>
    <x v="2"/>
    <n v="0"/>
    <x v="4"/>
    <n v="3"/>
    <x v="3"/>
    <s v="n/a"/>
    <n v="0"/>
    <n v="1"/>
    <s v="REL"/>
    <x v="3"/>
    <n v="0"/>
    <n v="0"/>
    <s v="n/a"/>
    <s v="n/a"/>
    <n v="0"/>
    <x v="10"/>
    <s v="main"/>
    <s v="ss"/>
    <s v="ds"/>
    <s v="topic-drop"/>
    <s v="no_overt_NP"/>
    <m/>
    <m/>
    <n v="0"/>
    <x v="0"/>
    <s v="Yes"/>
  </r>
  <r>
    <s v="Heike 2.78"/>
    <s v="やがて殿上までも斬り上らんずる  yagate tenjō made mo kiriagaranzuru "/>
    <s v="who would even do violence in the Palace itself,"/>
    <s v="斬り上らんずる"/>
    <s v="dynamic"/>
    <s v="other"/>
    <x v="1"/>
    <x v="0"/>
    <s v="active"/>
    <s v="positive"/>
    <n v="1"/>
    <n v="0"/>
    <x v="2"/>
    <n v="2"/>
    <x v="1"/>
    <n v="3"/>
    <x v="0"/>
    <s v="n/a"/>
    <n v="1"/>
    <n v="0"/>
    <s v="REL"/>
    <x v="0"/>
    <n v="0"/>
    <n v="0"/>
    <s v="n/a"/>
    <s v="n/a"/>
    <n v="0"/>
    <x v="2"/>
    <s v="subordinate"/>
    <s v="ds"/>
    <s v="ss"/>
    <s v="topic-drop"/>
    <s v="no_overt_NP"/>
    <m/>
    <m/>
    <n v="0"/>
    <x v="0"/>
    <s v="Yes"/>
  </r>
  <r>
    <s v="Heike 2.79"/>
    <s v="者の面魂にてある間 mono no omodamashii nite aru aida"/>
    <s v="he appeared as one "/>
    <s v="にてある"/>
    <s v="indicative"/>
    <s v="other"/>
    <x v="0"/>
    <x v="0"/>
    <s v="active"/>
    <s v="positive"/>
    <n v="1"/>
    <n v="0"/>
    <x v="2"/>
    <n v="0"/>
    <x v="1"/>
    <n v="3"/>
    <x v="0"/>
    <s v="n/a"/>
    <n v="0"/>
    <n v="0"/>
    <s v="REL"/>
    <x v="3"/>
    <n v="0"/>
    <n v="0"/>
    <s v="n/a"/>
    <s v="n/a"/>
    <n v="0"/>
    <x v="0"/>
    <s v="relative"/>
    <s v="ss"/>
    <s v="ds"/>
    <s v="topic-drop"/>
    <s v="no_overt_NP"/>
    <m/>
    <m/>
    <n v="0"/>
    <x v="0"/>
    <s v="Yes"/>
  </r>
  <r>
    <s v="Heike 2.80"/>
    <s v="別の事なし (betsu no koto nashi)"/>
    <s v="nothing out of the ordinary had taken place."/>
    <s v="なし"/>
    <s v="indicative"/>
    <s v="other"/>
    <x v="7"/>
    <x v="0"/>
    <s v="active"/>
    <s v="negative"/>
    <n v="1"/>
    <n v="1"/>
    <x v="0"/>
    <n v="0"/>
    <x v="0"/>
    <n v="3"/>
    <x v="0"/>
    <s v="n/a"/>
    <n v="0"/>
    <n v="0"/>
    <s v="n/a"/>
    <x v="2"/>
    <n v="0"/>
    <n v="0"/>
    <s v="n/a"/>
    <s v="n/a"/>
    <n v="0"/>
    <x v="2"/>
    <s v="subordinate"/>
    <s v="ds"/>
    <s v="ds"/>
    <s v="topic-drop"/>
    <s v="contains_new"/>
    <s v="Subject = 別の事."/>
    <m/>
    <n v="1"/>
    <x v="0"/>
    <s v="Yes"/>
  </r>
  <r>
    <s v="Heike 2.81"/>
    <s v="五節には白薄様濃染紙の紙巻上の筆巴書いたる筆の軸など様々かやうに面白き事をのみこそ歌ひ舞はるるに (gosechi ni wa shirauzusama kozomegami no kamimaki ue no fude tomoe kaitaru fude no jiku nado samazama kayō ni omoshiroki koto o nomi koso utai mawaruru ni)"/>
    <s v="In the Go-sechie festival only such pleasing things as white paper, Shuzenji paper, wrapped brushes, or writing brushes with a tomoe on the stem were customarily sung and danced,"/>
    <s v="歌ひ舞はるる"/>
    <s v="indicative"/>
    <s v="other"/>
    <x v="4"/>
    <x v="1"/>
    <s v="active"/>
    <s v="positive"/>
    <n v="1"/>
    <n v="1"/>
    <x v="1"/>
    <n v="2"/>
    <x v="2"/>
    <n v="3"/>
    <x v="1"/>
    <s v="n/a"/>
    <n v="0"/>
    <n v="0"/>
    <s v="REL"/>
    <x v="3"/>
    <n v="0"/>
    <n v="1"/>
    <s v="sub"/>
    <s v="honorific_aux"/>
    <n v="0"/>
    <x v="9"/>
    <s v="main"/>
    <s v="ds"/>
    <s v="ds"/>
    <s v="topic-shift"/>
    <s v="contains_new"/>
    <s v="Passive/respect; subject omitted; object 面白き事を overt."/>
    <m/>
    <n v="1"/>
    <x v="0"/>
    <s v="Yes"/>
  </r>
  <r>
    <s v="Heike 2.82"/>
    <s v="中比太宰権帥季仲卿といふ人ありけり (chūbi Dazai gon no so Sukechika kyō to iu hito arikeri)"/>
    <s v="but there was a certain Dazai Gon-no-sotsu Suenaka no Kyo,"/>
    <s v="ありけり"/>
    <s v="indicative"/>
    <s v="stative"/>
    <x v="7"/>
    <x v="0"/>
    <s v="active"/>
    <s v="positive"/>
    <n v="1"/>
    <n v="1"/>
    <x v="0"/>
    <n v="1"/>
    <x v="0"/>
    <n v="3"/>
    <x v="0"/>
    <s v="n/a"/>
    <n v="0"/>
    <n v="0"/>
    <s v="n/a"/>
    <x v="2"/>
    <n v="0"/>
    <n v="0"/>
    <s v="n/a"/>
    <s v="n/a"/>
    <n v="0"/>
    <x v="2"/>
    <s v="subordinate"/>
    <s v="ds"/>
    <s v="ds"/>
    <s v="topic-introduced"/>
    <s v="contains_new"/>
    <s v="frame predicate"/>
    <m/>
    <n v="1"/>
    <x v="0"/>
    <s v="Yes"/>
  </r>
  <r>
    <s v="Heike 2.83"/>
    <s v="あまりに色の黒かりければ (amari ni iro no kurokarikereba)"/>
    <s v="who was of so dark a complexion that"/>
    <s v="黒かりければ"/>
    <s v="indicative"/>
    <s v="other"/>
    <x v="5"/>
    <x v="0"/>
    <s v="active"/>
    <s v="positive"/>
    <n v="1"/>
    <n v="1"/>
    <x v="0"/>
    <n v="1"/>
    <x v="0"/>
    <n v="3"/>
    <x v="0"/>
    <s v="not_applicable"/>
    <n v="0"/>
    <n v="0"/>
    <s v="n/a"/>
    <x v="3"/>
    <n v="0"/>
    <n v="0"/>
    <s v="n/a"/>
    <s v="n/a"/>
    <n v="0"/>
    <x v="3"/>
    <s v="main"/>
    <s v="ds"/>
    <s v="ds"/>
    <s v="topic-drop"/>
    <s v="contains_new"/>
    <s v="Adjectival predicate; subject = 色."/>
    <m/>
    <n v="1"/>
    <x v="0"/>
    <s v="Yes"/>
  </r>
  <r>
    <s v="Heike 2.84"/>
    <s v="見る人黒帥とぞ申しける (miru hito kurosotsu to zo mōshikeru)"/>
    <s v="people called him 'kuro-sotsu',"/>
    <s v="申しける"/>
    <s v="indicative"/>
    <s v="action"/>
    <x v="1"/>
    <x v="1"/>
    <s v="active"/>
    <s v="positive"/>
    <n v="1"/>
    <n v="2"/>
    <x v="3"/>
    <n v="0"/>
    <x v="0"/>
    <n v="3"/>
    <x v="1"/>
    <s v="n/a"/>
    <n v="0"/>
    <n v="0"/>
    <s v="n/a"/>
    <x v="2"/>
    <n v="1"/>
    <n v="0"/>
    <s v="n/a"/>
    <s v="lexical_humble_verb"/>
    <n v="0"/>
    <x v="2"/>
    <s v="subordinate"/>
    <s v="ds"/>
    <s v="ss"/>
    <s v="topic-drop"/>
    <s v="contains_new"/>
    <s v="申す humble; subject overt; counted as EXALT INSIG."/>
    <m/>
    <n v="2"/>
    <x v="0"/>
    <s v="Yes"/>
  </r>
  <r>
    <s v="Heike 2.85"/>
    <s v="その人未だ蔵人頭たりし時 (sono hito imada kurōdo no tō tarishi toki)"/>
    <s v="and while he was still Kurando-no-to, "/>
    <s v="たりし"/>
    <s v="indicative"/>
    <s v="stative"/>
    <x v="0"/>
    <x v="0"/>
    <s v="active"/>
    <s v="positive"/>
    <n v="1"/>
    <n v="1"/>
    <x v="0"/>
    <n v="0"/>
    <x v="0"/>
    <n v="3"/>
    <x v="0"/>
    <s v="n/a"/>
    <n v="0"/>
    <n v="0"/>
    <s v="REL"/>
    <x v="3"/>
    <n v="0"/>
    <n v="0"/>
    <s v="n/a"/>
    <s v="honorific_aux"/>
    <n v="0"/>
    <x v="0"/>
    <s v="main"/>
    <s v="ss"/>
    <s v="ss"/>
    <s v="topic-continued"/>
    <s v="no_overt_NP"/>
    <m/>
    <m/>
    <n v="1"/>
    <x v="0"/>
    <s v="Yes"/>
  </r>
  <r>
    <s v="Heike 2.86"/>
    <s v="五節に舞はれけるに gosechi ni mawarekeru ni"/>
    <s v="when he danced at the Go-sechie,"/>
    <s v="舞はれける"/>
    <s v="indicative"/>
    <s v="action"/>
    <x v="1"/>
    <x v="0"/>
    <s v="active"/>
    <s v="positive"/>
    <n v="1"/>
    <n v="0"/>
    <x v="2"/>
    <n v="0"/>
    <x v="2"/>
    <n v="3"/>
    <x v="0"/>
    <s v="n/a"/>
    <n v="0"/>
    <n v="0"/>
    <s v="REL"/>
    <x v="3"/>
    <n v="0"/>
    <n v="1"/>
    <s v="sub"/>
    <s v="lexical_honorific_verb"/>
    <n v="0"/>
    <x v="0"/>
    <s v="subordinate"/>
    <s v="ss"/>
    <s v="ds"/>
    <s v="topic-drop"/>
    <s v="no_overt_NP"/>
    <m/>
    <m/>
    <n v="0"/>
    <x v="0"/>
    <s v="Yes"/>
  </r>
  <r>
    <s v="Heike 2.87"/>
    <s v="人々拍子を変へて (hitobito hyōshi o kaete)"/>
    <s v="they changed the rhythm of the music"/>
    <s v="変へて"/>
    <s v="indicative"/>
    <s v="other"/>
    <x v="1"/>
    <x v="1"/>
    <s v="active"/>
    <s v="positive"/>
    <n v="1"/>
    <n v="2"/>
    <x v="3"/>
    <n v="0"/>
    <x v="0"/>
    <n v="3"/>
    <x v="1"/>
    <s v="n/a"/>
    <n v="0"/>
    <n v="0"/>
    <s v="n/a"/>
    <x v="1"/>
    <n v="0"/>
    <n v="0"/>
    <s v="n/a"/>
    <s v="n/a"/>
    <n v="0"/>
    <x v="1"/>
    <s v="subordinate"/>
    <s v="ds"/>
    <s v="ss"/>
    <s v="topic-drop"/>
    <s v="contains_new"/>
    <m/>
    <m/>
    <n v="2"/>
    <x v="0"/>
    <s v="Yes"/>
  </r>
  <r>
    <s v="Heike 2.88"/>
    <s v="あなくろくろ黒き頭かな (ana kuro kuro kuroki atama kana)"/>
    <s v="&quot;Oh what a black, black head!&quot;"/>
    <s v="N/A (exclamatory nominal clause)"/>
    <s v="indicative"/>
    <s v="other"/>
    <x v="10"/>
    <x v="0"/>
    <m/>
    <m/>
    <n v="0"/>
    <n v="1"/>
    <x v="0"/>
    <n v="0"/>
    <x v="0"/>
    <n v="3"/>
    <x v="0"/>
    <s v="n/a"/>
    <n v="0"/>
    <n v="0"/>
    <s v="n/a"/>
    <x v="2"/>
    <n v="0"/>
    <n v="0"/>
    <s v="n/a"/>
    <s v="n/a"/>
    <n v="0"/>
    <x v="2"/>
    <s v="te"/>
    <s v="ss"/>
    <s v="ds"/>
    <s v="topic-drop"/>
    <s v="contains_new"/>
    <m/>
    <m/>
    <m/>
    <x v="0"/>
    <s v="Yes"/>
  </r>
  <r>
    <s v="Heike 2.89"/>
    <s v="いかなる人の漆塗りけんとぞ (ikanaru hito no urushinuriken to zo )"/>
    <s v="&quot;someone must have painted him with lacquer&quot;"/>
    <s v="漆塗りけん"/>
    <s v="epistemic"/>
    <s v="other"/>
    <x v="1"/>
    <x v="1"/>
    <s v="active"/>
    <s v="positive"/>
    <n v="1"/>
    <n v="2"/>
    <x v="3"/>
    <n v="0"/>
    <x v="0"/>
    <n v="3"/>
    <x v="1"/>
    <s v="n/a"/>
    <n v="0"/>
    <n v="0"/>
    <s v="n/a"/>
    <x v="6"/>
    <n v="0"/>
    <n v="0"/>
    <s v="n/a"/>
    <s v="n/a"/>
    <n v="0"/>
    <x v="4"/>
    <s v="main"/>
    <s v="ds"/>
    <s v="ds"/>
    <s v="topic-drop"/>
    <s v="contains_new"/>
    <m/>
    <m/>
    <n v="2"/>
    <x v="0"/>
    <s v="Yes"/>
  </r>
  <r>
    <s v="Heike 2.90"/>
    <s v="囃されける (hayasarekeru)"/>
    <s v="they sang in mockery."/>
    <s v="囃されける"/>
    <s v="indicative"/>
    <s v="communication"/>
    <x v="1"/>
    <x v="1"/>
    <s v="active"/>
    <s v="positive"/>
    <n v="1"/>
    <n v="1"/>
    <x v="9"/>
    <n v="0"/>
    <x v="2"/>
    <n v="3"/>
    <x v="1"/>
    <s v="n/a"/>
    <n v="0"/>
    <n v="0"/>
    <s v="n/a"/>
    <x v="2"/>
    <n v="0"/>
    <n v="1"/>
    <s v="sub"/>
    <s v="honorific_aux"/>
    <n v="0"/>
    <x v="2"/>
    <s v="complement"/>
    <s v="ds"/>
    <s v="ds"/>
    <s v="topic-drop"/>
    <s v="no_overt_NP"/>
    <m/>
    <m/>
    <n v="1"/>
    <x v="0"/>
    <s v="Yes"/>
  </r>
  <r>
    <s v="Heike 2.91"/>
    <s v="また花山院前太政大臣忠雅公未だ十歳と申しし時 (mata Kazanin no saki no Daijōdaijin Tadamasa kō imada jissai to mōshi shi toki)"/>
    <s v="Also, when Prince Tadamasa of the Kazan-in, the former Prime Minister, was only ten years old,"/>
    <s v="申しし"/>
    <s v="indicative"/>
    <s v="action"/>
    <x v="1"/>
    <x v="0"/>
    <s v="active"/>
    <s v="positive"/>
    <n v="1"/>
    <n v="1"/>
    <x v="0"/>
    <n v="1"/>
    <x v="0"/>
    <n v="3"/>
    <x v="0"/>
    <s v="n/a"/>
    <n v="0"/>
    <n v="0"/>
    <s v="n/a"/>
    <x v="3"/>
    <n v="1"/>
    <n v="0"/>
    <s v="sub"/>
    <s v="lexical_humble_verb"/>
    <n v="0"/>
    <x v="0"/>
    <s v="main"/>
    <s v="ds"/>
    <s v="ss"/>
    <s v="topic-introduced"/>
    <s v="contains_new"/>
    <m/>
    <m/>
    <n v="1"/>
    <x v="0"/>
    <s v="Yes"/>
  </r>
  <r>
    <s v="Heike 2.92"/>
    <s v="父中納言忠宗卿に後れ給ひて (chichi Chūnagon Tadamune kyō ni okure tamai te)"/>
    <s v="having lost his father, Chunagon Tadamune,"/>
    <s v="後れ給ひて"/>
    <s v="indicative"/>
    <s v="action"/>
    <x v="1"/>
    <x v="0"/>
    <s v="active"/>
    <s v="positive"/>
    <n v="1"/>
    <n v="1"/>
    <x v="5"/>
    <n v="0"/>
    <x v="2"/>
    <n v="3"/>
    <x v="0"/>
    <s v="overt"/>
    <n v="0"/>
    <n v="0"/>
    <s v="n/a"/>
    <x v="1"/>
    <n v="0"/>
    <n v="1"/>
    <s v="sub"/>
    <s v="lexical_honorific_verb"/>
    <n v="0"/>
    <x v="1"/>
    <s v="subordinate"/>
    <s v="ss"/>
    <s v="ss"/>
    <s v="topic-introduced"/>
    <s v="contains_new"/>
    <m/>
    <m/>
    <n v="1"/>
    <x v="0"/>
    <s v="Yes"/>
  </r>
  <r>
    <s v="Heike 2.93"/>
    <s v="孤子にておはせしを (koji nite ohaseshi o)"/>
    <s v="and being left an orphan,"/>
    <s v="おはせし"/>
    <s v="indicative"/>
    <s v="action"/>
    <x v="7"/>
    <x v="0"/>
    <s v="active"/>
    <s v="positive"/>
    <n v="1"/>
    <n v="0"/>
    <x v="2"/>
    <n v="0"/>
    <x v="2"/>
    <n v="3"/>
    <x v="0"/>
    <s v="n/a"/>
    <n v="0"/>
    <n v="0"/>
    <s v="REL"/>
    <x v="3"/>
    <n v="0"/>
    <n v="1"/>
    <s v="sub"/>
    <s v="lexical_honorific_verb"/>
    <n v="0"/>
    <x v="9"/>
    <s v="te"/>
    <s v="ss"/>
    <s v="ds"/>
    <s v="topic-drop"/>
    <s v="contains_new"/>
    <m/>
    <m/>
    <n v="0"/>
    <x v="0"/>
    <s v="Yes"/>
  </r>
  <r>
    <s v="Heike 2.94"/>
    <s v="故中御門藤中納言家成卿未だ播磨守にておはしけるが ko-Nakamikado Fuji Chūnagon Ienari kyō imada Harima no kami nite ohasikeru ga"/>
    <s v=" by Fuji Chūnagon Ienari, then Harima no Kami,"/>
    <s v="おはしける"/>
    <s v="indicative"/>
    <s v="stative"/>
    <x v="0"/>
    <x v="0"/>
    <s v="active"/>
    <s v="positive"/>
    <n v="1"/>
    <n v="1"/>
    <x v="0"/>
    <n v="1"/>
    <x v="0"/>
    <n v="3"/>
    <x v="0"/>
    <s v="n/a"/>
    <n v="0"/>
    <n v="0"/>
    <s v="REL"/>
    <x v="3"/>
    <n v="1"/>
    <n v="0"/>
    <s v="sub"/>
    <s v="lexical_honorific_verb"/>
    <n v="0"/>
    <x v="9"/>
    <s v="subordinate"/>
    <s v="ds"/>
    <s v="ss"/>
    <s v="topic-introduced"/>
    <s v="contains_new"/>
    <m/>
    <m/>
    <n v="1"/>
    <x v="0"/>
    <s v="Yes"/>
  </r>
  <r>
    <s v="Heike 2.95"/>
    <s v="聟に取りて muko ni torite "/>
    <s v="he was taken as son-in-law"/>
    <s v="取りて"/>
    <s v="indicative"/>
    <s v="action"/>
    <x v="1"/>
    <x v="1"/>
    <s v="active"/>
    <s v="positive"/>
    <n v="1"/>
    <n v="1"/>
    <x v="5"/>
    <n v="0"/>
    <x v="1"/>
    <n v="3"/>
    <x v="3"/>
    <s v="overt"/>
    <n v="0"/>
    <n v="0"/>
    <s v="n/a"/>
    <x v="1"/>
    <n v="0"/>
    <n v="0"/>
    <s v="n/a"/>
    <s v="n/a"/>
    <n v="0"/>
    <x v="2"/>
    <s v="subordinate"/>
    <s v="ss"/>
    <s v="ss"/>
    <s v="topic-drop"/>
    <s v="contains_new"/>
    <m/>
    <m/>
    <n v="1"/>
    <x v="0"/>
    <s v="Yes"/>
  </r>
  <r>
    <s v="Heike 2.96"/>
    <s v="華やかにもてなされければ  hanayaka ni motenasarekereba"/>
    <s v="and splendidly welcomed,"/>
    <s v="もてなされければ"/>
    <s v="indicative"/>
    <s v="action"/>
    <x v="1"/>
    <x v="0"/>
    <s v="passive"/>
    <s v="positive"/>
    <n v="1"/>
    <n v="0"/>
    <x v="2"/>
    <n v="0"/>
    <x v="1"/>
    <n v="3"/>
    <x v="0"/>
    <s v="zero_recoverable"/>
    <n v="0"/>
    <n v="0"/>
    <s v="n/a"/>
    <x v="3"/>
    <n v="0"/>
    <n v="0"/>
    <s v="n/a"/>
    <s v="n/a"/>
    <n v="0"/>
    <x v="3"/>
    <s v="te"/>
    <s v="ss"/>
    <s v="ds"/>
    <s v="topic-drop"/>
    <s v="contains_new"/>
    <s v="verbal sequence"/>
    <m/>
    <n v="0"/>
    <x v="0"/>
    <s v="Yes"/>
  </r>
  <r>
    <s v="Heike 2.97"/>
    <s v="これも五節には播磨の米は木賊か椋の葉か人の綺羅を磨くはとぞ (kore mo gosechi ni wa Harima no kome wa tokusa ka mukuno ha ka hito no kira o migaku wa to zo)"/>
    <s v="at that Go-sechie with the refrain ‘The rice of Harima...’"/>
    <s v="磨く"/>
    <s v="indicative"/>
    <s v="action"/>
    <x v="1"/>
    <x v="1"/>
    <s v="active"/>
    <s v="positive"/>
    <n v="1"/>
    <n v="2"/>
    <x v="3"/>
    <n v="1"/>
    <x v="0"/>
    <n v="3"/>
    <x v="1"/>
    <s v="n/a"/>
    <n v="0"/>
    <n v="0"/>
    <s v="REL"/>
    <x v="6"/>
    <n v="0"/>
    <n v="0"/>
    <s v="n/a"/>
    <s v="honorific_aux"/>
    <n v="0"/>
    <x v="2"/>
    <s v="subordinate"/>
    <s v="ds"/>
    <s v="ds"/>
    <s v="topic-drop"/>
    <s v="contains_new"/>
    <m/>
    <m/>
    <n v="2"/>
    <x v="0"/>
    <s v="Yes"/>
  </r>
  <r>
    <s v="Heike 2.98"/>
    <s v="囃されける hayasarekeru"/>
    <s v=" they also japed at him"/>
    <s v="囃されける"/>
    <s v="indicative"/>
    <s v="action"/>
    <x v="1"/>
    <x v="0"/>
    <s v="passive"/>
    <s v="positive"/>
    <n v="1"/>
    <n v="0"/>
    <x v="2"/>
    <n v="1"/>
    <x v="1"/>
    <n v="3"/>
    <x v="0"/>
    <s v="n/a"/>
    <n v="0"/>
    <n v="0"/>
    <s v="kakari-musubi"/>
    <x v="2"/>
    <n v="0"/>
    <n v="0"/>
    <s v="n/a"/>
    <s v="n/a"/>
    <n v="0"/>
    <x v="4"/>
    <s v="complement"/>
    <s v="ds"/>
    <s v="ds"/>
    <s v="topic-drop"/>
    <s v="no_overt_NP"/>
    <m/>
    <m/>
    <n v="0"/>
    <x v="0"/>
    <s v="Yes"/>
  </r>
  <r>
    <s v="Heike 2.99"/>
    <s v="上古にはかやうにありしかども (jōko ni wa kayō ni arishikadomo )"/>
    <s v="Long ago such things had happened, "/>
    <s v="ありし / 出で来ず"/>
    <s v="indicative"/>
    <s v="action"/>
    <x v="7"/>
    <x v="0"/>
    <s v="active"/>
    <s v="positive"/>
    <n v="1"/>
    <n v="0"/>
    <x v="2"/>
    <n v="2"/>
    <x v="5"/>
    <n v="0"/>
    <x v="0"/>
    <s v="n/a"/>
    <n v="0"/>
    <n v="0"/>
    <s v="n/a"/>
    <x v="3"/>
    <n v="0"/>
    <n v="0"/>
    <s v="n/a"/>
    <s v="n/a"/>
    <n v="0"/>
    <x v="9"/>
    <s v="main"/>
    <s v="ds"/>
    <s v="ds"/>
    <s v="topic-shift"/>
    <s v="contains_new"/>
    <m/>
    <m/>
    <n v="0"/>
    <x v="0"/>
    <s v="Yes"/>
  </r>
  <r>
    <s v="Heike 2.100"/>
    <s v="事出で来ず koto idekozu"/>
    <s v="but nothing had come of them,"/>
    <s v="出で来ず"/>
    <s v="indicative"/>
    <s v="stative"/>
    <x v="11"/>
    <x v="0"/>
    <s v="active"/>
    <s v="negative"/>
    <n v="1"/>
    <n v="1"/>
    <x v="0"/>
    <n v="0"/>
    <x v="0"/>
    <n v="3"/>
    <x v="0"/>
    <s v="n/a"/>
    <n v="0"/>
    <n v="0"/>
    <s v="n/a"/>
    <x v="3"/>
    <n v="0"/>
    <n v="0"/>
    <s v="n/a"/>
    <s v="n/a"/>
    <n v="0"/>
    <x v="2"/>
    <s v="subordinate"/>
    <s v="ds"/>
    <n v="0"/>
    <s v="topic-drop"/>
    <s v="contains_new"/>
    <m/>
    <m/>
    <n v="1"/>
    <x v="0"/>
    <s v="Yes"/>
  </r>
  <r>
    <s v="Heike 2.101"/>
    <s v="末代いかがあらんずらん (matsudai ikaga aranzuran obotsukanashi)"/>
    <s v="and people said that what was to be done"/>
    <s v="あらんずらん"/>
    <s v="epistemic"/>
    <s v="stative"/>
    <x v="11"/>
    <x v="2"/>
    <m/>
    <m/>
    <m/>
    <m/>
    <x v="6"/>
    <m/>
    <x v="3"/>
    <m/>
    <x v="4"/>
    <m/>
    <m/>
    <m/>
    <m/>
    <x v="7"/>
    <m/>
    <m/>
    <s v="n/a"/>
    <s v="n/a"/>
    <m/>
    <x v="5"/>
    <s v="subordinate"/>
    <m/>
    <s v="ds"/>
    <m/>
    <m/>
    <m/>
    <m/>
    <m/>
    <x v="0"/>
    <s v="Yes"/>
  </r>
  <r>
    <s v="Heike 2.102"/>
    <s v="覚束なし"/>
    <s v="was doubtful"/>
    <s v="覚束なし"/>
    <s v="indicative"/>
    <s v="psych-state"/>
    <x v="5"/>
    <x v="0"/>
    <s v="active"/>
    <s v="negative"/>
    <n v="1"/>
    <n v="0"/>
    <x v="2"/>
    <n v="0"/>
    <x v="5"/>
    <n v="0"/>
    <x v="0"/>
    <s v="n/a"/>
    <n v="0"/>
    <n v="0"/>
    <s v="n/a"/>
    <x v="2"/>
    <n v="0"/>
    <n v="0"/>
    <s v="n/a"/>
    <s v="n/a"/>
    <n v="0"/>
    <x v="2"/>
    <n v="0"/>
    <s v="ds"/>
    <s v="ds"/>
    <s v="topic-drop"/>
    <s v="no_overt_NP"/>
    <m/>
    <m/>
    <n v="0"/>
    <x v="0"/>
    <s v="Yes"/>
  </r>
  <r>
    <s v="Heike 2.103"/>
    <s v="案の如く五節果てにしかば (an no gotoku gosechi hate ni shikaba)"/>
    <s v="As he had expected, after the conclusion of the festival,"/>
    <s v="果てにしかば"/>
    <s v="indicative"/>
    <s v="other"/>
    <x v="1"/>
    <x v="0"/>
    <s v="active"/>
    <s v="positive"/>
    <n v="1"/>
    <n v="1"/>
    <x v="0"/>
    <n v="1"/>
    <x v="0"/>
    <n v="3"/>
    <x v="0"/>
    <s v="n/a"/>
    <n v="0"/>
    <n v="0"/>
    <s v="n/a"/>
    <x v="3"/>
    <n v="0"/>
    <n v="0"/>
    <s v="n/a"/>
    <s v="n/a"/>
    <n v="0"/>
    <x v="0"/>
    <s v="main"/>
    <s v="ds"/>
    <s v="ds"/>
    <s v="topic-shift"/>
    <s v="contains_new"/>
    <m/>
    <m/>
    <n v="1"/>
    <x v="0"/>
    <s v="Yes"/>
  </r>
  <r>
    <s v="Heike 2.104"/>
    <s v="殿上人一同に訴へ申されけるは (tenjōbito ichidō ni uttaemōsarekeru wa)"/>
    <s v="all the courtiers and officials together appealed,"/>
    <s v="訴へ申されける"/>
    <s v="indicative"/>
    <s v="other"/>
    <x v="1"/>
    <x v="1"/>
    <s v="active"/>
    <s v="positive"/>
    <n v="1"/>
    <n v="1"/>
    <x v="0"/>
    <n v="1"/>
    <x v="0"/>
    <n v="3"/>
    <x v="5"/>
    <s v="n/a"/>
    <n v="0"/>
    <n v="0"/>
    <s v="SUB"/>
    <x v="3"/>
    <n v="1"/>
    <n v="0"/>
    <s v="sub"/>
    <s v="honorific_aux+lexical_humble_verb"/>
    <n v="0"/>
    <x v="2"/>
    <s v="subordinate"/>
    <s v="ds"/>
    <s v="ds"/>
    <s v="topic-drop"/>
    <s v="contains_new"/>
    <s v="nominalisation"/>
    <m/>
    <n v="1"/>
    <x v="0"/>
    <s v="Yes"/>
  </r>
  <r>
    <s v="Heike 2.105"/>
    <s v="それ雄剣を帯して (sore yūken o tai shitei)"/>
    <s v="that wearing a sword"/>
    <s v="帯して "/>
    <s v="indicative"/>
    <s v="action"/>
    <x v="3"/>
    <x v="1"/>
    <s v="active"/>
    <s v="positive"/>
    <n v="1"/>
    <n v="1"/>
    <x v="1"/>
    <n v="0"/>
    <x v="1"/>
    <n v="3"/>
    <x v="1"/>
    <s v="n/a"/>
    <n v="0"/>
    <n v="0"/>
    <s v="n/a"/>
    <x v="1"/>
    <n v="0"/>
    <n v="0"/>
    <s v="n/a"/>
    <s v="n/a"/>
    <n v="0"/>
    <x v="2"/>
    <s v="subordinate"/>
    <s v="ds"/>
    <s v="ss"/>
    <s v="topic-drop"/>
    <s v="contains_new"/>
    <m/>
    <m/>
    <n v="1"/>
    <x v="1"/>
    <s v="Yes"/>
  </r>
  <r>
    <s v="Heike 2.106"/>
    <s v="公宴に列し  kōen ni res shi"/>
    <s v=" coming to a Court entertainment "/>
    <s v="列し"/>
    <s v="indicative"/>
    <s v="motion"/>
    <x v="3"/>
    <x v="0"/>
    <s v="active"/>
    <s v="positive"/>
    <n v="1"/>
    <n v="1"/>
    <x v="5"/>
    <n v="0"/>
    <x v="1"/>
    <n v="3"/>
    <x v="7"/>
    <s v="overt"/>
    <n v="0"/>
    <n v="0"/>
    <s v="n/a"/>
    <x v="1"/>
    <n v="0"/>
    <n v="0"/>
    <s v="n/a"/>
    <s v="n/a"/>
    <n v="0"/>
    <x v="2"/>
    <s v="te"/>
    <s v="ss"/>
    <s v="ss"/>
    <s v="topic-drop"/>
    <s v="contains_new"/>
    <m/>
    <m/>
    <n v="1"/>
    <x v="1"/>
    <s v="Yes"/>
  </r>
  <r>
    <s v="Heike 2.107"/>
    <s v="兵仗を賜はりて  hyōjō o tamawari te "/>
    <s v="and bearing arms "/>
    <s v="賜はりて"/>
    <s v="indicative"/>
    <s v="action"/>
    <x v="1"/>
    <x v="1"/>
    <s v="active"/>
    <s v="positive"/>
    <n v="1"/>
    <n v="1"/>
    <x v="1"/>
    <n v="0"/>
    <x v="2"/>
    <n v="3"/>
    <x v="1"/>
    <s v="n/a"/>
    <n v="0"/>
    <n v="0"/>
    <s v="n/a"/>
    <x v="1"/>
    <n v="0"/>
    <n v="1"/>
    <s v="sub"/>
    <s v="lexical_humble_verb"/>
    <n v="0"/>
    <x v="2"/>
    <s v="te"/>
    <s v="ss"/>
    <s v="ss"/>
    <s v="topic-drop"/>
    <s v="contains_new"/>
    <m/>
    <m/>
    <n v="1"/>
    <x v="0"/>
    <s v="Yes"/>
  </r>
  <r>
    <s v="Heike 2.108"/>
    <s v="宮中を出入りするは kyūchū o ideiri suru wa "/>
    <s v="when passing in and out of the Palace"/>
    <s v="出入りする"/>
    <s v="indicative"/>
    <s v="motion"/>
    <x v="1"/>
    <x v="1"/>
    <s v="active"/>
    <s v="positive"/>
    <n v="1"/>
    <n v="1"/>
    <x v="1"/>
    <n v="0"/>
    <x v="1"/>
    <n v="3"/>
    <x v="1"/>
    <s v="n/a"/>
    <n v="0"/>
    <n v="0"/>
    <s v="SUB"/>
    <x v="3"/>
    <n v="0"/>
    <n v="0"/>
    <s v="n/a"/>
    <s v="n/a"/>
    <n v="0"/>
    <x v="2"/>
    <s v="te"/>
    <s v="ss"/>
    <s v="ds"/>
    <s v="topic-drop"/>
    <s v="contains_new"/>
    <s v="nominalisation"/>
    <m/>
    <n v="1"/>
    <x v="0"/>
    <s v="Yes"/>
  </r>
  <r>
    <s v="Heike 2.109"/>
    <s v="皆格式の礼を守る mina kakushiki no rei o mamoru"/>
    <s v=" is according to ancient precedent,"/>
    <s v="守る"/>
    <s v="indicative"/>
    <s v="action"/>
    <x v="1"/>
    <x v="1"/>
    <s v="active"/>
    <s v="positive"/>
    <n v="1"/>
    <n v="2"/>
    <x v="3"/>
    <n v="0"/>
    <x v="0"/>
    <n v="3"/>
    <x v="1"/>
    <s v="n/a"/>
    <n v="0"/>
    <n v="1"/>
    <s v="REL"/>
    <x v="0"/>
    <n v="0"/>
    <n v="0"/>
    <s v="n/a"/>
    <s v="n/a"/>
    <n v="0"/>
    <x v="2"/>
    <s v="subordinate"/>
    <s v="ds"/>
    <s v="ds"/>
    <s v="topic-drop"/>
    <s v="contains_new"/>
    <m/>
    <m/>
    <n v="2"/>
    <x v="0"/>
    <s v="Yes"/>
  </r>
  <r>
    <s v="Heike 2.110"/>
    <s v="綸命由ある  rinmei yoshi aru "/>
    <m/>
    <s v="ある"/>
    <s v="indicative"/>
    <s v="stative"/>
    <x v="7"/>
    <x v="0"/>
    <s v="active"/>
    <s v="positive"/>
    <n v="1"/>
    <n v="1"/>
    <x v="0"/>
    <n v="0"/>
    <x v="0"/>
    <n v="3"/>
    <x v="0"/>
    <s v="n/a"/>
    <n v="0"/>
    <n v="1"/>
    <s v="REL"/>
    <x v="0"/>
    <n v="0"/>
    <n v="0"/>
    <s v="n/a"/>
    <s v="n/a"/>
    <n v="0"/>
    <x v="2"/>
    <s v="relative"/>
    <s v="ds"/>
    <s v="n/a"/>
    <s v="topic-drop"/>
    <s v="contains_new"/>
    <m/>
    <m/>
    <n v="1"/>
    <x v="0"/>
    <s v="Yes"/>
  </r>
  <r>
    <s v="Heike 2.111"/>
    <s v="先規なり senki nari"/>
    <m/>
    <s v="なり"/>
    <s v="indicative"/>
    <s v="stative"/>
    <x v="0"/>
    <x v="0"/>
    <s v="active"/>
    <s v="positive"/>
    <n v="1"/>
    <n v="0"/>
    <x v="2"/>
    <n v="0"/>
    <x v="6"/>
    <n v="0"/>
    <x v="0"/>
    <s v="n/a"/>
    <n v="0"/>
    <n v="0"/>
    <s v="n/a"/>
    <x v="8"/>
    <n v="0"/>
    <n v="0"/>
    <s v="n/a"/>
    <s v="n/a"/>
    <n v="0"/>
    <x v="2"/>
    <s v="relative"/>
    <s v="n/a"/>
    <s v="ds"/>
    <s v="topic-drop"/>
    <s v="no_overt_NP"/>
    <m/>
    <m/>
    <n v="0"/>
    <x v="0"/>
    <s v="Yes"/>
  </r>
  <r>
    <s v="Heike 2.112"/>
    <s v="然るを忠盛朝臣或いは相伝の郎従と号して (shikaru o Tadamori ason arui wa sōden no rōjū to gō shite)"/>
    <s v="but Ason Tadamori, calling a certain common soldier his hereditary retainer,"/>
    <s v="号して"/>
    <s v="indicative"/>
    <s v="action"/>
    <x v="1"/>
    <x v="1"/>
    <s v="active"/>
    <s v="positive"/>
    <n v="1"/>
    <n v="2"/>
    <x v="3"/>
    <n v="1"/>
    <x v="0"/>
    <n v="3"/>
    <x v="1"/>
    <s v="n/a"/>
    <n v="0"/>
    <n v="0"/>
    <s v="n/a"/>
    <x v="1"/>
    <n v="0"/>
    <n v="0"/>
    <s v="n/a"/>
    <s v="n/a"/>
    <n v="0"/>
    <x v="9"/>
    <s v="none"/>
    <s v="ds"/>
    <s v="ss"/>
    <s v="topic-shift"/>
    <s v="contains_new"/>
    <m/>
    <m/>
    <n v="2"/>
    <x v="0"/>
    <s v="Yes"/>
  </r>
  <r>
    <s v="Heike 2.113"/>
    <s v="布衣の兵を殿上の小庭に召し置き (hoi no hyō o tenjō no koniwa ni meshioki)"/>
    <s v=" and placing him in the small courtyard of the Palace,"/>
    <s v="召し置き"/>
    <s v="indicative"/>
    <s v="action"/>
    <x v="1"/>
    <x v="1"/>
    <s v="active"/>
    <s v="positive"/>
    <n v="1"/>
    <n v="2"/>
    <x v="7"/>
    <n v="0"/>
    <x v="2"/>
    <n v="3"/>
    <x v="1"/>
    <s v="overt"/>
    <n v="0"/>
    <n v="0"/>
    <s v="n/a"/>
    <x v="5"/>
    <n v="0"/>
    <n v="1"/>
    <s v="sub"/>
    <s v="lexical_honorific_verb"/>
    <n v="0"/>
    <x v="2"/>
    <s v="te"/>
    <s v="ss"/>
    <s v="ss"/>
    <s v="topic-drop"/>
    <s v="contains_new"/>
    <m/>
    <m/>
    <n v="2"/>
    <x v="0"/>
    <s v="Yes"/>
  </r>
  <r>
    <s v="Heike 2.114"/>
    <s v="或いは腰の刀を横へ差いて (arui wa koshi no katana o yokoe saite)"/>
    <s v="wearing a sword at his side,"/>
    <s v="差いて"/>
    <s v="indicative"/>
    <s v="other"/>
    <x v="1"/>
    <x v="1"/>
    <s v="active"/>
    <s v="positive"/>
    <n v="1"/>
    <n v="3"/>
    <x v="11"/>
    <n v="2"/>
    <x v="0"/>
    <n v="3"/>
    <x v="1"/>
    <s v="overt"/>
    <n v="0"/>
    <n v="0"/>
    <s v="n/a"/>
    <x v="1"/>
    <n v="0"/>
    <n v="0"/>
    <s v="n/a"/>
    <s v="n/a"/>
    <n v="0"/>
    <x v="2"/>
    <s v="inf"/>
    <s v="ss"/>
    <s v="ss"/>
    <s v="topic-drop"/>
    <s v="contains_new"/>
    <m/>
    <m/>
    <n v="3"/>
    <x v="0"/>
    <s v="Yes"/>
  </r>
  <r>
    <s v="Heike 2.115"/>
    <s v="節会の座に列なる setsue no za ni tsuranaru"/>
    <s v="and coming to the festival seat "/>
    <s v="列なる"/>
    <s v="indicative"/>
    <s v="other"/>
    <x v="1"/>
    <x v="0"/>
    <s v="active"/>
    <s v="positive"/>
    <n v="1"/>
    <n v="1"/>
    <x v="5"/>
    <n v="0"/>
    <x v="1"/>
    <n v="3"/>
    <x v="7"/>
    <s v="overt"/>
    <n v="0"/>
    <n v="1"/>
    <s v="REL"/>
    <x v="0"/>
    <n v="0"/>
    <n v="0"/>
    <s v="n/a"/>
    <s v="n/a"/>
    <n v="0"/>
    <x v="2"/>
    <s v="te"/>
    <s v="ss"/>
    <s v="n/a"/>
    <s v="topic-drop"/>
    <s v="contains_new"/>
    <m/>
    <m/>
    <n v="1"/>
    <x v="0"/>
    <s v="Yes"/>
  </r>
  <r>
    <s v="Heike 2.116"/>
    <s v="[両条稀代]未だ聞かざる (ryōjō kidai imada kikazaru)"/>
    <s v="both acts are unheard-of,"/>
    <s v="聞かざる"/>
    <s v="indicative"/>
    <s v="action"/>
    <x v="1"/>
    <x v="1"/>
    <s v="active"/>
    <s v="negative"/>
    <n v="1"/>
    <n v="0"/>
    <x v="2"/>
    <n v="1"/>
    <x v="4"/>
    <n v="3"/>
    <x v="0"/>
    <s v="n/a"/>
    <n v="1"/>
    <n v="0"/>
    <s v="REL"/>
    <x v="0"/>
    <n v="0"/>
    <n v="0"/>
    <s v="n/a"/>
    <s v="n/a"/>
    <n v="0"/>
    <x v="2"/>
    <s v="relative"/>
    <s v="n/a"/>
    <s v="ds"/>
    <s v="topic-drop"/>
    <s v="contains_new"/>
    <m/>
    <m/>
    <n v="0"/>
    <x v="0"/>
    <s v="Yes"/>
  </r>
  <r>
    <s v="Heike 2.117"/>
    <s v="狼藉なり rōzaku nari"/>
    <s v="disorderliness"/>
    <s v="狼藉なり"/>
    <s v="indicative"/>
    <s v="stative"/>
    <x v="0"/>
    <x v="0"/>
    <s v="active"/>
    <s v="positive"/>
    <n v="1"/>
    <n v="1"/>
    <x v="0"/>
    <n v="0"/>
    <x v="0"/>
    <n v="3"/>
    <x v="0"/>
    <s v="n/a"/>
    <n v="0"/>
    <n v="0"/>
    <s v="n/a"/>
    <x v="2"/>
    <n v="0"/>
    <n v="0"/>
    <s v="n/a"/>
    <s v="n/a"/>
    <n v="0"/>
    <x v="2"/>
    <s v="relative"/>
    <s v="ds"/>
    <s v="ds"/>
    <s v="topic-drop"/>
    <s v="contains_new"/>
    <m/>
    <m/>
    <n v="1"/>
    <x v="0"/>
    <s v="Yes"/>
  </r>
  <r>
    <s v="Heike 2.118"/>
    <s v="事既に重畳せり (koto sudeni chōjō seri)"/>
    <s v="indeed, one crime piled on another,"/>
    <s v="重畳せり"/>
    <s v="indicative"/>
    <s v="other"/>
    <x v="3"/>
    <x v="0"/>
    <s v="active"/>
    <s v="positive"/>
    <n v="1"/>
    <n v="1"/>
    <x v="0"/>
    <n v="1"/>
    <x v="0"/>
    <n v="3"/>
    <x v="0"/>
    <s v="n/a"/>
    <n v="0"/>
    <n v="0"/>
    <s v="n/a"/>
    <x v="5"/>
    <n v="0"/>
    <n v="0"/>
    <s v="n/a"/>
    <s v="n/a"/>
    <n v="0"/>
    <x v="2"/>
    <s v="main"/>
    <s v="ds"/>
    <s v="ss"/>
    <s v="topic-drop"/>
    <s v="all given"/>
    <m/>
    <m/>
    <n v="1"/>
    <x v="1"/>
    <s v="Yes"/>
  </r>
  <r>
    <s v="Heike 2.119"/>
    <s v="罪科尤も遁れ難し (tsumitoga mottomo nogaregatashi)"/>
    <s v="a charge he would find difficult to escape."/>
    <s v="遁れ難し"/>
    <s v="dynamic"/>
    <s v="stative"/>
    <x v="1"/>
    <x v="1"/>
    <s v="active"/>
    <s v="positive"/>
    <n v="1"/>
    <n v="1"/>
    <x v="0"/>
    <n v="0"/>
    <x v="0"/>
    <n v="3"/>
    <x v="1"/>
    <s v="n/a"/>
    <n v="0"/>
    <n v="0"/>
    <s v="n/a"/>
    <x v="2"/>
    <n v="0"/>
    <n v="0"/>
    <s v="n/a"/>
    <s v="n/a"/>
    <n v="0"/>
    <x v="2"/>
    <s v="inf"/>
    <s v="ss"/>
    <s v="ds"/>
    <s v="topic-drop"/>
    <s v="contains_new"/>
    <m/>
    <m/>
    <n v="1"/>
    <x v="0"/>
    <s v="Yes"/>
  </r>
  <r>
    <s v="Heike 2.120"/>
    <s v="早く殿上の御札を削りて (hayaku tenjō no mifuda o kezurite)"/>
    <s v="they petitioned that his name be erased from the list of Courtiers"/>
    <s v="削りて "/>
    <s v="indicative"/>
    <s v="action"/>
    <x v="1"/>
    <x v="1"/>
    <s v="active"/>
    <s v="positive"/>
    <n v="1"/>
    <n v="1"/>
    <x v="1"/>
    <n v="0"/>
    <x v="4"/>
    <n v="3"/>
    <x v="1"/>
    <s v="n/a"/>
    <n v="0"/>
    <n v="0"/>
    <s v="n/a"/>
    <x v="1"/>
    <n v="0"/>
    <n v="0"/>
    <s v="n/a"/>
    <s v="n/a"/>
    <n v="0"/>
    <x v="2"/>
    <s v="main"/>
    <s v="ds"/>
    <s v="ss"/>
    <s v="topic-drop"/>
    <s v="contains_new"/>
    <m/>
    <m/>
    <n v="1"/>
    <x v="0"/>
    <s v="Yes"/>
  </r>
  <r>
    <s v="Heike 2.121"/>
    <s v="欠官停任せらるべき (kekkan teinin seraru beki yoshi)"/>
    <s v=" and he be deprived of rank and office,"/>
    <s v="停任せらるべき"/>
    <s v="deontic"/>
    <s v="action"/>
    <x v="3"/>
    <x v="0"/>
    <s v="passive"/>
    <s v="positive"/>
    <n v="1"/>
    <n v="0"/>
    <x v="2"/>
    <n v="0"/>
    <x v="1"/>
    <n v="3"/>
    <x v="0"/>
    <s v="n/a"/>
    <n v="0"/>
    <n v="1"/>
    <s v="REL"/>
    <x v="0"/>
    <n v="0"/>
    <n v="0"/>
    <s v="n/a"/>
    <s v="n/a"/>
    <n v="0"/>
    <x v="2"/>
    <s v="te"/>
    <s v="ss"/>
    <s v="ds"/>
    <s v="topic-drop"/>
    <s v="no_overt_NP"/>
    <m/>
    <m/>
    <n v="0"/>
    <x v="1"/>
    <s v="Yes"/>
  </r>
  <r>
    <s v="Heike 2.122"/>
    <s v="由諸卿一同に訴へ申されければ (yoshi shokyō ichidō ni uttaemōsarekereba)"/>
    <s v="and all the Court Nobles together petitioned,"/>
    <s v="訴へ申されければ"/>
    <s v="indicative"/>
    <s v="action"/>
    <x v="1"/>
    <x v="1"/>
    <s v="active"/>
    <s v="positive"/>
    <n v="1"/>
    <n v="2"/>
    <x v="3"/>
    <n v="1"/>
    <x v="0"/>
    <n v="3"/>
    <x v="1"/>
    <s v="n/a"/>
    <n v="0"/>
    <n v="0"/>
    <s v="n/a"/>
    <x v="3"/>
    <n v="1"/>
    <n v="0"/>
    <s v="sub"/>
    <s v="honorific_aux+lexical_honorific_verb"/>
    <n v="0"/>
    <x v="0"/>
    <s v="relative"/>
    <s v="ds"/>
    <s v="ds"/>
    <s v="topic-drop"/>
    <s v="contains_new"/>
    <m/>
    <m/>
    <n v="2"/>
    <x v="0"/>
    <s v="Yes"/>
  </r>
  <r>
    <s v="Heike 2.123"/>
    <s v="上皇大きに驚かせ給ひて (Jōkō ōki ni odorokase tamai te)"/>
    <s v="His Majesty the Mikado, greatly surprised,"/>
    <s v="驚かせ給ひて"/>
    <s v="indicative"/>
    <s v="action"/>
    <x v="1"/>
    <x v="0"/>
    <s v="active"/>
    <s v="positive"/>
    <n v="1"/>
    <n v="1"/>
    <x v="0"/>
    <n v="0"/>
    <x v="0"/>
    <n v="3"/>
    <x v="0"/>
    <s v="n/a"/>
    <n v="0"/>
    <n v="0"/>
    <s v="n/a"/>
    <x v="1"/>
    <n v="1"/>
    <n v="0"/>
    <s v="sub"/>
    <s v="honorific_aux+lexical_honorific_verb"/>
    <n v="0"/>
    <x v="2"/>
    <s v="subordinate"/>
    <s v="ds"/>
    <s v="ss"/>
    <s v="topic-drop"/>
    <s v="contains_new"/>
    <m/>
    <m/>
    <n v="1"/>
    <x v="0"/>
    <s v="Yes"/>
  </r>
  <r>
    <s v="Heike 2.124"/>
    <s v="忠盛を召して (Tadamori o meshite)"/>
    <s v="ordered Tadamori into his Presence,"/>
    <s v="召して"/>
    <s v="indicative"/>
    <s v="action"/>
    <x v="1"/>
    <x v="0"/>
    <s v="active"/>
    <s v="positive"/>
    <n v="1"/>
    <n v="1"/>
    <x v="1"/>
    <n v="0"/>
    <x v="2"/>
    <n v="3"/>
    <x v="1"/>
    <s v="n/a"/>
    <n v="0"/>
    <n v="0"/>
    <s v="n/a"/>
    <x v="1"/>
    <n v="0"/>
    <n v="1"/>
    <s v="sub"/>
    <s v="lexical_honorific_verb"/>
    <n v="0"/>
    <x v="2"/>
    <s v="te"/>
    <s v="ss"/>
    <s v="ds"/>
    <s v="topic-drop"/>
    <s v="contains_new"/>
    <m/>
    <m/>
    <n v="1"/>
    <x v="0"/>
    <s v="Yes"/>
  </r>
  <r>
    <s v="Heike 2.125"/>
    <s v="御尋ねあり o-tazune ari"/>
    <s v=" to make examination into the affair"/>
    <s v="御尋ねあり"/>
    <s v="indicative"/>
    <s v="action"/>
    <x v="1"/>
    <x v="0"/>
    <s v="active"/>
    <s v="positive"/>
    <n v="1"/>
    <n v="1"/>
    <x v="0"/>
    <n v="0"/>
    <x v="0"/>
    <n v="3"/>
    <x v="0"/>
    <s v="n/a"/>
    <n v="0"/>
    <n v="0"/>
    <s v="n/a"/>
    <x v="2"/>
    <n v="1"/>
    <n v="0"/>
    <s v="sub"/>
    <s v="honorific prefix"/>
    <n v="1"/>
    <x v="2"/>
    <s v="te"/>
    <s v="ds"/>
    <s v="ds"/>
    <s v="topic-drop"/>
    <s v="contains_new"/>
    <m/>
    <m/>
    <n v="1"/>
    <x v="0"/>
    <s v="Yes"/>
  </r>
  <r>
    <s v="Heike 2.126"/>
    <s v="陳じ申されけるは (chinji mōsarekeru wa)"/>
    <s v="in his reply he stated that,"/>
    <s v="申されける"/>
    <s v="indicative"/>
    <s v="action"/>
    <x v="1"/>
    <x v="1"/>
    <s v="active"/>
    <s v="positive"/>
    <n v="1"/>
    <n v="0"/>
    <x v="2"/>
    <n v="0"/>
    <x v="2"/>
    <n v="3"/>
    <x v="5"/>
    <s v="n/a"/>
    <n v="0"/>
    <n v="0"/>
    <s v="SUB"/>
    <x v="3"/>
    <n v="0"/>
    <n v="1"/>
    <s v="sub"/>
    <s v="honorific_aux+lexical_humble_verb"/>
    <n v="0"/>
    <x v="2"/>
    <s v="main"/>
    <s v="ds"/>
    <s v="ss"/>
    <s v="topic-drop"/>
    <s v="no_overt_NP"/>
    <s v="nominalisation"/>
    <m/>
    <n v="0"/>
    <x v="0"/>
    <s v="Yes"/>
  </r>
  <r>
    <s v="Heike 2.127"/>
    <s v="まづ郎従小庭に伺候の由全く覚悟仕らず (mazu rōjū koniwa ni shikō no yoshi mattaku kakugo tsukamatsurazu)"/>
    <s v="as to the presence of his retainer in the Palace, he certainly knew nothing about it,"/>
    <s v="覚悟仕らず"/>
    <s v="indicative"/>
    <s v="action"/>
    <x v="3"/>
    <x v="1"/>
    <s v="active"/>
    <s v="negative"/>
    <n v="1"/>
    <n v="1"/>
    <x v="1"/>
    <n v="2"/>
    <x v="2"/>
    <n v="3"/>
    <x v="1"/>
    <s v="n/a"/>
    <n v="0"/>
    <n v="0"/>
    <s v="n/a"/>
    <x v="3"/>
    <n v="0"/>
    <n v="1"/>
    <s v="sub"/>
    <s v="lexical_humble_verb"/>
    <n v="0"/>
    <x v="2"/>
    <s v="subordinate"/>
    <s v="ss"/>
    <s v="ds"/>
    <s v="topic-drop"/>
    <s v="contains_new"/>
    <m/>
    <m/>
    <n v="1"/>
    <x v="1"/>
    <s v="Yes"/>
  </r>
  <r>
    <s v="Heike 2.128"/>
    <s v="但し近日人々相巧まるる (tadashi kinjitsu hitobito ai-takuramaruru)"/>
    <s v=" [...]  the designs that people were plotting,"/>
    <s v="巧まるる"/>
    <s v="indicative"/>
    <s v="action"/>
    <x v="1"/>
    <x v="1"/>
    <s v="active"/>
    <s v="positive"/>
    <n v="1"/>
    <n v="1"/>
    <x v="0"/>
    <n v="1"/>
    <x v="0"/>
    <n v="3"/>
    <x v="5"/>
    <s v="n/a"/>
    <n v="0"/>
    <n v="0"/>
    <s v="REL"/>
    <x v="0"/>
    <n v="1"/>
    <n v="0"/>
    <s v="sub"/>
    <s v="honorific_aux"/>
    <n v="0"/>
    <x v="2"/>
    <s v="subordinate"/>
    <s v="ds"/>
    <s v="ds"/>
    <s v="topic-drop"/>
    <s v="contains_new"/>
    <m/>
    <m/>
    <n v="1"/>
    <x v="0"/>
    <s v="Yes"/>
  </r>
  <r>
    <s v="Heike 2.129"/>
    <s v="旨子細あるかの間 mune shisai aru ka no aida "/>
    <s v="[…] had lately heard of"/>
    <s v="ある"/>
    <s v="indicative"/>
    <s v="stative"/>
    <x v="7"/>
    <x v="0"/>
    <s v="active"/>
    <s v="positive"/>
    <n v="1"/>
    <n v="1"/>
    <x v="0"/>
    <n v="1"/>
    <x v="0"/>
    <n v="3"/>
    <x v="0"/>
    <s v="n/a"/>
    <n v="0"/>
    <n v="0"/>
    <s v="n/a"/>
    <x v="3"/>
    <n v="0"/>
    <n v="0"/>
    <s v="n/a"/>
    <s v="n/a"/>
    <n v="0"/>
    <x v="0"/>
    <s v="relative"/>
    <s v="ds"/>
    <s v="ss"/>
    <s v="topic-drop"/>
    <s v="contains_new"/>
    <m/>
    <m/>
    <n v="1"/>
    <x v="0"/>
    <s v="Yes"/>
  </r>
  <r>
    <s v="Heike 2.130"/>
    <s v="年来の家人事を伝へ聞くかによつて (nenrai no kenin goto o tsutae kiku ka ni yotte)"/>
    <s v=" if his retainers"/>
    <s v="伝へ聞く"/>
    <s v="indicative"/>
    <s v="perception"/>
    <x v="12"/>
    <x v="1"/>
    <s v="active"/>
    <s v="positive"/>
    <n v="1"/>
    <n v="2"/>
    <x v="3"/>
    <n v="1"/>
    <x v="0"/>
    <n v="3"/>
    <x v="1"/>
    <s v="n/a"/>
    <n v="0"/>
    <n v="0"/>
    <s v="n/a"/>
    <x v="3"/>
    <n v="0"/>
    <n v="0"/>
    <s v="n/a"/>
    <s v="n/a"/>
    <n v="0"/>
    <x v="1"/>
    <s v="subordinate"/>
    <s v="ss"/>
    <s v="ss"/>
    <s v="topic-drop"/>
    <s v="contains_new"/>
    <m/>
    <m/>
    <n v="2"/>
    <x v="0"/>
    <s v="Yes"/>
  </r>
  <r>
    <s v="Heike 2.131"/>
    <s v="その恥を助けんが為に (sono haji o tasuken ga tame ni)"/>
    <s v="and in order to help him against such dishonour,  intending to prevent dishonour,"/>
    <s v="助けん"/>
    <s v="dynamic"/>
    <s v="other"/>
    <x v="1"/>
    <x v="1"/>
    <s v="active"/>
    <s v="positive"/>
    <n v="1"/>
    <n v="1"/>
    <x v="1"/>
    <n v="0"/>
    <x v="1"/>
    <n v="3"/>
    <x v="1"/>
    <s v="n/a"/>
    <n v="0"/>
    <n v="0"/>
    <s v="n/a"/>
    <x v="3"/>
    <n v="0"/>
    <n v="0"/>
    <s v="n/a"/>
    <s v="n/a"/>
    <n v="0"/>
    <x v="7"/>
    <s v="subordinate"/>
    <s v="ss"/>
    <s v="ss"/>
    <s v="topic-drop"/>
    <s v="contains_new"/>
    <m/>
    <m/>
    <n v="1"/>
    <x v="0"/>
    <s v="Yes"/>
  </r>
  <r>
    <s v="Heike 2.132"/>
    <s v="忠盛には知らせずして Tadamori ni wa shirasazu shite"/>
    <s v=" without informing him,  "/>
    <s v="知らせず"/>
    <s v="indicative"/>
    <s v="other"/>
    <x v="1"/>
    <x v="3"/>
    <s v="active"/>
    <s v="negative"/>
    <n v="1"/>
    <n v="2"/>
    <x v="5"/>
    <n v="1"/>
    <x v="1"/>
    <n v="3"/>
    <x v="3"/>
    <s v="overt"/>
    <n v="0"/>
    <n v="0"/>
    <s v="n/a"/>
    <x v="1"/>
    <n v="0"/>
    <n v="0"/>
    <s v="n/a"/>
    <s v="n/a"/>
    <n v="0"/>
    <x v="1"/>
    <s v="subordinate"/>
    <s v="ss"/>
    <n v="0"/>
    <s v="topic-continued"/>
    <s v="contains_new"/>
    <m/>
    <m/>
    <n v="2"/>
    <x v="0"/>
    <s v="Yes"/>
  </r>
  <r>
    <s v="Heike 2.133"/>
    <s v="密かに参候の条 (hisoka ni sankō no jō)"/>
    <s v="his retainers had come hither secretly"/>
    <s v="N/A (nominal clause)"/>
    <s v="indicative"/>
    <s v="other"/>
    <x v="10"/>
    <x v="2"/>
    <m/>
    <m/>
    <m/>
    <m/>
    <x v="6"/>
    <m/>
    <x v="3"/>
    <m/>
    <x v="4"/>
    <m/>
    <m/>
    <m/>
    <m/>
    <x v="7"/>
    <m/>
    <m/>
    <s v="n/a"/>
    <s v="n/a"/>
    <m/>
    <x v="5"/>
    <s v="te"/>
    <m/>
    <s v="ds"/>
    <m/>
    <m/>
    <s v="not sure if I should treat this as a nominal or verbal predicate or whether there is predication at all"/>
    <m/>
    <m/>
    <x v="0"/>
    <s v="Yes"/>
  </r>
  <r>
    <s v="Heike 2.134"/>
    <s v="力及ばざる chikara oyobazaru"/>
    <s v="his retainers had come hither secretly"/>
    <s v="及ばざる"/>
    <s v="indicative"/>
    <s v="other"/>
    <x v="1"/>
    <x v="0"/>
    <s v="active"/>
    <s v="negative"/>
    <n v="1"/>
    <n v="1"/>
    <x v="0"/>
    <n v="0"/>
    <x v="0"/>
    <n v="3"/>
    <x v="0"/>
    <s v="n/a"/>
    <n v="0"/>
    <n v="1"/>
    <s v="REL"/>
    <x v="0"/>
    <n v="0"/>
    <n v="0"/>
    <s v="n/a"/>
    <s v="n/a"/>
    <n v="0"/>
    <x v="2"/>
    <n v="0"/>
    <s v="ds"/>
    <s v="ds"/>
    <s v="topic-drop"/>
    <s v="contains_new"/>
    <m/>
    <m/>
    <n v="1"/>
    <x v="0"/>
    <s v="Yes"/>
  </r>
  <r>
    <s v="Heike 2.135"/>
    <s v="次第なり"/>
    <s v="shidai nari"/>
    <s v="なり"/>
    <s v="indicative"/>
    <s v="stative"/>
    <x v="0"/>
    <x v="0"/>
    <s v="active"/>
    <s v="positive"/>
    <n v="1"/>
    <n v="0"/>
    <x v="2"/>
    <n v="0"/>
    <x v="1"/>
    <n v="3"/>
    <x v="0"/>
    <s v="n/a"/>
    <n v="0"/>
    <n v="0"/>
    <s v="n/a"/>
    <x v="2"/>
    <n v="0"/>
    <n v="0"/>
    <s v="n/a"/>
    <s v="n/a"/>
    <n v="0"/>
    <x v="2"/>
    <s v="relative"/>
    <s v="ds"/>
    <s v="ds"/>
    <s v="topic-drop"/>
    <s v="no_overt_NP"/>
    <m/>
    <m/>
    <n v="0"/>
    <x v="0"/>
    <s v="Yes"/>
  </r>
  <r>
    <s v="Heike 2.136"/>
    <s v="もしその咎あるべくば (moshi sono toga arubekuba)"/>
    <s v="&quot;if there be any blame, "/>
    <s v="ある"/>
    <s v="indicative"/>
    <s v="stative"/>
    <x v="7"/>
    <x v="0"/>
    <s v="active"/>
    <s v="positive"/>
    <n v="1"/>
    <n v="1"/>
    <x v="0"/>
    <n v="0"/>
    <x v="0"/>
    <n v="3"/>
    <x v="0"/>
    <s v="n/a"/>
    <n v="0"/>
    <n v="0"/>
    <s v="n/a"/>
    <x v="3"/>
    <n v="0"/>
    <n v="0"/>
    <s v="n/a"/>
    <s v="n/a"/>
    <n v="0"/>
    <x v="10"/>
    <s v="main"/>
    <s v="ds"/>
    <s v="ds"/>
    <s v="topic-shift"/>
    <s v="contains_new"/>
    <m/>
    <m/>
    <n v="1"/>
    <x v="0"/>
    <s v="Yes"/>
  </r>
  <r>
    <s v="Heike 2.137"/>
    <s v="かの身を召し進ずべきか  ka no mi o meshi shinzu beki ka"/>
    <s v="do I not yield my body herewith?&quot;"/>
    <s v="召し進ずべき"/>
    <s v="deontic"/>
    <s v="action"/>
    <x v="3"/>
    <x v="2"/>
    <s v="active"/>
    <s v="positive"/>
    <n v="1"/>
    <n v="1"/>
    <x v="1"/>
    <n v="0"/>
    <x v="2"/>
    <n v="1"/>
    <x v="1"/>
    <s v="n/a"/>
    <n v="0"/>
    <n v="0"/>
    <s v="n/a"/>
    <x v="2"/>
    <n v="0"/>
    <n v="1"/>
    <s v="sub"/>
    <s v="lexical_honorific_verb"/>
    <n v="0"/>
    <x v="2"/>
    <s v="subordinate"/>
    <s v="ds"/>
    <s v="ss"/>
    <s v="topic-drop"/>
    <s v="contains_new"/>
    <m/>
    <m/>
    <n v="1"/>
    <x v="1"/>
    <s v="Yes"/>
  </r>
  <r>
    <s v="Heike 2.138"/>
    <s v="次に刀の事は主殿司に預け置き候ひ畢んぬ (tsugi ni katana no koto wa tonomotsukasa ni azukeoki soroiowannu)"/>
    <s v="as for the sword, I deposited it in the Tonomotsukasa,"/>
    <s v="預け置き / 候ひ畢んぬ"/>
    <s v="indicative"/>
    <s v="action"/>
    <x v="12"/>
    <x v="1"/>
    <s v="active"/>
    <s v="positive"/>
    <n v="1"/>
    <n v="2"/>
    <x v="7"/>
    <n v="0"/>
    <x v="1"/>
    <n v="1"/>
    <x v="1"/>
    <s v="overt"/>
    <n v="0"/>
    <n v="0"/>
    <s v="n/a"/>
    <x v="2"/>
    <n v="0"/>
    <n v="0"/>
    <s v="n/a"/>
    <s v="polite_aux"/>
    <n v="0"/>
    <x v="2"/>
    <s v="main"/>
    <s v="ss"/>
    <s v="ds"/>
    <s v="topic-shift"/>
    <s v="contains_new"/>
    <m/>
    <m/>
    <n v="2"/>
    <x v="0"/>
    <s v="Yes"/>
  </r>
  <r>
    <s v="Heike 2.139"/>
    <s v="召し出だされ (meshi idasare)"/>
    <s v="if it be brought out from thence,"/>
    <s v="召し出だされ "/>
    <s v="indicative"/>
    <s v="action"/>
    <x v="1"/>
    <x v="0"/>
    <s v="passive"/>
    <s v="positive"/>
    <n v="1"/>
    <n v="0"/>
    <x v="2"/>
    <n v="0"/>
    <x v="2"/>
    <n v="3"/>
    <x v="3"/>
    <s v="zero_recoverable"/>
    <n v="0"/>
    <n v="0"/>
    <s v="n/a"/>
    <x v="2"/>
    <n v="0"/>
    <n v="1"/>
    <s v="sub"/>
    <s v="lexical_honorific_verb"/>
    <n v="0"/>
    <x v="2"/>
    <s v="main"/>
    <s v="ds"/>
    <s v="ss"/>
    <s v="topic-drop"/>
    <s v="no_overt_NP"/>
    <m/>
    <m/>
    <n v="0"/>
    <x v="0"/>
    <s v="Yes"/>
  </r>
  <r>
    <s v="Heike 2.140"/>
    <s v="刀の実否に付きて咎の左右あるべきか  katana no jippi ni tsukite toga no sayū aru beki ka"/>
    <s v=" it may be seen if it be a real sword or not,"/>
    <s v="あるべき"/>
    <s v="deontic"/>
    <s v="stative"/>
    <x v="7"/>
    <x v="0"/>
    <s v="active"/>
    <s v="positive"/>
    <n v="1"/>
    <n v="1"/>
    <x v="0"/>
    <n v="1"/>
    <x v="0"/>
    <n v="3"/>
    <x v="0"/>
    <s v="n/a"/>
    <n v="0"/>
    <n v="0"/>
    <s v="n/a"/>
    <x v="2"/>
    <n v="0"/>
    <n v="0"/>
    <s v="n/a"/>
    <s v="n/a"/>
    <n v="0"/>
    <x v="2"/>
    <s v="main"/>
    <s v="ss"/>
    <s v="ds"/>
    <s v="topic-drop"/>
    <s v="contains_new"/>
    <m/>
    <m/>
    <n v="1"/>
    <x v="0"/>
    <s v="Yes"/>
  </r>
  <r>
    <s v="Heike 2.141"/>
    <s v="この儀尤も然るべしとて (kono gi motto mo shikarubeshi tote)"/>
    <s v="&quot;This seems quite reasonable,&quot;"/>
    <s v="然るべし"/>
    <s v="deontic"/>
    <s v="stative"/>
    <x v="5"/>
    <x v="0"/>
    <s v="active"/>
    <s v="positive"/>
    <n v="1"/>
    <n v="1"/>
    <x v="0"/>
    <n v="0"/>
    <x v="0"/>
    <n v="3"/>
    <x v="0"/>
    <s v="n/a"/>
    <n v="0"/>
    <n v="0"/>
    <s v="n/a"/>
    <x v="3"/>
    <n v="0"/>
    <n v="0"/>
    <s v="n/a"/>
    <s v="n/a"/>
    <n v="0"/>
    <x v="3"/>
    <s v="main"/>
    <s v="ds"/>
    <s v="ds"/>
    <s v="topic-drop"/>
    <s v="contains_new"/>
    <m/>
    <m/>
    <n v="1"/>
    <x v="0"/>
    <s v="Yes"/>
  </r>
  <r>
    <s v="Heike 2.142"/>
    <s v="かの刀を召し出でて (kano katana o meshi-idete)"/>
    <s v="and they hastened to bring forth the sword,"/>
    <s v="召し出でて"/>
    <s v="indicative"/>
    <s v="action"/>
    <x v="1"/>
    <x v="1"/>
    <s v="active"/>
    <s v="positive"/>
    <n v="1"/>
    <n v="1"/>
    <x v="1"/>
    <n v="1"/>
    <x v="2"/>
    <n v="3"/>
    <x v="1"/>
    <s v="n/a"/>
    <n v="0"/>
    <n v="0"/>
    <s v="n/a"/>
    <x v="1"/>
    <n v="0"/>
    <n v="1"/>
    <s v="sub"/>
    <s v="lexical_honorific_verb"/>
    <n v="0"/>
    <x v="1"/>
    <s v="subordinate"/>
    <s v="ds"/>
    <s v="ss"/>
    <s v="topic-continued"/>
    <s v="all given"/>
    <m/>
    <m/>
    <n v="1"/>
    <x v="0"/>
    <s v="Yes"/>
  </r>
  <r>
    <s v="Heike 2.143"/>
    <s v="叡覧あるに (eiran aru ni)"/>
    <s v="and exhibit it before His Majesty,"/>
    <s v="叡覧ある"/>
    <s v="indicative"/>
    <s v="action"/>
    <x v="3"/>
    <x v="1"/>
    <s v="active"/>
    <s v="positive"/>
    <n v="1"/>
    <n v="0"/>
    <x v="2"/>
    <n v="0"/>
    <x v="2"/>
    <n v="3"/>
    <x v="3"/>
    <s v="n/a"/>
    <n v="0"/>
    <n v="0"/>
    <s v="n/a"/>
    <x v="3"/>
    <n v="0"/>
    <n v="1"/>
    <s v="sub"/>
    <s v="lexical_honorific_verb"/>
    <n v="0"/>
    <x v="0"/>
    <s v="te"/>
    <s v="ss"/>
    <s v="ds"/>
    <s v="topic-drop"/>
    <s v="no_overt_NP"/>
    <m/>
    <m/>
    <n v="0"/>
    <x v="1"/>
    <s v="Yes"/>
  </r>
  <r>
    <s v="Heike 2.144"/>
    <s v="上は鞘巻の黒う塗つたりけるが (ue wa sayamaki no kuro u nuttari keru ga)"/>
    <s v="its outside was that of a dirk in a black lacquer sheath,"/>
    <s v="塗つたりける"/>
    <s v="indicative"/>
    <s v="stative"/>
    <x v="1"/>
    <x v="0"/>
    <s v="resultative"/>
    <s v="positive"/>
    <n v="1"/>
    <n v="1"/>
    <x v="0"/>
    <n v="0"/>
    <x v="0"/>
    <n v="3"/>
    <x v="0"/>
    <s v="n/a"/>
    <n v="0"/>
    <n v="0"/>
    <s v="n/a"/>
    <x v="3"/>
    <n v="0"/>
    <n v="0"/>
    <s v="n/a"/>
    <s v="n/a"/>
    <n v="0"/>
    <x v="9"/>
    <s v="subordinate"/>
    <s v="ds"/>
    <s v="ds"/>
    <s v="topic-drop"/>
    <s v="contains_new"/>
    <m/>
    <m/>
    <n v="1"/>
    <x v="0"/>
    <s v="Yes"/>
  </r>
  <r>
    <s v="Heike 2.145"/>
    <s v="中は木刀に銀薄をぞ押したりける (naka wa bokutō ni gin-haku o zo oshitari keru)"/>
    <s v="but within was only a wooden blade covered with silver."/>
    <s v="押したりける"/>
    <s v="indicative"/>
    <s v="stative"/>
    <x v="1"/>
    <x v="1"/>
    <s v="resultative"/>
    <s v="positive"/>
    <n v="1"/>
    <n v="3"/>
    <x v="11"/>
    <n v="0"/>
    <x v="0"/>
    <n v="3"/>
    <x v="1"/>
    <s v="overt"/>
    <n v="0"/>
    <n v="0"/>
    <s v="n/a"/>
    <x v="2"/>
    <n v="0"/>
    <n v="0"/>
    <s v="n/a"/>
    <s v="n/a"/>
    <n v="0"/>
    <x v="2"/>
    <s v="subordinate"/>
    <s v="ds"/>
    <s v="ds"/>
    <s v="topic-drop"/>
    <s v="contains_new"/>
    <m/>
    <m/>
    <n v="3"/>
    <x v="0"/>
    <s v="Yes"/>
  </r>
  <r>
    <s v="Heike 2.146"/>
    <s v="当座の恥辱を遁れんが為に (tōza no chijoku o nogaren ga tame ni)"/>
    <s v=" to avoid dishonour at the moment,"/>
    <s v="遁れん "/>
    <s v="dynamic"/>
    <s v="other"/>
    <x v="1"/>
    <x v="1"/>
    <s v="active"/>
    <s v="positive"/>
    <n v="1"/>
    <n v="1"/>
    <x v="1"/>
    <n v="0"/>
    <x v="1"/>
    <n v="3"/>
    <x v="1"/>
    <s v="n/a"/>
    <n v="0"/>
    <n v="0"/>
    <s v="n/a"/>
    <x v="3"/>
    <n v="0"/>
    <n v="0"/>
    <s v="n/a"/>
    <s v="n/a"/>
    <n v="0"/>
    <x v="7"/>
    <s v="main"/>
    <s v="ds"/>
    <s v="ss"/>
    <s v="topic-drop"/>
    <s v="contains_new"/>
    <m/>
    <m/>
    <n v="1"/>
    <x v="0"/>
    <s v="Yes"/>
  </r>
  <r>
    <s v="Heike 2.147"/>
    <s v="刀を帯する katana o taisuru "/>
    <s v="Although he had displayed "/>
    <s v="帯する"/>
    <s v="indicative"/>
    <s v="other"/>
    <x v="3"/>
    <x v="1"/>
    <s v="active"/>
    <s v="positive"/>
    <n v="1"/>
    <n v="1"/>
    <x v="1"/>
    <n v="0"/>
    <x v="1"/>
    <n v="3"/>
    <x v="1"/>
    <s v="n/a"/>
    <n v="0"/>
    <n v="1"/>
    <s v="REL"/>
    <x v="0"/>
    <n v="0"/>
    <n v="0"/>
    <s v="n/a"/>
    <s v="n/a"/>
    <n v="0"/>
    <x v="2"/>
    <s v="subordinate"/>
    <s v="ss"/>
    <s v="ss"/>
    <s v="topic-drop"/>
    <s v="all given"/>
    <m/>
    <m/>
    <n v="1"/>
    <x v="1"/>
    <s v="Yes"/>
  </r>
  <r>
    <s v="Heike 2.148"/>
    <s v="由顕すといへども yoshi arawasu to iedomo"/>
    <s v="the appearance of a sword"/>
    <s v="顕す"/>
    <s v="indicative"/>
    <s v="other"/>
    <x v="1"/>
    <x v="1"/>
    <s v="active"/>
    <s v="positive"/>
    <n v="1"/>
    <n v="1"/>
    <x v="1"/>
    <n v="0"/>
    <x v="1"/>
    <n v="3"/>
    <x v="1"/>
    <s v="n/a"/>
    <n v="0"/>
    <n v="0"/>
    <s v="n/a"/>
    <x v="3"/>
    <n v="0"/>
    <n v="0"/>
    <s v="n/a"/>
    <s v="n/a"/>
    <n v="0"/>
    <x v="9"/>
    <s v="relative"/>
    <s v="ss"/>
    <s v="ss"/>
    <s v="topic-drop"/>
    <s v="contains_new"/>
    <m/>
    <m/>
    <n v="1"/>
    <x v="0"/>
    <s v="Yes"/>
  </r>
  <r>
    <s v="Heike 2.149"/>
    <s v="後日の訴訟を存じて (gojitsu no soshō o zonjite)"/>
    <s v="his substitution of a wooden blade as a precaution against an after accusation was exceedingly praiseworthy."/>
    <s v="存じて"/>
    <s v="indicative"/>
    <s v="perception"/>
    <x v="3"/>
    <x v="1"/>
    <s v="active"/>
    <s v="positive"/>
    <n v="1"/>
    <n v="1"/>
    <x v="1"/>
    <n v="0"/>
    <x v="2"/>
    <n v="3"/>
    <x v="1"/>
    <s v="n/a"/>
    <n v="0"/>
    <n v="0"/>
    <s v="n/a"/>
    <x v="1"/>
    <n v="0"/>
    <n v="1"/>
    <s v="sub"/>
    <s v="lexical_humble_verb"/>
    <n v="0"/>
    <x v="2"/>
    <s v="subordinate"/>
    <s v="ss"/>
    <s v="ss"/>
    <s v="topic-drop"/>
    <s v="contains_new"/>
    <m/>
    <m/>
    <n v="1"/>
    <x v="1"/>
    <s v="Yes"/>
  </r>
  <r>
    <s v="Heike 2.150"/>
    <s v="木刀を帯したる"/>
    <s v=" bokutō o tachitaru "/>
    <s v="帯したる"/>
    <s v="indicative"/>
    <s v="action"/>
    <x v="3"/>
    <x v="1"/>
    <s v="active"/>
    <s v="positive"/>
    <n v="1"/>
    <n v="1"/>
    <x v="1"/>
    <n v="0"/>
    <x v="1"/>
    <n v="3"/>
    <x v="1"/>
    <s v="n/a"/>
    <n v="0"/>
    <n v="1"/>
    <s v="REL"/>
    <x v="0"/>
    <n v="0"/>
    <n v="0"/>
    <s v="n/a"/>
    <s v="n/a"/>
    <n v="0"/>
    <x v="2"/>
    <s v="te"/>
    <s v="ss"/>
    <s v="ds"/>
    <s v="topic-drop"/>
    <s v="contains_new"/>
    <m/>
    <m/>
    <n v="1"/>
    <x v="1"/>
    <s v="Yes"/>
  </r>
  <r>
    <s v="Heike 2.151"/>
    <s v="用意のほどこそ神妙なれ yōi no hodo koso shinmyō nare"/>
    <m/>
    <s v="なれ"/>
    <s v="indicative"/>
    <s v="stative"/>
    <x v="0"/>
    <x v="0"/>
    <s v="active"/>
    <s v="positive"/>
    <n v="1"/>
    <n v="1"/>
    <x v="0"/>
    <n v="0"/>
    <x v="0"/>
    <n v="3"/>
    <x v="0"/>
    <s v="n/a"/>
    <n v="0"/>
    <n v="0"/>
    <s v="n/a"/>
    <x v="2"/>
    <n v="0"/>
    <n v="0"/>
    <s v="n/a"/>
    <s v="n/a"/>
    <n v="0"/>
    <x v="2"/>
    <s v="relative"/>
    <s v="ds"/>
    <s v="ds"/>
    <s v="topic-drop"/>
    <s v="contains_new"/>
    <m/>
    <m/>
    <n v="1"/>
    <x v="0"/>
    <s v="Yes"/>
  </r>
  <r>
    <s v="Heike 2.152"/>
    <s v="弓箭に携らん (yumiya ni tazusaran)"/>
    <s v="Such prudence is most commendable in a warrior."/>
    <s v="携らん"/>
    <s v="dynamic"/>
    <s v="action"/>
    <x v="1"/>
    <x v="0"/>
    <s v="active"/>
    <s v="positive"/>
    <n v="1"/>
    <n v="1"/>
    <x v="5"/>
    <n v="0"/>
    <x v="1"/>
    <n v="3"/>
    <x v="0"/>
    <s v="overt"/>
    <n v="1"/>
    <n v="0"/>
    <s v="REL"/>
    <x v="0"/>
    <n v="0"/>
    <n v="0"/>
    <s v="n/a"/>
    <s v="n/a"/>
    <n v="0"/>
    <x v="2"/>
    <s v="main"/>
    <s v="ds"/>
    <s v="ds"/>
    <s v="topic-shift"/>
    <s v="contains_new"/>
    <m/>
    <m/>
    <n v="1"/>
    <x v="0"/>
    <s v="Yes"/>
  </r>
  <r>
    <s v="Heike 2.153"/>
    <s v="ほどの者の謀は尤もかうこそあらまほしけれ hodo no mono no hakarigoto wa motto mo kō koso aramahoshikere"/>
    <m/>
    <s v="あらまほしけれ"/>
    <s v="desiderative"/>
    <s v="psych-state"/>
    <x v="5"/>
    <x v="0"/>
    <s v="active"/>
    <s v="positive"/>
    <n v="1"/>
    <n v="1"/>
    <x v="0"/>
    <n v="1"/>
    <x v="0"/>
    <n v="3"/>
    <x v="0"/>
    <s v="n/a"/>
    <n v="0"/>
    <n v="0"/>
    <s v="n/a"/>
    <x v="2"/>
    <n v="0"/>
    <n v="0"/>
    <s v="n/a"/>
    <s v="n/a"/>
    <n v="0"/>
    <x v="2"/>
    <s v="relative"/>
    <s v="ds"/>
    <s v="ds"/>
    <s v="topic-shift"/>
    <s v="contains_new"/>
    <m/>
    <m/>
    <n v="1"/>
    <x v="0"/>
    <s v="Yes"/>
  </r>
  <r>
    <s v="Heike 2.154"/>
    <s v="予てはまた郎従小庭に伺候の由 (kanete wa mata rōjū koniwa ni shikō no yoshi) 且つは武士の郎等の習ひなり (katsu wa bushi no rōtō no narai nari)"/>
    <s v="As for his retainer being in the small court, that too is the custom of the retainers of the warrior class, "/>
    <s v="なり"/>
    <s v="indicative"/>
    <s v="stative"/>
    <x v="0"/>
    <x v="0"/>
    <s v="active"/>
    <s v="positive"/>
    <n v="1"/>
    <n v="1"/>
    <x v="0"/>
    <n v="3"/>
    <x v="0"/>
    <n v="3"/>
    <x v="0"/>
    <s v="n/a"/>
    <n v="0"/>
    <n v="0"/>
    <s v="n/a"/>
    <x v="2"/>
    <n v="0"/>
    <n v="0"/>
    <s v="n/a"/>
    <s v="n/a"/>
    <n v="0"/>
    <x v="2"/>
    <s v="main"/>
    <s v="ds"/>
    <s v="ds"/>
    <s v="topic-shift"/>
    <s v="contains_new"/>
    <m/>
    <m/>
    <n v="1"/>
    <x v="0"/>
    <s v="Yes"/>
  </r>
  <r>
    <s v="Heike 2.155"/>
    <s v="忠盛が咎にはあらずとて (Tadamori ga toga ni wa arazu tote)"/>
    <s v="and no fault was found in Tadamori."/>
    <s v="あらず"/>
    <s v="indicative"/>
    <s v="stative"/>
    <x v="0"/>
    <x v="0"/>
    <s v="active"/>
    <s v="negative"/>
    <n v="1"/>
    <n v="1"/>
    <x v="0"/>
    <n v="0"/>
    <x v="0"/>
    <n v="3"/>
    <x v="0"/>
    <s v="n/a"/>
    <n v="0"/>
    <n v="0"/>
    <s v="n/a"/>
    <x v="3"/>
    <n v="0"/>
    <n v="0"/>
    <s v="n/a"/>
    <s v="n/a"/>
    <n v="0"/>
    <x v="3"/>
    <s v="main"/>
    <s v="ds"/>
    <s v="ss"/>
    <s v="topic-shift"/>
    <s v="contains_new"/>
    <m/>
    <m/>
    <n v="1"/>
    <x v="0"/>
    <s v="Yes"/>
  </r>
  <r>
    <s v="Heike 2.156"/>
    <s v="却つて叡感に預かりし上は (kaette eikan ni azukarishi ue wa)"/>
    <s v="and on the contrary, his conduct was greatly admired,"/>
    <s v="預かりし"/>
    <s v="indicative"/>
    <s v="action"/>
    <x v="1"/>
    <x v="0"/>
    <s v="active"/>
    <s v="positive"/>
    <n v="1"/>
    <n v="1"/>
    <x v="5"/>
    <n v="1"/>
    <x v="1"/>
    <n v="3"/>
    <x v="0"/>
    <s v="overt"/>
    <n v="0"/>
    <n v="0"/>
    <s v="REL"/>
    <x v="3"/>
    <n v="0"/>
    <n v="0"/>
    <s v="n/a"/>
    <s v="n/a"/>
    <n v="1"/>
    <x v="6"/>
    <s v="subordinate"/>
    <s v="ss"/>
    <s v="ds"/>
    <s v="topic-drop"/>
    <s v="contains_new"/>
    <m/>
    <m/>
    <n v="1"/>
    <x v="0"/>
    <s v="Yes"/>
  </r>
  <r>
    <s v="Heike 2.157"/>
    <s v="敢へて罪科の沙汰はなかりけり aete tsumikado no sata wa nakarikeri"/>
    <s v="and he was pronounced guiltless."/>
    <s v="なかりけり"/>
    <s v="indicative"/>
    <s v="aux/modal"/>
    <x v="1"/>
    <x v="0"/>
    <s v="active"/>
    <s v="negative"/>
    <n v="1"/>
    <n v="1"/>
    <x v="0"/>
    <n v="1"/>
    <x v="0"/>
    <n v="3"/>
    <x v="0"/>
    <s v="n/a"/>
    <n v="0"/>
    <n v="0"/>
    <s v="n/a"/>
    <x v="2"/>
    <n v="0"/>
    <n v="0"/>
    <s v="n/a"/>
    <s v="n/a"/>
    <n v="0"/>
    <x v="8"/>
    <s v="subordinate"/>
    <s v="ds"/>
    <n v="0"/>
    <s v="topic-drop"/>
    <s v="contains_new"/>
    <m/>
    <m/>
    <n v="1"/>
    <x v="0"/>
    <s v="No"/>
  </r>
  <r>
    <s v="Total"/>
    <m/>
    <m/>
    <m/>
    <m/>
    <m/>
    <x v="6"/>
    <x v="2"/>
    <m/>
    <m/>
    <n v="154"/>
    <n v="150"/>
    <x v="6"/>
    <n v="72"/>
    <x v="7"/>
    <n v="426"/>
    <x v="8"/>
    <n v="0"/>
    <n v="7"/>
    <n v="17"/>
    <n v="0"/>
    <x v="9"/>
    <n v="19"/>
    <n v="32"/>
    <n v="0"/>
    <n v="0"/>
    <n v="6"/>
    <x v="5"/>
    <m/>
    <m/>
    <m/>
    <m/>
    <m/>
    <m/>
    <m/>
    <n v="0.97402597402597402"/>
    <x v="2"/>
    <m/>
  </r>
  <r>
    <m/>
    <m/>
    <m/>
    <m/>
    <m/>
    <m/>
    <x v="6"/>
    <x v="2"/>
    <m/>
    <m/>
    <m/>
    <m/>
    <x v="6"/>
    <m/>
    <x v="3"/>
    <m/>
    <x v="4"/>
    <m/>
    <m/>
    <m/>
    <m/>
    <x v="7"/>
    <m/>
    <m/>
    <m/>
    <m/>
    <m/>
    <x v="5"/>
    <m/>
    <m/>
    <m/>
    <m/>
    <m/>
    <m/>
    <m/>
    <m/>
    <x v="2"/>
    <m/>
  </r>
  <r>
    <m/>
    <m/>
    <m/>
    <m/>
    <m/>
    <m/>
    <x v="13"/>
    <x v="4"/>
    <s v="active / passive"/>
    <s v="positive / negative / negative_existential / negative_potential / unknown"/>
    <m/>
    <m/>
    <x v="12"/>
    <m/>
    <x v="8"/>
    <m/>
    <x v="9"/>
    <s v="same"/>
    <m/>
    <m/>
    <m/>
    <x v="7"/>
    <m/>
    <m/>
    <s v="None, sub, obj, io, addressee, multiple, unknown"/>
    <s v="lexical_honorific_verb"/>
    <m/>
    <x v="11"/>
    <m/>
    <s v="SS; DS; unknown"/>
    <m/>
    <s v="topic-introduced – overt topic marking a (re)introduced aboutness centre"/>
    <s v="no_overt_NP; "/>
    <m/>
    <m/>
    <m/>
    <x v="2"/>
    <m/>
  </r>
  <r>
    <s v="RD2"/>
    <b v="1"/>
    <s v="ACT-ARG/~Ø-Verbal"/>
    <m/>
    <m/>
    <m/>
    <x v="6"/>
    <x v="2"/>
    <m/>
    <m/>
    <m/>
    <m/>
    <x v="6"/>
    <m/>
    <x v="3"/>
    <m/>
    <x v="4"/>
    <m/>
    <m/>
    <m/>
    <m/>
    <x v="7"/>
    <m/>
    <m/>
    <m/>
    <m/>
    <m/>
    <x v="5"/>
    <m/>
    <m/>
    <m/>
    <m/>
    <m/>
    <m/>
    <m/>
    <m/>
    <x v="2"/>
    <m/>
  </r>
  <r>
    <s v="RD2+"/>
    <n v="1.1818181818181801"/>
    <s v="(ACT-ARG+V-ARG-Ø-ARG)/~Ø-Verbal"/>
    <m/>
    <m/>
    <m/>
    <x v="6"/>
    <x v="2"/>
    <m/>
    <m/>
    <m/>
    <m/>
    <x v="6"/>
    <m/>
    <x v="3"/>
    <m/>
    <x v="4"/>
    <m/>
    <m/>
    <m/>
    <m/>
    <x v="7"/>
    <m/>
    <m/>
    <m/>
    <s v="lexical_humble_verb"/>
    <m/>
    <x v="5"/>
    <m/>
    <m/>
    <m/>
    <s v="topic-continued – same topic as previous clause, even if zero/pronoun"/>
    <s v="all_given; "/>
    <m/>
    <m/>
    <m/>
    <x v="2"/>
    <m/>
  </r>
  <r>
    <s v="RD2++"/>
    <n v="1.0194805194805201"/>
    <s v="(ACT-ARG+GAP-ACT-ARG)/~Ø-Verbal"/>
    <m/>
    <m/>
    <m/>
    <x v="6"/>
    <x v="2"/>
    <m/>
    <m/>
    <m/>
    <m/>
    <x v="6"/>
    <m/>
    <x v="3"/>
    <m/>
    <x v="4"/>
    <m/>
    <m/>
    <m/>
    <m/>
    <x v="7"/>
    <m/>
    <m/>
    <m/>
    <m/>
    <m/>
    <x v="5"/>
    <m/>
    <m/>
    <m/>
    <m/>
    <m/>
    <m/>
    <m/>
    <m/>
    <x v="2"/>
    <m/>
  </r>
  <r>
    <s v="RD2+++"/>
    <n v="1.22727272727273"/>
    <s v="(ACT-ARG+V-ARG-Ø-ARG+GAP-ACT-ARG)/~Ø-Verbal"/>
    <m/>
    <m/>
    <m/>
    <x v="6"/>
    <x v="2"/>
    <m/>
    <m/>
    <m/>
    <m/>
    <x v="6"/>
    <m/>
    <x v="3"/>
    <m/>
    <x v="4"/>
    <m/>
    <m/>
    <m/>
    <m/>
    <x v="7"/>
    <m/>
    <m/>
    <m/>
    <s v="honorific_aux"/>
    <m/>
    <x v="5"/>
    <m/>
    <m/>
    <m/>
    <s v="topic-shift – new entity becomes the discourse centre"/>
    <s v="contains_new – at least one overt NP is discourse-new; "/>
    <m/>
    <m/>
    <m/>
    <x v="2"/>
    <m/>
  </r>
  <r>
    <s v="RD2-"/>
    <n v="0.207792207792208"/>
    <s v="V-ARG-Ø-ARG/~Ø-Verbal"/>
    <m/>
    <m/>
    <m/>
    <x v="6"/>
    <x v="2"/>
    <m/>
    <m/>
    <m/>
    <m/>
    <x v="6"/>
    <m/>
    <x v="3"/>
    <m/>
    <x v="4"/>
    <m/>
    <m/>
    <m/>
    <m/>
    <x v="7"/>
    <m/>
    <m/>
    <m/>
    <m/>
    <m/>
    <x v="5"/>
    <m/>
    <m/>
    <m/>
    <m/>
    <m/>
    <m/>
    <m/>
    <m/>
    <x v="2"/>
    <m/>
  </r>
  <r>
    <m/>
    <m/>
    <m/>
    <m/>
    <m/>
    <m/>
    <x v="6"/>
    <x v="2"/>
    <m/>
    <m/>
    <m/>
    <m/>
    <x v="6"/>
    <m/>
    <x v="3"/>
    <m/>
    <x v="4"/>
    <m/>
    <m/>
    <m/>
    <m/>
    <x v="7"/>
    <m/>
    <m/>
    <m/>
    <s v="humble_aux"/>
    <m/>
    <x v="5"/>
    <m/>
    <m/>
    <m/>
    <s v="topic-drop – discourse topic still relevant, but not expressed here"/>
    <s v="unknown "/>
    <m/>
    <m/>
    <m/>
    <x v="2"/>
    <m/>
  </r>
  <r>
    <m/>
    <m/>
    <m/>
    <m/>
    <m/>
    <m/>
    <x v="6"/>
    <x v="2"/>
    <m/>
    <m/>
    <m/>
    <m/>
    <x v="6"/>
    <m/>
    <x v="3"/>
    <m/>
    <x v="4"/>
    <m/>
    <m/>
    <m/>
    <m/>
    <x v="7"/>
    <m/>
    <m/>
    <m/>
    <m/>
    <m/>
    <x v="5"/>
    <m/>
    <m/>
    <m/>
    <m/>
    <m/>
    <m/>
    <m/>
    <m/>
    <x v="2"/>
    <m/>
  </r>
  <r>
    <m/>
    <m/>
    <m/>
    <m/>
    <m/>
    <m/>
    <x v="6"/>
    <x v="2"/>
    <m/>
    <m/>
    <m/>
    <m/>
    <x v="6"/>
    <m/>
    <x v="3"/>
    <m/>
    <x v="4"/>
    <m/>
    <m/>
    <m/>
    <m/>
    <x v="7"/>
    <m/>
    <m/>
    <m/>
    <s v="polite_aux"/>
    <m/>
    <x v="5"/>
    <m/>
    <m/>
    <m/>
    <s v="no-topic – no clear topic in the clause"/>
    <m/>
    <m/>
    <m/>
    <m/>
    <x v="2"/>
    <m/>
  </r>
  <r>
    <m/>
    <m/>
    <m/>
    <m/>
    <m/>
    <m/>
    <x v="6"/>
    <x v="2"/>
    <m/>
    <m/>
    <m/>
    <m/>
    <x v="6"/>
    <m/>
    <x v="3"/>
    <m/>
    <x v="4"/>
    <m/>
    <m/>
    <m/>
    <m/>
    <x v="7"/>
    <m/>
    <m/>
    <m/>
    <m/>
    <m/>
    <x v="5"/>
    <m/>
    <m/>
    <m/>
    <m/>
    <m/>
    <m/>
    <m/>
    <m/>
    <x v="2"/>
    <m/>
  </r>
  <r>
    <m/>
    <m/>
    <m/>
    <m/>
    <m/>
    <m/>
    <x v="6"/>
    <x v="2"/>
    <m/>
    <m/>
    <m/>
    <m/>
    <x v="6"/>
    <m/>
    <x v="3"/>
    <m/>
    <x v="4"/>
    <m/>
    <m/>
    <m/>
    <m/>
    <x v="7"/>
    <m/>
    <m/>
    <m/>
    <s v="honorific_copula"/>
    <m/>
    <x v="5"/>
    <m/>
    <m/>
    <m/>
    <s v="unknown"/>
    <m/>
    <m/>
    <m/>
    <m/>
    <x v="2"/>
    <m/>
  </r>
  <r>
    <m/>
    <m/>
    <m/>
    <m/>
    <m/>
    <m/>
    <x v="6"/>
    <x v="2"/>
    <m/>
    <m/>
    <m/>
    <m/>
    <x v="6"/>
    <m/>
    <x v="3"/>
    <m/>
    <x v="4"/>
    <m/>
    <m/>
    <m/>
    <m/>
    <x v="7"/>
    <m/>
    <m/>
    <m/>
    <m/>
    <m/>
    <x v="5"/>
    <m/>
    <m/>
    <m/>
    <m/>
    <m/>
    <m/>
    <m/>
    <m/>
    <x v="2"/>
    <m/>
  </r>
  <r>
    <m/>
    <m/>
    <m/>
    <m/>
    <m/>
    <m/>
    <x v="6"/>
    <x v="2"/>
    <m/>
    <m/>
    <m/>
    <m/>
    <x v="6"/>
    <m/>
    <x v="3"/>
    <m/>
    <x v="4"/>
    <m/>
    <m/>
    <m/>
    <m/>
    <x v="7"/>
    <m/>
    <m/>
    <m/>
    <s v="nominal_prefix"/>
    <m/>
    <x v="5"/>
    <m/>
    <m/>
    <m/>
    <m/>
    <m/>
    <m/>
    <m/>
    <m/>
    <x v="2"/>
    <m/>
  </r>
  <r>
    <m/>
    <m/>
    <m/>
    <m/>
    <m/>
    <m/>
    <x v="6"/>
    <x v="2"/>
    <m/>
    <m/>
    <m/>
    <m/>
    <x v="6"/>
    <m/>
    <x v="3"/>
    <m/>
    <x v="4"/>
    <m/>
    <m/>
    <m/>
    <m/>
    <x v="7"/>
    <m/>
    <m/>
    <m/>
    <m/>
    <m/>
    <x v="5"/>
    <m/>
    <m/>
    <m/>
    <m/>
    <m/>
    <m/>
    <m/>
    <m/>
    <x v="2"/>
    <m/>
  </r>
  <r>
    <m/>
    <m/>
    <m/>
    <m/>
    <m/>
    <m/>
    <x v="6"/>
    <x v="2"/>
    <m/>
    <m/>
    <m/>
    <m/>
    <x v="6"/>
    <m/>
    <x v="3"/>
    <m/>
    <x v="4"/>
    <m/>
    <m/>
    <m/>
    <m/>
    <x v="7"/>
    <m/>
    <m/>
    <m/>
    <s v="honorific_title"/>
    <m/>
    <x v="5"/>
    <m/>
    <m/>
    <m/>
    <m/>
    <m/>
    <m/>
    <m/>
    <m/>
    <x v="2"/>
    <m/>
  </r>
  <r>
    <m/>
    <m/>
    <m/>
    <m/>
    <m/>
    <m/>
    <x v="6"/>
    <x v="2"/>
    <m/>
    <m/>
    <m/>
    <m/>
    <x v="6"/>
    <m/>
    <x v="3"/>
    <m/>
    <x v="4"/>
    <m/>
    <m/>
    <m/>
    <m/>
    <x v="7"/>
    <m/>
    <m/>
    <m/>
    <m/>
    <m/>
    <x v="5"/>
    <m/>
    <m/>
    <m/>
    <m/>
    <m/>
    <m/>
    <m/>
    <m/>
    <x v="2"/>
    <m/>
  </r>
  <r>
    <m/>
    <m/>
    <m/>
    <m/>
    <m/>
    <m/>
    <x v="6"/>
    <x v="2"/>
    <m/>
    <m/>
    <m/>
    <m/>
    <x v="6"/>
    <m/>
    <x v="3"/>
    <m/>
    <x v="4"/>
    <m/>
    <m/>
    <m/>
    <m/>
    <x v="7"/>
    <m/>
    <m/>
    <m/>
    <s v="other"/>
    <m/>
    <x v="5"/>
    <m/>
    <m/>
    <m/>
    <m/>
    <m/>
    <m/>
    <m/>
    <m/>
    <x v="2"/>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
  <r>
    <s v="Heike 2.1"/>
    <s v="忠盛朝臣未だ備前守たりし時 (Tadamori ason imada Bizen no kami tarishi toki)"/>
    <s v="Now Tadamori, while holding the office of Bizen no Kami,"/>
    <s v="たりし"/>
    <s v="indicative"/>
    <s v="stative"/>
    <s v="copula"/>
    <s v="intransitive"/>
    <s v="active"/>
    <s v="positive"/>
    <n v="1"/>
    <n v="1"/>
    <x v="0"/>
    <n v="0"/>
    <x v="0"/>
    <n v="3"/>
    <x v="0"/>
    <s v="n/a"/>
    <n v="0"/>
    <n v="1"/>
    <s v="REL"/>
    <s v="relative"/>
    <n v="0"/>
    <n v="0"/>
    <s v="n/a"/>
    <s v="n/a"/>
    <n v="0"/>
    <x v="0"/>
    <m/>
    <m/>
    <s v="new"/>
    <s v="ss"/>
    <s v="topic-introduced"/>
    <s v="contains_new"/>
    <m/>
    <m/>
    <n v="1"/>
    <s v="non-LVC"/>
    <s v="Yes"/>
    <n v="1"/>
    <s v="te"/>
    <n v="0"/>
    <n v="1"/>
    <x v="0"/>
  </r>
  <r>
    <s v="Heike 2.2"/>
    <s v="鳥羽院の御願得長寿院を造進して (Toba-in no ogan Tokuchōju-in o zōshin shite)"/>
    <s v="by the request of the retired Emperor Toba,"/>
    <s v="造進して"/>
    <s v="indicative"/>
    <s v="other"/>
    <s v="verb"/>
    <s v="transitive"/>
    <s v="active"/>
    <s v="positive"/>
    <n v="1"/>
    <n v="1"/>
    <x v="1"/>
    <n v="1"/>
    <x v="1"/>
    <n v="3"/>
    <x v="1"/>
    <s v="n/a"/>
    <n v="0"/>
    <n v="0"/>
    <s v="n/a"/>
    <s v="te"/>
    <n v="0"/>
    <n v="0"/>
    <s v="obj"/>
    <s v="nominal_prefix"/>
    <n v="1"/>
    <x v="1"/>
    <s v="relative"/>
    <s v="te_medial"/>
    <s v="ss"/>
    <s v="ss"/>
    <s v="topic-drop"/>
    <s v="contains_new"/>
    <s v="stranded subject Tadamori"/>
    <m/>
    <n v="1"/>
    <s v="non-LVC"/>
    <s v="Yes"/>
    <n v="1"/>
    <s v="te"/>
    <n v="1"/>
    <n v="2"/>
    <x v="1"/>
  </r>
  <r>
    <s v="Heike 2.3"/>
    <s v="三十三間の御堂を建て (sanjūsangen no midō o tatete)"/>
    <s v=" had built the temple Toku-cho-juin and the Sa-ju-san-gen-do, or hall 33 ken long,"/>
    <s v="建て"/>
    <s v="indicative"/>
    <s v="other"/>
    <s v="verb"/>
    <s v="transitive"/>
    <s v="active"/>
    <s v="positive"/>
    <n v="1"/>
    <n v="1"/>
    <x v="1"/>
    <n v="0"/>
    <x v="1"/>
    <n v="3"/>
    <x v="1"/>
    <s v="n/a"/>
    <n v="0"/>
    <n v="0"/>
    <s v="n/a"/>
    <s v="te"/>
    <n v="0"/>
    <n v="0"/>
    <s v="obj"/>
    <s v="nominal_prefix"/>
    <n v="1"/>
    <x v="1"/>
    <s v="te"/>
    <s v="te_medial"/>
    <s v="ss"/>
    <s v="ss"/>
    <s v="topic-drop"/>
    <s v="contains_new"/>
    <m/>
    <m/>
    <n v="1"/>
    <s v="non-LVC"/>
    <s v="Yes"/>
    <n v="1"/>
    <s v="relative"/>
    <n v="1"/>
    <m/>
    <x v="1"/>
  </r>
  <r>
    <s v="Heike 2.4"/>
    <s v="一千一体の御仏を据ゑ奉らる (issen ittai no mihotoke o sue-tatematsuraru)"/>
    <s v="within which were one thousand and one Buddhas;"/>
    <s v="据ゑ奉らる"/>
    <s v="indicative"/>
    <s v="action"/>
    <s v="verb"/>
    <s v="transitive"/>
    <s v="active"/>
    <s v="positive"/>
    <n v="1"/>
    <n v="1"/>
    <x v="1"/>
    <n v="0"/>
    <x v="2"/>
    <n v="3"/>
    <x v="1"/>
    <s v="n/a"/>
    <n v="0"/>
    <n v="1"/>
    <s v="REL"/>
    <s v="relative"/>
    <n v="1"/>
    <n v="1"/>
    <s v="sub"/>
    <s v="honorific_aux"/>
    <n v="1"/>
    <x v="2"/>
    <s v="te"/>
    <m/>
    <s v="ss"/>
    <s v="ds"/>
    <s v="topic-drop"/>
    <s v="contains_new"/>
    <s v="complex verbal form"/>
    <m/>
    <n v="1"/>
    <s v="non-LVC"/>
    <s v="Yes"/>
    <n v="1"/>
    <s v="main"/>
    <n v="0"/>
    <n v="3"/>
    <x v="1"/>
  </r>
  <r>
    <s v="Heike 2.5"/>
    <s v="供養は天承元年三月十三日なり (kuyō wa Tenshō gannen sangatsu jūsan-nichi nari)"/>
    <s v="its first festival being on the thirteenth day of the third month of the first year of Tensho."/>
    <s v="なり"/>
    <s v="indicative"/>
    <s v="stative"/>
    <s v="copula"/>
    <s v="intransitive"/>
    <s v="active"/>
    <s v="positive"/>
    <n v="1"/>
    <n v="1"/>
    <x v="0"/>
    <n v="0"/>
    <x v="0"/>
    <n v="3"/>
    <x v="0"/>
    <s v="n/a"/>
    <n v="0"/>
    <n v="0"/>
    <s v="n/a"/>
    <s v="main"/>
    <n v="0"/>
    <n v="0"/>
    <s v="n/a"/>
    <s v="n/a"/>
    <n v="0"/>
    <x v="2"/>
    <s v="relative"/>
    <m/>
    <s v="ds"/>
    <s v="ds"/>
    <s v="topic-introduced"/>
    <s v="contains_new"/>
    <m/>
    <m/>
    <n v="1"/>
    <s v="non-LVC"/>
    <s v="Yes"/>
    <n v="1"/>
    <s v="subordinate"/>
    <n v="1"/>
    <n v="1"/>
    <x v="1"/>
  </r>
  <r>
    <s v="Heike 2.6"/>
    <s v="勧賞には欠国を賜ふべき由 (kanshō ni wa kakukuni o tamau beki yoshi)"/>
    <s v="As a reward he was to be granted a fief,"/>
    <s v="賜ふべき"/>
    <s v="deontic"/>
    <s v="action"/>
    <s v="verb"/>
    <s v="transitive"/>
    <s v="active"/>
    <s v="positive"/>
    <n v="1"/>
    <n v="1"/>
    <x v="1"/>
    <n v="1"/>
    <x v="2"/>
    <n v="3"/>
    <x v="1"/>
    <s v="n/a"/>
    <n v="0"/>
    <n v="1"/>
    <s v="n/a"/>
    <s v="subordinate"/>
    <n v="0"/>
    <n v="1"/>
    <s v="sub"/>
    <s v="lexical_honorific_verb"/>
    <n v="0"/>
    <x v="3"/>
    <s v="main"/>
    <m/>
    <s v="ds"/>
    <s v="ds"/>
    <s v="topic-shift"/>
    <s v="contains_new"/>
    <m/>
    <m/>
    <n v="1"/>
    <s v="non-LVC"/>
    <s v="Yes"/>
    <n v="2"/>
    <m/>
    <n v="1"/>
    <m/>
    <x v="0"/>
  </r>
  <r>
    <s v="Heike 2.7"/>
    <s v="仰せ下されける (ōse-kudasa rekeru)"/>
    <s v="he was honoured by receiving the territory of the province of Tamba,"/>
    <s v="仰せ下されける"/>
    <s v="indicative"/>
    <s v="action"/>
    <s v="verb(complex)"/>
    <s v="intransitive"/>
    <s v="passive"/>
    <s v="positive"/>
    <n v="1"/>
    <n v="0"/>
    <x v="2"/>
    <n v="0"/>
    <x v="2"/>
    <n v="3"/>
    <x v="2"/>
    <s v="not_applicable"/>
    <n v="1"/>
    <n v="0"/>
    <s v="REL"/>
    <s v="relative"/>
    <n v="0"/>
    <n v="1"/>
    <s v="io"/>
    <s v="lexical honorific+honorific aux"/>
    <n v="0"/>
    <x v="2"/>
    <s v="subordinate"/>
    <m/>
    <s v="ds"/>
    <s v="ss"/>
    <s v="topic-drop"/>
    <s v="no_overt_NP"/>
    <m/>
    <m/>
    <n v="0"/>
    <s v="non-LVC"/>
    <s v="Yes"/>
    <n v="2"/>
    <m/>
    <n v="0"/>
    <m/>
    <x v="1"/>
  </r>
  <r>
    <s v="Heike 2.8"/>
    <s v="折節但馬国の空きたりけるをぞ (orifushi Tamba no kuni no aki tarikeru o zo)"/>
    <s v="which then happened to be unappropriated."/>
    <s v="空きたりける"/>
    <s v="indicative"/>
    <s v="stative"/>
    <s v="verb"/>
    <s v="intransitive"/>
    <s v="resultative"/>
    <s v="positive"/>
    <n v="1"/>
    <n v="1"/>
    <x v="0"/>
    <n v="1"/>
    <x v="0"/>
    <n v="3"/>
    <x v="0"/>
    <s v="n/a"/>
    <n v="0"/>
    <n v="0"/>
    <s v="OBJ"/>
    <s v="nominalised"/>
    <n v="0"/>
    <n v="0"/>
    <s v="n/a"/>
    <s v="n/a"/>
    <n v="0"/>
    <x v="2"/>
    <s v="relative"/>
    <m/>
    <s v="ss"/>
    <s v="ds"/>
    <s v="topic-drop"/>
    <s v="contains_new"/>
    <s v="internally headed"/>
    <m/>
    <n v="1"/>
    <s v="non-LVC"/>
    <s v="Yes"/>
    <n v="2"/>
    <m/>
    <n v="0"/>
    <n v="2"/>
    <x v="1"/>
  </r>
  <r>
    <s v="Heike 2.9"/>
    <s v="賜はりける (tamawari keru)"/>
    <s v="As a reward he was honoured by receiving the territory of the province of Tamba, which then happened to be unappropriated."/>
    <s v="賜はりける"/>
    <s v="indicative"/>
    <s v="action"/>
    <s v="verb"/>
    <s v="transitive"/>
    <s v="active"/>
    <s v="positive"/>
    <n v="1"/>
    <n v="1"/>
    <x v="1"/>
    <n v="0"/>
    <x v="2"/>
    <n v="3"/>
    <x v="3"/>
    <s v="zero_recoverable"/>
    <n v="0"/>
    <n v="0"/>
    <s v="n/a"/>
    <s v="main"/>
    <n v="0"/>
    <n v="1"/>
    <s v="sub"/>
    <s v="lexical_humble_verb"/>
    <n v="0"/>
    <x v="2"/>
    <s v="nominalised"/>
    <m/>
    <s v="ds"/>
    <s v="ds"/>
    <s v="topic-drop"/>
    <s v="no_overt_NP"/>
    <m/>
    <m/>
    <n v="1"/>
    <s v="non-LVC"/>
    <s v="Yes"/>
    <n v="2"/>
    <m/>
    <n v="1"/>
    <m/>
    <x v="1"/>
  </r>
  <r>
    <s v="Heike 2.10"/>
    <s v="上皇御感のあまりに内の昇殿を許さる (jōkō go-kan no amari ni uchi no shōden o yurusaru)"/>
    <s v="Moreover the Emperor of his bounty graciously permitted him to attend the Court;"/>
    <s v="許さる"/>
    <s v="indicative"/>
    <s v="action"/>
    <s v="verb"/>
    <s v="transitive"/>
    <s v="active"/>
    <s v="positive"/>
    <n v="1"/>
    <n v="2"/>
    <x v="3"/>
    <n v="1"/>
    <x v="0"/>
    <n v="3"/>
    <x v="1"/>
    <s v="zero_recoverable"/>
    <n v="1"/>
    <n v="0"/>
    <s v="REL"/>
    <s v="relative"/>
    <n v="1"/>
    <n v="0"/>
    <s v="sub"/>
    <s v="honorific_aux"/>
    <n v="1"/>
    <x v="2"/>
    <s v="main"/>
    <m/>
    <s v="ds"/>
    <s v="ds"/>
    <s v="topic-drop"/>
    <s v="contains_new"/>
    <s v="it's unlcear whether -re- in -yurusareru is passive or honorific"/>
    <m/>
    <n v="2"/>
    <s v="non-LVC"/>
    <s v="Yes"/>
    <n v="3"/>
    <s v="main"/>
    <n v="0"/>
    <n v="1"/>
    <x v="1"/>
  </r>
  <r>
    <s v="Heike 2.11"/>
    <s v="忠盛三十六にて初めて昇殿す (Tadamori sanjūroku nite hajimete shōden su)"/>
    <s v="which Tadamori did for the first time at the age of thirty six."/>
    <s v="昇殿す"/>
    <s v="indicative"/>
    <s v="motion"/>
    <s v="LVC"/>
    <s v="intransitive"/>
    <s v="active"/>
    <s v="positive"/>
    <n v="1"/>
    <n v="1"/>
    <x v="0"/>
    <n v="2"/>
    <x v="0"/>
    <n v="3"/>
    <x v="1"/>
    <s v="n/a"/>
    <n v="0"/>
    <n v="0"/>
    <s v="n/a"/>
    <s v="main"/>
    <n v="0"/>
    <n v="0"/>
    <s v="n/a"/>
    <s v="n/a"/>
    <n v="0"/>
    <x v="2"/>
    <s v="relative"/>
    <m/>
    <s v="ds"/>
    <s v="ds"/>
    <s v="topic-continued"/>
    <s v="contains_new"/>
    <m/>
    <m/>
    <n v="1"/>
    <s v="LVC"/>
    <s v="Yes"/>
    <n v="3"/>
    <s v="inf"/>
    <n v="1"/>
    <n v="1"/>
    <x v="0"/>
  </r>
  <r>
    <s v="Heike 2.12"/>
    <s v="雲の上人これを嫉み憤り (kumo no uebito kore o sonemi ikidori)"/>
    <s v="the higher Courtiers were furious with jealousy"/>
    <s v="嫉み憤り"/>
    <s v="indicative"/>
    <s v="psych-state"/>
    <s v="verb(compound)"/>
    <s v="transitive"/>
    <s v="active"/>
    <s v="positive"/>
    <n v="1"/>
    <n v="2"/>
    <x v="3"/>
    <n v="0"/>
    <x v="0"/>
    <n v="3"/>
    <x v="1"/>
    <s v="n/a"/>
    <n v="0"/>
    <n v="0"/>
    <s v="n/a"/>
    <s v="inf"/>
    <n v="0"/>
    <n v="0"/>
    <s v="n/a"/>
    <s v="n/a"/>
    <n v="0"/>
    <x v="2"/>
    <s v="main"/>
    <m/>
    <s v="ds"/>
    <s v="ss"/>
    <s v="topic-introduced"/>
    <s v="contains_new"/>
    <m/>
    <m/>
    <n v="2"/>
    <s v="non-LVC"/>
    <s v="Yes"/>
    <n v="4"/>
    <s v="complement"/>
    <n v="1"/>
    <n v="2"/>
    <x v="1"/>
  </r>
  <r>
    <s v="Heike 2.13"/>
    <s v="同じき年の十一月二十三日五節豊の明の節会の夜 (onajiki toshi no jūichigatsu nijūsannichi gosechi Toyo-no-akari no setchie no yo) 忠盛を闇討にせん (Tadamori o yamiuchi ni sen "/>
    <s v="to assassinate him on the evening of the festival of Go-Sechi Toyo-no-akari-no-setchie, on the 23rd day of the eleventh month of the same year."/>
    <s v="闇討にせん"/>
    <s v="dynamic"/>
    <s v="other"/>
    <s v="LVC"/>
    <s v="transitive"/>
    <s v="active"/>
    <s v="positive"/>
    <n v="1"/>
    <n v="1"/>
    <x v="1"/>
    <n v="1"/>
    <x v="1"/>
    <n v="3"/>
    <x v="1"/>
    <s v="n/a"/>
    <n v="0"/>
    <n v="0"/>
    <s v="n/a"/>
    <s v="complement"/>
    <n v="0"/>
    <n v="0"/>
    <s v="n/a"/>
    <s v="n/a"/>
    <n v="0"/>
    <x v="4"/>
    <s v="inf"/>
    <m/>
    <s v="ss"/>
    <s v="ds"/>
    <s v="topic-continued"/>
    <s v="contains_new"/>
    <m/>
    <m/>
    <n v="1"/>
    <s v="LVC"/>
    <s v="Yes"/>
    <n v="4"/>
    <m/>
    <n v="1"/>
    <n v="3"/>
    <x v="1"/>
  </r>
  <r>
    <s v="Heike 2.14"/>
    <s v="とぞ議せられける (to zo giserarikeru)"/>
    <s v="they plotted"/>
    <s v="議せられける"/>
    <s v="indicative"/>
    <s v="communication"/>
    <s v="LVC"/>
    <s v="intransitive"/>
    <s v="passive"/>
    <s v="positive"/>
    <n v="1"/>
    <n v="1"/>
    <x v="4"/>
    <n v="0"/>
    <x v="0"/>
    <s v="n/a"/>
    <x v="0"/>
    <s v="n/a"/>
    <n v="0"/>
    <n v="0"/>
    <s v="n/a"/>
    <s v="main"/>
    <n v="0"/>
    <n v="0"/>
    <s v="n/a"/>
    <s v="n/a"/>
    <n v="0"/>
    <x v="2"/>
    <s v="complement"/>
    <m/>
    <s v="ds"/>
    <s v="ds"/>
    <s v="topic-drop"/>
    <s v="all given"/>
    <m/>
    <m/>
    <n v="1"/>
    <s v="LVC"/>
    <s v="Yes"/>
    <n v="4"/>
    <s v="te"/>
    <n v="1"/>
    <n v="1"/>
    <x v="1"/>
  </r>
  <r>
    <s v="Heike 2.15"/>
    <s v="忠盛この由を伝へ聞きて (Tadamori kono yoshi o tsutae kikite)"/>
    <s v="Tadamori, on hearing of this"/>
    <s v="伝へ聞きて"/>
    <s v="indicative"/>
    <s v="perception"/>
    <s v="verb(compound)"/>
    <s v="transitive"/>
    <s v="active"/>
    <s v="positive"/>
    <n v="1"/>
    <n v="2"/>
    <x v="1"/>
    <n v="0"/>
    <x v="0"/>
    <n v="3"/>
    <x v="1"/>
    <s v="n/a"/>
    <n v="0"/>
    <n v="0"/>
    <s v="n/a"/>
    <s v="te"/>
    <n v="0"/>
    <n v="0"/>
    <s v="n/a"/>
    <s v="n/a"/>
    <n v="0"/>
    <x v="1"/>
    <s v="main"/>
    <s v="te_initial"/>
    <s v="ds"/>
    <s v="ds"/>
    <s v="topic-shift"/>
    <s v="all given"/>
    <m/>
    <m/>
    <n v="2"/>
    <s v="non-LVC"/>
    <s v="Yes"/>
    <n v="5"/>
    <m/>
    <n v="1"/>
    <n v="2"/>
    <x v="0"/>
  </r>
  <r>
    <s v="Heike 2.16"/>
    <s v="我右弼の身にあらず (ware ubitsu no mi ni a-razu)"/>
    <s v="I am not a civil official"/>
    <s v="あらず"/>
    <s v="indicative"/>
    <s v="other"/>
    <s v="copula"/>
    <s v="intransitive"/>
    <s v="active"/>
    <s v="negative"/>
    <n v="1"/>
    <n v="1"/>
    <x v="0"/>
    <n v="0"/>
    <x v="0"/>
    <n v="1"/>
    <x v="0"/>
    <s v="n/a"/>
    <n v="0"/>
    <n v="0"/>
    <s v="n/a"/>
    <s v="subordinate"/>
    <n v="0"/>
    <n v="0"/>
    <s v="n/a"/>
    <s v="n/a"/>
    <n v="0"/>
    <x v="1"/>
    <s v="te"/>
    <m/>
    <s v="ds"/>
    <s v="ss"/>
    <s v="topic-shift"/>
    <s v="contains_new"/>
    <m/>
    <m/>
    <n v="1"/>
    <s v="non-LVC"/>
    <s v="Yes"/>
    <n v="5"/>
    <s v="te"/>
    <n v="1"/>
    <n v="3"/>
    <x v="1"/>
  </r>
  <r>
    <s v="Heike 2.17"/>
    <s v="武勇の家に生れて (buyū no ie ni umarete)"/>
    <s v="being born of a line of warriors"/>
    <s v="生れて"/>
    <s v="indicative"/>
    <s v="other"/>
    <s v="verb"/>
    <s v="intransitive"/>
    <s v="active"/>
    <s v="positive"/>
    <n v="1"/>
    <n v="1"/>
    <x v="0"/>
    <n v="1"/>
    <x v="1"/>
    <n v="1"/>
    <x v="0"/>
    <s v="n/a"/>
    <n v="0"/>
    <n v="0"/>
    <s v="n/a"/>
    <s v="te"/>
    <n v="0"/>
    <n v="0"/>
    <s v="n/a"/>
    <s v="n/a"/>
    <n v="0"/>
    <x v="1"/>
    <s v="subordinate"/>
    <s v="te_medial"/>
    <s v="ss"/>
    <s v="ss"/>
    <s v="topic-drop"/>
    <s v="contains_new"/>
    <m/>
    <m/>
    <n v="1"/>
    <s v="non-LVC"/>
    <s v="Yes"/>
    <n v="5"/>
    <s v="relative"/>
    <n v="1"/>
    <m/>
    <x v="1"/>
  </r>
  <r>
    <s v="Heike 2.18"/>
    <s v="今不慮の恥に遇はん (ima furyo no haji ni awan)"/>
    <s v="for myself and my house at this unexpected shame"/>
    <s v="遇はん"/>
    <s v="epistemic"/>
    <s v="other"/>
    <s v="verb"/>
    <s v="intransitive"/>
    <s v="active"/>
    <s v="positive"/>
    <n v="1"/>
    <n v="1"/>
    <x v="5"/>
    <n v="1"/>
    <x v="1"/>
    <s v="n/a"/>
    <x v="0"/>
    <s v="overt"/>
    <n v="0"/>
    <n v="1"/>
    <s v="n/a"/>
    <s v="relative"/>
    <n v="0"/>
    <n v="0"/>
    <s v="n/a"/>
    <s v="n/a"/>
    <n v="0"/>
    <x v="2"/>
    <s v="te"/>
    <m/>
    <s v="ss"/>
    <s v="ds"/>
    <s v="topic-drop"/>
    <s v="contains_new"/>
    <m/>
    <m/>
    <n v="1"/>
    <s v="non-LVC"/>
    <s v="Yes"/>
    <n v="5"/>
    <s v="main"/>
    <n v="0"/>
    <n v="4"/>
    <x v="1"/>
  </r>
  <r>
    <s v="Heike 2.19"/>
    <s v="事家の為身の為心憂かるべし (koto ie no tame mi no tame kokoroukarubeshi)"/>
    <s v="I am troubled in my heart"/>
    <s v="憂かるべし"/>
    <s v="epistemic"/>
    <s v="psych-state"/>
    <s v="adjectival predicate"/>
    <s v="intransitive"/>
    <s v="active"/>
    <s v="positive"/>
    <n v="1"/>
    <n v="1"/>
    <x v="0"/>
    <n v="1"/>
    <x v="0"/>
    <n v="3"/>
    <x v="0"/>
    <s v="n/a"/>
    <n v="0"/>
    <n v="0"/>
    <s v="n/a"/>
    <s v="main"/>
    <n v="0"/>
    <n v="0"/>
    <s v="n/a"/>
    <s v="n/a"/>
    <n v="0"/>
    <x v="2"/>
    <s v="relative"/>
    <m/>
    <s v="ds"/>
    <n v="0"/>
    <s v="topic-drop"/>
    <s v="contains_new"/>
    <m/>
    <m/>
    <n v="1"/>
    <s v="non-LVC"/>
    <s v="Yes"/>
    <n v="5"/>
    <m/>
    <n v="1"/>
    <n v="1"/>
    <x v="1"/>
  </r>
  <r>
    <s v="Heike 2.20"/>
    <s v="詮ずるところ (senzuru tokoro)"/>
    <s v="finally, as for what is to be done"/>
    <s v="詮ずる"/>
    <s v="indicative"/>
    <s v="other"/>
    <m/>
    <m/>
    <m/>
    <m/>
    <m/>
    <m/>
    <x v="6"/>
    <m/>
    <x v="3"/>
    <m/>
    <x v="4"/>
    <m/>
    <m/>
    <m/>
    <m/>
    <m/>
    <m/>
    <m/>
    <m/>
    <m/>
    <m/>
    <x v="5"/>
    <s v="main"/>
    <m/>
    <m/>
    <s v="ss"/>
    <m/>
    <m/>
    <m/>
    <m/>
    <m/>
    <s v="non-LVC"/>
    <s v="Yes"/>
    <n v="6"/>
    <m/>
    <n v="1"/>
    <n v="2"/>
    <x v="1"/>
  </r>
  <r>
    <s v="Heike 2.21"/>
    <s v="身を全うして (mi o mattō shite)"/>
    <s v="with all your might"/>
    <s v="全うして"/>
    <s v="indicative"/>
    <s v="other"/>
    <s v="LVC"/>
    <s v="transitive"/>
    <s v="active"/>
    <s v="positive"/>
    <n v="1"/>
    <n v="1"/>
    <x v="1"/>
    <n v="0"/>
    <x v="1"/>
    <n v="1"/>
    <x v="1"/>
    <s v="n/a"/>
    <n v="0"/>
    <n v="0"/>
    <s v="n/a"/>
    <s v="te"/>
    <n v="0"/>
    <n v="0"/>
    <s v="n/a"/>
    <s v="n/a"/>
    <n v="0"/>
    <x v="1"/>
    <n v="0"/>
    <s v="te_medial"/>
    <s v="ss"/>
    <s v="ss"/>
    <s v="topic-drop"/>
    <s v="contains_new"/>
    <m/>
    <m/>
    <n v="1"/>
    <s v="LVC"/>
    <s v="Yes"/>
    <n v="6"/>
    <s v="complement"/>
    <n v="1"/>
    <n v="3"/>
    <x v="1"/>
  </r>
  <r>
    <s v="Heike 2.22"/>
    <s v="君に仕へ奉れ"/>
    <s v=" kimi ni tsukae tatematsure"/>
    <s v="仕へ奉れ"/>
    <s v="imperative"/>
    <s v="action"/>
    <s v="verb"/>
    <s v="intransitive"/>
    <s v="active"/>
    <s v="positive"/>
    <n v="1"/>
    <n v="1"/>
    <x v="5"/>
    <n v="0"/>
    <x v="2"/>
    <n v="1"/>
    <x v="0"/>
    <s v="overt"/>
    <n v="0"/>
    <n v="0"/>
    <s v="n/a"/>
    <s v="complement"/>
    <n v="1"/>
    <n v="1"/>
    <s v="sub"/>
    <s v="lexical_humble_verb"/>
    <n v="0"/>
    <x v="2"/>
    <s v="te"/>
    <m/>
    <s v="ss"/>
    <s v="ds"/>
    <s v="topic-drop"/>
    <s v="contains_new"/>
    <m/>
    <m/>
    <n v="1"/>
    <s v="non-LVC"/>
    <s v="Yes"/>
    <n v="6"/>
    <s v="main"/>
    <n v="1"/>
    <n v="4"/>
    <x v="1"/>
  </r>
  <r>
    <s v="Heike 2.23"/>
    <s v="といふ本文あり (to iu honbun ari)"/>
    <s v="so goes the original passage"/>
    <s v="あり"/>
    <s v="indicative"/>
    <s v="stative"/>
    <s v="existential verb"/>
    <s v="intransitive"/>
    <s v="active"/>
    <s v="positive"/>
    <n v="1"/>
    <n v="1"/>
    <x v="0"/>
    <n v="1"/>
    <x v="0"/>
    <n v="3"/>
    <x v="0"/>
    <s v="n/a"/>
    <n v="0"/>
    <n v="0"/>
    <s v="n/a"/>
    <s v="main"/>
    <n v="0"/>
    <n v="0"/>
    <s v="n/a"/>
    <s v="n/a"/>
    <n v="0"/>
    <x v="2"/>
    <s v="complement"/>
    <m/>
    <s v="ds"/>
    <s v="ss"/>
    <s v="topic-drop"/>
    <s v="contains_new"/>
    <s v="frame predicate"/>
    <m/>
    <n v="1"/>
    <s v="non-LVC"/>
    <s v="Yes"/>
    <n v="6"/>
    <s v="inf"/>
    <n v="1"/>
    <n v="1"/>
    <x v="1"/>
  </r>
  <r>
    <s v="Heike 2.24"/>
    <s v="参内の初めより大なる鞘巻を用意し (sannai no hajime yori ō-naru sayamaki o yōi shi)"/>
    <s v="Before entering the Court he provided himself with a long dirk"/>
    <s v="用意し"/>
    <s v="indicative"/>
    <s v="other"/>
    <s v="LVC"/>
    <s v="transitive"/>
    <s v="active"/>
    <s v="positive"/>
    <n v="1"/>
    <n v="1"/>
    <x v="1"/>
    <n v="1"/>
    <x v="1"/>
    <n v="3"/>
    <x v="1"/>
    <s v="n/a"/>
    <n v="0"/>
    <n v="0"/>
    <s v="n/a"/>
    <s v="inf"/>
    <n v="0"/>
    <n v="0"/>
    <s v="n/a"/>
    <s v="n/a"/>
    <n v="0"/>
    <x v="2"/>
    <s v="main"/>
    <m/>
    <s v="ss"/>
    <s v="ss"/>
    <s v="topic-drop"/>
    <s v="contains_new"/>
    <m/>
    <m/>
    <n v="1"/>
    <s v="LVC"/>
    <s v="Yes"/>
    <n v="7"/>
    <s v="inf"/>
    <n v="1"/>
    <n v="2"/>
    <x v="0"/>
  </r>
  <r>
    <s v="Heike 2.25"/>
    <s v="束帯の下にしどけなげに差し (sokutai no shita ni shidokenage ni sashi)"/>
    <s v="which he girt on under his long court dress"/>
    <s v="差し"/>
    <s v="indicative"/>
    <s v="other"/>
    <s v="verb"/>
    <s v="transitive"/>
    <s v="active"/>
    <s v="positive"/>
    <n v="1"/>
    <n v="1"/>
    <x v="5"/>
    <n v="1"/>
    <x v="1"/>
    <n v="3"/>
    <x v="3"/>
    <s v="overt"/>
    <n v="0"/>
    <n v="0"/>
    <s v="n/a"/>
    <s v="inf"/>
    <n v="0"/>
    <n v="0"/>
    <s v="n/a"/>
    <s v="n/a"/>
    <n v="0"/>
    <x v="2"/>
    <s v="inf"/>
    <m/>
    <s v="ss"/>
    <s v="ss"/>
    <s v="topic-drop"/>
    <s v="contains_new"/>
    <m/>
    <m/>
    <n v="1"/>
    <s v="non-LVC"/>
    <s v="Yes"/>
    <n v="7"/>
    <s v="te"/>
    <n v="1"/>
    <n v="3"/>
    <x v="1"/>
  </r>
  <r>
    <s v="Heike 2.26"/>
    <s v="火の仄暗き方に向かつて (hi no hokuraki kata ni mukatte)"/>
    <s v="and turning aside to a dimly lit place"/>
    <s v="向かつて"/>
    <s v="indicative"/>
    <s v="other"/>
    <s v="verb"/>
    <s v="intransitive"/>
    <s v="active"/>
    <s v="positive"/>
    <n v="1"/>
    <n v="1"/>
    <x v="5"/>
    <n v="1"/>
    <x v="1"/>
    <n v="3"/>
    <x v="0"/>
    <s v="overt"/>
    <n v="0"/>
    <n v="0"/>
    <s v="n/a"/>
    <s v="te"/>
    <n v="0"/>
    <n v="0"/>
    <s v="n/a"/>
    <s v="n/a"/>
    <n v="0"/>
    <x v="1"/>
    <s v="inf"/>
    <s v="te_medial"/>
    <s v="ss"/>
    <s v="ss"/>
    <s v="topic-drop"/>
    <s v="contains_new"/>
    <m/>
    <m/>
    <n v="1"/>
    <s v="non-LVC"/>
    <s v="Yes"/>
    <n v="7"/>
    <m/>
    <n v="1"/>
    <n v="4"/>
    <x v="1"/>
  </r>
  <r>
    <s v="Heike 2.27"/>
    <s v="やはらこの刀を抜き出でて (yahara kono katana o nuki-idete)"/>
    <s v="slowly drew the blade"/>
    <s v="抜き出でて"/>
    <s v="indicative"/>
    <s v="motion"/>
    <s v="verb(compound)"/>
    <s v="transitive"/>
    <s v="active"/>
    <s v="positive"/>
    <n v="1"/>
    <n v="1"/>
    <x v="1"/>
    <n v="0"/>
    <x v="1"/>
    <n v="3"/>
    <x v="1"/>
    <s v="n/a"/>
    <n v="0"/>
    <n v="0"/>
    <s v="n/a"/>
    <s v="te"/>
    <n v="0"/>
    <n v="0"/>
    <s v="n/a"/>
    <s v="n/a"/>
    <n v="0"/>
    <x v="1"/>
    <s v="te"/>
    <s v="te_medial"/>
    <s v="ss"/>
    <s v="ss"/>
    <s v="topic-drop"/>
    <s v="all given"/>
    <s v="&quot;kono katana&quot; refers to the &quot;sayamaki&quot;, so all given"/>
    <m/>
    <n v="1"/>
    <s v="non-LVC"/>
    <s v="Yes"/>
    <n v="7"/>
    <m/>
    <n v="1"/>
    <n v="5"/>
    <x v="1"/>
  </r>
  <r>
    <s v="Heike 2.28"/>
    <s v="鬢に引き当てられたりけるが (kami ni hiki-ate raretarikeru ga)"/>
    <s v="and passed it through the hair of his head"/>
    <s v="引き当てられたりける"/>
    <s v="indicative"/>
    <s v="motion"/>
    <s v="verb"/>
    <s v="transitive"/>
    <s v="active"/>
    <s v="positive"/>
    <n v="1"/>
    <n v="1"/>
    <x v="5"/>
    <n v="0"/>
    <x v="2"/>
    <n v="3"/>
    <x v="3"/>
    <s v="overt"/>
    <n v="0"/>
    <n v="0"/>
    <s v="n/a"/>
    <s v="subordinate"/>
    <n v="0"/>
    <n v="1"/>
    <s v="sub"/>
    <s v="honorific_aux"/>
    <n v="0"/>
    <x v="6"/>
    <s v="te"/>
    <m/>
    <s v="ss"/>
    <s v="ds"/>
    <s v="topic-drop"/>
    <s v="contains_new"/>
    <s v="should the -to part be considered a clausal subject?"/>
    <m/>
    <n v="1"/>
    <s v="non-LVC"/>
    <s v="Yes"/>
    <n v="7"/>
    <m/>
    <n v="1"/>
    <m/>
    <x v="1"/>
  </r>
  <r>
    <s v="Heike 2.29"/>
    <s v="余所よりは氷などのやうにぞ見えたりける (yoso yori wa kōri nado no yō ni zo mieta rikeru)"/>
    <s v="so that it gleamed afar off with an icy sheen"/>
    <s v="見えたりける"/>
    <s v="indicative"/>
    <s v="perception"/>
    <s v="verb"/>
    <s v="intransitive"/>
    <s v="resultative"/>
    <s v="positive"/>
    <n v="1"/>
    <n v="0"/>
    <x v="2"/>
    <n v="2"/>
    <x v="1"/>
    <n v="3"/>
    <x v="0"/>
    <s v="n/a"/>
    <n v="0"/>
    <n v="0"/>
    <s v="n/a"/>
    <s v="relative"/>
    <n v="0"/>
    <n v="0"/>
    <s v="n/a"/>
    <s v="n/a"/>
    <n v="0"/>
    <x v="2"/>
    <s v="subordinate"/>
    <m/>
    <s v="ds"/>
    <s v="ss"/>
    <s v="topic-drop"/>
    <s v="no_overt_NP"/>
    <m/>
    <m/>
    <n v="0"/>
    <s v="non-LVC"/>
    <s v="Yes"/>
    <n v="7"/>
    <m/>
    <n v="0"/>
    <n v="6"/>
    <x v="1"/>
  </r>
  <r>
    <s v="Heike 2.30"/>
    <s v="諸人目を澄ましけり (morobito me o sumashikeri)"/>
    <s v="causing all to stare open-eyed"/>
    <s v="澄ましけり"/>
    <s v="indicative"/>
    <s v="other"/>
    <s v="verb"/>
    <s v="transitive"/>
    <s v="active"/>
    <s v="positive"/>
    <n v="1"/>
    <n v="2"/>
    <x v="7"/>
    <n v="0"/>
    <x v="1"/>
    <n v="3"/>
    <x v="1"/>
    <s v="overt"/>
    <n v="0"/>
    <n v="0"/>
    <s v="n/a"/>
    <s v="main"/>
    <n v="0"/>
    <n v="0"/>
    <s v="n/a"/>
    <s v="n/a"/>
    <n v="0"/>
    <x v="2"/>
    <s v="relative"/>
    <m/>
    <s v="ss"/>
    <s v="ds"/>
    <s v="topic-drop"/>
    <s v="contains_new"/>
    <m/>
    <m/>
    <n v="2"/>
    <s v="non-LVC"/>
    <s v="Yes"/>
    <n v="7"/>
    <s v="relative"/>
    <n v="1"/>
    <m/>
    <x v="0"/>
  </r>
  <r>
    <s v="Heike 2.31"/>
    <s v="また忠盛の郎等元は一門たりし( mata Tadamori no rōtō moto wa ichimon tarishi) "/>
    <s v="Moreover a retainer of Tadamori ... "/>
    <s v="たりし"/>
    <s v="indicative"/>
    <s v="other"/>
    <s v="copula"/>
    <s v="intransitive"/>
    <s v="active"/>
    <s v="positive"/>
    <n v="1"/>
    <n v="1"/>
    <x v="0"/>
    <n v="1"/>
    <x v="0"/>
    <n v="3"/>
    <x v="0"/>
    <s v="n/a"/>
    <n v="0"/>
    <n v="0"/>
    <s v="REL"/>
    <s v="relative"/>
    <n v="0"/>
    <n v="0"/>
    <s v="n/a"/>
    <s v="n/a"/>
    <n v="0"/>
    <x v="6"/>
    <s v="main"/>
    <m/>
    <s v="ds"/>
    <s v="ss"/>
    <s v="topic-introduced"/>
    <s v="contains_new"/>
    <m/>
    <m/>
    <n v="1"/>
    <s v="non-LVC"/>
    <s v="Yes"/>
    <n v="8"/>
    <s v="main"/>
    <n v="0"/>
    <n v="1"/>
    <x v="1"/>
  </r>
  <r>
    <s v="Heike 2.32"/>
    <s v="木工助平貞光が孫新四郎太夫家房が子に左兵衛尉家貞といふ者あり (Moku no suke Sadamitsu ga mago Shinshirō Tayū Iefusa ga ko ni Sahyōe no jō Iesada to iu mono ari)"/>
    <s v="there was one named Sahyoe-no-jo Iesada"/>
    <s v="あり"/>
    <s v="indicative"/>
    <s v="other"/>
    <s v="existential verb"/>
    <s v="intransitive"/>
    <s v="active"/>
    <s v="positive"/>
    <n v="1"/>
    <n v="1"/>
    <x v="0"/>
    <n v="2"/>
    <x v="0"/>
    <n v="3"/>
    <x v="0"/>
    <s v="n/a"/>
    <n v="0"/>
    <n v="0"/>
    <s v="n/a"/>
    <s v="main"/>
    <n v="0"/>
    <n v="0"/>
    <s v="n/a"/>
    <s v="n/a"/>
    <n v="0"/>
    <x v="2"/>
    <s v="relative"/>
    <m/>
    <s v="ss"/>
    <s v="ss"/>
    <s v="topic-introduced"/>
    <s v="contains_new"/>
    <s v="frame predicate"/>
    <m/>
    <n v="1"/>
    <s v="non-LVC"/>
    <s v="Yes"/>
    <n v="8"/>
    <s v="inf"/>
    <n v="1"/>
    <n v="1"/>
    <x v="0"/>
  </r>
  <r>
    <s v="Heike 2.33"/>
    <s v="薄青の狩衣の下に萌黄威の腹巻を着 (usuao no kariginu no shita ni moegi-odoshi no haramaki o ki)"/>
    <s v="wearing a body armour laced with bright green under a light green &quot;kariginu&quot;"/>
    <s v="着"/>
    <s v="indicative"/>
    <s v="other"/>
    <s v="verb"/>
    <s v="transitive"/>
    <s v="active"/>
    <s v="positive"/>
    <n v="1"/>
    <n v="1"/>
    <x v="1"/>
    <n v="1"/>
    <x v="1"/>
    <n v="3"/>
    <x v="1"/>
    <s v="n/a"/>
    <n v="0"/>
    <n v="0"/>
    <s v="n/a"/>
    <s v="inf"/>
    <n v="0"/>
    <n v="0"/>
    <s v="n/a"/>
    <s v="n/a"/>
    <n v="0"/>
    <x v="2"/>
    <s v="main"/>
    <m/>
    <s v="ss"/>
    <s v="ss"/>
    <s v="topic-drop"/>
    <s v="contains_new"/>
    <m/>
    <m/>
    <n v="1"/>
    <s v="non-LVC"/>
    <s v="Yes"/>
    <n v="9"/>
    <s v="relative"/>
    <n v="1"/>
    <m/>
    <x v="1"/>
  </r>
  <r>
    <s v="Heike 2.34"/>
    <s v="柄弦袋付けたる ezurubukuro tsuketaru "/>
    <s v="with a bowstring bag attached"/>
    <s v="付けたる"/>
    <s v="indicative"/>
    <s v="other"/>
    <s v="verb"/>
    <s v="transitive"/>
    <s v="active"/>
    <s v="positive"/>
    <n v="1"/>
    <n v="1"/>
    <x v="1"/>
    <n v="0"/>
    <x v="1"/>
    <n v="3"/>
    <x v="1"/>
    <s v="n/a"/>
    <n v="1"/>
    <n v="0"/>
    <s v="REL"/>
    <s v="relative"/>
    <n v="0"/>
    <n v="0"/>
    <s v="n/a"/>
    <s v="n/a"/>
    <n v="0"/>
    <x v="2"/>
    <s v="inf"/>
    <m/>
    <s v="ss"/>
    <s v="ss"/>
    <s v="topic-drop"/>
    <s v="contains_new"/>
    <m/>
    <m/>
    <n v="1"/>
    <s v="non-LVC"/>
    <s v="Yes"/>
    <n v="9"/>
    <s v="te"/>
    <n v="0"/>
    <n v="2"/>
    <x v="1"/>
  </r>
  <r>
    <s v="Heike 2.35"/>
    <s v="太刀脇挟んで (tachi wakihasande)"/>
    <s v="and carrying under his arm a &quot;tachi&quot; "/>
    <s v="挟んで"/>
    <s v="indicative"/>
    <s v="other"/>
    <s v="verb"/>
    <s v="transitive"/>
    <s v="active"/>
    <s v="positive"/>
    <n v="1"/>
    <n v="2"/>
    <x v="7"/>
    <n v="0"/>
    <x v="1"/>
    <n v="3"/>
    <x v="1"/>
    <s v="overt"/>
    <n v="0"/>
    <n v="0"/>
    <s v="n/a"/>
    <s v="te"/>
    <n v="0"/>
    <n v="0"/>
    <s v="n/a"/>
    <s v="n/a"/>
    <n v="0"/>
    <x v="2"/>
    <s v="relative"/>
    <s v="te_medial"/>
    <s v="ss"/>
    <s v="ss"/>
    <s v="topic-drop"/>
    <s v="contains_new"/>
    <m/>
    <m/>
    <n v="2"/>
    <s v="non-LVC"/>
    <s v="Yes"/>
    <n v="9"/>
    <m/>
    <n v="1"/>
    <n v="3"/>
    <x v="1"/>
  </r>
  <r>
    <s v="Heike 2.36"/>
    <s v="殿上の小庭に畏つてぞ候ひける (tenjō no koniwa ni kashikomatte zo soroikyeru)"/>
    <s v="was waiting in the &quot;koniwa,&quot; the small court by the Seiryoden"/>
    <s v="畏つて候ひける"/>
    <s v="indicative"/>
    <s v="other"/>
    <s v="verb(complex)"/>
    <s v="intransitive"/>
    <s v="active"/>
    <s v="positive"/>
    <n v="1"/>
    <n v="0"/>
    <x v="2"/>
    <n v="1"/>
    <x v="1"/>
    <n v="3"/>
    <x v="0"/>
    <s v="n/a"/>
    <n v="0"/>
    <n v="0"/>
    <s v="n/a"/>
    <s v="main"/>
    <n v="0"/>
    <n v="1"/>
    <s v="sub"/>
    <s v="lexical_humble_verb"/>
    <n v="0"/>
    <x v="2"/>
    <s v="te"/>
    <m/>
    <s v="ss"/>
    <s v="ds"/>
    <s v="topic-drop"/>
    <s v="no_overt_NP"/>
    <m/>
    <m/>
    <n v="0"/>
    <s v="non-LVC"/>
    <s v="Yes"/>
    <n v="9"/>
    <m/>
    <n v="1"/>
    <n v="1"/>
    <x v="1"/>
  </r>
  <r>
    <s v="Heike 2.37"/>
    <s v="貫首以下怪しみをなして (kanshu ika ayashimi o nashite)"/>
    <s v="Now the Kurando-no-to and others, thinking it strange,"/>
    <s v="なして"/>
    <s v="indicative"/>
    <s v="other"/>
    <s v="LVC (inf)"/>
    <s v="transitive"/>
    <s v="active"/>
    <s v="negative"/>
    <n v="1"/>
    <n v="2"/>
    <x v="3"/>
    <n v="0"/>
    <x v="0"/>
    <n v="3"/>
    <x v="1"/>
    <s v="n/a"/>
    <n v="0"/>
    <n v="0"/>
    <s v="n/a"/>
    <s v="te"/>
    <n v="0"/>
    <n v="0"/>
    <s v="n/a"/>
    <s v="n/a"/>
    <n v="0"/>
    <x v="1"/>
    <s v="main"/>
    <s v="te_initial"/>
    <s v="ds"/>
    <s v="ss"/>
    <s v="topic-shift"/>
    <s v="contains_new"/>
    <m/>
    <m/>
    <n v="2"/>
    <s v="LVC"/>
    <s v="Yes"/>
    <n v="10"/>
    <s v="nominalised"/>
    <n v="1"/>
    <m/>
    <x v="1"/>
  </r>
  <r>
    <s v="Heike 2.38"/>
    <s v="空柱より内鈴の綱の辺に布衣の者の候ふ  (sorabashira yori uchisuzu no tsuna no hen ni hoi no mono no soroou)"/>
    <s v="that one wearing unsuitable costume should be within the balustrade of the steps of the Court near the bell-rope of the library, "/>
    <s v="候ふ"/>
    <s v="indicative"/>
    <s v="other"/>
    <s v="verb"/>
    <s v="intransitive"/>
    <s v="active"/>
    <s v="positive"/>
    <n v="1"/>
    <n v="1"/>
    <x v="0"/>
    <n v="1"/>
    <x v="0"/>
    <n v="3"/>
    <x v="0"/>
    <s v="n/a"/>
    <n v="0"/>
    <n v="0"/>
    <s v="SUB"/>
    <s v="nominalised"/>
    <n v="1"/>
    <n v="0"/>
    <s v="sub"/>
    <s v="lexical_humble_verb"/>
    <n v="0"/>
    <x v="2"/>
    <s v="te"/>
    <m/>
    <s v="ss"/>
    <s v="ss"/>
    <s v="topic-shift"/>
    <s v="contains_new"/>
    <s v="internally headed"/>
    <m/>
    <n v="1"/>
    <s v="non-LVC"/>
    <s v="Yes"/>
    <n v="10"/>
    <m/>
    <n v="0"/>
    <n v="2"/>
    <x v="1"/>
  </r>
  <r>
    <s v="Heike 2.39"/>
    <s v="は何者ぞ  wa nani mono zo"/>
    <s v="and wondering who he was."/>
    <s v="何者ぞ  "/>
    <s v="indicative"/>
    <s v="other"/>
    <s v="copula"/>
    <s v="intransitive"/>
    <s v="active"/>
    <s v="positive"/>
    <n v="1"/>
    <n v="1"/>
    <x v="0"/>
    <n v="0"/>
    <x v="0"/>
    <n v="3"/>
    <x v="0"/>
    <s v="n/a"/>
    <n v="0"/>
    <n v="0"/>
    <s v="n/a"/>
    <s v="main"/>
    <n v="0"/>
    <n v="0"/>
    <s v="n/a"/>
    <s v="n/a"/>
    <n v="0"/>
    <x v="2"/>
    <s v="nominalised"/>
    <m/>
    <s v="ss"/>
    <s v="ss"/>
    <s v="topic-continued"/>
    <s v="all given"/>
    <m/>
    <m/>
    <n v="1"/>
    <s v="non-LVC"/>
    <s v="Yes"/>
    <n v="10"/>
    <m/>
    <n v="1"/>
    <n v="1"/>
    <x v="1"/>
  </r>
  <r>
    <s v="Heike 2.40"/>
    <s v="狼藉なり (rōzaku nari)"/>
    <s v="&quot;[He is] disorderly&quot;"/>
    <s v="なり"/>
    <s v="indicative"/>
    <s v="stative"/>
    <s v="copula"/>
    <s v="intransitive"/>
    <s v="active"/>
    <s v="positive"/>
    <n v="1"/>
    <n v="0"/>
    <x v="2"/>
    <n v="0"/>
    <x v="4"/>
    <n v="3"/>
    <x v="0"/>
    <s v="n/a"/>
    <n v="0"/>
    <n v="0"/>
    <s v="n/a"/>
    <s v="main"/>
    <n v="0"/>
    <n v="0"/>
    <s v="n/a"/>
    <s v="n/a"/>
    <n v="0"/>
    <x v="2"/>
    <s v="main"/>
    <m/>
    <s v="ss"/>
    <s v="ss"/>
    <s v="topic-drop"/>
    <s v="no_overt_NP"/>
    <m/>
    <m/>
    <n v="0"/>
    <s v="non-LVC"/>
    <s v="Yes"/>
    <n v="11"/>
    <s v="complement"/>
    <n v="1"/>
    <n v="1"/>
    <x v="0"/>
  </r>
  <r>
    <s v="Heike 2.41"/>
    <s v="疾う疾う罷り出でよと (tōtō makari ideyo to)"/>
    <s v="&quot;Depart quickly&quot;"/>
    <s v="罷り出でよ"/>
    <s v="imperative"/>
    <s v="motion"/>
    <s v="verb"/>
    <s v="intransitive"/>
    <s v="active"/>
    <s v="positive"/>
    <n v="1"/>
    <n v="0"/>
    <x v="2"/>
    <n v="0"/>
    <x v="1"/>
    <n v="2"/>
    <x v="0"/>
    <s v="n/a"/>
    <n v="0"/>
    <n v="0"/>
    <s v="n/a"/>
    <s v="complement"/>
    <n v="0"/>
    <n v="1"/>
    <s v="sub"/>
    <s v="lexical_humble_verb"/>
    <n v="0"/>
    <x v="4"/>
    <s v="main"/>
    <m/>
    <s v="ss"/>
    <s v="ss"/>
    <s v="topic-drop"/>
    <s v="no_overt_NP"/>
    <s v="embedded"/>
    <m/>
    <n v="0"/>
    <s v="non-LVC"/>
    <s v="Yes"/>
    <n v="12"/>
    <m/>
    <n v="1"/>
    <n v="2"/>
    <x v="0"/>
  </r>
  <r>
    <s v="Heike 2.42"/>
    <s v="六位を以て云はせられたりければ (to roku-i o motte iwaseraretarikereba)"/>
    <s v="an official of the sixth rank ordered him to depart quickly."/>
    <s v="云はせられたりければ"/>
    <s v="indicative"/>
    <s v="stative"/>
    <s v="verb"/>
    <s v="intransitive"/>
    <s v="causative-passive-resultative"/>
    <s v="positive"/>
    <n v="1"/>
    <n v="2"/>
    <x v="8"/>
    <n v="1"/>
    <x v="1"/>
    <n v="3"/>
    <x v="1"/>
    <s v="n/a"/>
    <n v="0"/>
    <n v="0"/>
    <s v="n/a"/>
    <s v="subordinate"/>
    <n v="1"/>
    <n v="0"/>
    <s v="n/a"/>
    <s v="honorific_aux"/>
    <n v="0"/>
    <x v="2"/>
    <s v="complement"/>
    <m/>
    <s v="ss"/>
    <s v="ss"/>
    <s v="topic-drop"/>
    <s v="contains_new"/>
    <m/>
    <m/>
    <n v="2"/>
    <s v="non-LVC"/>
    <s v="Yes"/>
    <n v="12"/>
    <m/>
    <n v="1"/>
    <n v="3"/>
    <x v="1"/>
  </r>
  <r>
    <s v="Heike 2.43"/>
    <s v="家貞畏つて申しけるは (Iesada kashikomatte mōshikeru wa)"/>
    <s v="But Iesada thus replied:"/>
    <s v="申しける"/>
    <s v="indicative"/>
    <s v="action"/>
    <s v="verb"/>
    <s v="transitive"/>
    <s v="active"/>
    <s v="positive"/>
    <n v="1"/>
    <n v="1"/>
    <x v="0"/>
    <n v="0"/>
    <x v="0"/>
    <n v="3"/>
    <x v="5"/>
    <s v="n/a"/>
    <n v="1"/>
    <n v="0"/>
    <s v="SUB"/>
    <s v="subordinate"/>
    <n v="1"/>
    <n v="0"/>
    <s v="sub"/>
    <s v="lexical_humble_verb"/>
    <n v="0"/>
    <x v="2"/>
    <s v="subordinate"/>
    <m/>
    <s v="ss"/>
    <s v="ds"/>
    <s v="topic-continued"/>
    <s v="all given"/>
    <s v="internally headed"/>
    <m/>
    <n v="1"/>
    <s v="non-LVC"/>
    <s v="Yes"/>
    <n v="12"/>
    <m/>
    <n v="1"/>
    <m/>
    <x v="1"/>
  </r>
  <r>
    <s v="Heike 2.44"/>
    <s v="相伝の主備前守殿今夜闇討にせられ給ふべき (sōden no aruji Bizen no kami-dono kon'ya yamiuchi ni serare-tamō beki) "/>
    <s v="tonight they will try to kill my Lord Bizen-no-kami dono&quot;"/>
    <s v="闇討にせられ給ふ"/>
    <s v="indicative"/>
    <s v="other"/>
    <s v="LVC"/>
    <s v="intransitive"/>
    <s v="passive"/>
    <s v="positive"/>
    <n v="1"/>
    <n v="1"/>
    <x v="0"/>
    <n v="1"/>
    <x v="0"/>
    <n v="3"/>
    <x v="0"/>
    <s v="n/a"/>
    <n v="0"/>
    <n v="1"/>
    <s v="REL"/>
    <s v="relative"/>
    <n v="1"/>
    <n v="0"/>
    <s v="sub"/>
    <s v="lexical_honorific_verb"/>
    <n v="0"/>
    <x v="2"/>
    <s v="subordinate"/>
    <m/>
    <s v="ds"/>
    <s v="ss"/>
    <s v="topic-shift"/>
    <s v="contains_new"/>
    <m/>
    <m/>
    <n v="1"/>
    <s v="LVC"/>
    <s v="Yes"/>
    <n v="12"/>
    <s v="te"/>
    <n v="0"/>
    <n v="4"/>
    <x v="1"/>
  </r>
  <r>
    <s v="Heike 2.45"/>
    <s v="由伝へ承つて(yoshi tsutae uketamawatte) "/>
    <s v="Because I have heard that"/>
    <s v="伝へ承つて"/>
    <s v="indicative"/>
    <s v="communication"/>
    <s v="verb"/>
    <s v="transitive"/>
    <s v="active"/>
    <s v="positive"/>
    <n v="1"/>
    <n v="1"/>
    <x v="1"/>
    <n v="0"/>
    <x v="1"/>
    <n v="1"/>
    <x v="1"/>
    <s v="n/a"/>
    <n v="0"/>
    <n v="0"/>
    <s v="n/a"/>
    <s v="te"/>
    <n v="0"/>
    <n v="1"/>
    <s v="sub"/>
    <s v="honorific_aux"/>
    <n v="0"/>
    <x v="1"/>
    <s v="relative"/>
    <s v="te_medial"/>
    <s v="ss"/>
    <s v="ds"/>
    <s v="topic-drop"/>
    <s v="contains_new"/>
    <m/>
    <m/>
    <n v="1"/>
    <s v="non-LVC"/>
    <s v="Yes"/>
    <n v="12"/>
    <m/>
    <n v="1"/>
    <m/>
    <x v="1"/>
  </r>
  <r>
    <s v="Heike 2.46"/>
    <s v="それならん  (sore naran )"/>
    <s v="&quot;whether it is so&quot;"/>
    <s v="ならん "/>
    <s v="epistemic"/>
    <s v="other"/>
    <s v="verb"/>
    <s v="intransitive"/>
    <s v="active"/>
    <s v="positive"/>
    <n v="1"/>
    <n v="1"/>
    <x v="0"/>
    <n v="0"/>
    <x v="0"/>
    <n v="3"/>
    <x v="0"/>
    <s v="n/a"/>
    <n v="0"/>
    <n v="1"/>
    <s v="REL"/>
    <s v="relative"/>
    <n v="0"/>
    <n v="0"/>
    <s v="n/a"/>
    <s v="n/a"/>
    <n v="0"/>
    <x v="2"/>
    <s v="te"/>
    <m/>
    <s v="ds"/>
    <s v="ds"/>
    <s v="topic-continued"/>
    <s v="all given"/>
    <m/>
    <m/>
    <n v="1"/>
    <s v="non-LVC"/>
    <s v="Yes"/>
    <n v="12"/>
    <m/>
    <n v="0"/>
    <n v="5"/>
    <x v="1"/>
  </r>
  <r>
    <s v="Heike 2.47"/>
    <s v="やうを見んとて (yō o min to te)"/>
    <s v="and in order to see "/>
    <s v="見ん"/>
    <s v="dynamic"/>
    <s v="perception"/>
    <s v="verb"/>
    <s v="transitive"/>
    <s v="active"/>
    <s v="positive"/>
    <n v="1"/>
    <n v="1"/>
    <x v="1"/>
    <n v="0"/>
    <x v="1"/>
    <n v="1"/>
    <x v="1"/>
    <s v="n/a"/>
    <n v="0"/>
    <n v="0"/>
    <s v="REL"/>
    <s v="subordinate"/>
    <n v="0"/>
    <n v="0"/>
    <s v="n/a"/>
    <s v="n/a"/>
    <n v="0"/>
    <x v="7"/>
    <s v="relative"/>
    <m/>
    <s v="ds"/>
    <s v="ss"/>
    <s v="topic-drop"/>
    <s v="contains_new"/>
    <m/>
    <m/>
    <n v="1"/>
    <s v="non-LVC"/>
    <s v="Yes"/>
    <n v="12"/>
    <m/>
    <n v="1"/>
    <n v="6"/>
    <x v="1"/>
  </r>
  <r>
    <s v="Heike 2.48"/>
    <s v="かくて候ふなり (kakute soro fu nari)"/>
    <s v="&quot;have come and am thus waiting&quot;"/>
    <s v="候ふなり"/>
    <s v="indicative"/>
    <s v="stative"/>
    <s v="verb(complex)"/>
    <s v="intransitive"/>
    <s v="active"/>
    <s v="positive"/>
    <n v="1"/>
    <n v="0"/>
    <x v="2"/>
    <n v="1"/>
    <x v="2"/>
    <n v="1"/>
    <x v="0"/>
    <s v="n/a"/>
    <n v="0"/>
    <n v="0"/>
    <s v="n/a"/>
    <s v="main"/>
    <n v="0"/>
    <n v="1"/>
    <s v="sub"/>
    <s v="lexical_humble_verb"/>
    <n v="0"/>
    <x v="2"/>
    <s v="subordinate"/>
    <m/>
    <s v="ss"/>
    <s v="ss"/>
    <s v="topic-drop"/>
    <s v="no_overt_NP"/>
    <m/>
    <m/>
    <n v="0"/>
    <s v="non-LVC"/>
    <s v="Yes"/>
    <n v="12"/>
    <s v="main"/>
    <n v="1"/>
    <n v="1"/>
    <x v="1"/>
  </r>
  <r>
    <s v="Heike 2.49"/>
    <s v="えこそ出でまじう候へ (e koso idema jiu soro e)"/>
    <s v="&quot;I cannot possibly go out&quot;"/>
    <s v="出でまじう候へ"/>
    <s v="dynamic"/>
    <s v="motion"/>
    <s v="verb"/>
    <s v="intransitive"/>
    <s v="active"/>
    <s v="negative"/>
    <n v="1"/>
    <n v="0"/>
    <x v="2"/>
    <n v="0"/>
    <x v="2"/>
    <n v="1"/>
    <x v="0"/>
    <s v="n/a"/>
    <n v="0"/>
    <n v="0"/>
    <s v="n/a"/>
    <s v="main"/>
    <n v="0"/>
    <n v="1"/>
    <s v="sub"/>
    <s v="polite_aux"/>
    <n v="0"/>
    <x v="2"/>
    <s v="main"/>
    <m/>
    <s v="ss"/>
    <s v="ds"/>
    <s v="topic-drop"/>
    <s v="no_overt_NP"/>
    <m/>
    <m/>
    <n v="0"/>
    <s v="non-LVC"/>
    <s v="Yes"/>
    <n v="13"/>
    <m/>
    <n v="1"/>
    <n v="1"/>
    <x v="0"/>
  </r>
  <r>
    <s v="Heike 2.50"/>
    <s v="これらを由なしとや (korera o yoshi nashi to ya)"/>
    <s v=" there was nothing more to be done;"/>
    <s v="なし"/>
    <s v="indicative"/>
    <s v="stative"/>
    <s v="existential verb"/>
    <s v="intransitive"/>
    <s v="active"/>
    <s v="negative"/>
    <n v="1"/>
    <n v="1"/>
    <x v="0"/>
    <n v="1"/>
    <x v="0"/>
    <n v="3"/>
    <x v="0"/>
    <s v="n/a"/>
    <n v="0"/>
    <n v="0"/>
    <s v="n/a"/>
    <s v="complement"/>
    <n v="0"/>
    <n v="0"/>
    <s v="n/a"/>
    <s v="n/a"/>
    <n v="0"/>
    <x v="4"/>
    <s v="main"/>
    <m/>
    <s v="ds"/>
    <m/>
    <s v="topic-continued"/>
    <s v="contains_new"/>
    <m/>
    <m/>
    <n v="1"/>
    <s v="non-LVC"/>
    <s v="Yes"/>
    <n v="14"/>
    <s v="main"/>
    <n v="1"/>
    <n v="2"/>
    <x v="1"/>
  </r>
  <r>
    <m/>
    <s v="思はれけん (omowareken)"/>
    <s v="And they saw that"/>
    <s v="思はれけん"/>
    <s v="epistemic"/>
    <s v="psych-state"/>
    <s v="verb"/>
    <s v="transitive"/>
    <s v="active"/>
    <s v="positive"/>
    <n v="1"/>
    <n v="1"/>
    <x v="9"/>
    <n v="0"/>
    <x v="2"/>
    <n v="3"/>
    <x v="1"/>
    <s v="n/a"/>
    <n v="0"/>
    <n v="0"/>
    <s v="n/a"/>
    <s v="main"/>
    <n v="0"/>
    <n v="1"/>
    <s v="sub"/>
    <s v="honorific_aux"/>
    <n v="0"/>
    <x v="8"/>
    <m/>
    <m/>
    <s v="ds"/>
    <m/>
    <s v="topic-drop"/>
    <s v="contains_new"/>
    <m/>
    <m/>
    <n v="1"/>
    <s v="non-LVC"/>
    <s v="Yes"/>
    <n v="14"/>
    <m/>
    <n v="1"/>
    <n v="1"/>
    <x v="1"/>
  </r>
  <r>
    <s v="Heike 2.51"/>
    <s v="その夜の闇討なかりけり (sono yo no yamiuchi nakarikeri)"/>
    <s v="and thus the attempt did not take place."/>
    <s v="なかりけり"/>
    <s v="indicative"/>
    <s v="aux/modal"/>
    <s v="verb"/>
    <s v="intransitive"/>
    <s v="active"/>
    <s v="negative"/>
    <n v="1"/>
    <n v="1"/>
    <x v="0"/>
    <n v="0"/>
    <x v="0"/>
    <s v="inanimate"/>
    <x v="0"/>
    <s v="n/a"/>
    <n v="0"/>
    <n v="0"/>
    <s v="n/a"/>
    <s v="main"/>
    <n v="0"/>
    <n v="0"/>
    <s v="n/a"/>
    <s v="n/a"/>
    <n v="0"/>
    <x v="2"/>
    <s v="main"/>
    <m/>
    <s v="ss"/>
    <s v="ds"/>
    <s v="topic-shift"/>
    <s v="contains_new"/>
    <m/>
    <m/>
    <n v="1"/>
    <s v="non-LVC"/>
    <s v="Yes"/>
    <n v="15"/>
    <s v="subordinate"/>
    <n v="1"/>
    <n v="1"/>
    <x v="0"/>
  </r>
  <r>
    <s v="Heike 2.52"/>
    <s v="忠盛また御前の召しに舞はれけるに (Tadamori mata gozen no meshi ni mawarekeru ni)"/>
    <s v="But when Tadamori danced in the August presence of the Mikado at his Imperial wish,"/>
    <s v="舞はれける"/>
    <s v="indicative"/>
    <s v="action"/>
    <s v="verb"/>
    <s v="intransitive"/>
    <s v="active"/>
    <s v="positive"/>
    <n v="1"/>
    <n v="1"/>
    <x v="0"/>
    <n v="1"/>
    <x v="0"/>
    <n v="3"/>
    <x v="0"/>
    <s v="n/a"/>
    <n v="0"/>
    <n v="0"/>
    <s v="REL"/>
    <s v="subordinate"/>
    <n v="1"/>
    <n v="0"/>
    <s v="sub"/>
    <s v="honorific_aux"/>
    <n v="0"/>
    <x v="0"/>
    <s v="main"/>
    <m/>
    <s v="ds"/>
    <s v="ds"/>
    <s v="topic-shift"/>
    <s v="contains_new"/>
    <m/>
    <m/>
    <n v="1"/>
    <s v="non-LVC"/>
    <s v="Yes"/>
    <n v="16"/>
    <s v="te"/>
    <n v="1"/>
    <n v="2"/>
    <x v="1"/>
  </r>
  <r>
    <s v="Heike 2.53"/>
    <s v="人々拍子を変へて (hitobito hyōshi o kaete)"/>
    <s v="the others mocked at him, changing the words of the music"/>
    <s v="変へて"/>
    <s v="indicative"/>
    <s v="other"/>
    <s v="verb"/>
    <s v="transitive"/>
    <s v="active"/>
    <s v="positive"/>
    <n v="1"/>
    <n v="2"/>
    <x v="3"/>
    <n v="0"/>
    <x v="0"/>
    <n v="3"/>
    <x v="1"/>
    <s v="n/a"/>
    <n v="0"/>
    <n v="0"/>
    <s v="n/a"/>
    <s v="te"/>
    <n v="0"/>
    <n v="0"/>
    <s v="n/a"/>
    <s v="n/a"/>
    <n v="0"/>
    <x v="1"/>
    <s v="subordinate"/>
    <s v="te_medial"/>
    <s v="ds"/>
    <s v="ds"/>
    <s v="topic-shift"/>
    <s v="contains_new"/>
    <m/>
    <m/>
    <n v="2"/>
    <s v="non-LVC"/>
    <s v="Yes"/>
    <n v="16"/>
    <s v="complement"/>
    <n v="1"/>
    <n v="3"/>
    <x v="1"/>
  </r>
  <r>
    <s v="Heike 2.54"/>
    <s v="伊勢へいじはすがめなりけりとぞ (Ise heiji wa sugame narikeri)"/>
    <s v="&quot;the winepot of Ise has turned into a vinegar jar&quot;"/>
    <s v="なりけり"/>
    <s v="indicative"/>
    <s v="stative"/>
    <s v="copula"/>
    <s v="intransitive"/>
    <s v="active"/>
    <s v="positive"/>
    <n v="1"/>
    <n v="1"/>
    <x v="0"/>
    <n v="0"/>
    <x v="0"/>
    <n v="3"/>
    <x v="0"/>
    <s v="n/a"/>
    <n v="0"/>
    <n v="0"/>
    <s v="n/a"/>
    <s v="complement"/>
    <n v="0"/>
    <n v="0"/>
    <s v="n/a"/>
    <s v="n/a"/>
    <n v="0"/>
    <x v="4"/>
    <s v="te"/>
    <m/>
    <s v="ds"/>
    <s v="ss"/>
    <s v="topic-introduced"/>
    <s v="contains_new"/>
    <m/>
    <m/>
    <n v="1"/>
    <s v="non-LVC"/>
    <s v="Yes"/>
    <n v="16"/>
    <s v="main"/>
    <n v="1"/>
    <n v="4"/>
    <x v="1"/>
  </r>
  <r>
    <s v="Heike 2.55"/>
    <s v="囃されける (to zo hayasarekeru)"/>
    <s v="they sang in mockery"/>
    <s v="囃されける"/>
    <s v="indicative"/>
    <s v="action"/>
    <s v="verb"/>
    <s v="transitive"/>
    <s v="active"/>
    <s v="positive"/>
    <n v="1"/>
    <n v="1"/>
    <x v="9"/>
    <n v="0"/>
    <x v="2"/>
    <n v="3"/>
    <x v="1"/>
    <s v="n/a"/>
    <n v="0"/>
    <n v="0"/>
    <s v="kakari-musubi"/>
    <s v="main"/>
    <n v="0"/>
    <n v="1"/>
    <s v="sub"/>
    <s v="honorific_aux"/>
    <n v="0"/>
    <x v="8"/>
    <s v="complement"/>
    <m/>
    <s v="ss"/>
    <s v="ss"/>
    <s v="topic-drop"/>
    <s v="contains_new"/>
    <m/>
    <m/>
    <n v="1"/>
    <s v="non-LVC"/>
    <s v="Yes"/>
    <n v="16"/>
    <s v="subordinate"/>
    <n v="1"/>
    <n v="1"/>
    <x v="1"/>
  </r>
  <r>
    <s v="Heike 2.56"/>
    <s v="かけまくも忝くこの人々は柏原天皇の御末とは申しながら (kakemakumo katabokaku kono hitobito wa Kashiwabara Tennō no o-sue to wa mōshinagara)"/>
    <s v="In thus mentioning the vessels of his province they punned on his title..."/>
    <s v="申しながら"/>
    <s v="indicative"/>
    <s v="communication"/>
    <s v="verb"/>
    <s v="transitive"/>
    <s v="active"/>
    <s v="positive"/>
    <n v="1"/>
    <n v="2"/>
    <x v="10"/>
    <n v="1"/>
    <x v="0"/>
    <n v="3"/>
    <x v="1"/>
    <s v="n/a"/>
    <n v="0"/>
    <n v="0"/>
    <s v="n/a"/>
    <s v="subordinate"/>
    <n v="1"/>
    <n v="0"/>
    <s v="sub"/>
    <s v="lexical_humble_verb"/>
    <n v="0"/>
    <x v="0"/>
    <s v="main"/>
    <m/>
    <s v="ss"/>
    <s v="ds"/>
    <s v="topic-shift"/>
    <s v="contains_new"/>
    <m/>
    <m/>
    <n v="2"/>
    <s v="non-LVC"/>
    <s v="Yes"/>
    <n v="17"/>
    <s v="main"/>
    <n v="1"/>
    <n v="2"/>
    <x v="0"/>
  </r>
  <r>
    <s v="Heike 2.57"/>
    <s v="中比は都の住まひも疎々しく (chūbi wa miyako no sumai mo utoutoshiku)"/>
    <s v="and since lately his family had lived away from the capital,"/>
    <s v="疎々しく"/>
    <s v="indicative"/>
    <s v="psych-state"/>
    <s v="adjectival predicate"/>
    <s v="intransitive"/>
    <s v="active"/>
    <s v="positive"/>
    <n v="1"/>
    <n v="1"/>
    <x v="0"/>
    <n v="1"/>
    <x v="0"/>
    <n v="3"/>
    <x v="0"/>
    <s v="n/a"/>
    <n v="0"/>
    <n v="0"/>
    <s v="n/a"/>
    <s v="main"/>
    <n v="0"/>
    <n v="0"/>
    <s v="n/a"/>
    <s v="n/a"/>
    <n v="0"/>
    <x v="2"/>
    <s v="subordinate"/>
    <m/>
    <s v="ds"/>
    <s v="ss"/>
    <s v="topic-shift"/>
    <s v="contains_new"/>
    <m/>
    <m/>
    <n v="1"/>
    <s v="non-LVC"/>
    <s v="Yes"/>
    <n v="17"/>
    <s v="te"/>
    <n v="1"/>
    <n v="1"/>
    <x v="1"/>
  </r>
  <r>
    <s v="Heike 2.58"/>
    <s v="地下にのみ振舞ひなつて ( jige ni nomi furumai natte)"/>
    <s v=" behaving as mere provincial folk"/>
    <s v="振舞ひなつて"/>
    <s v="indicative"/>
    <s v="other"/>
    <s v="verb(compound)"/>
    <s v="intransitive"/>
    <s v="active"/>
    <s v="positive"/>
    <n v="1"/>
    <n v="1"/>
    <x v="5"/>
    <n v="0"/>
    <x v="1"/>
    <n v="3"/>
    <x v="0"/>
    <s v="overt"/>
    <n v="0"/>
    <n v="0"/>
    <s v="n/a"/>
    <s v="te"/>
    <n v="0"/>
    <n v="0"/>
    <s v="n/a"/>
    <s v="n/a"/>
    <n v="0"/>
    <x v="1"/>
    <s v="main"/>
    <s v="te_medial"/>
    <s v="ss"/>
    <s v="ss"/>
    <s v="topic-drop"/>
    <s v="contains_new"/>
    <m/>
    <m/>
    <n v="1"/>
    <s v="non-LVC"/>
    <s v="Yes"/>
    <n v="18"/>
    <s v="subordinate"/>
    <n v="1"/>
    <n v="2"/>
    <x v="1"/>
  </r>
  <r>
    <s v="Heike 2.59"/>
    <s v="伊勢国に住国深かりしかば  (Ise no kuni ni sumikoku fukakarishikaba)"/>
    <s v="and as they lived deep in Ise province, they likened him to the vessels of that province"/>
    <s v="深かりしかば"/>
    <s v="indicative"/>
    <s v="psych-state"/>
    <s v="adjectival predicate"/>
    <s v="intransitive"/>
    <s v="active"/>
    <s v="positive"/>
    <n v="1"/>
    <n v="1"/>
    <x v="0"/>
    <n v="1"/>
    <x v="1"/>
    <n v="3"/>
    <x v="0"/>
    <s v="n/a"/>
    <n v="0"/>
    <n v="0"/>
    <s v="n/a"/>
    <s v="subordinate"/>
    <n v="0"/>
    <n v="0"/>
    <s v="n/a"/>
    <s v="n/a"/>
    <n v="0"/>
    <x v="3"/>
    <s v="te"/>
    <m/>
    <s v="ss"/>
    <s v="ds"/>
    <s v="topic-drop"/>
    <s v="contains_new"/>
    <m/>
    <m/>
    <n v="1"/>
    <s v="non-LVC"/>
    <s v="Yes"/>
    <n v="18"/>
    <s v="te"/>
    <n v="1"/>
    <n v="3"/>
    <x v="1"/>
  </r>
  <r>
    <s v="Heike 2.60"/>
    <s v="その国の器に言寄せて"/>
    <s v="sono kuni no utsuwa ni kotoyosete)"/>
    <s v="言寄せて"/>
    <s v="indicative"/>
    <s v="communication"/>
    <s v="verb"/>
    <s v="ditransitive"/>
    <s v="active"/>
    <s v="positive"/>
    <n v="1"/>
    <n v="1"/>
    <x v="5"/>
    <n v="0"/>
    <x v="5"/>
    <n v="3"/>
    <x v="6"/>
    <s v="overt"/>
    <n v="0"/>
    <n v="0"/>
    <s v="n/a"/>
    <s v="te"/>
    <n v="0"/>
    <n v="0"/>
    <s v="n/a"/>
    <s v="n/a"/>
    <n v="0"/>
    <x v="1"/>
    <s v="subordinate"/>
    <s v="te_medial"/>
    <s v="ds"/>
    <s v="ss"/>
    <s v="topic-drop"/>
    <s v="contains_new"/>
    <m/>
    <m/>
    <n v="1"/>
    <s v="non-LVC"/>
    <s v="Yes"/>
    <n v="18"/>
    <s v="main"/>
    <n v="1"/>
    <n v="4"/>
    <x v="1"/>
  </r>
  <r>
    <s v="Heike 2.61"/>
    <s v="伊勢平氏とぞ囃されける (Ise Heishi to zo hayasarekeru)"/>
    <s v="so they mocked him as 'Ise Heishi'"/>
    <s v="囃されける"/>
    <s v="indicative"/>
    <s v="action"/>
    <s v="verb"/>
    <s v="intransitive"/>
    <s v="passive"/>
    <s v="positive"/>
    <n v="1"/>
    <n v="1"/>
    <x v="9"/>
    <n v="0"/>
    <x v="1"/>
    <n v="3"/>
    <x v="0"/>
    <s v="overt"/>
    <n v="0"/>
    <n v="0"/>
    <s v="kakari-musubi"/>
    <s v="main"/>
    <n v="0"/>
    <n v="0"/>
    <s v="n/a"/>
    <s v="n/a"/>
    <n v="0"/>
    <x v="2"/>
    <s v="te"/>
    <m/>
    <s v="ss"/>
    <s v="ds"/>
    <s v="topic-drop"/>
    <s v="contains_new"/>
    <m/>
    <m/>
    <n v="1"/>
    <s v="non-LVC"/>
    <s v="Yes"/>
    <n v="18"/>
    <s v="subordinate"/>
    <n v="1"/>
    <n v="1"/>
    <x v="1"/>
  </r>
  <r>
    <s v="Heike 2.62"/>
    <s v="その上忠盛目の眇まれたりける故にこそ (sono ue Tadamori me no sugamaretari keru yue ni koso)"/>
    <s v="moreover, because Tadamori's eyes were squinted, "/>
    <s v="眇まれたりける"/>
    <s v="indicative"/>
    <s v="action"/>
    <s v="verb"/>
    <s v="intransitive"/>
    <s v="active"/>
    <s v="positive"/>
    <n v="1"/>
    <n v="1"/>
    <x v="0"/>
    <n v="1"/>
    <x v="0"/>
    <n v="3"/>
    <x v="0"/>
    <s v="n/a"/>
    <n v="0"/>
    <n v="1"/>
    <s v="REL"/>
    <s v="subordinate"/>
    <n v="0"/>
    <n v="0"/>
    <s v="n/a"/>
    <s v="n/a"/>
    <n v="0"/>
    <x v="3"/>
    <s v="main"/>
    <m/>
    <s v="ds"/>
    <s v="ss"/>
    <s v="topic-continued"/>
    <s v="contains_new"/>
    <m/>
    <m/>
    <n v="1"/>
    <s v="non-LVC"/>
    <s v="Yes"/>
    <n v="19"/>
    <m/>
    <n v="1"/>
    <n v="2"/>
    <x v="0"/>
  </r>
  <r>
    <s v="Heike 2.63"/>
    <s v="かやうには囃されけるなれ  (kayō ni wa hayasarekeru nare)"/>
    <s v="he was mocked in such a way"/>
    <s v="囃されけるなれ"/>
    <s v="indicative"/>
    <s v="other"/>
    <s v="verb"/>
    <s v="intransitive"/>
    <s v="passive"/>
    <s v="positive"/>
    <n v="1"/>
    <n v="0"/>
    <x v="2"/>
    <n v="0"/>
    <x v="1"/>
    <n v="3"/>
    <x v="0"/>
    <s v="n/a"/>
    <n v="0"/>
    <n v="0"/>
    <s v="kakari-musubi"/>
    <s v="main"/>
    <n v="0"/>
    <n v="0"/>
    <s v="n/a"/>
    <s v="n/a"/>
    <n v="0"/>
    <x v="2"/>
    <s v="subordinate"/>
    <m/>
    <s v="ss"/>
    <s v="ss"/>
    <s v="topic-drop"/>
    <s v="no_overt_NP"/>
    <m/>
    <m/>
    <n v="0"/>
    <s v="non-LVC"/>
    <s v="Yes"/>
    <n v="19"/>
    <m/>
    <n v="1"/>
    <n v="1"/>
    <x v="1"/>
  </r>
  <r>
    <s v="Heike 2.64"/>
    <s v="忠盛何とすべきやうもなくして (Tadamori nan to subeki yō mo nakushite)"/>
    <s v="Tadamori, having no way of dealing with the situation,"/>
    <s v="なくして"/>
    <s v="indicative"/>
    <s v="other"/>
    <s v="verb"/>
    <s v="transitive"/>
    <s v="active"/>
    <s v="negative"/>
    <n v="1"/>
    <n v="2"/>
    <x v="3"/>
    <n v="0"/>
    <x v="0"/>
    <n v="3"/>
    <x v="1"/>
    <s v="n/a"/>
    <n v="0"/>
    <n v="0"/>
    <s v="n/a"/>
    <s v="te"/>
    <n v="0"/>
    <n v="0"/>
    <s v="n/a"/>
    <s v="n/a"/>
    <n v="0"/>
    <x v="1"/>
    <s v="main"/>
    <s v="te_initial"/>
    <s v="ss"/>
    <s v="ds"/>
    <s v="topic-continued"/>
    <s v="contains_new"/>
    <m/>
    <m/>
    <n v="2"/>
    <s v="non-LVC"/>
    <s v="Yes"/>
    <n v="20"/>
    <s v="subordinate"/>
    <n v="1"/>
    <n v="2"/>
    <x v="0"/>
  </r>
  <r>
    <s v="Heike 2.65"/>
    <s v="御遊も未だ終らざる前に (gyoyū mo mada owarazaru mae ni)"/>
    <s v="before the entertainment had ended,"/>
    <s v="終らざる"/>
    <s v="indicative"/>
    <s v="other"/>
    <s v="verb"/>
    <s v="intransitive"/>
    <s v="active"/>
    <s v="negative"/>
    <n v="1"/>
    <n v="1"/>
    <x v="0"/>
    <n v="1"/>
    <x v="0"/>
    <n v="3"/>
    <x v="0"/>
    <s v="n/a"/>
    <n v="0"/>
    <n v="1"/>
    <s v="REL"/>
    <s v="subordinate"/>
    <n v="0"/>
    <n v="0"/>
    <s v="n/a"/>
    <s v="n/a"/>
    <n v="0"/>
    <x v="0"/>
    <s v="te"/>
    <m/>
    <s v="ds"/>
    <s v="ds"/>
    <s v="topic-drop"/>
    <s v="contains_new"/>
    <m/>
    <m/>
    <n v="1"/>
    <s v="non-LVC"/>
    <s v="Yes"/>
    <n v="20"/>
    <m/>
    <n v="1"/>
    <n v="3"/>
    <x v="1"/>
  </r>
  <r>
    <s v="Heike 2.66"/>
    <s v="密かに罷り出でらるとて (hisokani makari ideraru tote)"/>
    <s v="he secretly left the Presence,"/>
    <s v="罷り出でらる"/>
    <s v="indicative"/>
    <s v="motion"/>
    <s v="verb"/>
    <s v="intransitive"/>
    <s v="active"/>
    <s v="positive"/>
    <n v="1"/>
    <n v="0"/>
    <x v="2"/>
    <n v="1"/>
    <x v="2"/>
    <n v="3"/>
    <x v="0"/>
    <s v="n/a"/>
    <n v="0"/>
    <n v="0"/>
    <s v="REL"/>
    <s v="subordinate"/>
    <n v="0"/>
    <n v="1"/>
    <s v="sub"/>
    <s v="honorific_aux+lexical_honorific_verb"/>
    <n v="0"/>
    <x v="0"/>
    <s v="subordinate"/>
    <m/>
    <s v="ds"/>
    <s v="ss"/>
    <s v="topic-drop"/>
    <s v="no_overt_NP"/>
    <m/>
    <m/>
    <n v="0"/>
    <s v="non-LVC"/>
    <s v="Yes"/>
    <n v="20"/>
    <s v="te"/>
    <n v="1"/>
    <n v="4"/>
    <x v="1"/>
  </r>
  <r>
    <s v="Heike 2.67"/>
    <s v="紫宸殿の御後にして (Shishinden no o-ato ni shite)"/>
    <s v="and going behind the Shishinden,"/>
    <s v="後にして"/>
    <s v="indicative"/>
    <s v="other"/>
    <s v="LVC (j)"/>
    <s v="intransitive"/>
    <s v="active"/>
    <s v="positive"/>
    <n v="1"/>
    <n v="0"/>
    <x v="2"/>
    <n v="1"/>
    <x v="1"/>
    <n v="3"/>
    <x v="0"/>
    <s v="n/a"/>
    <n v="0"/>
    <n v="0"/>
    <s v="n/a"/>
    <s v="te"/>
    <n v="0"/>
    <n v="0"/>
    <s v="n/a"/>
    <s v="n/a"/>
    <n v="0"/>
    <x v="1"/>
    <s v="subordinate"/>
    <s v="te_medial"/>
    <s v="ss"/>
    <s v="ds"/>
    <s v="topic-drop"/>
    <s v="no_overt_NP"/>
    <m/>
    <m/>
    <n v="0"/>
    <s v="LVC"/>
    <s v="Yes"/>
    <n v="20"/>
    <m/>
    <n v="1"/>
    <m/>
    <x v="1"/>
  </r>
  <r>
    <s v="Heike 2.68"/>
    <s v="かたへの殿上人の見られける (kata e no tenjōbito no mirarekeru)"/>
    <s v=" the court nobles could see him,"/>
    <s v="見られける"/>
    <s v="indicative"/>
    <s v="action"/>
    <s v="verb"/>
    <s v="transitive"/>
    <s v="active"/>
    <s v="positive"/>
    <n v="1"/>
    <n v="1"/>
    <x v="0"/>
    <n v="0"/>
    <x v="0"/>
    <n v="3"/>
    <x v="3"/>
    <s v="n/a"/>
    <n v="0"/>
    <n v="1"/>
    <s v="REL"/>
    <s v="relative"/>
    <n v="1"/>
    <n v="0"/>
    <s v="sub"/>
    <s v="honorific_aux"/>
    <n v="0"/>
    <x v="2"/>
    <s v="te"/>
    <m/>
    <s v="ds"/>
    <s v="ss"/>
    <s v="topic-introduced"/>
    <s v="contains_new"/>
    <m/>
    <m/>
    <n v="1"/>
    <s v="non-LVC"/>
    <s v="Yes"/>
    <n v="20"/>
    <s v="te"/>
    <n v="0"/>
    <n v="5"/>
    <x v="1"/>
  </r>
  <r>
    <s v="Heike 2.69"/>
    <s v="所にて主殿司を召して (tokoro nite tonomotsukasa o meshite azukeokite zo iderarekeru)"/>
    <s v="in a place where… he summoned the Tonomotsukasa, "/>
    <s v="召して "/>
    <s v="indicative"/>
    <s v="action"/>
    <s v="verb"/>
    <s v="transitive"/>
    <s v="active"/>
    <s v="positive"/>
    <n v="1"/>
    <n v="1"/>
    <x v="1"/>
    <n v="1"/>
    <x v="2"/>
    <n v="3"/>
    <x v="1"/>
    <s v="n/a"/>
    <n v="0"/>
    <n v="0"/>
    <s v="n/a"/>
    <s v="te"/>
    <n v="0"/>
    <n v="1"/>
    <s v="sub"/>
    <s v="lexical_honorific_verb"/>
    <n v="0"/>
    <x v="1"/>
    <s v="relative"/>
    <s v="te_medial"/>
    <s v="ss"/>
    <s v="ss"/>
    <s v="topic-drop"/>
    <s v="contains_new"/>
    <m/>
    <m/>
    <n v="1"/>
    <s v="non-LVC"/>
    <s v="Yes"/>
    <n v="20"/>
    <m/>
    <n v="1"/>
    <n v="6"/>
    <x v="1"/>
  </r>
  <r>
    <s v="Heike 2.70"/>
    <s v="預け置きてぞ"/>
    <s v=" entrusted [his sword]"/>
    <s v="預け置きて"/>
    <s v="indicative"/>
    <s v="other"/>
    <s v="verb"/>
    <s v="transitive"/>
    <s v="active"/>
    <s v="positive"/>
    <n v="1"/>
    <n v="0"/>
    <x v="2"/>
    <n v="0"/>
    <x v="1"/>
    <n v="3"/>
    <x v="3"/>
    <s v="n/a"/>
    <n v="0"/>
    <n v="0"/>
    <s v="n/a"/>
    <s v="te"/>
    <n v="0"/>
    <n v="0"/>
    <s v="n/a"/>
    <s v="n/a"/>
    <n v="0"/>
    <x v="2"/>
    <s v="te"/>
    <s v="te_medial"/>
    <s v="ss"/>
    <s v="ss"/>
    <s v="topic-drop"/>
    <s v="no_overt_NP"/>
    <m/>
    <m/>
    <n v="0"/>
    <s v="non-LVC"/>
    <s v="Yes"/>
    <n v="20"/>
    <s v="main"/>
    <n v="1"/>
    <n v="7"/>
    <x v="1"/>
  </r>
  <r>
    <s v="Heike 2.71"/>
    <s v="出でられける"/>
    <s v="and left,"/>
    <s v="出でられける"/>
    <s v="indicative"/>
    <s v="motion"/>
    <s v="verb"/>
    <s v="intransitive"/>
    <s v="active"/>
    <s v="positive"/>
    <n v="1"/>
    <n v="0"/>
    <x v="2"/>
    <n v="0"/>
    <x v="2"/>
    <n v="3"/>
    <x v="0"/>
    <s v="n/a"/>
    <n v="0"/>
    <n v="0"/>
    <s v="n/a"/>
    <s v="main"/>
    <n v="0"/>
    <n v="1"/>
    <s v="sub"/>
    <s v="honorific_aux"/>
    <n v="0"/>
    <x v="2"/>
    <s v="te"/>
    <m/>
    <s v="ss"/>
    <s v="ds"/>
    <s v="topic-drop"/>
    <s v="no_overt_NP"/>
    <m/>
    <m/>
    <n v="0"/>
    <s v="non-LVC"/>
    <s v="Yes"/>
    <n v="20"/>
    <m/>
    <n v="1"/>
    <n v="1"/>
    <x v="1"/>
  </r>
  <r>
    <s v="Heike 2.72"/>
    <s v="家貞待ち受け奉りて (Iesada machi-uke tatemawari-te)"/>
    <s v="Iesada, who was waiting for his lord,"/>
    <s v="待ち受け奉りて"/>
    <s v="indicative"/>
    <s v="action"/>
    <s v="verb(complex)"/>
    <s v="transitive"/>
    <s v="active"/>
    <s v="positive"/>
    <n v="1"/>
    <n v="1"/>
    <x v="0"/>
    <n v="0"/>
    <x v="0"/>
    <n v="3"/>
    <x v="3"/>
    <s v="n/a"/>
    <n v="0"/>
    <n v="0"/>
    <s v="n/a"/>
    <s v="te"/>
    <n v="1"/>
    <n v="0"/>
    <s v="sub"/>
    <s v="lexical_humble_verb"/>
    <n v="0"/>
    <x v="1"/>
    <s v="main"/>
    <s v="te_initial"/>
    <s v="ds"/>
    <s v="ss"/>
    <s v="topic-shift"/>
    <s v="contains_new"/>
    <m/>
    <m/>
    <n v="1"/>
    <s v="non-LVC"/>
    <s v="Yes"/>
    <n v="21"/>
    <m/>
    <n v="1"/>
    <n v="2"/>
    <x v="0"/>
  </r>
  <r>
    <s v="Heike 2.73"/>
    <s v="さていかが候ひつると (sate ikaga soroitsuru to)"/>
    <s v="&quot;What has happened?&quot; he asked."/>
    <s v="候ひつる"/>
    <s v="indicative"/>
    <s v="other"/>
    <s v="verb"/>
    <s v="intransitive"/>
    <s v="active"/>
    <s v="positive"/>
    <n v="1"/>
    <n v="0"/>
    <x v="2"/>
    <n v="1"/>
    <x v="4"/>
    <n v="3"/>
    <x v="0"/>
    <s v="n/a"/>
    <n v="0"/>
    <n v="0"/>
    <s v="REL"/>
    <s v="complement"/>
    <n v="0"/>
    <n v="0"/>
    <s v="n/a"/>
    <s v="polite_aux"/>
    <n v="0"/>
    <x v="4"/>
    <s v="te"/>
    <m/>
    <s v="ss"/>
    <s v="ss"/>
    <s v="topic-drop"/>
    <s v="no_overt_NP"/>
    <m/>
    <m/>
    <n v="0"/>
    <s v="non-LVC"/>
    <s v="Yes"/>
    <n v="21"/>
    <m/>
    <n v="1"/>
    <n v="3"/>
    <x v="1"/>
  </r>
  <r>
    <s v="Heike 2.74"/>
    <s v="申されければ (mōsarekeru ba)"/>
    <s v="he was asked,"/>
    <s v="申されける"/>
    <s v="indicative"/>
    <s v="action"/>
    <s v="verb"/>
    <s v="intransitive"/>
    <s v="passive"/>
    <s v="positive"/>
    <n v="1"/>
    <n v="1"/>
    <x v="9"/>
    <n v="0"/>
    <x v="2"/>
    <n v="3"/>
    <x v="1"/>
    <s v="n/a"/>
    <n v="0"/>
    <n v="0"/>
    <s v="n/a"/>
    <s v="main"/>
    <n v="0"/>
    <n v="1"/>
    <s v="sub"/>
    <s v="honorific_aux+lexical_humble_verb"/>
    <n v="0"/>
    <x v="0"/>
    <s v="complement"/>
    <m/>
    <s v="ss"/>
    <s v="ss"/>
    <s v="topic-drop"/>
    <s v="contains_new"/>
    <m/>
    <m/>
    <n v="1"/>
    <s v="non-LVC"/>
    <s v="Yes"/>
    <n v="21"/>
    <m/>
    <n v="1"/>
    <n v="1"/>
    <x v="1"/>
  </r>
  <r>
    <s v="Heike 2.75"/>
    <s v="かくとも云はまほしう"/>
    <s v="to tell him"/>
    <s v="云はまほしう"/>
    <s v="desiderative"/>
    <s v="other"/>
    <s v="verb"/>
    <s v="intransitive"/>
    <s v="active"/>
    <s v="positive"/>
    <n v="1"/>
    <n v="0"/>
    <x v="2"/>
    <n v="1"/>
    <x v="4"/>
    <n v="3"/>
    <x v="2"/>
    <s v="not_applicable"/>
    <n v="0"/>
    <n v="0"/>
    <s v="n/a"/>
    <s v="main"/>
    <n v="0"/>
    <n v="0"/>
    <s v="n/a"/>
    <s v="n/a"/>
    <n v="0"/>
    <x v="2"/>
    <s v="main"/>
    <m/>
    <s v="ss"/>
    <s v="ss"/>
    <s v="topic-drop"/>
    <s v="no_overt_NP"/>
    <m/>
    <m/>
    <n v="0"/>
    <s v="non-LVC"/>
    <s v="Yes"/>
    <n v="22"/>
    <m/>
    <n v="1"/>
    <n v="1"/>
    <x v="1"/>
  </r>
  <r>
    <s v="Heike 2.76"/>
    <s v="思はれけれども (kakutomo iwamahoshū omowarekeredomo)"/>
    <s v="although he greatly wished,"/>
    <s v="思はれけれども"/>
    <s v="indicative"/>
    <s v="psych-state"/>
    <s v="verb"/>
    <s v="transitive"/>
    <s v="active"/>
    <s v="positive"/>
    <n v="1"/>
    <n v="1"/>
    <x v="9"/>
    <n v="1"/>
    <x v="4"/>
    <n v="3"/>
    <x v="1"/>
    <s v="n/a"/>
    <n v="0"/>
    <n v="0"/>
    <s v="n/a"/>
    <s v="main"/>
    <n v="0"/>
    <n v="0"/>
    <s v="n/a"/>
    <s v="n/a"/>
    <n v="0"/>
    <x v="9"/>
    <s v="main"/>
    <m/>
    <s v="ss"/>
    <s v="ss"/>
    <s v="topic-drop"/>
    <s v="contains_new"/>
    <s v="Psych predicate; かくとも as adjunct."/>
    <m/>
    <n v="1"/>
    <s v="non-LVC"/>
    <s v="Yes"/>
    <n v="23"/>
    <m/>
    <n v="1"/>
    <n v="1"/>
    <x v="1"/>
  </r>
  <r>
    <s v="Heike 2.77"/>
    <s v="云ひつるほどならば (iitsuru hodo naraba)"/>
    <s v="seeing that, if he told him,"/>
    <s v="云ひつる"/>
    <s v="indicative"/>
    <s v="other"/>
    <s v="verb"/>
    <s v="transitive"/>
    <s v="active"/>
    <s v="positive"/>
    <n v="1"/>
    <n v="0"/>
    <x v="2"/>
    <n v="0"/>
    <x v="4"/>
    <n v="3"/>
    <x v="3"/>
    <s v="n/a"/>
    <n v="0"/>
    <n v="1"/>
    <s v="REL"/>
    <s v="subordinate"/>
    <n v="0"/>
    <n v="0"/>
    <s v="n/a"/>
    <s v="n/a"/>
    <n v="0"/>
    <x v="10"/>
    <s v="main"/>
    <m/>
    <s v="ss"/>
    <s v="ds"/>
    <s v="topic-drop"/>
    <s v="no_overt_NP"/>
    <m/>
    <m/>
    <n v="0"/>
    <s v="non-LVC"/>
    <s v="Yes"/>
    <n v="24"/>
    <s v="relative"/>
    <n v="1"/>
    <m/>
    <x v="1"/>
  </r>
  <r>
    <s v="Heike 2.78"/>
    <s v="やがて殿上までも斬り上らんずる  yagate tenjō made mo kiriagaranzuru "/>
    <s v="who would even do violence in the Palace itself,"/>
    <s v="斬り上らんずる"/>
    <s v="dynamic"/>
    <s v="other"/>
    <s v="verb"/>
    <s v="intransitive"/>
    <s v="active"/>
    <s v="positive"/>
    <n v="1"/>
    <n v="0"/>
    <x v="2"/>
    <n v="2"/>
    <x v="1"/>
    <n v="3"/>
    <x v="0"/>
    <s v="n/a"/>
    <n v="1"/>
    <n v="0"/>
    <s v="REL"/>
    <s v="relative"/>
    <n v="0"/>
    <n v="0"/>
    <s v="n/a"/>
    <s v="n/a"/>
    <n v="0"/>
    <x v="2"/>
    <s v="subordinate"/>
    <m/>
    <s v="ds"/>
    <s v="ss"/>
    <s v="topic-drop"/>
    <s v="no_overt_NP"/>
    <m/>
    <m/>
    <n v="0"/>
    <s v="non-LVC"/>
    <s v="Yes"/>
    <n v="24"/>
    <s v="subordinate"/>
    <n v="0"/>
    <n v="2"/>
    <x v="1"/>
  </r>
  <r>
    <s v="Heike 2.79"/>
    <s v="者の面魂にてある間 mono no omodamashii nite aru aida"/>
    <s v="he appeared as one "/>
    <s v="にてある"/>
    <s v="indicative"/>
    <s v="other"/>
    <s v="copula"/>
    <s v="intransitive"/>
    <s v="active"/>
    <s v="positive"/>
    <n v="1"/>
    <n v="0"/>
    <x v="2"/>
    <n v="0"/>
    <x v="1"/>
    <n v="3"/>
    <x v="0"/>
    <s v="n/a"/>
    <n v="0"/>
    <n v="0"/>
    <s v="REL"/>
    <s v="subordinate"/>
    <n v="0"/>
    <n v="0"/>
    <s v="n/a"/>
    <s v="n/a"/>
    <n v="0"/>
    <x v="0"/>
    <s v="relative"/>
    <m/>
    <s v="ss"/>
    <s v="ds"/>
    <s v="topic-drop"/>
    <s v="no_overt_NP"/>
    <m/>
    <m/>
    <n v="0"/>
    <s v="non-LVC"/>
    <s v="Yes"/>
    <n v="24"/>
    <m/>
    <n v="1"/>
    <n v="3"/>
    <x v="1"/>
  </r>
  <r>
    <s v="Heike 2.80"/>
    <s v="別の事なし (betsu no koto nashi)"/>
    <s v="nothing out of the ordinary had taken place."/>
    <s v="なし"/>
    <s v="indicative"/>
    <s v="other"/>
    <s v="existential verb"/>
    <s v="intransitive"/>
    <s v="active"/>
    <s v="negative"/>
    <n v="1"/>
    <n v="1"/>
    <x v="0"/>
    <n v="0"/>
    <x v="0"/>
    <n v="3"/>
    <x v="0"/>
    <s v="n/a"/>
    <n v="0"/>
    <n v="0"/>
    <s v="n/a"/>
    <s v="main"/>
    <n v="0"/>
    <n v="0"/>
    <s v="n/a"/>
    <s v="n/a"/>
    <n v="0"/>
    <x v="2"/>
    <s v="subordinate"/>
    <m/>
    <s v="ds"/>
    <s v="ds"/>
    <s v="topic-drop"/>
    <s v="contains_new"/>
    <s v="Subject = 別の事."/>
    <m/>
    <n v="1"/>
    <s v="non-LVC"/>
    <s v="Yes"/>
    <n v="24"/>
    <s v="subordinate"/>
    <n v="1"/>
    <n v="1"/>
    <x v="1"/>
  </r>
  <r>
    <s v="Heike 2.81"/>
    <s v="五節には白薄様濃染紙の紙巻上の筆巴書いたる筆の軸など様々かやうに面白き事をのみこそ歌ひ舞はるるに (gosechi ni wa shirauzusama kozomegami no kamimaki ue no fude tomoe kaitaru fude no jiku nado samazama kayō ni omoshiroki koto o nomi koso utai mawaruru ni)"/>
    <s v="In the Go-sechie festival only such pleasing things as white paper, Shuzenji paper, wrapped brushes, or writing brushes with a tomoe on the stem were customarily sung and danced,"/>
    <s v="歌ひ舞はるる"/>
    <s v="indicative"/>
    <s v="other"/>
    <s v="verb(compound)"/>
    <s v="transitive"/>
    <s v="active"/>
    <s v="positive"/>
    <n v="1"/>
    <n v="1"/>
    <x v="1"/>
    <n v="2"/>
    <x v="2"/>
    <n v="3"/>
    <x v="1"/>
    <s v="n/a"/>
    <n v="0"/>
    <n v="0"/>
    <s v="REL"/>
    <s v="subordinate"/>
    <n v="0"/>
    <n v="1"/>
    <s v="sub"/>
    <s v="honorific_aux"/>
    <n v="0"/>
    <x v="9"/>
    <s v="main"/>
    <m/>
    <s v="ds"/>
    <s v="ds"/>
    <s v="topic-shift"/>
    <s v="contains_new"/>
    <s v="Passive/respect; subject omitted; object 面白き事を overt."/>
    <m/>
    <n v="1"/>
    <s v="non-LVC"/>
    <s v="Yes"/>
    <n v="25"/>
    <s v="main"/>
    <n v="1"/>
    <n v="2"/>
    <x v="0"/>
  </r>
  <r>
    <s v="Heike 2.82"/>
    <s v="中比太宰権帥季仲卿といふ人ありけり (chūbi Dazai gon no so Sukechika kyō to iu hito arikeri)"/>
    <s v="but there was a certain Dazai Gon-no-sotsu Suenaka no Kyo,"/>
    <s v="ありけり"/>
    <s v="indicative"/>
    <s v="stative"/>
    <s v="existential verb"/>
    <s v="intransitive"/>
    <s v="active"/>
    <s v="positive"/>
    <n v="1"/>
    <n v="1"/>
    <x v="0"/>
    <n v="1"/>
    <x v="0"/>
    <n v="3"/>
    <x v="0"/>
    <s v="n/a"/>
    <n v="0"/>
    <n v="0"/>
    <s v="n/a"/>
    <s v="main"/>
    <n v="0"/>
    <n v="0"/>
    <s v="n/a"/>
    <s v="n/a"/>
    <n v="0"/>
    <x v="2"/>
    <s v="subordinate"/>
    <m/>
    <s v="ds"/>
    <s v="ds"/>
    <s v="topic-introduced"/>
    <s v="contains_new"/>
    <s v="frame predicate"/>
    <m/>
    <n v="1"/>
    <s v="non-LVC"/>
    <s v="Yes"/>
    <n v="25"/>
    <s v="subordinate"/>
    <n v="1"/>
    <n v="1"/>
    <x v="1"/>
  </r>
  <r>
    <s v="Heike 2.83"/>
    <s v="あまりに色の黒かりければ (amari ni iro no kurokarikereba)"/>
    <s v="who was of so dark a complexion that"/>
    <s v="黒かりければ"/>
    <s v="indicative"/>
    <s v="other"/>
    <s v="adjectival predicate"/>
    <s v="intransitive"/>
    <s v="active"/>
    <s v="positive"/>
    <n v="1"/>
    <n v="1"/>
    <x v="0"/>
    <n v="1"/>
    <x v="0"/>
    <n v="3"/>
    <x v="0"/>
    <s v="not_applicable"/>
    <n v="0"/>
    <n v="0"/>
    <s v="n/a"/>
    <s v="subordinate"/>
    <n v="0"/>
    <n v="0"/>
    <s v="n/a"/>
    <s v="n/a"/>
    <n v="0"/>
    <x v="3"/>
    <s v="main"/>
    <m/>
    <s v="ds"/>
    <s v="ds"/>
    <s v="topic-drop"/>
    <s v="contains_new"/>
    <s v="Adjectival predicate; subject = 色."/>
    <m/>
    <n v="1"/>
    <s v="non-LVC"/>
    <s v="Yes"/>
    <n v="26"/>
    <s v="main"/>
    <n v="1"/>
    <n v="2"/>
    <x v="1"/>
  </r>
  <r>
    <s v="Heike 2.84"/>
    <s v="見る人黒帥とぞ申しける (miru hito kurosotsu to zo mōshikeru)"/>
    <s v="people called him 'kuro-sotsu',"/>
    <s v="申しける"/>
    <s v="indicative"/>
    <s v="action"/>
    <s v="verb"/>
    <s v="transitive"/>
    <s v="active"/>
    <s v="positive"/>
    <n v="1"/>
    <n v="2"/>
    <x v="3"/>
    <n v="0"/>
    <x v="0"/>
    <n v="3"/>
    <x v="1"/>
    <s v="n/a"/>
    <n v="0"/>
    <n v="0"/>
    <s v="n/a"/>
    <s v="main"/>
    <n v="1"/>
    <n v="0"/>
    <s v="n/a"/>
    <s v="lexical_humble_verb"/>
    <n v="0"/>
    <x v="2"/>
    <s v="subordinate"/>
    <m/>
    <s v="ds"/>
    <s v="ss"/>
    <s v="topic-drop"/>
    <s v="contains_new"/>
    <s v="申す humble; subject overt; counted as EXALT INSIG."/>
    <m/>
    <n v="2"/>
    <s v="non-LVC"/>
    <s v="Yes"/>
    <n v="26"/>
    <m/>
    <n v="1"/>
    <n v="1"/>
    <x v="1"/>
  </r>
  <r>
    <s v="Heike 2.85"/>
    <s v="その人未だ蔵人頭たりし時 (sono hito imada kurōdo no tō tarishi toki)"/>
    <s v="and while he was still Kurando-no-to, "/>
    <s v="たりし"/>
    <s v="indicative"/>
    <s v="stative"/>
    <s v="copula"/>
    <s v="intransitive"/>
    <s v="active"/>
    <s v="positive"/>
    <n v="1"/>
    <n v="1"/>
    <x v="0"/>
    <n v="0"/>
    <x v="0"/>
    <n v="3"/>
    <x v="0"/>
    <s v="n/a"/>
    <n v="0"/>
    <n v="0"/>
    <s v="REL"/>
    <s v="subordinate"/>
    <n v="0"/>
    <n v="0"/>
    <s v="n/a"/>
    <s v="honorific_aux"/>
    <n v="0"/>
    <x v="0"/>
    <s v="main"/>
    <m/>
    <s v="ss"/>
    <s v="ss"/>
    <s v="topic-continued"/>
    <s v="no_overt_NP"/>
    <m/>
    <m/>
    <n v="1"/>
    <s v="non-LVC"/>
    <s v="Yes"/>
    <n v="27"/>
    <s v="subordinate"/>
    <n v="1"/>
    <n v="2"/>
    <x v="1"/>
  </r>
  <r>
    <s v="Heike 2.86"/>
    <s v="五節に舞はれけるに gosechi ni mawarekeru ni"/>
    <s v="when he danced at the Go-sechie,"/>
    <s v="舞はれける"/>
    <s v="indicative"/>
    <s v="action"/>
    <s v="verb"/>
    <s v="intransitive"/>
    <s v="active"/>
    <s v="positive"/>
    <n v="1"/>
    <n v="0"/>
    <x v="2"/>
    <n v="0"/>
    <x v="2"/>
    <n v="3"/>
    <x v="0"/>
    <s v="n/a"/>
    <n v="0"/>
    <n v="0"/>
    <s v="REL"/>
    <s v="subordinate"/>
    <n v="0"/>
    <n v="1"/>
    <s v="sub"/>
    <s v="lexical_honorific_verb"/>
    <n v="0"/>
    <x v="0"/>
    <s v="subordinate"/>
    <m/>
    <s v="ss"/>
    <s v="ds"/>
    <s v="topic-drop"/>
    <s v="no_overt_NP"/>
    <m/>
    <m/>
    <n v="0"/>
    <s v="non-LVC"/>
    <s v="Yes"/>
    <n v="27"/>
    <m/>
    <n v="1"/>
    <n v="3"/>
    <x v="1"/>
  </r>
  <r>
    <s v="Heike 2.87"/>
    <s v="人々拍子を変へて (hitobito hyōshi o kaete)"/>
    <s v="they changed the rhythm of the music"/>
    <s v="変へて"/>
    <s v="indicative"/>
    <s v="other"/>
    <s v="verb"/>
    <s v="transitive"/>
    <s v="active"/>
    <s v="positive"/>
    <n v="1"/>
    <n v="2"/>
    <x v="3"/>
    <n v="0"/>
    <x v="0"/>
    <n v="3"/>
    <x v="1"/>
    <s v="n/a"/>
    <n v="0"/>
    <n v="0"/>
    <s v="n/a"/>
    <s v="te"/>
    <n v="0"/>
    <n v="0"/>
    <s v="n/a"/>
    <s v="n/a"/>
    <n v="0"/>
    <x v="1"/>
    <s v="subordinate"/>
    <s v="te_medial"/>
    <s v="ds"/>
    <s v="ss"/>
    <s v="topic-drop"/>
    <s v="contains_new"/>
    <m/>
    <m/>
    <n v="2"/>
    <s v="non-LVC"/>
    <s v="Yes"/>
    <n v="27"/>
    <s v="main"/>
    <n v="1"/>
    <n v="4"/>
    <x v="1"/>
  </r>
  <r>
    <s v="Heike 2.88"/>
    <s v="あなくろくろ黒き頭かな (ana kuro kuro kuroki atama kana)"/>
    <s v="&quot;Oh what a black, black head!&quot;"/>
    <s v="N/A (exclamatory nominal clause)"/>
    <s v="indicative"/>
    <s v="other"/>
    <s v="none"/>
    <s v="intransitive"/>
    <m/>
    <m/>
    <n v="0"/>
    <n v="1"/>
    <x v="0"/>
    <n v="0"/>
    <x v="0"/>
    <n v="3"/>
    <x v="0"/>
    <s v="n/a"/>
    <n v="0"/>
    <n v="0"/>
    <s v="n/a"/>
    <s v="main"/>
    <n v="0"/>
    <n v="0"/>
    <s v="n/a"/>
    <s v="n/a"/>
    <n v="0"/>
    <x v="2"/>
    <s v="te"/>
    <m/>
    <s v="ss"/>
    <s v="ds"/>
    <s v="topic-drop"/>
    <s v="contains_new"/>
    <m/>
    <m/>
    <m/>
    <s v="non-LVC"/>
    <s v="Yes"/>
    <n v="27"/>
    <s v="complement"/>
    <n v="1"/>
    <n v="1"/>
    <x v="1"/>
  </r>
  <r>
    <s v="Heike 2.89"/>
    <s v="いかなる人の漆塗りけんとぞ (ikanaru hito no urushinuriken to zo )"/>
    <s v="&quot;someone must have painted him with lacquer&quot;"/>
    <s v="漆塗りけん"/>
    <s v="epistemic"/>
    <s v="other"/>
    <s v="verb"/>
    <s v="transitive"/>
    <s v="active"/>
    <s v="positive"/>
    <n v="1"/>
    <n v="2"/>
    <x v="3"/>
    <n v="0"/>
    <x v="0"/>
    <n v="3"/>
    <x v="1"/>
    <s v="n/a"/>
    <n v="0"/>
    <n v="0"/>
    <s v="n/a"/>
    <s v="complement"/>
    <n v="0"/>
    <n v="0"/>
    <s v="n/a"/>
    <s v="n/a"/>
    <n v="0"/>
    <x v="4"/>
    <s v="main"/>
    <m/>
    <s v="ds"/>
    <s v="ds"/>
    <s v="topic-drop"/>
    <s v="contains_new"/>
    <m/>
    <m/>
    <n v="2"/>
    <s v="non-LVC"/>
    <s v="Yes"/>
    <n v="28"/>
    <m/>
    <n v="1"/>
    <n v="2"/>
    <x v="0"/>
  </r>
  <r>
    <s v="Heike 2.90"/>
    <s v="囃されける (hayasarekeru)"/>
    <s v="they sang in mockery."/>
    <s v="囃されける"/>
    <s v="indicative"/>
    <s v="communication"/>
    <s v="verb"/>
    <s v="transitive"/>
    <s v="active"/>
    <s v="positive"/>
    <n v="1"/>
    <n v="1"/>
    <x v="9"/>
    <n v="0"/>
    <x v="2"/>
    <n v="3"/>
    <x v="1"/>
    <s v="n/a"/>
    <n v="0"/>
    <n v="0"/>
    <s v="n/a"/>
    <s v="main"/>
    <n v="0"/>
    <n v="1"/>
    <s v="sub"/>
    <s v="honorific_aux"/>
    <n v="0"/>
    <x v="2"/>
    <s v="complement"/>
    <m/>
    <s v="ds"/>
    <s v="ds"/>
    <s v="topic-drop"/>
    <s v="no_overt_NP"/>
    <m/>
    <m/>
    <n v="1"/>
    <s v="non-LVC"/>
    <s v="Yes"/>
    <n v="28"/>
    <m/>
    <n v="1"/>
    <n v="1"/>
    <x v="1"/>
  </r>
  <r>
    <s v="Heike 2.91"/>
    <s v="また花山院前太政大臣忠雅公未だ十歳と申しし時 (mata Kazanin no saki no Daijōdaijin Tadamasa kō imada jissai to mōshi shi toki)"/>
    <s v="Also, when Prince Tadamasa of the Kazan-in, the former Prime Minister, was only ten years old,"/>
    <s v="申しし"/>
    <s v="indicative"/>
    <s v="action"/>
    <s v="verb"/>
    <s v="intransitive"/>
    <s v="active"/>
    <s v="positive"/>
    <n v="1"/>
    <n v="1"/>
    <x v="0"/>
    <n v="1"/>
    <x v="0"/>
    <n v="3"/>
    <x v="0"/>
    <s v="n/a"/>
    <n v="0"/>
    <n v="0"/>
    <s v="n/a"/>
    <s v="subordinate"/>
    <n v="1"/>
    <n v="0"/>
    <s v="sub"/>
    <s v="lexical_humble_verb"/>
    <n v="0"/>
    <x v="0"/>
    <s v="main"/>
    <m/>
    <s v="ds"/>
    <s v="ss"/>
    <s v="topic-introduced"/>
    <s v="contains_new"/>
    <m/>
    <m/>
    <n v="1"/>
    <s v="non-LVC"/>
    <s v="Yes"/>
    <n v="29"/>
    <s v="te"/>
    <n v="1"/>
    <n v="2"/>
    <x v="0"/>
  </r>
  <r>
    <s v="Heike 2.92"/>
    <s v="父中納言忠宗卿に後れ給ひて (chichi Chūnagon Tadamune kyō ni okure tamai te)"/>
    <s v="having lost his father, Chunagon Tadamune,"/>
    <s v="後れ給ひて"/>
    <s v="indicative"/>
    <s v="action"/>
    <s v="verb"/>
    <s v="intransitive"/>
    <s v="active"/>
    <s v="positive"/>
    <n v="1"/>
    <n v="1"/>
    <x v="5"/>
    <n v="0"/>
    <x v="2"/>
    <n v="3"/>
    <x v="0"/>
    <s v="overt"/>
    <n v="0"/>
    <n v="0"/>
    <s v="n/a"/>
    <s v="te"/>
    <n v="0"/>
    <n v="1"/>
    <s v="sub"/>
    <s v="lexical_honorific_verb"/>
    <n v="0"/>
    <x v="1"/>
    <s v="subordinate"/>
    <s v="te_medial"/>
    <s v="ss"/>
    <s v="ss"/>
    <s v="topic-introduced"/>
    <s v="contains_new"/>
    <m/>
    <m/>
    <n v="1"/>
    <s v="non-LVC"/>
    <s v="Yes"/>
    <n v="29"/>
    <s v="subordinate"/>
    <n v="1"/>
    <n v="3"/>
    <x v="1"/>
  </r>
  <r>
    <s v="Heike 2.93"/>
    <s v="孤子にておはせしを (koji nite ohaseshi o)"/>
    <s v="and being left an orphan,"/>
    <s v="おはせし"/>
    <s v="indicative"/>
    <s v="action"/>
    <s v="existential verb"/>
    <s v="intransitive"/>
    <s v="active"/>
    <s v="positive"/>
    <n v="1"/>
    <n v="0"/>
    <x v="2"/>
    <n v="0"/>
    <x v="2"/>
    <n v="3"/>
    <x v="0"/>
    <s v="n/a"/>
    <n v="0"/>
    <n v="0"/>
    <s v="REL"/>
    <s v="subordinate"/>
    <n v="0"/>
    <n v="1"/>
    <s v="sub"/>
    <s v="lexical_honorific_verb"/>
    <n v="0"/>
    <x v="9"/>
    <s v="te"/>
    <m/>
    <s v="ss"/>
    <s v="ds"/>
    <s v="topic-drop"/>
    <s v="contains_new"/>
    <m/>
    <m/>
    <n v="0"/>
    <s v="non-LVC"/>
    <s v="Yes"/>
    <n v="29"/>
    <s v="subordinate"/>
    <n v="1"/>
    <n v="4"/>
    <x v="1"/>
  </r>
  <r>
    <s v="Heike 2.94"/>
    <s v="故中御門藤中納言家成卿未だ播磨守にておはしけるが ko-Nakamikado Fuji Chūnagon Ienari kyō imada Harima no kami nite ohasikeru ga"/>
    <s v=" by Fuji Chūnagon Ienari, then Harima no Kami,"/>
    <s v="おはしける"/>
    <s v="indicative"/>
    <s v="stative"/>
    <s v="copula"/>
    <s v="intransitive"/>
    <s v="active"/>
    <s v="positive"/>
    <n v="1"/>
    <n v="1"/>
    <x v="0"/>
    <n v="1"/>
    <x v="0"/>
    <n v="3"/>
    <x v="0"/>
    <s v="n/a"/>
    <n v="0"/>
    <n v="0"/>
    <s v="REL"/>
    <s v="subordinate"/>
    <n v="1"/>
    <n v="0"/>
    <s v="sub"/>
    <s v="lexical_honorific_verb"/>
    <n v="0"/>
    <x v="9"/>
    <s v="subordinate"/>
    <m/>
    <s v="ds"/>
    <s v="ss"/>
    <s v="topic-introduced"/>
    <s v="contains_new"/>
    <m/>
    <m/>
    <n v="1"/>
    <s v="non-LVC"/>
    <s v="Yes"/>
    <n v="29"/>
    <s v="te"/>
    <n v="1"/>
    <n v="5"/>
    <x v="1"/>
  </r>
  <r>
    <s v="Heike 2.95"/>
    <s v="聟に取りて muko ni torite "/>
    <s v="he was taken as son-in-law"/>
    <s v="取りて"/>
    <s v="indicative"/>
    <s v="action"/>
    <s v="verb"/>
    <s v="transitive"/>
    <s v="active"/>
    <s v="positive"/>
    <n v="1"/>
    <n v="1"/>
    <x v="5"/>
    <n v="0"/>
    <x v="1"/>
    <n v="3"/>
    <x v="3"/>
    <s v="overt"/>
    <n v="0"/>
    <n v="0"/>
    <s v="n/a"/>
    <s v="te"/>
    <n v="0"/>
    <n v="0"/>
    <s v="n/a"/>
    <s v="n/a"/>
    <n v="0"/>
    <x v="2"/>
    <s v="subordinate"/>
    <s v="te_medial"/>
    <s v="ss"/>
    <s v="ss"/>
    <s v="topic-drop"/>
    <s v="contains_new"/>
    <m/>
    <m/>
    <n v="1"/>
    <s v="non-LVC"/>
    <s v="Yes"/>
    <n v="29"/>
    <s v="subordinate"/>
    <n v="1"/>
    <n v="6"/>
    <x v="1"/>
  </r>
  <r>
    <s v="Heike 2.96"/>
    <s v="華やかにもてなされければ  hanayaka ni motenasarekereba"/>
    <s v="and splendidly welcomed,"/>
    <s v="もてなされければ"/>
    <s v="indicative"/>
    <s v="action"/>
    <s v="verb"/>
    <s v="intransitive"/>
    <s v="passive"/>
    <s v="positive"/>
    <n v="1"/>
    <n v="0"/>
    <x v="2"/>
    <n v="0"/>
    <x v="1"/>
    <n v="3"/>
    <x v="0"/>
    <s v="zero_recoverable"/>
    <n v="0"/>
    <n v="0"/>
    <s v="n/a"/>
    <s v="subordinate"/>
    <n v="0"/>
    <n v="0"/>
    <s v="n/a"/>
    <s v="n/a"/>
    <n v="0"/>
    <x v="3"/>
    <s v="te"/>
    <m/>
    <s v="ss"/>
    <s v="ds"/>
    <s v="topic-drop"/>
    <s v="contains_new"/>
    <s v="verbal sequence"/>
    <m/>
    <n v="0"/>
    <s v="non-LVC"/>
    <s v="Yes"/>
    <n v="29"/>
    <s v="complement"/>
    <n v="1"/>
    <n v="7"/>
    <x v="1"/>
  </r>
  <r>
    <s v="Heike 2.97"/>
    <s v="これも五節には播磨の米は木賊か椋の葉か人の綺羅を磨くはとぞ (kore mo gosechi ni wa Harima no kome wa tokusa ka mukuno ha ka hito no kira o migaku wa to zo)"/>
    <s v="at that Go-sechie with the refrain ‘The rice of Harima...’"/>
    <s v="磨く"/>
    <s v="indicative"/>
    <s v="action"/>
    <s v="verb"/>
    <s v="transitive"/>
    <s v="active"/>
    <s v="positive"/>
    <n v="1"/>
    <n v="2"/>
    <x v="3"/>
    <n v="1"/>
    <x v="0"/>
    <n v="3"/>
    <x v="1"/>
    <s v="n/a"/>
    <n v="0"/>
    <n v="0"/>
    <s v="REL"/>
    <s v="complement"/>
    <n v="0"/>
    <n v="0"/>
    <s v="n/a"/>
    <s v="honorific_aux"/>
    <n v="0"/>
    <x v="2"/>
    <s v="subordinate"/>
    <m/>
    <s v="ds"/>
    <s v="ds"/>
    <s v="topic-drop"/>
    <s v="contains_new"/>
    <m/>
    <m/>
    <n v="2"/>
    <s v="non-LVC"/>
    <s v="Yes"/>
    <n v="29"/>
    <m/>
    <n v="1"/>
    <n v="8"/>
    <x v="1"/>
  </r>
  <r>
    <s v="Heike 2.98"/>
    <s v="囃されける hayasarekeru"/>
    <s v=" they also japed at him"/>
    <s v="囃されける"/>
    <s v="indicative"/>
    <s v="action"/>
    <s v="verb"/>
    <s v="intransitive"/>
    <s v="passive"/>
    <s v="positive"/>
    <n v="1"/>
    <n v="0"/>
    <x v="2"/>
    <n v="1"/>
    <x v="1"/>
    <n v="3"/>
    <x v="0"/>
    <s v="n/a"/>
    <n v="0"/>
    <n v="0"/>
    <s v="kakari-musubi"/>
    <s v="main"/>
    <n v="0"/>
    <n v="0"/>
    <s v="n/a"/>
    <s v="n/a"/>
    <n v="0"/>
    <x v="4"/>
    <s v="complement"/>
    <m/>
    <s v="ds"/>
    <s v="ds"/>
    <s v="topic-drop"/>
    <s v="no_overt_NP"/>
    <m/>
    <m/>
    <n v="0"/>
    <s v="non-LVC"/>
    <s v="Yes"/>
    <n v="29"/>
    <m/>
    <n v="1"/>
    <n v="1"/>
    <x v="1"/>
  </r>
  <r>
    <s v="Heike 2.99"/>
    <s v="上古にはかやうにありしかども (jōko ni wa kayō ni arishikadomo )"/>
    <s v="Long ago such things had happened, "/>
    <s v="ありし / 出で来ず"/>
    <s v="indicative"/>
    <s v="action"/>
    <s v="existential verb"/>
    <s v="intransitive"/>
    <s v="active"/>
    <s v="positive"/>
    <n v="1"/>
    <n v="0"/>
    <x v="2"/>
    <n v="2"/>
    <x v="5"/>
    <n v="0"/>
    <x v="0"/>
    <s v="n/a"/>
    <n v="0"/>
    <n v="0"/>
    <s v="n/a"/>
    <s v="subordinate"/>
    <n v="0"/>
    <n v="0"/>
    <s v="n/a"/>
    <s v="n/a"/>
    <n v="0"/>
    <x v="9"/>
    <s v="main"/>
    <m/>
    <s v="ds"/>
    <s v="ds"/>
    <s v="topic-shift"/>
    <s v="contains_new"/>
    <m/>
    <m/>
    <n v="0"/>
    <s v="non-LVC"/>
    <s v="Yes"/>
    <n v="30"/>
    <s v="subordinate"/>
    <n v="1"/>
    <n v="2"/>
    <x v="0"/>
  </r>
  <r>
    <s v="Heike 2.100"/>
    <s v="事出で来ず koto idekozu"/>
    <s v="but nothing had come of them,"/>
    <s v="出で来ず"/>
    <s v="indicative"/>
    <s v="stative"/>
    <s v="idiom"/>
    <s v="intransitive"/>
    <s v="active"/>
    <s v="negative"/>
    <n v="1"/>
    <n v="1"/>
    <x v="0"/>
    <n v="0"/>
    <x v="0"/>
    <n v="3"/>
    <x v="0"/>
    <s v="n/a"/>
    <n v="0"/>
    <n v="0"/>
    <s v="n/a"/>
    <s v="subordinate"/>
    <n v="0"/>
    <n v="0"/>
    <s v="n/a"/>
    <s v="n/a"/>
    <n v="0"/>
    <x v="2"/>
    <s v="subordinate"/>
    <m/>
    <s v="ds"/>
    <n v="0"/>
    <s v="topic-drop"/>
    <s v="contains_new"/>
    <m/>
    <m/>
    <n v="1"/>
    <s v="non-LVC"/>
    <s v="Yes"/>
    <n v="30"/>
    <m/>
    <n v="1"/>
    <n v="3"/>
    <x v="1"/>
  </r>
  <r>
    <s v="Heike 2.101"/>
    <s v="末代いかがあらんずらん (matsudai ikaga aranzuran obotsukanashi)"/>
    <s v="and people said that what was to be done"/>
    <s v="あらんずらん"/>
    <s v="epistemic"/>
    <s v="stative"/>
    <s v="idiom"/>
    <m/>
    <m/>
    <m/>
    <m/>
    <m/>
    <x v="6"/>
    <m/>
    <x v="3"/>
    <m/>
    <x v="4"/>
    <m/>
    <m/>
    <m/>
    <m/>
    <m/>
    <m/>
    <m/>
    <s v="n/a"/>
    <s v="n/a"/>
    <m/>
    <x v="5"/>
    <s v="subordinate"/>
    <m/>
    <m/>
    <s v="ds"/>
    <m/>
    <m/>
    <m/>
    <m/>
    <m/>
    <s v="non-LVC"/>
    <s v="Yes"/>
    <n v="30"/>
    <m/>
    <n v="1"/>
    <n v="4"/>
    <x v="1"/>
  </r>
  <r>
    <s v="Heike 2.102"/>
    <s v="覚束なし"/>
    <s v="was doubtful"/>
    <s v="覚束なし"/>
    <s v="indicative"/>
    <s v="psych-state"/>
    <s v="adjectival predicate"/>
    <s v="intransitive"/>
    <s v="active"/>
    <s v="negative"/>
    <n v="1"/>
    <n v="0"/>
    <x v="2"/>
    <n v="0"/>
    <x v="5"/>
    <n v="0"/>
    <x v="0"/>
    <s v="n/a"/>
    <n v="0"/>
    <n v="0"/>
    <s v="n/a"/>
    <s v="main"/>
    <n v="0"/>
    <n v="0"/>
    <s v="n/a"/>
    <s v="n/a"/>
    <n v="0"/>
    <x v="2"/>
    <n v="0"/>
    <m/>
    <s v="ds"/>
    <s v="ds"/>
    <s v="topic-drop"/>
    <s v="no_overt_NP"/>
    <m/>
    <m/>
    <n v="0"/>
    <s v="non-LVC"/>
    <s v="Yes"/>
    <n v="30"/>
    <m/>
    <n v="1"/>
    <n v="1"/>
    <x v="1"/>
  </r>
  <r>
    <s v="Heike 2.103"/>
    <s v="案の如く五節果てにしかば (an no gotoku gosechi hate ni shikaba)"/>
    <s v="As he had expected, after the conclusion of the festival,"/>
    <s v="果てにしかば"/>
    <s v="indicative"/>
    <s v="other"/>
    <s v="verb"/>
    <s v="intransitive"/>
    <s v="active"/>
    <s v="positive"/>
    <n v="1"/>
    <n v="1"/>
    <x v="0"/>
    <n v="1"/>
    <x v="0"/>
    <n v="3"/>
    <x v="0"/>
    <s v="n/a"/>
    <n v="0"/>
    <n v="0"/>
    <s v="n/a"/>
    <s v="subordinate"/>
    <n v="0"/>
    <n v="0"/>
    <s v="n/a"/>
    <s v="n/a"/>
    <n v="0"/>
    <x v="0"/>
    <s v="main"/>
    <m/>
    <s v="ds"/>
    <s v="ds"/>
    <s v="topic-shift"/>
    <s v="contains_new"/>
    <m/>
    <m/>
    <n v="1"/>
    <s v="non-LVC"/>
    <s v="Yes"/>
    <n v="31"/>
    <s v="subordinate"/>
    <n v="1"/>
    <n v="2"/>
    <x v="0"/>
  </r>
  <r>
    <s v="Heike 2.104"/>
    <s v="殿上人一同に訴へ申されけるは (tenjōbito ichidō ni uttaemōsarekeru wa)"/>
    <s v="all the courtiers and officials together appealed,"/>
    <s v="訴へ申されける"/>
    <s v="indicative"/>
    <s v="other"/>
    <s v="verb"/>
    <s v="transitive"/>
    <s v="active"/>
    <s v="positive"/>
    <n v="1"/>
    <n v="1"/>
    <x v="0"/>
    <n v="1"/>
    <x v="0"/>
    <n v="3"/>
    <x v="5"/>
    <s v="n/a"/>
    <n v="0"/>
    <n v="0"/>
    <s v="SUB"/>
    <s v="subordinate"/>
    <n v="1"/>
    <n v="0"/>
    <s v="sub"/>
    <s v="honorific_aux+lexical_humble_verb"/>
    <n v="0"/>
    <x v="2"/>
    <s v="subordinate"/>
    <m/>
    <s v="ds"/>
    <s v="ds"/>
    <s v="topic-drop"/>
    <s v="contains_new"/>
    <s v="nominalisation"/>
    <m/>
    <n v="1"/>
    <s v="non-LVC"/>
    <s v="Yes"/>
    <n v="31"/>
    <s v="te"/>
    <n v="1"/>
    <n v="3"/>
    <x v="1"/>
  </r>
  <r>
    <s v="Heike 2.105"/>
    <s v="それ雄剣を帯して (sore yūken o tai shitei)"/>
    <s v="that wearing a sword"/>
    <s v="帯して "/>
    <s v="indicative"/>
    <s v="action"/>
    <s v="LVC"/>
    <s v="transitive"/>
    <s v="active"/>
    <s v="positive"/>
    <n v="1"/>
    <n v="1"/>
    <x v="1"/>
    <n v="0"/>
    <x v="1"/>
    <n v="3"/>
    <x v="1"/>
    <s v="n/a"/>
    <n v="0"/>
    <n v="0"/>
    <s v="n/a"/>
    <s v="te"/>
    <n v="0"/>
    <n v="0"/>
    <s v="n/a"/>
    <s v="n/a"/>
    <n v="0"/>
    <x v="2"/>
    <s v="subordinate"/>
    <s v="te_medial"/>
    <s v="ds"/>
    <s v="ss"/>
    <s v="topic-drop"/>
    <s v="contains_new"/>
    <m/>
    <m/>
    <n v="1"/>
    <s v="LVC"/>
    <s v="Yes"/>
    <n v="31"/>
    <s v="te"/>
    <n v="1"/>
    <n v="4"/>
    <x v="1"/>
  </r>
  <r>
    <s v="Heike 2.106"/>
    <s v="公宴に列し  kōen ni res shi"/>
    <s v=" coming to a Court entertainment "/>
    <s v="列し"/>
    <s v="indicative"/>
    <s v="motion"/>
    <s v="LVC"/>
    <s v="intransitive"/>
    <s v="active"/>
    <s v="positive"/>
    <n v="1"/>
    <n v="1"/>
    <x v="5"/>
    <n v="0"/>
    <x v="1"/>
    <n v="3"/>
    <x v="7"/>
    <s v="overt"/>
    <n v="0"/>
    <n v="0"/>
    <s v="n/a"/>
    <s v="te"/>
    <n v="0"/>
    <n v="0"/>
    <s v="n/a"/>
    <s v="n/a"/>
    <n v="0"/>
    <x v="2"/>
    <s v="te"/>
    <s v="te_medial"/>
    <s v="ss"/>
    <s v="ss"/>
    <s v="topic-drop"/>
    <s v="contains_new"/>
    <m/>
    <m/>
    <n v="1"/>
    <s v="LVC"/>
    <s v="Yes"/>
    <n v="31"/>
    <s v="te"/>
    <n v="1"/>
    <n v="5"/>
    <x v="1"/>
  </r>
  <r>
    <s v="Heike 2.107"/>
    <s v="兵仗を賜はりて  hyōjō o tamawari te "/>
    <s v="and bearing arms "/>
    <s v="賜はりて"/>
    <s v="indicative"/>
    <s v="action"/>
    <s v="verb"/>
    <s v="transitive"/>
    <s v="active"/>
    <s v="positive"/>
    <n v="1"/>
    <n v="1"/>
    <x v="1"/>
    <n v="0"/>
    <x v="2"/>
    <n v="3"/>
    <x v="1"/>
    <s v="n/a"/>
    <n v="0"/>
    <n v="0"/>
    <s v="n/a"/>
    <s v="te"/>
    <n v="0"/>
    <n v="1"/>
    <s v="sub"/>
    <s v="lexical_humble_verb"/>
    <n v="0"/>
    <x v="2"/>
    <s v="te"/>
    <s v="te_medial"/>
    <s v="ss"/>
    <s v="ss"/>
    <s v="topic-drop"/>
    <s v="contains_new"/>
    <m/>
    <m/>
    <n v="1"/>
    <s v="non-LVC"/>
    <s v="Yes"/>
    <n v="31"/>
    <s v="subordinate"/>
    <n v="1"/>
    <n v="6"/>
    <x v="1"/>
  </r>
  <r>
    <s v="Heike 2.108"/>
    <s v="宮中を出入りするは kyūchū o ideiri suru wa "/>
    <s v="when passing in and out of the Palace"/>
    <s v="出入りする"/>
    <s v="indicative"/>
    <s v="motion"/>
    <s v="verb"/>
    <s v="transitive"/>
    <s v="active"/>
    <s v="positive"/>
    <n v="1"/>
    <n v="1"/>
    <x v="1"/>
    <n v="0"/>
    <x v="1"/>
    <n v="3"/>
    <x v="1"/>
    <s v="n/a"/>
    <n v="0"/>
    <n v="0"/>
    <s v="SUB"/>
    <s v="subordinate"/>
    <n v="0"/>
    <n v="0"/>
    <s v="n/a"/>
    <s v="n/a"/>
    <n v="0"/>
    <x v="2"/>
    <s v="te"/>
    <m/>
    <s v="ss"/>
    <s v="ds"/>
    <s v="topic-drop"/>
    <s v="contains_new"/>
    <s v="nominalisation"/>
    <m/>
    <n v="1"/>
    <s v="non-LVC"/>
    <s v="Yes"/>
    <n v="31"/>
    <s v="relative"/>
    <n v="1"/>
    <m/>
    <x v="1"/>
  </r>
  <r>
    <s v="Heike 2.109"/>
    <s v="皆格式の礼を守る mina kakushiki no rei o mamoru"/>
    <s v=" is according to ancient precedent,"/>
    <s v="守る"/>
    <s v="indicative"/>
    <s v="action"/>
    <s v="verb"/>
    <s v="transitive"/>
    <s v="active"/>
    <s v="positive"/>
    <n v="1"/>
    <n v="2"/>
    <x v="3"/>
    <n v="0"/>
    <x v="0"/>
    <n v="3"/>
    <x v="1"/>
    <s v="n/a"/>
    <n v="0"/>
    <n v="1"/>
    <s v="REL"/>
    <s v="relative"/>
    <n v="0"/>
    <n v="0"/>
    <s v="n/a"/>
    <s v="n/a"/>
    <n v="0"/>
    <x v="2"/>
    <s v="subordinate"/>
    <m/>
    <s v="ds"/>
    <s v="ds"/>
    <s v="topic-drop"/>
    <s v="contains_new"/>
    <m/>
    <m/>
    <n v="2"/>
    <s v="non-LVC"/>
    <s v="Yes"/>
    <n v="31"/>
    <s v="relative"/>
    <n v="0"/>
    <m/>
    <x v="1"/>
  </r>
  <r>
    <s v="Heike 2.110"/>
    <s v="綸命由ある  rinmei yoshi aru "/>
    <m/>
    <s v="ある"/>
    <s v="indicative"/>
    <s v="stative"/>
    <s v="existential verb"/>
    <s v="intransitive"/>
    <s v="active"/>
    <s v="positive"/>
    <n v="1"/>
    <n v="1"/>
    <x v="0"/>
    <n v="0"/>
    <x v="0"/>
    <n v="3"/>
    <x v="0"/>
    <s v="n/a"/>
    <n v="0"/>
    <n v="1"/>
    <s v="REL"/>
    <s v="relative"/>
    <n v="0"/>
    <n v="0"/>
    <s v="n/a"/>
    <s v="n/a"/>
    <n v="0"/>
    <x v="2"/>
    <s v="relative"/>
    <m/>
    <s v="ds"/>
    <s v="n/a"/>
    <s v="topic-drop"/>
    <s v="contains_new"/>
    <m/>
    <m/>
    <n v="1"/>
    <s v="non-LVC"/>
    <s v="Yes"/>
    <n v="31"/>
    <m/>
    <n v="0"/>
    <n v="7"/>
    <x v="1"/>
  </r>
  <r>
    <s v="Heike 2.111"/>
    <s v="先規なり senki nari"/>
    <m/>
    <s v="なり"/>
    <s v="indicative"/>
    <s v="stative"/>
    <s v="copula"/>
    <s v="intransitive"/>
    <s v="active"/>
    <s v="positive"/>
    <n v="1"/>
    <n v="0"/>
    <x v="2"/>
    <n v="0"/>
    <x v="6"/>
    <n v="0"/>
    <x v="0"/>
    <s v="n/a"/>
    <n v="0"/>
    <n v="0"/>
    <s v="n/a"/>
    <s v="none"/>
    <n v="0"/>
    <n v="0"/>
    <s v="n/a"/>
    <s v="n/a"/>
    <n v="0"/>
    <x v="2"/>
    <s v="relative"/>
    <m/>
    <s v="n/a"/>
    <s v="ds"/>
    <s v="topic-drop"/>
    <s v="no_overt_NP"/>
    <m/>
    <m/>
    <n v="0"/>
    <s v="non-LVC"/>
    <s v="Yes"/>
    <n v="31"/>
    <m/>
    <n v="1"/>
    <n v="8"/>
    <x v="1"/>
  </r>
  <r>
    <s v="Heike 2.112"/>
    <s v="然るを忠盛朝臣或いは相伝の郎従と号して (shikaru o Tadamori ason arui wa sōden no rōjū to gō shite)"/>
    <s v="but Ason Tadamori, calling a certain common soldier his hereditary retainer,"/>
    <s v="号して"/>
    <s v="indicative"/>
    <s v="action"/>
    <s v="verb"/>
    <s v="transitive"/>
    <s v="active"/>
    <s v="positive"/>
    <n v="1"/>
    <n v="2"/>
    <x v="3"/>
    <n v="1"/>
    <x v="0"/>
    <n v="3"/>
    <x v="1"/>
    <s v="n/a"/>
    <n v="0"/>
    <n v="0"/>
    <s v="n/a"/>
    <s v="te"/>
    <n v="0"/>
    <n v="0"/>
    <s v="n/a"/>
    <s v="n/a"/>
    <n v="0"/>
    <x v="9"/>
    <s v="none"/>
    <s v="te_medial"/>
    <s v="ds"/>
    <s v="ss"/>
    <s v="topic-shift"/>
    <s v="contains_new"/>
    <m/>
    <m/>
    <n v="2"/>
    <s v="non-LVC"/>
    <s v="Yes"/>
    <n v="31"/>
    <s v="inf"/>
    <n v="1"/>
    <n v="9"/>
    <x v="0"/>
  </r>
  <r>
    <s v="Heike 2.113"/>
    <s v="布衣の兵を殿上の小庭に召し置き (hoi no hyō o tenjō no koniwa ni meshioki)"/>
    <s v=" and placing him in the small courtyard of the Palace,"/>
    <s v="召し置き"/>
    <s v="indicative"/>
    <s v="action"/>
    <s v="verb"/>
    <s v="transitive"/>
    <s v="active"/>
    <s v="positive"/>
    <n v="1"/>
    <n v="2"/>
    <x v="7"/>
    <n v="0"/>
    <x v="2"/>
    <n v="3"/>
    <x v="1"/>
    <s v="overt"/>
    <n v="0"/>
    <n v="0"/>
    <s v="n/a"/>
    <s v="inf"/>
    <n v="0"/>
    <n v="1"/>
    <s v="sub"/>
    <s v="lexical_honorific_verb"/>
    <n v="0"/>
    <x v="2"/>
    <s v="te"/>
    <m/>
    <s v="ss"/>
    <s v="ss"/>
    <s v="topic-drop"/>
    <s v="contains_new"/>
    <m/>
    <m/>
    <n v="2"/>
    <s v="non-LVC"/>
    <s v="Yes"/>
    <n v="31"/>
    <s v="te"/>
    <n v="1"/>
    <n v="10"/>
    <x v="1"/>
  </r>
  <r>
    <s v="Heike 2.114"/>
    <s v="或いは腰の刀を横へ差いて (arui wa koshi no katana o yokoe saite)"/>
    <s v="wearing a sword at his side,"/>
    <s v="差いて"/>
    <s v="indicative"/>
    <s v="other"/>
    <s v="verb"/>
    <s v="transitive"/>
    <s v="active"/>
    <s v="positive"/>
    <n v="1"/>
    <n v="3"/>
    <x v="11"/>
    <n v="2"/>
    <x v="0"/>
    <n v="3"/>
    <x v="1"/>
    <s v="overt"/>
    <n v="0"/>
    <n v="0"/>
    <s v="n/a"/>
    <s v="te"/>
    <n v="0"/>
    <n v="0"/>
    <s v="n/a"/>
    <s v="n/a"/>
    <n v="0"/>
    <x v="2"/>
    <s v="inf"/>
    <s v="te_medial"/>
    <s v="ss"/>
    <s v="ss"/>
    <s v="topic-drop"/>
    <s v="contains_new"/>
    <m/>
    <m/>
    <n v="3"/>
    <s v="non-LVC"/>
    <s v="Yes"/>
    <n v="31"/>
    <s v="relative"/>
    <n v="1"/>
    <m/>
    <x v="1"/>
  </r>
  <r>
    <s v="Heike 2.115"/>
    <s v="節会の座に列なる setsue no za ni tsuranaru"/>
    <s v="and coming to the festival seat "/>
    <s v="列なる"/>
    <s v="indicative"/>
    <s v="other"/>
    <s v="verb"/>
    <s v="intransitive"/>
    <s v="active"/>
    <s v="positive"/>
    <n v="1"/>
    <n v="1"/>
    <x v="5"/>
    <n v="0"/>
    <x v="1"/>
    <n v="3"/>
    <x v="7"/>
    <s v="overt"/>
    <n v="0"/>
    <n v="1"/>
    <s v="REL"/>
    <s v="relative"/>
    <n v="0"/>
    <n v="0"/>
    <s v="n/a"/>
    <s v="n/a"/>
    <n v="0"/>
    <x v="2"/>
    <s v="te"/>
    <m/>
    <s v="ss"/>
    <s v="n/a"/>
    <s v="topic-drop"/>
    <s v="contains_new"/>
    <m/>
    <m/>
    <n v="1"/>
    <s v="non-LVC"/>
    <s v="Yes"/>
    <n v="31"/>
    <s v="relative"/>
    <n v="0"/>
    <m/>
    <x v="1"/>
  </r>
  <r>
    <s v="Heike 2.116"/>
    <s v="[両条稀代]未だ聞かざる (ryōjō kidai imada kikazaru)"/>
    <s v="both acts are unheard-of,"/>
    <s v="聞かざる"/>
    <s v="indicative"/>
    <s v="action"/>
    <s v="verb"/>
    <s v="transitive"/>
    <s v="active"/>
    <s v="negative"/>
    <n v="1"/>
    <n v="0"/>
    <x v="2"/>
    <n v="1"/>
    <x v="4"/>
    <n v="3"/>
    <x v="0"/>
    <s v="n/a"/>
    <n v="1"/>
    <n v="0"/>
    <s v="REL"/>
    <s v="relative"/>
    <n v="0"/>
    <n v="0"/>
    <s v="n/a"/>
    <s v="n/a"/>
    <n v="0"/>
    <x v="2"/>
    <s v="relative"/>
    <m/>
    <s v="n/a"/>
    <s v="ds"/>
    <s v="topic-drop"/>
    <s v="contains_new"/>
    <m/>
    <m/>
    <n v="0"/>
    <s v="non-LVC"/>
    <s v="Yes"/>
    <n v="31"/>
    <s v="main"/>
    <n v="0"/>
    <n v="11"/>
    <x v="1"/>
  </r>
  <r>
    <s v="Heike 2.117"/>
    <s v="狼藉なり rōzaku nari"/>
    <s v="disorderliness"/>
    <s v="狼藉なり"/>
    <s v="indicative"/>
    <s v="stative"/>
    <s v="copula"/>
    <s v="intransitive"/>
    <s v="active"/>
    <s v="positive"/>
    <n v="1"/>
    <n v="1"/>
    <x v="0"/>
    <n v="0"/>
    <x v="0"/>
    <n v="3"/>
    <x v="0"/>
    <s v="n/a"/>
    <n v="0"/>
    <n v="0"/>
    <s v="n/a"/>
    <s v="main"/>
    <n v="0"/>
    <n v="0"/>
    <s v="n/a"/>
    <s v="n/a"/>
    <n v="0"/>
    <x v="2"/>
    <s v="relative"/>
    <m/>
    <s v="ds"/>
    <s v="ds"/>
    <s v="topic-drop"/>
    <s v="contains_new"/>
    <m/>
    <m/>
    <n v="1"/>
    <s v="non-LVC"/>
    <s v="Yes"/>
    <n v="31"/>
    <m/>
    <n v="1"/>
    <n v="1"/>
    <x v="1"/>
  </r>
  <r>
    <s v="Heike 2.118"/>
    <s v="事既に重畳せり (koto sudeni chōjō seri)"/>
    <s v="indeed, one crime piled on another,"/>
    <s v="重畳せり"/>
    <s v="indicative"/>
    <s v="other"/>
    <s v="LVC"/>
    <s v="intransitive"/>
    <s v="active"/>
    <s v="positive"/>
    <n v="1"/>
    <n v="1"/>
    <x v="0"/>
    <n v="1"/>
    <x v="0"/>
    <n v="3"/>
    <x v="0"/>
    <s v="n/a"/>
    <n v="0"/>
    <n v="0"/>
    <s v="n/a"/>
    <s v="inf"/>
    <n v="0"/>
    <n v="0"/>
    <s v="n/a"/>
    <s v="n/a"/>
    <n v="0"/>
    <x v="2"/>
    <s v="main"/>
    <m/>
    <s v="ds"/>
    <s v="ss"/>
    <s v="topic-drop"/>
    <s v="all given"/>
    <m/>
    <m/>
    <n v="1"/>
    <s v="LVC"/>
    <s v="Yes"/>
    <n v="32"/>
    <m/>
    <n v="1"/>
    <n v="2"/>
    <x v="0"/>
  </r>
  <r>
    <s v="Heike 2.119"/>
    <s v="罪科尤も遁れ難し (tsumitoga mottomo nogaregatashi)"/>
    <s v="a charge he would find difficult to escape."/>
    <s v="遁れ難し"/>
    <s v="dynamic"/>
    <s v="stative"/>
    <s v="verb"/>
    <s v="transitive"/>
    <s v="active"/>
    <s v="positive"/>
    <n v="1"/>
    <n v="1"/>
    <x v="0"/>
    <n v="0"/>
    <x v="0"/>
    <n v="3"/>
    <x v="1"/>
    <s v="n/a"/>
    <n v="0"/>
    <n v="0"/>
    <s v="n/a"/>
    <s v="main"/>
    <n v="0"/>
    <n v="0"/>
    <s v="n/a"/>
    <s v="n/a"/>
    <n v="0"/>
    <x v="2"/>
    <s v="inf"/>
    <m/>
    <s v="ss"/>
    <s v="ds"/>
    <s v="topic-drop"/>
    <s v="contains_new"/>
    <m/>
    <m/>
    <n v="1"/>
    <s v="non-LVC"/>
    <s v="Yes"/>
    <n v="32"/>
    <s v="te"/>
    <n v="1"/>
    <n v="1"/>
    <x v="1"/>
  </r>
  <r>
    <s v="Heike 2.120"/>
    <s v="早く殿上の御札を削りて (hayaku tenjō no mifuda o kezurite)"/>
    <s v="they petitioned that his name be erased from the list of Courtiers"/>
    <s v="削りて "/>
    <s v="indicative"/>
    <s v="action"/>
    <s v="verb"/>
    <s v="transitive"/>
    <s v="active"/>
    <s v="positive"/>
    <n v="1"/>
    <n v="1"/>
    <x v="1"/>
    <n v="0"/>
    <x v="4"/>
    <n v="3"/>
    <x v="1"/>
    <s v="n/a"/>
    <n v="0"/>
    <n v="0"/>
    <s v="n/a"/>
    <s v="te"/>
    <n v="0"/>
    <n v="0"/>
    <s v="n/a"/>
    <s v="n/a"/>
    <n v="0"/>
    <x v="2"/>
    <s v="main"/>
    <s v="te_medial"/>
    <s v="ds"/>
    <s v="ss"/>
    <s v="topic-drop"/>
    <s v="contains_new"/>
    <m/>
    <m/>
    <n v="1"/>
    <s v="non-LVC"/>
    <s v="Yes"/>
    <n v="33"/>
    <m/>
    <n v="1"/>
    <m/>
    <x v="1"/>
  </r>
  <r>
    <s v="Heike 2.121"/>
    <s v="欠官停任せらるべき (kekkan teinin seraru beki yoshi)"/>
    <s v=" and he be deprived of rank and office,"/>
    <s v="停任せらるべき"/>
    <s v="deontic"/>
    <s v="action"/>
    <s v="LVC"/>
    <s v="intransitive"/>
    <s v="passive"/>
    <s v="positive"/>
    <n v="1"/>
    <n v="0"/>
    <x v="2"/>
    <n v="0"/>
    <x v="1"/>
    <n v="3"/>
    <x v="0"/>
    <s v="n/a"/>
    <n v="0"/>
    <n v="1"/>
    <s v="REL"/>
    <s v="relative"/>
    <n v="0"/>
    <n v="0"/>
    <s v="n/a"/>
    <s v="n/a"/>
    <n v="0"/>
    <x v="2"/>
    <s v="te"/>
    <m/>
    <s v="ss"/>
    <s v="ds"/>
    <s v="topic-drop"/>
    <s v="no_overt_NP"/>
    <m/>
    <m/>
    <n v="0"/>
    <s v="LVC"/>
    <s v="Yes"/>
    <n v="33"/>
    <m/>
    <n v="0"/>
    <n v="2"/>
    <x v="1"/>
  </r>
  <r>
    <s v="Heike 2.122"/>
    <s v="由諸卿一同に訴へ申されければ (yoshi shokyō ichidō ni uttaemōsarekereba)"/>
    <s v="and all the Court Nobles together petitioned,"/>
    <s v="訴へ申されければ"/>
    <s v="indicative"/>
    <s v="action"/>
    <s v="verb"/>
    <s v="transitive"/>
    <s v="active"/>
    <s v="positive"/>
    <n v="1"/>
    <n v="2"/>
    <x v="3"/>
    <n v="1"/>
    <x v="0"/>
    <n v="3"/>
    <x v="1"/>
    <s v="n/a"/>
    <n v="0"/>
    <n v="0"/>
    <s v="n/a"/>
    <s v="subordinate"/>
    <n v="1"/>
    <n v="0"/>
    <s v="sub"/>
    <s v="honorific_aux+lexical_honorific_verb"/>
    <n v="0"/>
    <x v="0"/>
    <s v="relative"/>
    <m/>
    <s v="ds"/>
    <s v="ds"/>
    <s v="topic-drop"/>
    <s v="contains_new"/>
    <m/>
    <m/>
    <n v="2"/>
    <s v="non-LVC"/>
    <s v="Yes"/>
    <n v="33"/>
    <s v="te"/>
    <n v="1"/>
    <n v="3"/>
    <x v="1"/>
  </r>
  <r>
    <s v="Heike 2.123"/>
    <s v="上皇大きに驚かせ給ひて (Jōkō ōki ni odorokase tamai te)"/>
    <s v="His Majesty the Mikado, greatly surprised,"/>
    <s v="驚かせ給ひて"/>
    <s v="indicative"/>
    <s v="action"/>
    <s v="verb"/>
    <s v="intransitive"/>
    <s v="active"/>
    <s v="positive"/>
    <n v="1"/>
    <n v="1"/>
    <x v="0"/>
    <n v="0"/>
    <x v="0"/>
    <n v="3"/>
    <x v="0"/>
    <s v="n/a"/>
    <n v="0"/>
    <n v="0"/>
    <s v="n/a"/>
    <s v="te"/>
    <n v="1"/>
    <n v="0"/>
    <s v="sub"/>
    <s v="honorific_aux+lexical_honorific_verb"/>
    <n v="0"/>
    <x v="2"/>
    <s v="subordinate"/>
    <s v="te_medial"/>
    <s v="ds"/>
    <s v="ss"/>
    <s v="topic-drop"/>
    <s v="contains_new"/>
    <m/>
    <m/>
    <n v="1"/>
    <s v="non-LVC"/>
    <s v="Yes"/>
    <n v="33"/>
    <s v="te"/>
    <n v="1"/>
    <n v="4"/>
    <x v="1"/>
  </r>
  <r>
    <s v="Heike 2.124"/>
    <s v="忠盛を召して (Tadamori o meshite)"/>
    <s v="ordered Tadamori into his Presence,"/>
    <s v="召して"/>
    <s v="indicative"/>
    <s v="action"/>
    <s v="verb"/>
    <s v="intransitive"/>
    <s v="active"/>
    <s v="positive"/>
    <n v="1"/>
    <n v="1"/>
    <x v="1"/>
    <n v="0"/>
    <x v="2"/>
    <n v="3"/>
    <x v="1"/>
    <s v="n/a"/>
    <n v="0"/>
    <n v="0"/>
    <s v="n/a"/>
    <s v="te"/>
    <n v="0"/>
    <n v="1"/>
    <s v="sub"/>
    <s v="lexical_honorific_verb"/>
    <n v="0"/>
    <x v="2"/>
    <s v="te"/>
    <s v="te_medial"/>
    <s v="ss"/>
    <s v="ds"/>
    <s v="topic-drop"/>
    <s v="contains_new"/>
    <m/>
    <m/>
    <n v="1"/>
    <s v="non-LVC"/>
    <s v="Yes"/>
    <n v="33"/>
    <s v="main"/>
    <n v="1"/>
    <n v="5"/>
    <x v="1"/>
  </r>
  <r>
    <s v="Heike 2.125"/>
    <s v="御尋ねあり o-tazune ari"/>
    <s v=" to make examination into the affair"/>
    <s v="御尋ねあり"/>
    <s v="indicative"/>
    <s v="action"/>
    <s v="verb"/>
    <s v="intransitive"/>
    <s v="active"/>
    <s v="positive"/>
    <n v="1"/>
    <n v="1"/>
    <x v="0"/>
    <n v="0"/>
    <x v="0"/>
    <n v="3"/>
    <x v="0"/>
    <s v="n/a"/>
    <n v="0"/>
    <n v="0"/>
    <s v="n/a"/>
    <s v="main"/>
    <n v="1"/>
    <n v="0"/>
    <s v="sub"/>
    <s v="honorific prefix"/>
    <n v="1"/>
    <x v="2"/>
    <s v="te"/>
    <m/>
    <s v="ds"/>
    <s v="ds"/>
    <s v="topic-drop"/>
    <s v="contains_new"/>
    <m/>
    <m/>
    <n v="1"/>
    <s v="non-LVC"/>
    <s v="Yes"/>
    <n v="33"/>
    <m/>
    <n v="1"/>
    <n v="1"/>
    <x v="1"/>
  </r>
  <r>
    <s v="Heike 2.126"/>
    <s v="陳じ申されけるは (chinji mōsarekeru wa)"/>
    <s v="in his reply he stated that,"/>
    <s v="申されける"/>
    <s v="indicative"/>
    <s v="action"/>
    <s v="verb"/>
    <s v="transitive"/>
    <s v="active"/>
    <s v="positive"/>
    <n v="1"/>
    <n v="0"/>
    <x v="2"/>
    <n v="0"/>
    <x v="2"/>
    <n v="3"/>
    <x v="5"/>
    <s v="n/a"/>
    <n v="0"/>
    <n v="0"/>
    <s v="SUB"/>
    <s v="subordinate"/>
    <n v="0"/>
    <n v="1"/>
    <s v="sub"/>
    <s v="honorific_aux+lexical_humble_verb"/>
    <n v="0"/>
    <x v="2"/>
    <s v="main"/>
    <m/>
    <s v="ds"/>
    <s v="ss"/>
    <s v="topic-drop"/>
    <s v="no_overt_NP"/>
    <s v="nominalisation"/>
    <m/>
    <n v="0"/>
    <s v="non-LVC"/>
    <s v="Yes"/>
    <n v="34"/>
    <m/>
    <n v="1"/>
    <n v="2"/>
    <x v="0"/>
  </r>
  <r>
    <s v="Heike 2.127"/>
    <s v="まづ郎従小庭に伺候の由全く覚悟仕らず (mazu rōjū koniwa ni shikō no yoshi mattaku kakugo tsukamatsurazu)"/>
    <s v="as to the presence of his retainer in the Palace, he certainly knew nothing about it,"/>
    <s v="覚悟仕らず"/>
    <s v="indicative"/>
    <s v="action"/>
    <s v="LVC"/>
    <s v="transitive"/>
    <s v="active"/>
    <s v="negative"/>
    <n v="1"/>
    <n v="1"/>
    <x v="1"/>
    <n v="2"/>
    <x v="2"/>
    <n v="3"/>
    <x v="1"/>
    <s v="n/a"/>
    <n v="0"/>
    <n v="0"/>
    <s v="n/a"/>
    <s v="subordinate"/>
    <n v="0"/>
    <n v="1"/>
    <s v="sub"/>
    <s v="lexical_humble_verb"/>
    <n v="0"/>
    <x v="2"/>
    <s v="subordinate"/>
    <m/>
    <s v="ss"/>
    <s v="ds"/>
    <s v="topic-drop"/>
    <s v="contains_new"/>
    <m/>
    <m/>
    <n v="1"/>
    <s v="LVC"/>
    <s v="Yes"/>
    <n v="34"/>
    <s v="relative"/>
    <n v="1"/>
    <m/>
    <x v="0"/>
  </r>
  <r>
    <s v="Heike 2.128"/>
    <s v="但し近日人々相巧まるる (tadashi kinjitsu hitobito ai-takuramaruru)"/>
    <s v=" [...]  the designs that people were plotting,"/>
    <s v="巧まるる"/>
    <s v="indicative"/>
    <s v="action"/>
    <s v="verb"/>
    <s v="transitive"/>
    <s v="active"/>
    <s v="positive"/>
    <n v="1"/>
    <n v="1"/>
    <x v="0"/>
    <n v="1"/>
    <x v="0"/>
    <n v="3"/>
    <x v="5"/>
    <s v="n/a"/>
    <n v="0"/>
    <n v="0"/>
    <s v="REL"/>
    <s v="relative"/>
    <n v="1"/>
    <n v="0"/>
    <s v="sub"/>
    <s v="honorific_aux"/>
    <n v="0"/>
    <x v="2"/>
    <s v="subordinate"/>
    <m/>
    <s v="ds"/>
    <s v="ds"/>
    <s v="topic-drop"/>
    <s v="contains_new"/>
    <m/>
    <m/>
    <n v="1"/>
    <s v="non-LVC"/>
    <s v="Yes"/>
    <n v="34"/>
    <s v="subordinate"/>
    <n v="0"/>
    <n v="3"/>
    <x v="1"/>
  </r>
  <r>
    <s v="Heike 2.129"/>
    <s v="旨子細あるかの間 mune shisai aru ka no aida "/>
    <s v="[…] had lately heard of"/>
    <s v="ある"/>
    <s v="indicative"/>
    <s v="stative"/>
    <s v="existential verb"/>
    <s v="intransitive"/>
    <s v="active"/>
    <s v="positive"/>
    <n v="1"/>
    <n v="1"/>
    <x v="0"/>
    <n v="1"/>
    <x v="0"/>
    <n v="3"/>
    <x v="0"/>
    <s v="n/a"/>
    <n v="0"/>
    <n v="0"/>
    <s v="n/a"/>
    <s v="subordinate"/>
    <n v="0"/>
    <n v="0"/>
    <s v="n/a"/>
    <s v="n/a"/>
    <n v="0"/>
    <x v="0"/>
    <s v="relative"/>
    <m/>
    <s v="ds"/>
    <s v="ss"/>
    <s v="topic-drop"/>
    <s v="contains_new"/>
    <m/>
    <m/>
    <n v="1"/>
    <s v="non-LVC"/>
    <s v="Yes"/>
    <n v="34"/>
    <s v="subordinate"/>
    <n v="1"/>
    <n v="4"/>
    <x v="1"/>
  </r>
  <r>
    <s v="Heike 2.130"/>
    <s v="年来の家人事を伝へ聞くかによつて (nenrai no kenin goto o tsutae kiku ka ni yotte)"/>
    <s v=" if his retainers"/>
    <s v="伝へ聞く"/>
    <s v="indicative"/>
    <s v="perception"/>
    <s v="compound verb"/>
    <s v="transitive"/>
    <s v="active"/>
    <s v="positive"/>
    <n v="1"/>
    <n v="2"/>
    <x v="3"/>
    <n v="1"/>
    <x v="0"/>
    <n v="3"/>
    <x v="1"/>
    <s v="n/a"/>
    <n v="0"/>
    <n v="0"/>
    <s v="n/a"/>
    <s v="subordinate"/>
    <n v="0"/>
    <n v="0"/>
    <s v="n/a"/>
    <s v="n/a"/>
    <n v="0"/>
    <x v="1"/>
    <s v="subordinate"/>
    <m/>
    <s v="ss"/>
    <s v="ss"/>
    <s v="topic-drop"/>
    <s v="contains_new"/>
    <m/>
    <m/>
    <n v="2"/>
    <s v="non-LVC"/>
    <s v="Yes"/>
    <n v="34"/>
    <s v="subordinate"/>
    <n v="1"/>
    <n v="5"/>
    <x v="1"/>
  </r>
  <r>
    <s v="Heike 2.131"/>
    <s v="その恥を助けんが為に (sono haji o tasuken ga tame ni)"/>
    <s v="and in order to help him against such dishonour,  intending to prevent dishonour,"/>
    <s v="助けん"/>
    <s v="dynamic"/>
    <s v="other"/>
    <s v="verb"/>
    <s v="transitive"/>
    <s v="active"/>
    <s v="positive"/>
    <n v="1"/>
    <n v="1"/>
    <x v="1"/>
    <n v="0"/>
    <x v="1"/>
    <n v="3"/>
    <x v="1"/>
    <s v="n/a"/>
    <n v="0"/>
    <n v="0"/>
    <s v="n/a"/>
    <s v="subordinate"/>
    <n v="0"/>
    <n v="0"/>
    <s v="n/a"/>
    <s v="n/a"/>
    <n v="0"/>
    <x v="7"/>
    <s v="subordinate"/>
    <m/>
    <s v="ss"/>
    <s v="ss"/>
    <s v="topic-drop"/>
    <s v="contains_new"/>
    <m/>
    <m/>
    <n v="1"/>
    <s v="non-LVC"/>
    <s v="Yes"/>
    <n v="34"/>
    <s v="te"/>
    <n v="1"/>
    <n v="6"/>
    <x v="1"/>
  </r>
  <r>
    <s v="Heike 2.132"/>
    <s v="忠盛には知らせずして Tadamori ni wa shirasazu shite"/>
    <s v=" without informing him,  "/>
    <s v="知らせず"/>
    <s v="indicative"/>
    <s v="other"/>
    <s v="verb"/>
    <s v="ditransitive"/>
    <s v="active"/>
    <s v="negative"/>
    <n v="1"/>
    <n v="2"/>
    <x v="5"/>
    <n v="1"/>
    <x v="1"/>
    <n v="3"/>
    <x v="3"/>
    <s v="overt"/>
    <n v="0"/>
    <n v="0"/>
    <s v="n/a"/>
    <s v="te"/>
    <n v="0"/>
    <n v="0"/>
    <s v="n/a"/>
    <s v="n/a"/>
    <n v="0"/>
    <x v="1"/>
    <s v="subordinate"/>
    <s v="te_medial"/>
    <s v="ss"/>
    <n v="0"/>
    <s v="topic-continued"/>
    <s v="contains_new"/>
    <m/>
    <m/>
    <n v="2"/>
    <s v="non-LVC"/>
    <s v="Yes"/>
    <n v="34"/>
    <m/>
    <n v="1"/>
    <n v="7"/>
    <x v="1"/>
  </r>
  <r>
    <s v="Heike 2.133"/>
    <s v="密かに参候の条 (hisoka ni sankō no jō)"/>
    <s v="his retainers had come hither secretly"/>
    <s v="N/A (nominal clause)"/>
    <s v="indicative"/>
    <s v="other"/>
    <s v="none"/>
    <m/>
    <m/>
    <m/>
    <m/>
    <m/>
    <x v="6"/>
    <m/>
    <x v="3"/>
    <m/>
    <x v="4"/>
    <m/>
    <m/>
    <m/>
    <m/>
    <m/>
    <m/>
    <m/>
    <s v="n/a"/>
    <s v="n/a"/>
    <m/>
    <x v="5"/>
    <s v="te"/>
    <m/>
    <m/>
    <s v="ds"/>
    <m/>
    <m/>
    <s v="not sure if I should treat this as a nominal or verbal predicate or whether there is predication at all"/>
    <m/>
    <m/>
    <s v="non-LVC"/>
    <s v="Yes"/>
    <n v="34"/>
    <m/>
    <n v="1"/>
    <m/>
    <x v="1"/>
  </r>
  <r>
    <s v="Heike 2.134"/>
    <s v="力及ばざる chikara oyobazaru"/>
    <s v="his retainers had come hither secretly"/>
    <s v="及ばざる"/>
    <s v="indicative"/>
    <s v="other"/>
    <s v="verb"/>
    <s v="intransitive"/>
    <s v="active"/>
    <s v="negative"/>
    <n v="1"/>
    <n v="1"/>
    <x v="0"/>
    <n v="0"/>
    <x v="0"/>
    <n v="3"/>
    <x v="0"/>
    <s v="n/a"/>
    <n v="0"/>
    <n v="1"/>
    <s v="REL"/>
    <s v="relative"/>
    <n v="0"/>
    <n v="0"/>
    <s v="n/a"/>
    <s v="n/a"/>
    <n v="0"/>
    <x v="2"/>
    <n v="0"/>
    <m/>
    <s v="ds"/>
    <s v="ds"/>
    <s v="topic-drop"/>
    <s v="contains_new"/>
    <m/>
    <m/>
    <n v="1"/>
    <s v="non-LVC"/>
    <s v="Yes"/>
    <n v="34"/>
    <m/>
    <n v="0"/>
    <n v="8"/>
    <x v="1"/>
  </r>
  <r>
    <s v="Heike 2.135"/>
    <s v="次第なり"/>
    <s v="shidai nari"/>
    <s v="なり"/>
    <s v="indicative"/>
    <s v="stative"/>
    <s v="copula"/>
    <s v="intransitive"/>
    <s v="active"/>
    <s v="positive"/>
    <n v="1"/>
    <n v="0"/>
    <x v="2"/>
    <n v="0"/>
    <x v="1"/>
    <n v="3"/>
    <x v="0"/>
    <s v="n/a"/>
    <n v="0"/>
    <n v="0"/>
    <s v="n/a"/>
    <s v="main"/>
    <n v="0"/>
    <n v="0"/>
    <s v="n/a"/>
    <s v="n/a"/>
    <n v="0"/>
    <x v="2"/>
    <s v="relative"/>
    <m/>
    <s v="ds"/>
    <s v="ds"/>
    <s v="topic-drop"/>
    <s v="no_overt_NP"/>
    <m/>
    <m/>
    <n v="0"/>
    <s v="non-LVC"/>
    <s v="Yes"/>
    <n v="34"/>
    <m/>
    <n v="1"/>
    <n v="1"/>
    <x v="1"/>
  </r>
  <r>
    <s v="Heike 2.136"/>
    <s v="もしその咎あるべくば (moshi sono toga arubekuba)"/>
    <s v="&quot;if there be any blame, "/>
    <s v="ある"/>
    <s v="indicative"/>
    <s v="stative"/>
    <s v="existential verb"/>
    <s v="intransitive"/>
    <s v="active"/>
    <s v="positive"/>
    <n v="1"/>
    <n v="1"/>
    <x v="0"/>
    <n v="0"/>
    <x v="0"/>
    <n v="3"/>
    <x v="0"/>
    <s v="n/a"/>
    <n v="0"/>
    <n v="0"/>
    <s v="n/a"/>
    <s v="subordinate"/>
    <n v="0"/>
    <n v="0"/>
    <s v="n/a"/>
    <s v="n/a"/>
    <n v="0"/>
    <x v="10"/>
    <s v="main"/>
    <m/>
    <s v="ds"/>
    <s v="ds"/>
    <s v="topic-shift"/>
    <s v="contains_new"/>
    <m/>
    <m/>
    <n v="1"/>
    <s v="non-LVC"/>
    <s v="Yes"/>
    <n v="35"/>
    <s v="main"/>
    <n v="1"/>
    <n v="2"/>
    <x v="0"/>
  </r>
  <r>
    <s v="Heike 2.137"/>
    <s v="かの身を召し進ずべきか  ka no mi o meshi shinzu beki ka"/>
    <s v="do I not yield my body herewith?&quot;"/>
    <s v="召し進ずべき"/>
    <s v="deontic"/>
    <s v="action"/>
    <s v="LVC"/>
    <m/>
    <s v="active"/>
    <s v="positive"/>
    <n v="1"/>
    <n v="1"/>
    <x v="1"/>
    <n v="0"/>
    <x v="2"/>
    <n v="1"/>
    <x v="1"/>
    <s v="n/a"/>
    <n v="0"/>
    <n v="0"/>
    <s v="n/a"/>
    <s v="main"/>
    <n v="0"/>
    <n v="1"/>
    <s v="sub"/>
    <s v="lexical_honorific_verb"/>
    <n v="0"/>
    <x v="2"/>
    <s v="subordinate"/>
    <m/>
    <s v="ds"/>
    <s v="ss"/>
    <s v="topic-drop"/>
    <s v="contains_new"/>
    <m/>
    <m/>
    <n v="1"/>
    <s v="LVC"/>
    <s v="Yes"/>
    <n v="35"/>
    <s v="main"/>
    <n v="1"/>
    <n v="1"/>
    <x v="1"/>
  </r>
  <r>
    <s v="Heike 2.138"/>
    <s v="次に刀の事は主殿司に預け置き候ひ畢んぬ (tsugi ni katana no koto wa tonomotsukasa ni azukeoki soroiowannu)"/>
    <s v="as for the sword, I deposited it in the Tonomotsukasa,"/>
    <s v="預け置き / 候ひ畢んぬ"/>
    <s v="indicative"/>
    <s v="action"/>
    <s v="compound verb"/>
    <s v="transitive"/>
    <s v="active"/>
    <s v="positive"/>
    <n v="1"/>
    <n v="2"/>
    <x v="7"/>
    <n v="0"/>
    <x v="1"/>
    <n v="1"/>
    <x v="1"/>
    <s v="overt"/>
    <n v="0"/>
    <n v="0"/>
    <s v="n/a"/>
    <s v="main"/>
    <n v="0"/>
    <n v="0"/>
    <s v="n/a"/>
    <s v="polite_aux"/>
    <n v="0"/>
    <x v="2"/>
    <s v="main"/>
    <m/>
    <s v="ss"/>
    <s v="ds"/>
    <s v="topic-shift"/>
    <s v="contains_new"/>
    <m/>
    <m/>
    <n v="2"/>
    <s v="non-LVC"/>
    <s v="Yes"/>
    <n v="36"/>
    <m/>
    <n v="1"/>
    <n v="1"/>
    <x v="1"/>
  </r>
  <r>
    <s v="Heike 2.139"/>
    <s v="召し出だされ (meshi idasare)"/>
    <s v="if it be brought out from thence,"/>
    <s v="召し出だされ "/>
    <s v="indicative"/>
    <s v="action"/>
    <s v="verb"/>
    <s v="intransitive"/>
    <s v="passive"/>
    <s v="positive"/>
    <n v="1"/>
    <n v="0"/>
    <x v="2"/>
    <n v="0"/>
    <x v="2"/>
    <n v="3"/>
    <x v="3"/>
    <s v="zero_recoverable"/>
    <n v="0"/>
    <n v="0"/>
    <s v="n/a"/>
    <s v="main"/>
    <n v="0"/>
    <n v="1"/>
    <s v="sub"/>
    <s v="lexical_honorific_verb"/>
    <n v="0"/>
    <x v="2"/>
    <s v="main"/>
    <m/>
    <s v="ds"/>
    <s v="ss"/>
    <s v="topic-drop"/>
    <s v="no_overt_NP"/>
    <m/>
    <m/>
    <n v="0"/>
    <s v="non-LVC"/>
    <s v="Yes"/>
    <n v="37"/>
    <m/>
    <n v="1"/>
    <n v="1"/>
    <x v="1"/>
  </r>
  <r>
    <s v="Heike 2.140"/>
    <s v="刀の実否に付きて咎の左右あるべきか  katana no jippi ni tsukite toga no sayū aru beki ka"/>
    <s v=" it may be seen if it be a real sword or not,"/>
    <s v="あるべき"/>
    <s v="deontic"/>
    <s v="stative"/>
    <s v="existential verb"/>
    <s v="intransitive"/>
    <s v="active"/>
    <s v="positive"/>
    <n v="1"/>
    <n v="1"/>
    <x v="0"/>
    <n v="1"/>
    <x v="0"/>
    <n v="3"/>
    <x v="0"/>
    <s v="n/a"/>
    <n v="0"/>
    <n v="0"/>
    <s v="n/a"/>
    <s v="main"/>
    <n v="0"/>
    <n v="0"/>
    <s v="n/a"/>
    <s v="n/a"/>
    <n v="0"/>
    <x v="2"/>
    <s v="main"/>
    <m/>
    <s v="ss"/>
    <s v="ds"/>
    <s v="topic-drop"/>
    <s v="contains_new"/>
    <m/>
    <m/>
    <n v="1"/>
    <s v="non-LVC"/>
    <s v="Yes"/>
    <n v="38"/>
    <s v="subordinate"/>
    <n v="1"/>
    <n v="1"/>
    <x v="0"/>
  </r>
  <r>
    <s v="Heike 2.141"/>
    <s v="この儀尤も然るべしとて (kono gi motto mo shikarubeshi tote)"/>
    <s v="&quot;This seems quite reasonable,&quot;"/>
    <s v="然るべし"/>
    <s v="deontic"/>
    <s v="stative"/>
    <s v="adjectival predicate"/>
    <s v="intransitive"/>
    <s v="active"/>
    <s v="positive"/>
    <n v="1"/>
    <n v="1"/>
    <x v="0"/>
    <n v="0"/>
    <x v="0"/>
    <n v="3"/>
    <x v="0"/>
    <s v="n/a"/>
    <n v="0"/>
    <n v="0"/>
    <s v="n/a"/>
    <s v="subordinate"/>
    <n v="0"/>
    <n v="0"/>
    <s v="n/a"/>
    <s v="n/a"/>
    <n v="0"/>
    <x v="3"/>
    <s v="main"/>
    <m/>
    <s v="ds"/>
    <s v="ds"/>
    <s v="topic-drop"/>
    <s v="contains_new"/>
    <m/>
    <m/>
    <n v="1"/>
    <s v="non-LVC"/>
    <s v="Yes"/>
    <n v="39"/>
    <m/>
    <n v="1"/>
    <n v="2"/>
    <x v="1"/>
  </r>
  <r>
    <s v="Heike 2.142"/>
    <s v="かの刀を召し出でて (kano katana o meshi-idete)"/>
    <s v="and they hastened to bring forth the sword,"/>
    <s v="召し出でて"/>
    <s v="indicative"/>
    <s v="action"/>
    <s v="verb"/>
    <s v="transitive"/>
    <s v="active"/>
    <s v="positive"/>
    <n v="1"/>
    <n v="1"/>
    <x v="1"/>
    <n v="1"/>
    <x v="2"/>
    <n v="3"/>
    <x v="1"/>
    <s v="n/a"/>
    <n v="0"/>
    <n v="0"/>
    <s v="n/a"/>
    <s v="te"/>
    <n v="0"/>
    <n v="1"/>
    <s v="sub"/>
    <s v="lexical_honorific_verb"/>
    <n v="0"/>
    <x v="1"/>
    <s v="subordinate"/>
    <s v="te_medial"/>
    <s v="ds"/>
    <s v="ss"/>
    <s v="topic-continued"/>
    <s v="all given"/>
    <m/>
    <m/>
    <n v="1"/>
    <s v="non-LVC"/>
    <s v="Yes"/>
    <n v="39"/>
    <m/>
    <n v="1"/>
    <n v="3"/>
    <x v="1"/>
  </r>
  <r>
    <s v="Heike 2.143"/>
    <s v="叡覧あるに (eiran aru ni)"/>
    <s v="and exhibit it before His Majesty,"/>
    <s v="叡覧ある"/>
    <s v="indicative"/>
    <s v="action"/>
    <s v="LVC"/>
    <s v="transitive"/>
    <s v="active"/>
    <s v="positive"/>
    <n v="1"/>
    <n v="0"/>
    <x v="2"/>
    <n v="0"/>
    <x v="2"/>
    <n v="3"/>
    <x v="3"/>
    <s v="n/a"/>
    <n v="0"/>
    <n v="0"/>
    <s v="n/a"/>
    <s v="subordinate"/>
    <n v="0"/>
    <n v="1"/>
    <s v="sub"/>
    <s v="lexical_honorific_verb"/>
    <n v="0"/>
    <x v="0"/>
    <s v="te"/>
    <m/>
    <s v="ss"/>
    <s v="ds"/>
    <s v="topic-drop"/>
    <s v="no_overt_NP"/>
    <m/>
    <m/>
    <n v="0"/>
    <s v="LVC"/>
    <s v="Yes"/>
    <n v="39"/>
    <m/>
    <n v="1"/>
    <n v="4"/>
    <x v="1"/>
  </r>
  <r>
    <s v="Heike 2.144"/>
    <s v="上は鞘巻の黒う塗つたりけるが (ue wa sayamaki no kuro u nuttari keru ga)"/>
    <s v="its outside was that of a dirk in a black lacquer sheath,"/>
    <s v="塗つたりける"/>
    <s v="indicative"/>
    <s v="stative"/>
    <s v="verb"/>
    <s v="intransitive"/>
    <s v="resultative"/>
    <s v="positive"/>
    <n v="1"/>
    <n v="1"/>
    <x v="0"/>
    <n v="0"/>
    <x v="0"/>
    <n v="3"/>
    <x v="0"/>
    <s v="n/a"/>
    <n v="0"/>
    <n v="0"/>
    <s v="n/a"/>
    <s v="subordinate"/>
    <n v="0"/>
    <n v="0"/>
    <s v="n/a"/>
    <s v="n/a"/>
    <n v="0"/>
    <x v="9"/>
    <s v="subordinate"/>
    <m/>
    <s v="ds"/>
    <s v="ds"/>
    <s v="topic-drop"/>
    <s v="contains_new"/>
    <m/>
    <m/>
    <n v="1"/>
    <s v="non-LVC"/>
    <s v="Yes"/>
    <n v="39"/>
    <s v="main"/>
    <n v="1"/>
    <n v="5"/>
    <x v="1"/>
  </r>
  <r>
    <s v="Heike 2.145"/>
    <s v="中は木刀に銀薄をぞ押したりける (naka wa bokutō ni gin-haku o zo oshitari keru)"/>
    <s v="but within was only a wooden blade covered with silver."/>
    <s v="押したりける"/>
    <s v="indicative"/>
    <s v="stative"/>
    <s v="verb"/>
    <s v="transitive"/>
    <s v="resultative"/>
    <s v="positive"/>
    <n v="1"/>
    <n v="3"/>
    <x v="11"/>
    <n v="0"/>
    <x v="0"/>
    <n v="3"/>
    <x v="1"/>
    <s v="overt"/>
    <n v="0"/>
    <n v="0"/>
    <s v="n/a"/>
    <s v="main"/>
    <n v="0"/>
    <n v="0"/>
    <s v="n/a"/>
    <s v="n/a"/>
    <n v="0"/>
    <x v="2"/>
    <s v="subordinate"/>
    <m/>
    <s v="ds"/>
    <s v="ds"/>
    <s v="topic-drop"/>
    <s v="contains_new"/>
    <m/>
    <m/>
    <n v="3"/>
    <s v="non-LVC"/>
    <s v="Yes"/>
    <n v="39"/>
    <s v="subordinate"/>
    <n v="1"/>
    <n v="1"/>
    <x v="1"/>
  </r>
  <r>
    <s v="Heike 2.146"/>
    <s v="当座の恥辱を遁れんが為に (tōza no chijoku o nogaren ga tame ni)"/>
    <s v=" to avoid dishonour at the moment,"/>
    <s v="遁れん "/>
    <s v="dynamic"/>
    <s v="other"/>
    <s v="verb"/>
    <s v="transitive"/>
    <s v="active"/>
    <s v="positive"/>
    <n v="1"/>
    <n v="1"/>
    <x v="1"/>
    <n v="0"/>
    <x v="1"/>
    <n v="3"/>
    <x v="1"/>
    <s v="n/a"/>
    <n v="0"/>
    <n v="0"/>
    <s v="n/a"/>
    <s v="subordinate"/>
    <n v="0"/>
    <n v="0"/>
    <s v="n/a"/>
    <s v="n/a"/>
    <n v="0"/>
    <x v="7"/>
    <s v="main"/>
    <m/>
    <s v="ds"/>
    <s v="ss"/>
    <s v="topic-drop"/>
    <s v="contains_new"/>
    <m/>
    <m/>
    <n v="1"/>
    <s v="non-LVC"/>
    <s v="Yes"/>
    <n v="40"/>
    <m/>
    <n v="1"/>
    <m/>
    <x v="1"/>
  </r>
  <r>
    <s v="Heike 2.147"/>
    <s v="刀を帯する katana o taisuru "/>
    <s v="Although he had displayed "/>
    <s v="帯する"/>
    <s v="indicative"/>
    <s v="other"/>
    <s v="LVC"/>
    <s v="transitive"/>
    <s v="active"/>
    <s v="positive"/>
    <n v="1"/>
    <n v="1"/>
    <x v="1"/>
    <n v="0"/>
    <x v="1"/>
    <n v="3"/>
    <x v="1"/>
    <s v="n/a"/>
    <n v="0"/>
    <n v="1"/>
    <s v="REL"/>
    <s v="relative"/>
    <n v="0"/>
    <n v="0"/>
    <s v="n/a"/>
    <s v="n/a"/>
    <n v="0"/>
    <x v="2"/>
    <s v="subordinate"/>
    <m/>
    <s v="ss"/>
    <s v="ss"/>
    <s v="topic-drop"/>
    <s v="all given"/>
    <m/>
    <m/>
    <n v="1"/>
    <s v="LVC"/>
    <s v="Yes"/>
    <n v="40"/>
    <m/>
    <n v="0"/>
    <n v="2"/>
    <x v="1"/>
  </r>
  <r>
    <s v="Heike 2.148"/>
    <s v="由顕すといへども yoshi arawasu to iedomo"/>
    <s v="the appearance of a sword"/>
    <s v="顕す"/>
    <s v="indicative"/>
    <s v="other"/>
    <s v="verb"/>
    <s v="transitive"/>
    <s v="active"/>
    <s v="positive"/>
    <n v="1"/>
    <n v="1"/>
    <x v="1"/>
    <n v="0"/>
    <x v="1"/>
    <n v="3"/>
    <x v="1"/>
    <s v="n/a"/>
    <n v="0"/>
    <n v="0"/>
    <s v="n/a"/>
    <s v="subordinate"/>
    <n v="0"/>
    <n v="0"/>
    <s v="n/a"/>
    <s v="n/a"/>
    <n v="0"/>
    <x v="9"/>
    <s v="relative"/>
    <m/>
    <s v="ss"/>
    <s v="ss"/>
    <s v="topic-drop"/>
    <s v="contains_new"/>
    <m/>
    <m/>
    <n v="1"/>
    <s v="non-LVC"/>
    <s v="Yes"/>
    <n v="40"/>
    <s v="te"/>
    <n v="1"/>
    <n v="3"/>
    <x v="1"/>
  </r>
  <r>
    <s v="Heike 2.149"/>
    <s v="後日の訴訟を存じて (gojitsu no soshō o zonjite)"/>
    <s v="his substitution of a wooden blade as a precaution against an after accusation was exceedingly praiseworthy."/>
    <s v="存じて"/>
    <s v="indicative"/>
    <s v="perception"/>
    <s v="LVC"/>
    <s v="transitive"/>
    <s v="active"/>
    <s v="positive"/>
    <n v="1"/>
    <n v="1"/>
    <x v="1"/>
    <n v="0"/>
    <x v="2"/>
    <n v="3"/>
    <x v="1"/>
    <s v="n/a"/>
    <n v="0"/>
    <n v="0"/>
    <s v="n/a"/>
    <s v="te"/>
    <n v="0"/>
    <n v="1"/>
    <s v="sub"/>
    <s v="lexical_humble_verb"/>
    <n v="0"/>
    <x v="2"/>
    <s v="subordinate"/>
    <s v="te_medial"/>
    <s v="ss"/>
    <s v="ss"/>
    <s v="topic-drop"/>
    <s v="contains_new"/>
    <m/>
    <m/>
    <n v="1"/>
    <s v="LVC"/>
    <s v="Yes"/>
    <n v="40"/>
    <s v="relative"/>
    <n v="1"/>
    <m/>
    <x v="1"/>
  </r>
  <r>
    <s v="Heike 2.150"/>
    <s v="木刀を帯したる"/>
    <s v=" bokutō o tachitaru "/>
    <s v="帯したる"/>
    <s v="indicative"/>
    <s v="action"/>
    <s v="LVC"/>
    <s v="transitive"/>
    <s v="active"/>
    <s v="positive"/>
    <n v="1"/>
    <n v="1"/>
    <x v="1"/>
    <n v="0"/>
    <x v="1"/>
    <n v="3"/>
    <x v="1"/>
    <s v="n/a"/>
    <n v="0"/>
    <n v="1"/>
    <s v="REL"/>
    <s v="relative"/>
    <n v="0"/>
    <n v="0"/>
    <s v="n/a"/>
    <s v="n/a"/>
    <n v="0"/>
    <x v="2"/>
    <s v="te"/>
    <m/>
    <s v="ss"/>
    <s v="ds"/>
    <s v="topic-drop"/>
    <s v="contains_new"/>
    <m/>
    <m/>
    <n v="1"/>
    <s v="LVC"/>
    <s v="Yes"/>
    <n v="40"/>
    <s v="main"/>
    <n v="0"/>
    <n v="4"/>
    <x v="1"/>
  </r>
  <r>
    <s v="Heike 2.151"/>
    <s v="用意のほどこそ神妙なれ yōi no hodo koso shinmyō nare"/>
    <m/>
    <s v="なれ"/>
    <s v="indicative"/>
    <s v="stative"/>
    <s v="copula"/>
    <s v="intransitive"/>
    <s v="active"/>
    <s v="positive"/>
    <n v="1"/>
    <n v="1"/>
    <x v="0"/>
    <n v="0"/>
    <x v="0"/>
    <n v="3"/>
    <x v="0"/>
    <s v="n/a"/>
    <n v="0"/>
    <n v="0"/>
    <s v="n/a"/>
    <s v="main"/>
    <n v="0"/>
    <n v="0"/>
    <s v="n/a"/>
    <s v="n/a"/>
    <n v="0"/>
    <x v="2"/>
    <s v="relative"/>
    <m/>
    <s v="ds"/>
    <s v="ds"/>
    <s v="topic-drop"/>
    <s v="contains_new"/>
    <m/>
    <m/>
    <n v="1"/>
    <s v="non-LVC"/>
    <s v="Yes"/>
    <n v="40"/>
    <s v="relative"/>
    <n v="1"/>
    <m/>
    <x v="1"/>
  </r>
  <r>
    <s v="Heike 2.152"/>
    <s v="弓箭に携らん (yumiya ni tazusaran)"/>
    <s v="Such prudence is most commendable in a warrior."/>
    <s v="携らん"/>
    <s v="dynamic"/>
    <s v="action"/>
    <s v="verb"/>
    <s v="intransitive"/>
    <s v="active"/>
    <s v="positive"/>
    <n v="1"/>
    <n v="1"/>
    <x v="5"/>
    <n v="0"/>
    <x v="1"/>
    <n v="3"/>
    <x v="0"/>
    <s v="overt"/>
    <n v="1"/>
    <n v="0"/>
    <s v="REL"/>
    <s v="relative"/>
    <n v="0"/>
    <n v="0"/>
    <s v="n/a"/>
    <s v="n/a"/>
    <n v="0"/>
    <x v="2"/>
    <s v="main"/>
    <m/>
    <s v="ds"/>
    <s v="ds"/>
    <s v="topic-shift"/>
    <s v="contains_new"/>
    <m/>
    <m/>
    <n v="1"/>
    <s v="non-LVC"/>
    <s v="Yes"/>
    <n v="41"/>
    <s v="main"/>
    <n v="0"/>
    <n v="1"/>
    <x v="0"/>
  </r>
  <r>
    <s v="Heike 2.153"/>
    <s v="ほどの者の謀は尤もかうこそあらまほしけれ hodo no mono no hakarigoto wa motto mo kō koso aramahoshikere"/>
    <m/>
    <s v="あらまほしけれ"/>
    <s v="desiderative"/>
    <s v="psych-state"/>
    <s v="adjectival predicate"/>
    <s v="intransitive"/>
    <s v="active"/>
    <s v="positive"/>
    <n v="1"/>
    <n v="1"/>
    <x v="0"/>
    <n v="1"/>
    <x v="0"/>
    <n v="3"/>
    <x v="0"/>
    <s v="n/a"/>
    <n v="0"/>
    <n v="0"/>
    <s v="n/a"/>
    <s v="main"/>
    <n v="0"/>
    <n v="0"/>
    <s v="n/a"/>
    <s v="n/a"/>
    <n v="0"/>
    <x v="2"/>
    <s v="relative"/>
    <m/>
    <s v="ds"/>
    <s v="ds"/>
    <s v="topic-shift"/>
    <s v="contains_new"/>
    <m/>
    <m/>
    <n v="1"/>
    <s v="non-LVC"/>
    <s v="Yes"/>
    <n v="41"/>
    <s v="main"/>
    <n v="1"/>
    <n v="1"/>
    <x v="1"/>
  </r>
  <r>
    <s v="Heike 2.154"/>
    <s v="予てはまた郎従小庭に伺候の由 (kanete wa mata rōjū koniwa ni shikō no yoshi) 且つは武士の郎等の習ひなり (katsu wa bushi no rōtō no narai nari)"/>
    <s v="As for his retainer being in the small court, that too is the custom of the retainers of the warrior class, "/>
    <s v="なり"/>
    <s v="indicative"/>
    <s v="stative"/>
    <s v="copula"/>
    <s v="intransitive"/>
    <s v="active"/>
    <s v="positive"/>
    <n v="1"/>
    <n v="1"/>
    <x v="0"/>
    <n v="3"/>
    <x v="0"/>
    <n v="3"/>
    <x v="0"/>
    <s v="n/a"/>
    <n v="0"/>
    <n v="0"/>
    <s v="n/a"/>
    <s v="main"/>
    <n v="0"/>
    <n v="0"/>
    <s v="n/a"/>
    <s v="n/a"/>
    <n v="0"/>
    <x v="2"/>
    <s v="main"/>
    <m/>
    <s v="ds"/>
    <s v="ds"/>
    <s v="topic-shift"/>
    <s v="contains_new"/>
    <m/>
    <m/>
    <n v="1"/>
    <s v="non-LVC"/>
    <s v="Yes"/>
    <n v="42"/>
    <s v="subordinate"/>
    <n v="1"/>
    <n v="1"/>
    <x v="0"/>
  </r>
  <r>
    <s v="Heike 2.155"/>
    <s v="忠盛が咎にはあらずとて (Tadamori ga toga ni wa arazu tote)"/>
    <s v="and no fault was found in Tadamori."/>
    <s v="あらず"/>
    <s v="indicative"/>
    <s v="stative"/>
    <s v="copula"/>
    <s v="intransitive"/>
    <s v="active"/>
    <s v="negative"/>
    <n v="1"/>
    <n v="1"/>
    <x v="0"/>
    <n v="0"/>
    <x v="0"/>
    <n v="3"/>
    <x v="0"/>
    <s v="n/a"/>
    <n v="0"/>
    <n v="0"/>
    <s v="n/a"/>
    <s v="subordinate"/>
    <n v="0"/>
    <n v="0"/>
    <s v="n/a"/>
    <s v="n/a"/>
    <n v="0"/>
    <x v="3"/>
    <s v="main"/>
    <m/>
    <s v="ds"/>
    <s v="ss"/>
    <s v="topic-shift"/>
    <s v="contains_new"/>
    <m/>
    <m/>
    <n v="1"/>
    <s v="non-LVC"/>
    <s v="Yes"/>
    <n v="43"/>
    <s v="subordinate"/>
    <n v="1"/>
    <n v="2"/>
    <x v="1"/>
  </r>
  <r>
    <s v="Heike 2.156"/>
    <s v="却つて叡感に預かりし上は (kaette eikan ni azukarishi ue wa)"/>
    <s v="and on the contrary, his conduct was greatly admired,"/>
    <s v="預かりし"/>
    <s v="indicative"/>
    <s v="action"/>
    <s v="verb"/>
    <s v="intransitive"/>
    <s v="active"/>
    <s v="positive"/>
    <n v="1"/>
    <n v="1"/>
    <x v="5"/>
    <n v="1"/>
    <x v="1"/>
    <n v="3"/>
    <x v="0"/>
    <s v="overt"/>
    <n v="0"/>
    <n v="0"/>
    <s v="REL"/>
    <s v="subordinate"/>
    <n v="0"/>
    <n v="0"/>
    <s v="n/a"/>
    <s v="n/a"/>
    <n v="1"/>
    <x v="6"/>
    <s v="subordinate"/>
    <m/>
    <s v="ss"/>
    <s v="ds"/>
    <s v="topic-drop"/>
    <s v="contains_new"/>
    <m/>
    <m/>
    <n v="1"/>
    <s v="non-LVC"/>
    <s v="Yes"/>
    <n v="43"/>
    <s v="main"/>
    <n v="1"/>
    <n v="3"/>
    <x v="1"/>
  </r>
  <r>
    <s v="Heike 2.157"/>
    <s v="敢へて罪科の沙汰はなかりけり aete tsumikado no sata wa nakarikeri"/>
    <s v="and he was pronounced guiltless."/>
    <s v="なかりけり"/>
    <s v="indicative"/>
    <s v="aux/modal"/>
    <s v="verb"/>
    <s v="intransitive"/>
    <s v="active"/>
    <s v="negative"/>
    <n v="1"/>
    <n v="1"/>
    <x v="0"/>
    <n v="1"/>
    <x v="0"/>
    <n v="3"/>
    <x v="0"/>
    <s v="n/a"/>
    <n v="0"/>
    <n v="0"/>
    <s v="n/a"/>
    <s v="main"/>
    <n v="0"/>
    <n v="0"/>
    <s v="n/a"/>
    <s v="n/a"/>
    <n v="0"/>
    <x v="8"/>
    <s v="subordinate"/>
    <m/>
    <s v="ds"/>
    <n v="0"/>
    <s v="topic-drop"/>
    <s v="contains_new"/>
    <m/>
    <m/>
    <n v="1"/>
    <s v="non-LVC"/>
    <s v="No"/>
    <n v="43"/>
    <m/>
    <n v="1"/>
    <m/>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
  <r>
    <s v="Heike 2.1"/>
    <s v="忠盛朝臣未だ備前守たりし時 (Tadamori ason imada Bizen no kami tarishi toki)"/>
    <s v="Now Tadamori, while holding the office of Bizen no Kami,"/>
    <s v="たりし"/>
    <s v="indicative"/>
    <s v="stative"/>
    <s v="copula"/>
    <x v="0"/>
    <s v="active"/>
    <s v="positive"/>
    <n v="1"/>
    <n v="1"/>
    <s v="SUB"/>
    <n v="0"/>
    <s v="overt"/>
    <n v="3"/>
    <s v="n/a"/>
    <s v="n/a"/>
    <n v="0"/>
    <n v="1"/>
    <s v="REL"/>
    <s v="relative"/>
    <n v="0"/>
    <x v="0"/>
    <s v="n/a"/>
    <s v="n/a"/>
    <n v="0"/>
    <x v="0"/>
    <x v="0"/>
    <m/>
    <s v="new"/>
    <x v="0"/>
    <s v="topic-introduced"/>
    <s v="contains_new"/>
    <m/>
    <m/>
    <n v="1"/>
    <s v="non-LVC"/>
    <s v="Yes"/>
    <n v="1"/>
    <s v="te"/>
    <n v="0"/>
    <n v="1"/>
    <x v="0"/>
    <x v="0"/>
    <s v="overt"/>
    <x v="0"/>
    <n v="0"/>
  </r>
  <r>
    <s v="Heike 2.2"/>
    <s v="鳥羽院の御願得長寿院を造進して (Toba-in no ogan Tokuchōju-in o zōshin shite)"/>
    <s v="by the request of the retired Emperor Toba,"/>
    <s v="造進して"/>
    <s v="indicative"/>
    <s v="other"/>
    <s v="verb"/>
    <x v="1"/>
    <s v="active"/>
    <s v="positive"/>
    <n v="1"/>
    <n v="1"/>
    <s v="OBJ"/>
    <n v="1"/>
    <s v="zero_recoverable"/>
    <n v="3"/>
    <s v="overt"/>
    <s v="n/a"/>
    <n v="0"/>
    <n v="0"/>
    <s v="n/a"/>
    <s v="te"/>
    <n v="0"/>
    <x v="0"/>
    <s v="obj"/>
    <s v="nominal_prefix"/>
    <n v="1"/>
    <x v="1"/>
    <x v="1"/>
    <s v="te_medial"/>
    <s v="ss"/>
    <x v="0"/>
    <s v="topic-drop"/>
    <s v="contains_new"/>
    <s v="stranded subject Tadamori"/>
    <m/>
    <n v="1"/>
    <s v="non-LVC"/>
    <s v="Yes"/>
    <n v="1"/>
    <s v="te"/>
    <n v="1"/>
    <n v="2"/>
    <x v="1"/>
    <x v="0"/>
    <s v="overt"/>
    <x v="1"/>
    <n v="0"/>
  </r>
  <r>
    <s v="Heike 2.3"/>
    <s v="三十三間の御堂を建て (sanjūsangen no midō o tatete)"/>
    <s v=" had built the temple Toku-cho-juin and the Sa-ju-san-gen-do, or hall 33 ken long,"/>
    <s v="建て"/>
    <s v="indicative"/>
    <s v="other"/>
    <s v="verb"/>
    <x v="1"/>
    <s v="active"/>
    <s v="positive"/>
    <n v="1"/>
    <n v="1"/>
    <s v="OBJ"/>
    <n v="0"/>
    <s v="zero_recoverable"/>
    <n v="3"/>
    <s v="overt"/>
    <s v="n/a"/>
    <n v="0"/>
    <n v="0"/>
    <s v="n/a"/>
    <s v="te"/>
    <n v="0"/>
    <x v="0"/>
    <s v="obj"/>
    <s v="nominal_prefix"/>
    <n v="1"/>
    <x v="1"/>
    <x v="2"/>
    <s v="te_medial"/>
    <s v="ss"/>
    <x v="0"/>
    <s v="topic-drop"/>
    <s v="contains_new"/>
    <m/>
    <m/>
    <n v="1"/>
    <s v="non-LVC"/>
    <s v="Yes"/>
    <n v="1"/>
    <s v="relative"/>
    <n v="1"/>
    <m/>
    <x v="1"/>
    <x v="1"/>
    <s v="overt"/>
    <x v="1"/>
    <n v="0"/>
  </r>
  <r>
    <s v="Heike 2.4"/>
    <s v="一千一体の御仏を据ゑ奉らる (issen ittai no mihotoke o sue-tatematsuraru)"/>
    <s v="within which were one thousand and one Buddhas;"/>
    <s v="据ゑ奉らる"/>
    <s v="indicative"/>
    <s v="action"/>
    <s v="verb"/>
    <x v="1"/>
    <s v="active"/>
    <s v="positive"/>
    <n v="1"/>
    <n v="1"/>
    <s v="OBJ"/>
    <n v="0"/>
    <s v="zero_exalt"/>
    <n v="3"/>
    <s v="overt"/>
    <s v="n/a"/>
    <n v="0"/>
    <n v="1"/>
    <s v="REL"/>
    <s v="relative"/>
    <n v="1"/>
    <x v="1"/>
    <s v="sub"/>
    <s v="honorific_aux"/>
    <n v="1"/>
    <x v="2"/>
    <x v="2"/>
    <m/>
    <s v="ss"/>
    <x v="1"/>
    <s v="topic-drop"/>
    <s v="contains_new"/>
    <s v="complex verbal form"/>
    <m/>
    <n v="1"/>
    <s v="non-LVC"/>
    <s v="Yes"/>
    <n v="1"/>
    <s v="main"/>
    <n v="0"/>
    <n v="3"/>
    <x v="1"/>
    <x v="2"/>
    <s v="n/a"/>
    <x v="1"/>
    <n v="0"/>
  </r>
  <r>
    <s v="Heike 2.5"/>
    <s v="供養は天承元年三月十三日なり (kuyō wa Tenshō gannen sangatsu jūsan-nichi nari)"/>
    <s v="its first festival being on the thirteenth day of the third month of the first year of Tensho."/>
    <s v="なり"/>
    <s v="indicative"/>
    <s v="stative"/>
    <s v="copula"/>
    <x v="0"/>
    <s v="active"/>
    <s v="positive"/>
    <n v="1"/>
    <n v="1"/>
    <s v="SUB"/>
    <n v="0"/>
    <s v="overt"/>
    <n v="3"/>
    <s v="n/a"/>
    <s v="n/a"/>
    <n v="0"/>
    <n v="0"/>
    <s v="n/a"/>
    <s v="main"/>
    <n v="0"/>
    <x v="0"/>
    <s v="n/a"/>
    <s v="n/a"/>
    <n v="0"/>
    <x v="2"/>
    <x v="1"/>
    <m/>
    <s v="ds"/>
    <x v="1"/>
    <s v="topic-introduced"/>
    <s v="contains_new"/>
    <m/>
    <m/>
    <n v="1"/>
    <s v="non-LVC"/>
    <s v="Yes"/>
    <n v="1"/>
    <s v="subordinate"/>
    <n v="1"/>
    <n v="1"/>
    <x v="1"/>
    <x v="1"/>
    <s v="overt"/>
    <x v="0"/>
    <n v="0"/>
  </r>
  <r>
    <s v="Heike 2.6"/>
    <s v="勧賞には欠国を賜ふべき由 (kanshō ni wa kakukuni o tamau beki yoshi)"/>
    <s v="As a reward he was to be granted a fief,"/>
    <s v="賜ふべき"/>
    <s v="deontic"/>
    <s v="action"/>
    <s v="verb"/>
    <x v="1"/>
    <s v="active"/>
    <s v="positive"/>
    <n v="1"/>
    <n v="1"/>
    <s v="OBJ"/>
    <n v="1"/>
    <s v="zero_exalt"/>
    <n v="3"/>
    <s v="overt"/>
    <s v="n/a"/>
    <n v="0"/>
    <n v="1"/>
    <s v="n/a"/>
    <s v="subordinate"/>
    <n v="0"/>
    <x v="1"/>
    <s v="sub"/>
    <s v="lexical_honorific_verb"/>
    <n v="0"/>
    <x v="3"/>
    <x v="3"/>
    <m/>
    <s v="ds"/>
    <x v="1"/>
    <s v="topic-shift"/>
    <s v="contains_new"/>
    <m/>
    <m/>
    <n v="1"/>
    <s v="non-LVC"/>
    <s v="Yes"/>
    <n v="2"/>
    <m/>
    <n v="1"/>
    <m/>
    <x v="0"/>
    <x v="1"/>
    <s v="not_applicable"/>
    <x v="1"/>
    <n v="0"/>
  </r>
  <r>
    <s v="Heike 2.7"/>
    <s v="仰せ下されける (ōse-kudasa rekeru)"/>
    <s v="he was honoured by receiving the territory of the province of Tamba,"/>
    <s v="仰せ下されける"/>
    <s v="indicative"/>
    <s v="action"/>
    <s v="verb(complex)"/>
    <x v="0"/>
    <s v="passive"/>
    <s v="positive"/>
    <n v="1"/>
    <n v="0"/>
    <s v="n/a"/>
    <n v="0"/>
    <s v="zero_exalt"/>
    <n v="3"/>
    <s v="not_applicable"/>
    <s v="not_applicable"/>
    <n v="1"/>
    <n v="0"/>
    <s v="REL"/>
    <s v="relative"/>
    <n v="0"/>
    <x v="1"/>
    <s v="io"/>
    <s v="lexical honorific+honorific aux"/>
    <n v="0"/>
    <x v="2"/>
    <x v="4"/>
    <m/>
    <s v="ds"/>
    <x v="0"/>
    <s v="topic-drop"/>
    <s v="no_overt_NP"/>
    <m/>
    <m/>
    <n v="0"/>
    <s v="non-LVC"/>
    <s v="Yes"/>
    <n v="2"/>
    <m/>
    <n v="0"/>
    <m/>
    <x v="1"/>
    <x v="2"/>
    <s v="n/a"/>
    <x v="1"/>
    <n v="0"/>
  </r>
  <r>
    <s v="Heike 2.8"/>
    <s v="折節但馬国の空きたりけるをぞ (orifushi Tamba no kuni no aki tarikeru o zo)"/>
    <s v="which then happened to be unappropriated."/>
    <s v="空きたりける"/>
    <s v="indicative"/>
    <s v="stative"/>
    <s v="verb"/>
    <x v="0"/>
    <s v="resultative"/>
    <s v="positive"/>
    <n v="1"/>
    <n v="1"/>
    <s v="SUB"/>
    <n v="1"/>
    <s v="overt"/>
    <n v="3"/>
    <s v="n/a"/>
    <s v="n/a"/>
    <n v="0"/>
    <n v="0"/>
    <s v="OBJ"/>
    <s v="nominalised"/>
    <n v="0"/>
    <x v="0"/>
    <s v="n/a"/>
    <s v="n/a"/>
    <n v="0"/>
    <x v="2"/>
    <x v="1"/>
    <m/>
    <s v="ss"/>
    <x v="1"/>
    <s v="topic-drop"/>
    <s v="contains_new"/>
    <s v="internally headed"/>
    <m/>
    <n v="1"/>
    <s v="non-LVC"/>
    <s v="Yes"/>
    <n v="2"/>
    <m/>
    <n v="0"/>
    <n v="2"/>
    <x v="1"/>
    <x v="1"/>
    <s v="zero_recoverable"/>
    <x v="0"/>
    <n v="0"/>
  </r>
  <r>
    <s v="Heike 2.9"/>
    <s v="賜はりける (tamawari keru)"/>
    <s v="As a reward he was honoured by receiving the territory of the province of Tamba, which then happened to be unappropriated."/>
    <s v="賜はりける"/>
    <s v="indicative"/>
    <s v="action"/>
    <s v="verb"/>
    <x v="1"/>
    <s v="active"/>
    <s v="positive"/>
    <n v="1"/>
    <n v="1"/>
    <s v="OBJ"/>
    <n v="0"/>
    <s v="zero_exalt"/>
    <n v="3"/>
    <s v="zero_recoverable"/>
    <s v="zero_recoverable"/>
    <n v="0"/>
    <n v="0"/>
    <s v="n/a"/>
    <s v="main"/>
    <n v="0"/>
    <x v="1"/>
    <s v="sub"/>
    <s v="lexical_humble_verb"/>
    <n v="0"/>
    <x v="2"/>
    <x v="5"/>
    <m/>
    <s v="ds"/>
    <x v="1"/>
    <s v="topic-drop"/>
    <s v="no_overt_NP"/>
    <m/>
    <m/>
    <n v="1"/>
    <s v="non-LVC"/>
    <s v="Yes"/>
    <n v="2"/>
    <m/>
    <n v="1"/>
    <m/>
    <x v="1"/>
    <x v="2"/>
    <s v="overt"/>
    <x v="1"/>
    <n v="0"/>
  </r>
  <r>
    <s v="Heike 2.10"/>
    <s v="上皇御感のあまりに内の昇殿を許さる (jōkō go-kan no amari ni uchi no shōden o yurusaru)"/>
    <s v="Moreover the Emperor of his bounty graciously permitted him to attend the Court;"/>
    <s v="許さる"/>
    <s v="indicative"/>
    <s v="action"/>
    <s v="verb"/>
    <x v="1"/>
    <s v="active"/>
    <s v="positive"/>
    <n v="1"/>
    <n v="2"/>
    <s v="S+O"/>
    <n v="1"/>
    <s v="overt"/>
    <n v="3"/>
    <s v="overt"/>
    <s v="zero_recoverable"/>
    <n v="1"/>
    <n v="0"/>
    <s v="REL"/>
    <s v="relative"/>
    <n v="1"/>
    <x v="0"/>
    <s v="sub"/>
    <s v="honorific_aux"/>
    <n v="1"/>
    <x v="2"/>
    <x v="3"/>
    <m/>
    <s v="ds"/>
    <x v="1"/>
    <s v="topic-drop"/>
    <s v="contains_new"/>
    <s v="it's unlcear whether -re- in -yurusareru is passive or honorific"/>
    <m/>
    <n v="2"/>
    <s v="non-LVC"/>
    <s v="Yes"/>
    <n v="3"/>
    <s v="main"/>
    <n v="0"/>
    <n v="1"/>
    <x v="1"/>
    <x v="2"/>
    <s v="overt"/>
    <x v="1"/>
    <n v="0"/>
  </r>
  <r>
    <s v="Heike 2.11"/>
    <s v="忠盛三十六にて初めて昇殿す (Tadamori sanjūroku nite hajimete shōden su)"/>
    <s v="which Tadamori did for the first time at the age of thirty six."/>
    <s v="昇殿す"/>
    <s v="indicative"/>
    <s v="motion"/>
    <s v="LVC"/>
    <x v="0"/>
    <s v="active"/>
    <s v="positive"/>
    <n v="1"/>
    <n v="1"/>
    <s v="SUB"/>
    <n v="2"/>
    <s v="overt"/>
    <n v="3"/>
    <s v="overt"/>
    <s v="n/a"/>
    <n v="0"/>
    <n v="0"/>
    <s v="n/a"/>
    <s v="main"/>
    <n v="0"/>
    <x v="0"/>
    <s v="n/a"/>
    <s v="n/a"/>
    <n v="0"/>
    <x v="2"/>
    <x v="1"/>
    <m/>
    <s v="ds"/>
    <x v="1"/>
    <s v="topic-continued"/>
    <s v="contains_new"/>
    <m/>
    <m/>
    <n v="1"/>
    <s v="LVC"/>
    <s v="Yes"/>
    <n v="3"/>
    <s v="inf"/>
    <n v="1"/>
    <n v="1"/>
    <x v="0"/>
    <x v="2"/>
    <s v="overt"/>
    <x v="1"/>
    <n v="0"/>
  </r>
  <r>
    <s v="Heike 2.12"/>
    <s v="雲の上人これを嫉み憤り (kumo no uebito kore o sonemi ikidori)"/>
    <s v="the higher Courtiers were furious with jealousy"/>
    <s v="嫉み憤り"/>
    <s v="indicative"/>
    <s v="psych-state"/>
    <s v="verb(compound)"/>
    <x v="1"/>
    <s v="active"/>
    <s v="positive"/>
    <n v="1"/>
    <n v="2"/>
    <s v="S+O"/>
    <n v="0"/>
    <s v="overt"/>
    <n v="3"/>
    <s v="overt"/>
    <s v="n/a"/>
    <n v="0"/>
    <n v="0"/>
    <s v="n/a"/>
    <s v="inf"/>
    <n v="0"/>
    <x v="0"/>
    <s v="n/a"/>
    <s v="n/a"/>
    <n v="0"/>
    <x v="2"/>
    <x v="3"/>
    <m/>
    <s v="ds"/>
    <x v="0"/>
    <s v="topic-introduced"/>
    <s v="contains_new"/>
    <m/>
    <m/>
    <n v="2"/>
    <s v="non-LVC"/>
    <s v="Yes"/>
    <n v="4"/>
    <s v="complement"/>
    <n v="1"/>
    <n v="2"/>
    <x v="1"/>
    <x v="0"/>
    <s v="overt"/>
    <x v="0"/>
    <n v="0"/>
  </r>
  <r>
    <s v="Heike 2.13"/>
    <s v="同じき年の十一月二十三日五節豊の明の節会の夜 (onajiki toshi no jūichigatsu nijūsannichi gosechi Toyo-no-akari no setchie no yo) 忠盛を闇討にせん (Tadamori o yamiuchi ni sen "/>
    <s v="to assassinate him on the evening of the festival of Go-Sechi Toyo-no-akari-no-setchie, on the 23rd day of the eleventh month of the same year."/>
    <s v="闇討にせん"/>
    <s v="dynamic"/>
    <s v="other"/>
    <s v="LVC"/>
    <x v="1"/>
    <s v="active"/>
    <s v="positive"/>
    <n v="1"/>
    <n v="1"/>
    <s v="OBJ"/>
    <n v="1"/>
    <s v="zero_recoverable"/>
    <n v="3"/>
    <s v="overt"/>
    <s v="n/a"/>
    <n v="0"/>
    <n v="0"/>
    <s v="n/a"/>
    <s v="complement"/>
    <n v="0"/>
    <x v="0"/>
    <s v="n/a"/>
    <s v="n/a"/>
    <n v="0"/>
    <x v="4"/>
    <x v="6"/>
    <m/>
    <s v="ss"/>
    <x v="1"/>
    <s v="topic-continued"/>
    <s v="contains_new"/>
    <m/>
    <m/>
    <n v="1"/>
    <s v="LVC"/>
    <s v="Yes"/>
    <n v="4"/>
    <m/>
    <n v="1"/>
    <n v="3"/>
    <x v="1"/>
    <x v="2"/>
    <s v="n/a"/>
    <x v="1"/>
    <n v="0"/>
  </r>
  <r>
    <s v="Heike 2.14"/>
    <s v="とぞ議せられける (to zo giserarikeru)"/>
    <s v="they plotted"/>
    <s v="議せられける"/>
    <s v="indicative"/>
    <s v="communication"/>
    <s v="LVC"/>
    <x v="0"/>
    <s v="passive"/>
    <s v="positive"/>
    <n v="1"/>
    <n v="1"/>
    <s v="S (Speech)"/>
    <n v="0"/>
    <s v="overt"/>
    <s v="n/a"/>
    <s v="n/a"/>
    <s v="n/a"/>
    <n v="0"/>
    <n v="0"/>
    <s v="n/a"/>
    <s v="main"/>
    <n v="0"/>
    <x v="0"/>
    <s v="n/a"/>
    <s v="n/a"/>
    <n v="0"/>
    <x v="2"/>
    <x v="7"/>
    <m/>
    <s v="ds"/>
    <x v="1"/>
    <s v="topic-drop"/>
    <s v="all given"/>
    <m/>
    <m/>
    <n v="1"/>
    <s v="LVC"/>
    <s v="Yes"/>
    <n v="4"/>
    <s v="te"/>
    <n v="1"/>
    <n v="1"/>
    <x v="1"/>
    <x v="2"/>
    <s v="overt"/>
    <x v="1"/>
    <n v="0"/>
  </r>
  <r>
    <s v="Heike 2.15"/>
    <s v="忠盛この由を伝へ聞きて (Tadamori kono yoshi o tsutae kikite)"/>
    <s v="Tadamori, on hearing of this"/>
    <s v="伝へ聞きて"/>
    <s v="indicative"/>
    <s v="perception"/>
    <s v="verb(compound)"/>
    <x v="1"/>
    <s v="active"/>
    <s v="positive"/>
    <n v="1"/>
    <n v="2"/>
    <s v="OBJ"/>
    <n v="0"/>
    <s v="overt"/>
    <n v="3"/>
    <s v="overt"/>
    <s v="n/a"/>
    <n v="0"/>
    <n v="0"/>
    <s v="n/a"/>
    <s v="te"/>
    <n v="0"/>
    <x v="0"/>
    <s v="n/a"/>
    <s v="n/a"/>
    <n v="0"/>
    <x v="1"/>
    <x v="3"/>
    <s v="te_initial"/>
    <s v="ds"/>
    <x v="1"/>
    <s v="topic-shift"/>
    <s v="all given"/>
    <m/>
    <m/>
    <n v="2"/>
    <s v="non-LVC"/>
    <s v="Yes"/>
    <n v="5"/>
    <m/>
    <n v="1"/>
    <n v="2"/>
    <x v="0"/>
    <x v="2"/>
    <s v="n/a"/>
    <x v="1"/>
    <n v="0"/>
  </r>
  <r>
    <s v="Heike 2.16"/>
    <s v="我右弼の身にあらず (ware ubitsu no mi ni a-razu)"/>
    <s v="I am not a civil official"/>
    <s v="あらず"/>
    <s v="indicative"/>
    <s v="other"/>
    <s v="copula"/>
    <x v="0"/>
    <s v="active"/>
    <s v="negative"/>
    <n v="1"/>
    <n v="1"/>
    <s v="SUB"/>
    <n v="0"/>
    <s v="overt"/>
    <n v="1"/>
    <s v="n/a"/>
    <s v="n/a"/>
    <n v="0"/>
    <n v="0"/>
    <s v="n/a"/>
    <s v="subordinate"/>
    <n v="0"/>
    <x v="0"/>
    <s v="n/a"/>
    <s v="n/a"/>
    <n v="0"/>
    <x v="1"/>
    <x v="2"/>
    <m/>
    <s v="ds"/>
    <x v="0"/>
    <s v="topic-shift"/>
    <s v="contains_new"/>
    <m/>
    <m/>
    <n v="1"/>
    <s v="non-LVC"/>
    <s v="Yes"/>
    <n v="5"/>
    <s v="te"/>
    <n v="1"/>
    <n v="3"/>
    <x v="1"/>
    <x v="0"/>
    <s v="n/a"/>
    <x v="0"/>
    <n v="0"/>
  </r>
  <r>
    <s v="Heike 2.17"/>
    <s v="武勇の家に生れて (buyū no ie ni umarete)"/>
    <s v="being born of a line of warriors"/>
    <s v="生れて"/>
    <s v="indicative"/>
    <s v="other"/>
    <s v="verb"/>
    <x v="0"/>
    <s v="active"/>
    <s v="positive"/>
    <n v="1"/>
    <n v="1"/>
    <s v="SUB"/>
    <n v="1"/>
    <s v="zero_recoverable"/>
    <n v="1"/>
    <s v="n/a"/>
    <s v="n/a"/>
    <n v="0"/>
    <n v="0"/>
    <s v="n/a"/>
    <s v="te"/>
    <n v="0"/>
    <x v="0"/>
    <s v="n/a"/>
    <s v="n/a"/>
    <n v="0"/>
    <x v="1"/>
    <x v="4"/>
    <s v="te_medial"/>
    <s v="ss"/>
    <x v="0"/>
    <s v="topic-drop"/>
    <s v="contains_new"/>
    <m/>
    <m/>
    <n v="1"/>
    <s v="non-LVC"/>
    <s v="Yes"/>
    <n v="5"/>
    <s v="relative"/>
    <n v="1"/>
    <m/>
    <x v="1"/>
    <x v="0"/>
    <s v="n/a"/>
    <x v="1"/>
    <n v="0"/>
  </r>
  <r>
    <s v="Heike 2.18"/>
    <s v="今不慮の恥に遇はん (ima furyo no haji ni awan)"/>
    <s v="for myself and my house at this unexpected shame"/>
    <s v="遇はん"/>
    <s v="epistemic"/>
    <s v="other"/>
    <s v="verb"/>
    <x v="0"/>
    <s v="active"/>
    <s v="positive"/>
    <n v="1"/>
    <n v="1"/>
    <s v="IO"/>
    <n v="1"/>
    <s v="zero_recoverable"/>
    <s v="n/a"/>
    <s v="n/a"/>
    <s v="overt"/>
    <n v="0"/>
    <n v="1"/>
    <s v="n/a"/>
    <s v="relative"/>
    <n v="0"/>
    <x v="0"/>
    <s v="n/a"/>
    <s v="n/a"/>
    <n v="0"/>
    <x v="2"/>
    <x v="2"/>
    <m/>
    <s v="ss"/>
    <x v="1"/>
    <s v="topic-drop"/>
    <s v="contains_new"/>
    <m/>
    <m/>
    <n v="1"/>
    <s v="non-LVC"/>
    <s v="Yes"/>
    <n v="5"/>
    <s v="main"/>
    <n v="0"/>
    <n v="4"/>
    <x v="1"/>
    <x v="2"/>
    <s v="n/a"/>
    <x v="1"/>
    <n v="0"/>
  </r>
  <r>
    <s v="Heike 2.19"/>
    <s v="事家の為身の為心憂かるべし (koto ie no tame mi no tame kokoroukarubeshi)"/>
    <s v="I am troubled in my heart"/>
    <s v="憂かるべし"/>
    <s v="epistemic"/>
    <s v="psych-state"/>
    <s v="adjectival predicate"/>
    <x v="0"/>
    <s v="active"/>
    <s v="positive"/>
    <n v="1"/>
    <n v="1"/>
    <s v="SUB"/>
    <n v="1"/>
    <s v="overt"/>
    <n v="3"/>
    <s v="n/a"/>
    <s v="n/a"/>
    <n v="0"/>
    <n v="0"/>
    <s v="n/a"/>
    <s v="main"/>
    <n v="0"/>
    <x v="0"/>
    <s v="n/a"/>
    <s v="n/a"/>
    <n v="0"/>
    <x v="2"/>
    <x v="1"/>
    <m/>
    <s v="ds"/>
    <x v="2"/>
    <s v="topic-drop"/>
    <s v="contains_new"/>
    <m/>
    <m/>
    <n v="1"/>
    <s v="non-LVC"/>
    <s v="Yes"/>
    <n v="5"/>
    <m/>
    <n v="1"/>
    <n v="1"/>
    <x v="1"/>
    <x v="3"/>
    <m/>
    <x v="1"/>
    <n v="0"/>
  </r>
  <r>
    <s v="Heike 2.20"/>
    <s v="詮ずるところ (senzuru tokoro)"/>
    <s v="finally, as for what is to be done"/>
    <s v="詮ずる"/>
    <s v="indicative"/>
    <s v="other"/>
    <m/>
    <x v="2"/>
    <m/>
    <m/>
    <m/>
    <m/>
    <m/>
    <m/>
    <m/>
    <m/>
    <m/>
    <m/>
    <m/>
    <m/>
    <m/>
    <m/>
    <m/>
    <x v="2"/>
    <m/>
    <m/>
    <m/>
    <x v="5"/>
    <x v="3"/>
    <m/>
    <m/>
    <x v="0"/>
    <m/>
    <m/>
    <m/>
    <m/>
    <m/>
    <s v="non-LVC"/>
    <s v="Yes"/>
    <n v="6"/>
    <m/>
    <n v="1"/>
    <n v="2"/>
    <x v="1"/>
    <x v="0"/>
    <s v="overt"/>
    <x v="1"/>
    <n v="0"/>
  </r>
  <r>
    <s v="Heike 2.21"/>
    <s v="身を全うして (mi o mattō shite)"/>
    <s v="with all your might"/>
    <s v="全うして"/>
    <s v="indicative"/>
    <s v="other"/>
    <s v="LVC"/>
    <x v="1"/>
    <s v="active"/>
    <s v="positive"/>
    <n v="1"/>
    <n v="1"/>
    <s v="OBJ"/>
    <n v="0"/>
    <s v="zero_recoverable"/>
    <n v="1"/>
    <s v="overt"/>
    <s v="n/a"/>
    <n v="0"/>
    <n v="0"/>
    <s v="n/a"/>
    <s v="te"/>
    <n v="0"/>
    <x v="0"/>
    <s v="n/a"/>
    <s v="n/a"/>
    <n v="0"/>
    <x v="1"/>
    <x v="8"/>
    <s v="te_medial"/>
    <s v="ss"/>
    <x v="0"/>
    <s v="topic-drop"/>
    <s v="contains_new"/>
    <m/>
    <m/>
    <n v="1"/>
    <s v="LVC"/>
    <s v="Yes"/>
    <n v="6"/>
    <s v="complement"/>
    <n v="1"/>
    <n v="3"/>
    <x v="1"/>
    <x v="1"/>
    <s v="n/a"/>
    <x v="1"/>
    <n v="0"/>
  </r>
  <r>
    <s v="Heike 2.22"/>
    <s v="君に仕へ奉れ"/>
    <s v=" kimi ni tsukae tatematsure"/>
    <s v="仕へ奉れ"/>
    <s v="imperative"/>
    <s v="action"/>
    <s v="verb"/>
    <x v="0"/>
    <s v="active"/>
    <s v="positive"/>
    <n v="1"/>
    <n v="1"/>
    <s v="IO"/>
    <n v="0"/>
    <s v="zero_exalt"/>
    <n v="1"/>
    <s v="n/a"/>
    <s v="overt"/>
    <n v="0"/>
    <n v="0"/>
    <s v="n/a"/>
    <s v="complement"/>
    <n v="1"/>
    <x v="1"/>
    <s v="sub"/>
    <s v="lexical_humble_verb"/>
    <n v="0"/>
    <x v="2"/>
    <x v="2"/>
    <m/>
    <s v="ss"/>
    <x v="1"/>
    <s v="topic-drop"/>
    <s v="contains_new"/>
    <m/>
    <m/>
    <n v="1"/>
    <s v="non-LVC"/>
    <s v="Yes"/>
    <n v="6"/>
    <s v="main"/>
    <n v="1"/>
    <n v="4"/>
    <x v="1"/>
    <x v="2"/>
    <s v="n/a"/>
    <x v="1"/>
    <n v="0"/>
  </r>
  <r>
    <s v="Heike 2.23"/>
    <s v="といふ本文あり (to iu honbun ari)"/>
    <s v="so goes the original passage"/>
    <s v="あり"/>
    <s v="indicative"/>
    <s v="stative"/>
    <s v="existential verb"/>
    <x v="0"/>
    <s v="active"/>
    <s v="positive"/>
    <n v="1"/>
    <n v="1"/>
    <s v="SUB"/>
    <n v="1"/>
    <s v="overt"/>
    <n v="3"/>
    <s v="n/a"/>
    <s v="n/a"/>
    <n v="0"/>
    <n v="0"/>
    <s v="n/a"/>
    <s v="main"/>
    <n v="0"/>
    <x v="0"/>
    <s v="n/a"/>
    <s v="n/a"/>
    <n v="0"/>
    <x v="2"/>
    <x v="7"/>
    <m/>
    <s v="ds"/>
    <x v="0"/>
    <s v="topic-drop"/>
    <s v="contains_new"/>
    <s v="frame predicate"/>
    <m/>
    <n v="1"/>
    <s v="non-LVC"/>
    <s v="Yes"/>
    <n v="6"/>
    <s v="inf"/>
    <n v="1"/>
    <n v="1"/>
    <x v="1"/>
    <x v="0"/>
    <s v="overt"/>
    <x v="0"/>
    <n v="0"/>
  </r>
  <r>
    <s v="Heike 2.24"/>
    <s v="参内の初めより大なる鞘巻を用意し (sannai no hajime yori ō-naru sayamaki o yōi shi)"/>
    <s v="Before entering the Court he provided himself with a long dirk"/>
    <s v="用意し"/>
    <s v="indicative"/>
    <s v="other"/>
    <s v="LVC"/>
    <x v="1"/>
    <s v="active"/>
    <s v="positive"/>
    <n v="1"/>
    <n v="1"/>
    <s v="OBJ"/>
    <n v="1"/>
    <s v="zero_recoverable"/>
    <n v="3"/>
    <s v="overt"/>
    <s v="n/a"/>
    <n v="0"/>
    <n v="0"/>
    <s v="n/a"/>
    <s v="inf"/>
    <n v="0"/>
    <x v="0"/>
    <s v="n/a"/>
    <s v="n/a"/>
    <n v="0"/>
    <x v="2"/>
    <x v="3"/>
    <m/>
    <s v="ss"/>
    <x v="0"/>
    <s v="topic-drop"/>
    <s v="contains_new"/>
    <m/>
    <m/>
    <n v="1"/>
    <s v="LVC"/>
    <s v="Yes"/>
    <n v="7"/>
    <s v="inf"/>
    <n v="1"/>
    <n v="2"/>
    <x v="0"/>
    <x v="0"/>
    <s v="zero_recoverable"/>
    <x v="1"/>
    <n v="1"/>
  </r>
  <r>
    <s v="Heike 2.25"/>
    <s v="束帯の下にしどけなげに差し (sokutai no shita ni shidokenage ni sashi)"/>
    <s v="which he girt on under his long court dress"/>
    <s v="差し"/>
    <s v="indicative"/>
    <s v="other"/>
    <s v="verb"/>
    <x v="1"/>
    <s v="active"/>
    <s v="positive"/>
    <n v="1"/>
    <n v="1"/>
    <s v="IO"/>
    <n v="1"/>
    <s v="zero_recoverable"/>
    <n v="3"/>
    <s v="zero_recoverable"/>
    <s v="overt"/>
    <n v="0"/>
    <n v="0"/>
    <s v="n/a"/>
    <s v="inf"/>
    <n v="0"/>
    <x v="0"/>
    <s v="n/a"/>
    <s v="n/a"/>
    <n v="0"/>
    <x v="2"/>
    <x v="6"/>
    <m/>
    <s v="ss"/>
    <x v="0"/>
    <s v="topic-drop"/>
    <s v="contains_new"/>
    <m/>
    <m/>
    <n v="1"/>
    <s v="non-LVC"/>
    <s v="Yes"/>
    <n v="7"/>
    <s v="te"/>
    <n v="1"/>
    <n v="3"/>
    <x v="1"/>
    <x v="0"/>
    <s v="n/a"/>
    <x v="1"/>
    <n v="0"/>
  </r>
  <r>
    <s v="Heike 2.26"/>
    <s v="火の仄暗き方に向かつて (hi no hokuraki kata ni mukatte)"/>
    <s v="and turning aside to a dimly lit place"/>
    <s v="向かつて"/>
    <s v="indicative"/>
    <s v="other"/>
    <s v="verb"/>
    <x v="0"/>
    <s v="active"/>
    <s v="positive"/>
    <n v="1"/>
    <n v="1"/>
    <s v="IO"/>
    <n v="1"/>
    <s v="zero_recoverable"/>
    <n v="3"/>
    <s v="n/a"/>
    <s v="overt"/>
    <n v="0"/>
    <n v="0"/>
    <s v="n/a"/>
    <s v="te"/>
    <n v="0"/>
    <x v="0"/>
    <s v="n/a"/>
    <s v="n/a"/>
    <n v="0"/>
    <x v="1"/>
    <x v="6"/>
    <s v="te_medial"/>
    <s v="ss"/>
    <x v="0"/>
    <s v="topic-drop"/>
    <s v="contains_new"/>
    <m/>
    <m/>
    <n v="1"/>
    <s v="non-LVC"/>
    <s v="Yes"/>
    <n v="7"/>
    <m/>
    <n v="1"/>
    <n v="4"/>
    <x v="1"/>
    <x v="0"/>
    <s v="overt"/>
    <x v="1"/>
    <n v="0"/>
  </r>
  <r>
    <s v="Heike 2.27"/>
    <s v="やはらこの刀を抜き出でて (yahara kono katana o nuki-idete)"/>
    <s v="slowly drew the blade"/>
    <s v="抜き出でて"/>
    <s v="indicative"/>
    <s v="motion"/>
    <s v="verb(compound)"/>
    <x v="1"/>
    <s v="active"/>
    <s v="positive"/>
    <n v="1"/>
    <n v="1"/>
    <s v="OBJ"/>
    <n v="0"/>
    <s v="zero_recoverable"/>
    <n v="3"/>
    <s v="overt"/>
    <s v="n/a"/>
    <n v="0"/>
    <n v="0"/>
    <s v="n/a"/>
    <s v="te"/>
    <n v="0"/>
    <x v="0"/>
    <s v="n/a"/>
    <s v="n/a"/>
    <n v="0"/>
    <x v="1"/>
    <x v="2"/>
    <s v="te_medial"/>
    <s v="ss"/>
    <x v="0"/>
    <s v="topic-drop"/>
    <s v="all given"/>
    <s v="&quot;kono katana&quot; refers to the &quot;sayamaki&quot;, so all given"/>
    <m/>
    <n v="1"/>
    <s v="non-LVC"/>
    <s v="Yes"/>
    <n v="7"/>
    <m/>
    <n v="1"/>
    <n v="5"/>
    <x v="1"/>
    <x v="1"/>
    <s v="zero_recoverable"/>
    <x v="1"/>
    <n v="1"/>
  </r>
  <r>
    <s v="Heike 2.28"/>
    <s v="鬢に引き当てられたりけるが (kami ni hiki-ate raretarikeru ga)"/>
    <s v="and passed it through the hair of his head"/>
    <s v="引き当てられたりける"/>
    <s v="indicative"/>
    <s v="motion"/>
    <s v="verb"/>
    <x v="1"/>
    <s v="active"/>
    <s v="positive"/>
    <n v="1"/>
    <n v="1"/>
    <s v="IO"/>
    <n v="0"/>
    <s v="zero_exalt"/>
    <n v="3"/>
    <s v="zero_recoverable"/>
    <s v="overt"/>
    <n v="0"/>
    <n v="0"/>
    <s v="n/a"/>
    <s v="subordinate"/>
    <n v="0"/>
    <x v="1"/>
    <s v="sub"/>
    <s v="honorific_aux"/>
    <n v="0"/>
    <x v="6"/>
    <x v="2"/>
    <m/>
    <s v="ss"/>
    <x v="1"/>
    <s v="topic-drop"/>
    <s v="contains_new"/>
    <s v="should the -to part be considered a clausal subject?"/>
    <m/>
    <n v="1"/>
    <s v="non-LVC"/>
    <s v="Yes"/>
    <n v="7"/>
    <m/>
    <n v="1"/>
    <m/>
    <x v="1"/>
    <x v="0"/>
    <s v="n/a"/>
    <x v="1"/>
    <n v="0"/>
  </r>
  <r>
    <s v="Heike 2.29"/>
    <s v="余所よりは氷などのやうにぞ見えたりける (yoso yori wa kōri nado no yō ni zo mieta rikeru)"/>
    <s v="so that it gleamed afar off with an icy sheen"/>
    <s v="見えたりける"/>
    <s v="indicative"/>
    <s v="perception"/>
    <s v="verb"/>
    <x v="0"/>
    <s v="resultative"/>
    <s v="positive"/>
    <n v="1"/>
    <n v="0"/>
    <s v="n/a"/>
    <n v="2"/>
    <s v="zero_recoverable"/>
    <n v="3"/>
    <s v="n/a"/>
    <s v="n/a"/>
    <n v="0"/>
    <n v="0"/>
    <s v="n/a"/>
    <s v="relative"/>
    <n v="0"/>
    <x v="0"/>
    <s v="n/a"/>
    <s v="n/a"/>
    <n v="0"/>
    <x v="2"/>
    <x v="4"/>
    <m/>
    <s v="ds"/>
    <x v="0"/>
    <s v="topic-drop"/>
    <s v="no_overt_NP"/>
    <m/>
    <m/>
    <n v="0"/>
    <s v="non-LVC"/>
    <s v="Yes"/>
    <n v="7"/>
    <m/>
    <n v="0"/>
    <n v="6"/>
    <x v="1"/>
    <x v="0"/>
    <s v="overt"/>
    <x v="1"/>
    <n v="0"/>
  </r>
  <r>
    <s v="Heike 2.30"/>
    <s v="諸人目を澄ましけり (morobito me o sumashikeri)"/>
    <s v="causing all to stare open-eyed"/>
    <s v="澄ましけり"/>
    <s v="indicative"/>
    <s v="other"/>
    <s v="verb"/>
    <x v="1"/>
    <s v="active"/>
    <s v="positive"/>
    <n v="1"/>
    <n v="2"/>
    <s v="O+IO"/>
    <n v="0"/>
    <s v="zero_recoverable"/>
    <n v="3"/>
    <s v="overt"/>
    <s v="overt"/>
    <n v="0"/>
    <n v="0"/>
    <s v="n/a"/>
    <s v="main"/>
    <n v="0"/>
    <x v="0"/>
    <s v="n/a"/>
    <s v="n/a"/>
    <n v="0"/>
    <x v="2"/>
    <x v="1"/>
    <m/>
    <s v="ss"/>
    <x v="1"/>
    <s v="topic-drop"/>
    <s v="contains_new"/>
    <m/>
    <m/>
    <n v="2"/>
    <s v="non-LVC"/>
    <s v="Yes"/>
    <n v="7"/>
    <s v="relative"/>
    <n v="1"/>
    <m/>
    <x v="0"/>
    <x v="2"/>
    <s v="n/a"/>
    <x v="1"/>
    <n v="0"/>
  </r>
  <r>
    <s v="Heike 2.31"/>
    <s v="また忠盛の郎等元は一門たりし( mata Tadamori no rōtō moto wa ichimon tarishi) "/>
    <s v="Moreover a retainer of Tadamori ... "/>
    <s v="たりし"/>
    <s v="indicative"/>
    <s v="other"/>
    <s v="copula"/>
    <x v="0"/>
    <s v="active"/>
    <s v="positive"/>
    <n v="1"/>
    <n v="1"/>
    <s v="SUB"/>
    <n v="1"/>
    <s v="overt"/>
    <n v="3"/>
    <s v="n/a"/>
    <s v="n/a"/>
    <n v="0"/>
    <n v="0"/>
    <s v="REL"/>
    <s v="relative"/>
    <n v="0"/>
    <x v="0"/>
    <s v="n/a"/>
    <s v="n/a"/>
    <n v="0"/>
    <x v="6"/>
    <x v="3"/>
    <m/>
    <s v="ds"/>
    <x v="0"/>
    <s v="topic-introduced"/>
    <s v="contains_new"/>
    <m/>
    <m/>
    <n v="1"/>
    <s v="non-LVC"/>
    <s v="Yes"/>
    <n v="8"/>
    <s v="main"/>
    <n v="0"/>
    <n v="1"/>
    <x v="1"/>
    <x v="2"/>
    <s v="n/a"/>
    <x v="1"/>
    <n v="0"/>
  </r>
  <r>
    <s v="Heike 2.32"/>
    <s v="木工助平貞光が孫新四郎太夫家房が子に左兵衛尉家貞といふ者あり (Moku no suke Sadamitsu ga mago Shinshirō Tayū Iefusa ga ko ni Sahyōe no jō Iesada to iu mono ari)"/>
    <s v="there was one named Sahyoe-no-jo Iesada"/>
    <s v="あり"/>
    <s v="indicative"/>
    <s v="other"/>
    <s v="existential verb"/>
    <x v="0"/>
    <s v="active"/>
    <s v="positive"/>
    <n v="1"/>
    <n v="1"/>
    <s v="SUB"/>
    <n v="2"/>
    <s v="overt"/>
    <n v="3"/>
    <s v="n/a"/>
    <s v="n/a"/>
    <n v="0"/>
    <n v="0"/>
    <s v="n/a"/>
    <s v="main"/>
    <n v="0"/>
    <x v="0"/>
    <s v="n/a"/>
    <s v="n/a"/>
    <n v="0"/>
    <x v="2"/>
    <x v="1"/>
    <m/>
    <s v="ss"/>
    <x v="0"/>
    <s v="topic-introduced"/>
    <s v="contains_new"/>
    <s v="frame predicate"/>
    <m/>
    <n v="1"/>
    <s v="non-LVC"/>
    <s v="Yes"/>
    <n v="8"/>
    <s v="inf"/>
    <n v="1"/>
    <n v="1"/>
    <x v="0"/>
    <x v="0"/>
    <s v="overt"/>
    <x v="0"/>
    <n v="0"/>
  </r>
  <r>
    <s v="Heike 2.33"/>
    <s v="薄青の狩衣の下に萌黄威の腹巻を着 (usuao no kariginu no shita ni moegi-odoshi no haramaki o ki)"/>
    <s v="wearing a body armour laced with bright green under a light green &quot;kariginu&quot;"/>
    <s v="着"/>
    <s v="indicative"/>
    <s v="other"/>
    <s v="verb"/>
    <x v="1"/>
    <s v="active"/>
    <s v="positive"/>
    <n v="1"/>
    <n v="1"/>
    <s v="OBJ"/>
    <n v="1"/>
    <s v="zero_recoverable"/>
    <n v="3"/>
    <s v="overt"/>
    <s v="n/a"/>
    <n v="0"/>
    <n v="0"/>
    <s v="n/a"/>
    <s v="inf"/>
    <n v="0"/>
    <x v="0"/>
    <s v="n/a"/>
    <s v="n/a"/>
    <n v="0"/>
    <x v="2"/>
    <x v="3"/>
    <m/>
    <s v="ss"/>
    <x v="0"/>
    <s v="topic-drop"/>
    <s v="contains_new"/>
    <m/>
    <m/>
    <n v="1"/>
    <s v="non-LVC"/>
    <s v="Yes"/>
    <n v="9"/>
    <s v="relative"/>
    <n v="1"/>
    <m/>
    <x v="1"/>
    <x v="0"/>
    <s v="overt"/>
    <x v="1"/>
    <n v="0"/>
  </r>
  <r>
    <s v="Heike 2.34"/>
    <s v="柄弦袋付けたる ezurubukuro tsuketaru "/>
    <s v="with a bowstring bag attached"/>
    <s v="付けたる"/>
    <s v="indicative"/>
    <s v="other"/>
    <s v="verb"/>
    <x v="1"/>
    <s v="active"/>
    <s v="positive"/>
    <n v="1"/>
    <n v="1"/>
    <s v="OBJ"/>
    <n v="0"/>
    <s v="zero_recoverable"/>
    <n v="3"/>
    <s v="overt"/>
    <s v="n/a"/>
    <n v="1"/>
    <n v="0"/>
    <s v="REL"/>
    <s v="relative"/>
    <n v="0"/>
    <x v="0"/>
    <s v="n/a"/>
    <s v="n/a"/>
    <n v="0"/>
    <x v="2"/>
    <x v="6"/>
    <m/>
    <s v="ss"/>
    <x v="0"/>
    <s v="topic-drop"/>
    <s v="contains_new"/>
    <m/>
    <m/>
    <n v="1"/>
    <s v="non-LVC"/>
    <s v="Yes"/>
    <n v="9"/>
    <s v="te"/>
    <n v="0"/>
    <n v="2"/>
    <x v="1"/>
    <x v="0"/>
    <s v="overt"/>
    <x v="1"/>
    <n v="0"/>
  </r>
  <r>
    <s v="Heike 2.35"/>
    <s v="太刀脇挟んで (tachi wakihasande)"/>
    <s v="and carrying under his arm a &quot;tachi&quot; "/>
    <s v="挟んで"/>
    <s v="indicative"/>
    <s v="other"/>
    <s v="verb"/>
    <x v="1"/>
    <s v="active"/>
    <s v="positive"/>
    <n v="1"/>
    <n v="2"/>
    <s v="O+IO"/>
    <n v="0"/>
    <s v="zero_recoverable"/>
    <n v="3"/>
    <s v="overt"/>
    <s v="overt"/>
    <n v="0"/>
    <n v="0"/>
    <s v="n/a"/>
    <s v="te"/>
    <n v="0"/>
    <x v="0"/>
    <s v="n/a"/>
    <s v="n/a"/>
    <n v="0"/>
    <x v="2"/>
    <x v="1"/>
    <s v="te_medial"/>
    <s v="ss"/>
    <x v="0"/>
    <s v="topic-drop"/>
    <s v="contains_new"/>
    <m/>
    <m/>
    <n v="2"/>
    <s v="non-LVC"/>
    <s v="Yes"/>
    <n v="9"/>
    <m/>
    <n v="1"/>
    <n v="3"/>
    <x v="1"/>
    <x v="0"/>
    <s v="n/a"/>
    <x v="1"/>
    <n v="0"/>
  </r>
  <r>
    <s v="Heike 2.36"/>
    <s v="殿上の小庭に畏つてぞ候ひける (tenjō no koniwa ni kashikomatte zo soroikyeru)"/>
    <s v="was waiting in the &quot;koniwa,&quot; the small court by the Seiryoden"/>
    <s v="畏つて候ひける"/>
    <s v="indicative"/>
    <s v="other"/>
    <s v="verb(complex)"/>
    <x v="0"/>
    <s v="active"/>
    <s v="positive"/>
    <n v="1"/>
    <n v="0"/>
    <s v="n/a"/>
    <n v="1"/>
    <s v="zero_recoverable"/>
    <n v="3"/>
    <s v="n/a"/>
    <s v="n/a"/>
    <n v="0"/>
    <n v="0"/>
    <s v="n/a"/>
    <s v="main"/>
    <n v="0"/>
    <x v="1"/>
    <s v="sub"/>
    <s v="lexical_humble_verb"/>
    <n v="0"/>
    <x v="2"/>
    <x v="2"/>
    <m/>
    <s v="ss"/>
    <x v="1"/>
    <s v="topic-drop"/>
    <s v="no_overt_NP"/>
    <m/>
    <m/>
    <n v="0"/>
    <s v="non-LVC"/>
    <s v="Yes"/>
    <n v="9"/>
    <m/>
    <n v="1"/>
    <n v="1"/>
    <x v="1"/>
    <x v="2"/>
    <s v="overt"/>
    <x v="1"/>
    <n v="0"/>
  </r>
  <r>
    <s v="Heike 2.37"/>
    <s v="貫首以下怪しみをなして (kanshu ika ayashimi o nashite)"/>
    <s v="Now the Kurando-no-to and others, thinking it strange,"/>
    <s v="なして"/>
    <s v="indicative"/>
    <s v="other"/>
    <s v="LVC (inf)"/>
    <x v="1"/>
    <s v="active"/>
    <s v="negative"/>
    <n v="1"/>
    <n v="2"/>
    <s v="S+O"/>
    <n v="0"/>
    <s v="overt"/>
    <n v="3"/>
    <s v="overt"/>
    <s v="n/a"/>
    <n v="0"/>
    <n v="0"/>
    <s v="n/a"/>
    <s v="te"/>
    <n v="0"/>
    <x v="0"/>
    <s v="n/a"/>
    <s v="n/a"/>
    <n v="0"/>
    <x v="1"/>
    <x v="3"/>
    <s v="te_initial"/>
    <s v="ds"/>
    <x v="0"/>
    <s v="topic-shift"/>
    <s v="contains_new"/>
    <m/>
    <m/>
    <n v="2"/>
    <s v="LVC"/>
    <s v="Yes"/>
    <n v="10"/>
    <s v="nominalised"/>
    <n v="1"/>
    <m/>
    <x v="1"/>
    <x v="2"/>
    <s v="n/a"/>
    <x v="1"/>
    <n v="0"/>
  </r>
  <r>
    <s v="Heike 2.38"/>
    <s v="空柱より内鈴の綱の辺に布衣の者の候ふ  (sorabashira yori uchisuzu no tsuna no hen ni hoi no mono no soroou)"/>
    <s v="that one wearing unsuitable costume should be within the balustrade of the steps of the Court near the bell-rope of the library, "/>
    <s v="候ふ"/>
    <s v="indicative"/>
    <s v="other"/>
    <s v="verb"/>
    <x v="0"/>
    <s v="active"/>
    <s v="positive"/>
    <n v="1"/>
    <n v="1"/>
    <s v="SUB"/>
    <n v="1"/>
    <s v="overt"/>
    <n v="3"/>
    <s v="n/a"/>
    <s v="n/a"/>
    <n v="0"/>
    <n v="0"/>
    <s v="SUB"/>
    <s v="nominalised"/>
    <n v="1"/>
    <x v="0"/>
    <s v="sub"/>
    <s v="lexical_humble_verb"/>
    <n v="0"/>
    <x v="2"/>
    <x v="2"/>
    <m/>
    <s v="ss"/>
    <x v="0"/>
    <s v="topic-shift"/>
    <s v="contains_new"/>
    <s v="internally headed"/>
    <m/>
    <n v="1"/>
    <s v="non-LVC"/>
    <s v="Yes"/>
    <n v="10"/>
    <m/>
    <n v="0"/>
    <n v="2"/>
    <x v="1"/>
    <x v="2"/>
    <s v="n/a"/>
    <x v="1"/>
    <n v="0"/>
  </r>
  <r>
    <s v="Heike 2.39"/>
    <s v="は何者ぞ  wa nani mono zo"/>
    <s v="and wondering who he was."/>
    <s v="何者ぞ  "/>
    <s v="indicative"/>
    <s v="other"/>
    <s v="copula"/>
    <x v="0"/>
    <s v="active"/>
    <s v="positive"/>
    <n v="1"/>
    <n v="1"/>
    <s v="SUB"/>
    <n v="0"/>
    <s v="overt"/>
    <n v="3"/>
    <s v="n/a"/>
    <s v="n/a"/>
    <n v="0"/>
    <n v="0"/>
    <s v="n/a"/>
    <s v="main"/>
    <n v="0"/>
    <x v="0"/>
    <s v="n/a"/>
    <s v="n/a"/>
    <n v="0"/>
    <x v="2"/>
    <x v="5"/>
    <m/>
    <s v="ss"/>
    <x v="0"/>
    <s v="topic-continued"/>
    <s v="all given"/>
    <m/>
    <m/>
    <n v="1"/>
    <s v="non-LVC"/>
    <s v="Yes"/>
    <n v="10"/>
    <m/>
    <n v="1"/>
    <n v="1"/>
    <x v="1"/>
    <x v="4"/>
    <s v="n/a"/>
    <x v="0"/>
    <n v="0"/>
  </r>
  <r>
    <s v="Heike 2.40"/>
    <s v="狼藉なり (rōzaku nari)"/>
    <s v="&quot;[He is] disorderly&quot;"/>
    <s v="なり"/>
    <s v="indicative"/>
    <s v="stative"/>
    <s v="copula"/>
    <x v="0"/>
    <s v="active"/>
    <s v="positive"/>
    <n v="1"/>
    <n v="0"/>
    <s v="n/a"/>
    <n v="0"/>
    <s v="zero_other"/>
    <n v="3"/>
    <s v="n/a"/>
    <s v="n/a"/>
    <n v="0"/>
    <n v="0"/>
    <s v="n/a"/>
    <s v="main"/>
    <n v="0"/>
    <x v="0"/>
    <s v="n/a"/>
    <s v="n/a"/>
    <n v="0"/>
    <x v="2"/>
    <x v="3"/>
    <m/>
    <s v="ss"/>
    <x v="0"/>
    <s v="topic-drop"/>
    <s v="no_overt_NP"/>
    <m/>
    <m/>
    <n v="0"/>
    <s v="non-LVC"/>
    <s v="Yes"/>
    <n v="11"/>
    <s v="complement"/>
    <n v="1"/>
    <n v="1"/>
    <x v="0"/>
    <x v="0"/>
    <s v="n/a"/>
    <x v="1"/>
    <n v="0"/>
  </r>
  <r>
    <s v="Heike 2.41"/>
    <s v="疾う疾う罷り出でよと (tōtō makari ideyo to)"/>
    <s v="&quot;Depart quickly&quot;"/>
    <s v="罷り出でよ"/>
    <s v="imperative"/>
    <s v="motion"/>
    <s v="verb"/>
    <x v="0"/>
    <s v="active"/>
    <s v="positive"/>
    <n v="1"/>
    <n v="0"/>
    <s v="n/a"/>
    <n v="0"/>
    <s v="zero_recoverable"/>
    <n v="2"/>
    <s v="n/a"/>
    <s v="n/a"/>
    <n v="0"/>
    <n v="0"/>
    <s v="n/a"/>
    <s v="complement"/>
    <n v="0"/>
    <x v="1"/>
    <s v="sub"/>
    <s v="lexical_humble_verb"/>
    <n v="0"/>
    <x v="4"/>
    <x v="3"/>
    <m/>
    <s v="ss"/>
    <x v="0"/>
    <s v="topic-drop"/>
    <s v="no_overt_NP"/>
    <s v="embedded"/>
    <m/>
    <n v="0"/>
    <s v="non-LVC"/>
    <s v="Yes"/>
    <n v="12"/>
    <m/>
    <n v="1"/>
    <n v="2"/>
    <x v="0"/>
    <x v="0"/>
    <s v="overt"/>
    <x v="1"/>
    <n v="0"/>
  </r>
  <r>
    <s v="Heike 2.42"/>
    <s v="六位を以て云はせられたりければ (to roku-i o motte iwaseraretarikereba)"/>
    <s v="an official of the sixth rank ordered him to depart quickly."/>
    <s v="云はせられたりければ"/>
    <s v="indicative"/>
    <s v="stative"/>
    <s v="verb"/>
    <x v="0"/>
    <s v="causative-passive-resultative"/>
    <s v="positive"/>
    <n v="1"/>
    <n v="2"/>
    <s v="O (Speech) +IO"/>
    <n v="1"/>
    <s v="zero_recoverable"/>
    <n v="3"/>
    <s v="overt"/>
    <s v="n/a"/>
    <n v="0"/>
    <n v="0"/>
    <s v="n/a"/>
    <s v="subordinate"/>
    <n v="1"/>
    <x v="0"/>
    <s v="n/a"/>
    <s v="honorific_aux"/>
    <n v="0"/>
    <x v="2"/>
    <x v="7"/>
    <m/>
    <s v="ss"/>
    <x v="0"/>
    <s v="topic-drop"/>
    <s v="contains_new"/>
    <m/>
    <m/>
    <n v="2"/>
    <s v="non-LVC"/>
    <s v="Yes"/>
    <n v="12"/>
    <m/>
    <n v="1"/>
    <n v="3"/>
    <x v="1"/>
    <x v="2"/>
    <s v="zero_other"/>
    <x v="1"/>
    <n v="1"/>
  </r>
  <r>
    <s v="Heike 2.43"/>
    <s v="家貞畏つて申しけるは (Iesada kashikomatte mōshikeru wa)"/>
    <s v="But Iesada thus replied:"/>
    <s v="申しける"/>
    <s v="indicative"/>
    <s v="action"/>
    <s v="verb"/>
    <x v="1"/>
    <s v="active"/>
    <s v="positive"/>
    <n v="1"/>
    <n v="1"/>
    <s v="SUB"/>
    <n v="0"/>
    <s v="overt"/>
    <n v="3"/>
    <s v="zero_other"/>
    <s v="n/a"/>
    <n v="1"/>
    <n v="0"/>
    <s v="SUB"/>
    <s v="subordinate"/>
    <n v="1"/>
    <x v="0"/>
    <s v="sub"/>
    <s v="lexical_humble_verb"/>
    <n v="0"/>
    <x v="2"/>
    <x v="4"/>
    <m/>
    <s v="ss"/>
    <x v="1"/>
    <s v="topic-continued"/>
    <s v="all given"/>
    <s v="internally headed"/>
    <m/>
    <n v="1"/>
    <s v="non-LVC"/>
    <s v="Yes"/>
    <n v="12"/>
    <m/>
    <n v="1"/>
    <m/>
    <x v="1"/>
    <x v="2"/>
    <s v="n/a"/>
    <x v="1"/>
    <n v="0"/>
  </r>
  <r>
    <s v="Heike 2.44"/>
    <s v="相伝の主備前守殿今夜闇討にせられ給ふべき (sōden no aruji Bizen no kami-dono kon'ya yamiuchi ni serare-tamō beki) "/>
    <s v="tonight they will try to kill my Lord Bizen-no-kami dono&quot;"/>
    <s v="闇討にせられ給ふ"/>
    <s v="indicative"/>
    <s v="other"/>
    <s v="LVC"/>
    <x v="0"/>
    <s v="passive"/>
    <s v="positive"/>
    <n v="1"/>
    <n v="1"/>
    <s v="SUB"/>
    <n v="1"/>
    <s v="overt"/>
    <n v="3"/>
    <s v="n/a"/>
    <s v="n/a"/>
    <n v="0"/>
    <n v="1"/>
    <s v="REL"/>
    <s v="relative"/>
    <n v="1"/>
    <x v="0"/>
    <s v="sub"/>
    <s v="lexical_honorific_verb"/>
    <n v="0"/>
    <x v="2"/>
    <x v="4"/>
    <m/>
    <s v="ds"/>
    <x v="0"/>
    <s v="topic-shift"/>
    <s v="contains_new"/>
    <m/>
    <m/>
    <n v="1"/>
    <s v="LVC"/>
    <s v="Yes"/>
    <n v="12"/>
    <s v="te"/>
    <n v="0"/>
    <n v="4"/>
    <x v="1"/>
    <x v="0"/>
    <s v="overt"/>
    <x v="0"/>
    <n v="0"/>
  </r>
  <r>
    <s v="Heike 2.45"/>
    <s v="由伝へ承つて(yoshi tsutae uketamawatte) "/>
    <s v="Because I have heard that"/>
    <s v="伝へ承つて"/>
    <s v="indicative"/>
    <s v="communication"/>
    <s v="verb"/>
    <x v="1"/>
    <s v="active"/>
    <s v="positive"/>
    <n v="1"/>
    <n v="1"/>
    <s v="OBJ"/>
    <n v="0"/>
    <s v="zero_recoverable"/>
    <n v="1"/>
    <s v="overt"/>
    <s v="n/a"/>
    <n v="0"/>
    <n v="0"/>
    <s v="n/a"/>
    <s v="te"/>
    <n v="0"/>
    <x v="1"/>
    <s v="sub"/>
    <s v="honorific_aux"/>
    <n v="0"/>
    <x v="1"/>
    <x v="1"/>
    <s v="te_medial"/>
    <s v="ss"/>
    <x v="1"/>
    <s v="topic-drop"/>
    <s v="contains_new"/>
    <m/>
    <m/>
    <n v="1"/>
    <s v="non-LVC"/>
    <s v="Yes"/>
    <n v="12"/>
    <m/>
    <n v="1"/>
    <m/>
    <x v="1"/>
    <x v="2"/>
    <s v="n/a"/>
    <x v="1"/>
    <n v="0"/>
  </r>
  <r>
    <s v="Heike 2.46"/>
    <s v="それならん  (sore naran )"/>
    <s v="&quot;whether it is so&quot;"/>
    <s v="ならん "/>
    <s v="epistemic"/>
    <s v="other"/>
    <s v="verb"/>
    <x v="0"/>
    <s v="active"/>
    <s v="positive"/>
    <n v="1"/>
    <n v="1"/>
    <s v="SUB"/>
    <n v="0"/>
    <s v="overt"/>
    <n v="3"/>
    <s v="n/a"/>
    <s v="n/a"/>
    <n v="0"/>
    <n v="1"/>
    <s v="REL"/>
    <s v="relative"/>
    <n v="0"/>
    <x v="0"/>
    <s v="n/a"/>
    <s v="n/a"/>
    <n v="0"/>
    <x v="2"/>
    <x v="2"/>
    <m/>
    <s v="ds"/>
    <x v="1"/>
    <s v="topic-continued"/>
    <s v="all given"/>
    <m/>
    <m/>
    <n v="1"/>
    <s v="non-LVC"/>
    <s v="Yes"/>
    <n v="12"/>
    <m/>
    <n v="0"/>
    <n v="5"/>
    <x v="1"/>
    <x v="0"/>
    <s v="overt"/>
    <x v="0"/>
    <n v="0"/>
  </r>
  <r>
    <s v="Heike 2.47"/>
    <s v="やうを見んとて (yō o min to te)"/>
    <s v="and in order to see "/>
    <s v="見ん"/>
    <s v="dynamic"/>
    <s v="perception"/>
    <s v="verb"/>
    <x v="1"/>
    <s v="active"/>
    <s v="positive"/>
    <n v="1"/>
    <n v="1"/>
    <s v="OBJ"/>
    <n v="0"/>
    <s v="zero_recoverable"/>
    <n v="1"/>
    <s v="overt"/>
    <s v="n/a"/>
    <n v="0"/>
    <n v="0"/>
    <s v="REL"/>
    <s v="subordinate"/>
    <n v="0"/>
    <x v="0"/>
    <s v="n/a"/>
    <s v="n/a"/>
    <n v="0"/>
    <x v="7"/>
    <x v="1"/>
    <m/>
    <s v="ds"/>
    <x v="0"/>
    <s v="topic-drop"/>
    <s v="contains_new"/>
    <m/>
    <m/>
    <n v="1"/>
    <s v="non-LVC"/>
    <s v="Yes"/>
    <n v="12"/>
    <m/>
    <n v="1"/>
    <n v="6"/>
    <x v="1"/>
    <x v="1"/>
    <s v="n/a"/>
    <x v="1"/>
    <n v="0"/>
  </r>
  <r>
    <s v="Heike 2.48"/>
    <s v="かくて候ふなり (kakute soro fu nari)"/>
    <s v="&quot;have come and am thus waiting&quot;"/>
    <s v="候ふなり"/>
    <s v="indicative"/>
    <s v="stative"/>
    <s v="verb(complex)"/>
    <x v="0"/>
    <s v="active"/>
    <s v="positive"/>
    <n v="1"/>
    <n v="0"/>
    <s v="n/a"/>
    <n v="1"/>
    <s v="zero_exalt"/>
    <n v="1"/>
    <s v="n/a"/>
    <s v="n/a"/>
    <n v="0"/>
    <n v="0"/>
    <s v="n/a"/>
    <s v="main"/>
    <n v="0"/>
    <x v="1"/>
    <s v="sub"/>
    <s v="lexical_humble_verb"/>
    <n v="0"/>
    <x v="2"/>
    <x v="4"/>
    <m/>
    <s v="ss"/>
    <x v="0"/>
    <s v="topic-drop"/>
    <s v="no_overt_NP"/>
    <m/>
    <m/>
    <n v="0"/>
    <s v="non-LVC"/>
    <s v="Yes"/>
    <n v="12"/>
    <s v="main"/>
    <n v="1"/>
    <n v="1"/>
    <x v="1"/>
    <x v="1"/>
    <s v="n/a"/>
    <x v="1"/>
    <n v="0"/>
  </r>
  <r>
    <s v="Heike 2.49"/>
    <s v="えこそ出でまじう候へ (e koso idema jiu soro e)"/>
    <s v="&quot;I cannot possibly go out&quot;"/>
    <s v="出でまじう候へ"/>
    <s v="dynamic"/>
    <s v="motion"/>
    <s v="verb"/>
    <x v="0"/>
    <s v="active"/>
    <s v="negative"/>
    <n v="1"/>
    <n v="0"/>
    <s v="n/a"/>
    <n v="0"/>
    <s v="zero_exalt"/>
    <n v="1"/>
    <s v="n/a"/>
    <s v="n/a"/>
    <n v="0"/>
    <n v="0"/>
    <s v="n/a"/>
    <s v="main"/>
    <n v="0"/>
    <x v="1"/>
    <s v="sub"/>
    <s v="polite_aux"/>
    <n v="0"/>
    <x v="2"/>
    <x v="3"/>
    <m/>
    <s v="ss"/>
    <x v="1"/>
    <s v="topic-drop"/>
    <s v="no_overt_NP"/>
    <m/>
    <m/>
    <n v="0"/>
    <s v="non-LVC"/>
    <s v="Yes"/>
    <n v="13"/>
    <m/>
    <n v="1"/>
    <n v="1"/>
    <x v="0"/>
    <x v="2"/>
    <s v="n/a"/>
    <x v="1"/>
    <n v="0"/>
  </r>
  <r>
    <s v="Heike 2.50"/>
    <s v="これらを由なしとや (korera o yoshi nashi to ya)"/>
    <s v=" there was nothing more to be done;"/>
    <s v="なし"/>
    <s v="indicative"/>
    <s v="stative"/>
    <s v="existential verb"/>
    <x v="0"/>
    <s v="active"/>
    <s v="negative"/>
    <n v="1"/>
    <n v="1"/>
    <s v="SUB"/>
    <n v="1"/>
    <s v="overt"/>
    <n v="3"/>
    <s v="n/a"/>
    <s v="n/a"/>
    <n v="0"/>
    <n v="0"/>
    <s v="n/a"/>
    <s v="complement"/>
    <n v="0"/>
    <x v="0"/>
    <s v="n/a"/>
    <s v="n/a"/>
    <n v="0"/>
    <x v="4"/>
    <x v="3"/>
    <m/>
    <s v="ds"/>
    <x v="3"/>
    <s v="topic-continued"/>
    <s v="contains_new"/>
    <m/>
    <m/>
    <n v="1"/>
    <s v="non-LVC"/>
    <s v="Yes"/>
    <n v="14"/>
    <s v="main"/>
    <n v="1"/>
    <n v="2"/>
    <x v="1"/>
    <x v="1"/>
    <s v="overt"/>
    <x v="0"/>
    <n v="0"/>
  </r>
  <r>
    <m/>
    <s v="思はれけん (omowareken)"/>
    <s v="And they saw that"/>
    <s v="思はれけん"/>
    <s v="epistemic"/>
    <s v="psych-state"/>
    <s v="verb"/>
    <x v="1"/>
    <s v="active"/>
    <s v="positive"/>
    <n v="1"/>
    <n v="1"/>
    <s v="O (Speech)"/>
    <n v="0"/>
    <s v="zero_exalt"/>
    <n v="3"/>
    <s v="overt"/>
    <s v="n/a"/>
    <n v="0"/>
    <n v="0"/>
    <s v="n/a"/>
    <s v="main"/>
    <n v="0"/>
    <x v="1"/>
    <s v="sub"/>
    <s v="honorific_aux"/>
    <n v="0"/>
    <x v="8"/>
    <x v="0"/>
    <m/>
    <s v="ds"/>
    <x v="3"/>
    <s v="topic-drop"/>
    <s v="contains_new"/>
    <m/>
    <m/>
    <n v="1"/>
    <s v="non-LVC"/>
    <s v="Yes"/>
    <n v="14"/>
    <m/>
    <n v="1"/>
    <n v="1"/>
    <x v="1"/>
    <x v="2"/>
    <s v="n/a"/>
    <x v="1"/>
    <n v="0"/>
  </r>
  <r>
    <s v="Heike 2.51"/>
    <s v="その夜の闇討なかりけり (sono yo no yamiuchi nakarikeri)"/>
    <s v="and thus the attempt did not take place."/>
    <s v="なかりけり"/>
    <s v="indicative"/>
    <s v="aux/modal"/>
    <s v="verb"/>
    <x v="0"/>
    <s v="active"/>
    <s v="negative"/>
    <n v="1"/>
    <n v="1"/>
    <s v="SUB"/>
    <n v="0"/>
    <s v="overt"/>
    <s v="inanimate"/>
    <s v="n/a"/>
    <s v="n/a"/>
    <n v="0"/>
    <n v="0"/>
    <s v="n/a"/>
    <s v="main"/>
    <n v="0"/>
    <x v="0"/>
    <s v="n/a"/>
    <s v="n/a"/>
    <n v="0"/>
    <x v="2"/>
    <x v="3"/>
    <m/>
    <s v="ss"/>
    <x v="1"/>
    <s v="topic-shift"/>
    <s v="contains_new"/>
    <m/>
    <m/>
    <n v="1"/>
    <s v="non-LVC"/>
    <s v="Yes"/>
    <n v="15"/>
    <s v="subordinate"/>
    <n v="1"/>
    <n v="1"/>
    <x v="0"/>
    <x v="2"/>
    <s v="n/a"/>
    <x v="1"/>
    <n v="0"/>
  </r>
  <r>
    <s v="Heike 2.52"/>
    <s v="忠盛また御前の召しに舞はれけるに (Tadamori mata gozen no meshi ni mawarekeru ni)"/>
    <s v="But when Tadamori danced in the August presence of the Mikado at his Imperial wish,"/>
    <s v="舞はれける"/>
    <s v="indicative"/>
    <s v="action"/>
    <s v="verb"/>
    <x v="0"/>
    <s v="active"/>
    <s v="positive"/>
    <n v="1"/>
    <n v="1"/>
    <s v="SUB"/>
    <n v="1"/>
    <s v="overt"/>
    <n v="3"/>
    <s v="n/a"/>
    <s v="n/a"/>
    <n v="0"/>
    <n v="0"/>
    <s v="REL"/>
    <s v="subordinate"/>
    <n v="1"/>
    <x v="0"/>
    <s v="sub"/>
    <s v="honorific_aux"/>
    <n v="0"/>
    <x v="0"/>
    <x v="3"/>
    <m/>
    <s v="ds"/>
    <x v="1"/>
    <s v="topic-shift"/>
    <s v="contains_new"/>
    <m/>
    <m/>
    <n v="1"/>
    <s v="non-LVC"/>
    <s v="Yes"/>
    <n v="16"/>
    <s v="te"/>
    <n v="1"/>
    <n v="2"/>
    <x v="1"/>
    <x v="2"/>
    <s v="overt"/>
    <x v="1"/>
    <n v="0"/>
  </r>
  <r>
    <s v="Heike 2.53"/>
    <s v="人々拍子を変へて (hitobito hyōshi o kaete)"/>
    <s v="the others mocked at him, changing the words of the music"/>
    <s v="変へて"/>
    <s v="indicative"/>
    <s v="other"/>
    <s v="verb"/>
    <x v="1"/>
    <s v="active"/>
    <s v="positive"/>
    <n v="1"/>
    <n v="2"/>
    <s v="S+O"/>
    <n v="0"/>
    <s v="overt"/>
    <n v="3"/>
    <s v="overt"/>
    <s v="n/a"/>
    <n v="0"/>
    <n v="0"/>
    <s v="n/a"/>
    <s v="te"/>
    <n v="0"/>
    <x v="0"/>
    <s v="n/a"/>
    <s v="n/a"/>
    <n v="0"/>
    <x v="1"/>
    <x v="4"/>
    <s v="te_medial"/>
    <s v="ds"/>
    <x v="1"/>
    <s v="topic-shift"/>
    <s v="contains_new"/>
    <m/>
    <m/>
    <n v="2"/>
    <s v="non-LVC"/>
    <s v="Yes"/>
    <n v="16"/>
    <s v="complement"/>
    <n v="1"/>
    <n v="3"/>
    <x v="1"/>
    <x v="2"/>
    <s v="n/a"/>
    <x v="1"/>
    <n v="0"/>
  </r>
  <r>
    <s v="Heike 2.54"/>
    <s v="伊勢へいじはすがめなりけりとぞ (Ise heiji wa sugame narikeri)"/>
    <s v="&quot;the winepot of Ise has turned into a vinegar jar&quot;"/>
    <s v="なりけり"/>
    <s v="indicative"/>
    <s v="stative"/>
    <s v="copula"/>
    <x v="0"/>
    <s v="active"/>
    <s v="positive"/>
    <n v="1"/>
    <n v="1"/>
    <s v="SUB"/>
    <n v="0"/>
    <s v="overt"/>
    <n v="3"/>
    <s v="n/a"/>
    <s v="n/a"/>
    <n v="0"/>
    <n v="0"/>
    <s v="n/a"/>
    <s v="complement"/>
    <n v="0"/>
    <x v="0"/>
    <s v="n/a"/>
    <s v="n/a"/>
    <n v="0"/>
    <x v="4"/>
    <x v="2"/>
    <m/>
    <s v="ds"/>
    <x v="0"/>
    <s v="topic-introduced"/>
    <s v="contains_new"/>
    <m/>
    <m/>
    <n v="1"/>
    <s v="non-LVC"/>
    <s v="Yes"/>
    <n v="16"/>
    <s v="main"/>
    <n v="1"/>
    <n v="4"/>
    <x v="1"/>
    <x v="1"/>
    <s v="overt"/>
    <x v="0"/>
    <n v="0"/>
  </r>
  <r>
    <s v="Heike 2.55"/>
    <s v="囃されける (to zo hayasarekeru)"/>
    <s v="they sang in mockery"/>
    <s v="囃されける"/>
    <s v="indicative"/>
    <s v="action"/>
    <s v="verb"/>
    <x v="1"/>
    <s v="active"/>
    <s v="positive"/>
    <n v="1"/>
    <n v="1"/>
    <s v="O (Speech)"/>
    <n v="0"/>
    <s v="zero_exalt"/>
    <n v="3"/>
    <s v="overt"/>
    <s v="n/a"/>
    <n v="0"/>
    <n v="0"/>
    <s v="kakari-musubi"/>
    <s v="main"/>
    <n v="0"/>
    <x v="1"/>
    <s v="sub"/>
    <s v="honorific_aux"/>
    <n v="0"/>
    <x v="8"/>
    <x v="7"/>
    <m/>
    <s v="ss"/>
    <x v="0"/>
    <s v="topic-drop"/>
    <s v="contains_new"/>
    <m/>
    <m/>
    <n v="1"/>
    <s v="non-LVC"/>
    <s v="Yes"/>
    <n v="16"/>
    <s v="subordinate"/>
    <n v="1"/>
    <n v="1"/>
    <x v="1"/>
    <x v="2"/>
    <s v="overt"/>
    <x v="1"/>
    <n v="0"/>
  </r>
  <r>
    <s v="Heike 2.56"/>
    <s v="かけまくも忝くこの人々は柏原天皇の御末とは申しながら (kakemakumo katabokaku kono hitobito wa Kashiwabara Tennō no o-sue to wa mōshinagara)"/>
    <s v="In thus mentioning the vessels of his province they punned on his title..."/>
    <s v="申しながら"/>
    <s v="indicative"/>
    <s v="communication"/>
    <s v="verb"/>
    <x v="1"/>
    <s v="active"/>
    <s v="positive"/>
    <n v="1"/>
    <n v="2"/>
    <s v="S+O (Speech)"/>
    <n v="1"/>
    <s v="overt"/>
    <n v="3"/>
    <s v="overt"/>
    <s v="n/a"/>
    <n v="0"/>
    <n v="0"/>
    <s v="n/a"/>
    <s v="subordinate"/>
    <n v="1"/>
    <x v="0"/>
    <s v="sub"/>
    <s v="lexical_humble_verb"/>
    <n v="0"/>
    <x v="0"/>
    <x v="3"/>
    <m/>
    <s v="ss"/>
    <x v="1"/>
    <s v="topic-shift"/>
    <s v="contains_new"/>
    <m/>
    <m/>
    <n v="2"/>
    <s v="non-LVC"/>
    <s v="Yes"/>
    <n v="17"/>
    <s v="main"/>
    <n v="1"/>
    <n v="2"/>
    <x v="0"/>
    <x v="2"/>
    <s v="n/a"/>
    <x v="1"/>
    <n v="0"/>
  </r>
  <r>
    <s v="Heike 2.57"/>
    <s v="中比は都の住まひも疎々しく (chūbi wa miyako no sumai mo utoutoshiku)"/>
    <s v="and since lately his family had lived away from the capital,"/>
    <s v="疎々しく"/>
    <s v="indicative"/>
    <s v="psych-state"/>
    <s v="adjectival predicate"/>
    <x v="0"/>
    <s v="active"/>
    <s v="positive"/>
    <n v="1"/>
    <n v="1"/>
    <s v="SUB"/>
    <n v="1"/>
    <s v="overt"/>
    <n v="3"/>
    <s v="n/a"/>
    <s v="n/a"/>
    <n v="0"/>
    <n v="0"/>
    <s v="n/a"/>
    <s v="main"/>
    <n v="0"/>
    <x v="0"/>
    <s v="n/a"/>
    <s v="n/a"/>
    <n v="0"/>
    <x v="2"/>
    <x v="4"/>
    <m/>
    <s v="ds"/>
    <x v="0"/>
    <s v="topic-shift"/>
    <s v="contains_new"/>
    <m/>
    <m/>
    <n v="1"/>
    <s v="non-LVC"/>
    <s v="Yes"/>
    <n v="17"/>
    <s v="te"/>
    <n v="1"/>
    <n v="1"/>
    <x v="1"/>
    <x v="0"/>
    <s v="n/a"/>
    <x v="0"/>
    <n v="0"/>
  </r>
  <r>
    <s v="Heike 2.58"/>
    <s v="地下にのみ振舞ひなつて ( jige ni nomi furumai natte)"/>
    <s v=" behaving as mere provincial folk"/>
    <s v="振舞ひなつて"/>
    <s v="indicative"/>
    <s v="other"/>
    <s v="verb(compound)"/>
    <x v="0"/>
    <s v="active"/>
    <s v="positive"/>
    <n v="1"/>
    <n v="1"/>
    <s v="IO"/>
    <n v="0"/>
    <s v="zero_recoverable"/>
    <n v="3"/>
    <s v="n/a"/>
    <s v="overt"/>
    <n v="0"/>
    <n v="0"/>
    <s v="n/a"/>
    <s v="te"/>
    <n v="0"/>
    <x v="0"/>
    <s v="n/a"/>
    <s v="n/a"/>
    <n v="0"/>
    <x v="1"/>
    <x v="3"/>
    <s v="te_medial"/>
    <s v="ss"/>
    <x v="0"/>
    <s v="topic-drop"/>
    <s v="contains_new"/>
    <m/>
    <m/>
    <n v="1"/>
    <s v="non-LVC"/>
    <s v="Yes"/>
    <n v="18"/>
    <s v="subordinate"/>
    <n v="1"/>
    <n v="2"/>
    <x v="1"/>
    <x v="0"/>
    <s v="n/a"/>
    <x v="1"/>
    <n v="0"/>
  </r>
  <r>
    <s v="Heike 2.59"/>
    <s v="伊勢国に住国深かりしかば  (Ise no kuni ni sumikoku fukakarishikaba)"/>
    <s v="and as they lived deep in Ise province, they likened him to the vessels of that province"/>
    <s v="深かりしかば"/>
    <s v="indicative"/>
    <s v="psych-state"/>
    <s v="adjectival predicate"/>
    <x v="0"/>
    <s v="active"/>
    <s v="positive"/>
    <n v="1"/>
    <n v="1"/>
    <s v="SUB"/>
    <n v="1"/>
    <s v="zero_recoverable"/>
    <n v="3"/>
    <s v="n/a"/>
    <s v="n/a"/>
    <n v="0"/>
    <n v="0"/>
    <s v="n/a"/>
    <s v="subordinate"/>
    <n v="0"/>
    <x v="0"/>
    <s v="n/a"/>
    <s v="n/a"/>
    <n v="0"/>
    <x v="3"/>
    <x v="2"/>
    <m/>
    <s v="ss"/>
    <x v="1"/>
    <s v="topic-drop"/>
    <s v="contains_new"/>
    <m/>
    <m/>
    <n v="1"/>
    <s v="non-LVC"/>
    <s v="Yes"/>
    <n v="18"/>
    <s v="te"/>
    <n v="1"/>
    <n v="3"/>
    <x v="1"/>
    <x v="5"/>
    <s v="zero_uncertain"/>
    <x v="1"/>
    <n v="0"/>
  </r>
  <r>
    <s v="Heike 2.60"/>
    <s v="その国の器に言寄せて"/>
    <s v="sono kuni no utsuwa ni kotoyosete)"/>
    <s v="言寄せて"/>
    <s v="indicative"/>
    <s v="communication"/>
    <s v="verb"/>
    <x v="3"/>
    <s v="active"/>
    <s v="positive"/>
    <n v="1"/>
    <n v="1"/>
    <s v="IO"/>
    <n v="0"/>
    <s v="zero_uncertain"/>
    <n v="3"/>
    <s v="zero_uncertain"/>
    <s v="overt"/>
    <n v="0"/>
    <n v="0"/>
    <s v="n/a"/>
    <s v="te"/>
    <n v="0"/>
    <x v="0"/>
    <s v="n/a"/>
    <s v="n/a"/>
    <n v="0"/>
    <x v="1"/>
    <x v="4"/>
    <s v="te_medial"/>
    <s v="ds"/>
    <x v="0"/>
    <s v="topic-drop"/>
    <s v="contains_new"/>
    <m/>
    <m/>
    <n v="1"/>
    <s v="non-LVC"/>
    <s v="Yes"/>
    <n v="18"/>
    <s v="main"/>
    <n v="1"/>
    <n v="4"/>
    <x v="1"/>
    <x v="0"/>
    <s v="n/a"/>
    <x v="1"/>
    <n v="0"/>
  </r>
  <r>
    <s v="Heike 2.61"/>
    <s v="伊勢平氏とぞ囃されける (Ise Heishi to zo hayasarekeru)"/>
    <s v="so they mocked him as 'Ise Heishi'"/>
    <s v="囃されける"/>
    <s v="indicative"/>
    <s v="action"/>
    <s v="verb"/>
    <x v="0"/>
    <s v="passive"/>
    <s v="positive"/>
    <n v="1"/>
    <n v="1"/>
    <s v="O (Speech)"/>
    <n v="0"/>
    <s v="zero_recoverable"/>
    <n v="3"/>
    <s v="n/a"/>
    <s v="overt"/>
    <n v="0"/>
    <n v="0"/>
    <s v="kakari-musubi"/>
    <s v="main"/>
    <n v="0"/>
    <x v="0"/>
    <s v="n/a"/>
    <s v="n/a"/>
    <n v="0"/>
    <x v="2"/>
    <x v="2"/>
    <m/>
    <s v="ss"/>
    <x v="1"/>
    <s v="topic-drop"/>
    <s v="contains_new"/>
    <m/>
    <m/>
    <n v="1"/>
    <s v="non-LVC"/>
    <s v="Yes"/>
    <n v="18"/>
    <s v="subordinate"/>
    <n v="1"/>
    <n v="1"/>
    <x v="1"/>
    <x v="2"/>
    <s v="n/a"/>
    <x v="1"/>
    <n v="0"/>
  </r>
  <r>
    <s v="Heike 2.62"/>
    <s v="その上忠盛目の眇まれたりける故にこそ (sono ue Tadamori me no sugamaretari keru yue ni koso)"/>
    <s v="moreover, because Tadamori's eyes were squinted, "/>
    <s v="眇まれたりける"/>
    <s v="indicative"/>
    <s v="action"/>
    <s v="verb"/>
    <x v="0"/>
    <s v="active"/>
    <s v="positive"/>
    <n v="1"/>
    <n v="1"/>
    <s v="SUB"/>
    <n v="1"/>
    <s v="overt"/>
    <n v="3"/>
    <s v="n/a"/>
    <s v="n/a"/>
    <n v="0"/>
    <n v="1"/>
    <s v="REL"/>
    <s v="subordinate"/>
    <n v="0"/>
    <x v="0"/>
    <s v="n/a"/>
    <s v="n/a"/>
    <n v="0"/>
    <x v="3"/>
    <x v="3"/>
    <m/>
    <s v="ds"/>
    <x v="0"/>
    <s v="topic-continued"/>
    <s v="contains_new"/>
    <m/>
    <m/>
    <n v="1"/>
    <s v="non-LVC"/>
    <s v="Yes"/>
    <n v="19"/>
    <m/>
    <n v="1"/>
    <n v="2"/>
    <x v="0"/>
    <x v="0"/>
    <s v="n/a"/>
    <x v="0"/>
    <n v="0"/>
  </r>
  <r>
    <s v="Heike 2.63"/>
    <s v="かやうには囃されけるなれ  (kayō ni wa hayasarekeru nare)"/>
    <s v="he was mocked in such a way"/>
    <s v="囃されけるなれ"/>
    <s v="indicative"/>
    <s v="other"/>
    <s v="verb"/>
    <x v="0"/>
    <s v="passive"/>
    <s v="positive"/>
    <n v="1"/>
    <n v="0"/>
    <s v="n/a"/>
    <n v="0"/>
    <s v="zero_recoverable"/>
    <n v="3"/>
    <s v="n/a"/>
    <s v="n/a"/>
    <n v="0"/>
    <n v="0"/>
    <s v="kakari-musubi"/>
    <s v="main"/>
    <n v="0"/>
    <x v="0"/>
    <s v="n/a"/>
    <s v="n/a"/>
    <n v="0"/>
    <x v="2"/>
    <x v="4"/>
    <m/>
    <s v="ss"/>
    <x v="0"/>
    <s v="topic-drop"/>
    <s v="no_overt_NP"/>
    <m/>
    <m/>
    <n v="0"/>
    <s v="non-LVC"/>
    <s v="Yes"/>
    <n v="19"/>
    <m/>
    <n v="1"/>
    <n v="1"/>
    <x v="1"/>
    <x v="2"/>
    <s v="overt"/>
    <x v="1"/>
    <n v="0"/>
  </r>
  <r>
    <s v="Heike 2.64"/>
    <s v="忠盛何とすべきやうもなくして (Tadamori nan to subeki yō mo nakushite)"/>
    <s v="Tadamori, having no way of dealing with the situation,"/>
    <s v="なくして"/>
    <s v="indicative"/>
    <s v="other"/>
    <s v="verb"/>
    <x v="1"/>
    <s v="active"/>
    <s v="negative"/>
    <n v="1"/>
    <n v="2"/>
    <s v="S+O"/>
    <n v="0"/>
    <s v="overt"/>
    <n v="3"/>
    <s v="overt"/>
    <s v="n/a"/>
    <n v="0"/>
    <n v="0"/>
    <s v="n/a"/>
    <s v="te"/>
    <n v="0"/>
    <x v="0"/>
    <s v="n/a"/>
    <s v="n/a"/>
    <n v="0"/>
    <x v="1"/>
    <x v="3"/>
    <s v="te_initial"/>
    <s v="ss"/>
    <x v="1"/>
    <s v="topic-continued"/>
    <s v="contains_new"/>
    <m/>
    <m/>
    <n v="2"/>
    <s v="non-LVC"/>
    <s v="Yes"/>
    <n v="20"/>
    <s v="subordinate"/>
    <n v="1"/>
    <n v="2"/>
    <x v="0"/>
    <x v="2"/>
    <s v="n/a"/>
    <x v="1"/>
    <n v="0"/>
  </r>
  <r>
    <s v="Heike 2.65"/>
    <s v="御遊も未だ終らざる前に (gyoyū mo mada owarazaru mae ni)"/>
    <s v="before the entertainment had ended,"/>
    <s v="終らざる"/>
    <s v="indicative"/>
    <s v="other"/>
    <s v="verb"/>
    <x v="0"/>
    <s v="active"/>
    <s v="negative"/>
    <n v="1"/>
    <n v="1"/>
    <s v="SUB"/>
    <n v="1"/>
    <s v="overt"/>
    <n v="3"/>
    <s v="n/a"/>
    <s v="n/a"/>
    <n v="0"/>
    <n v="1"/>
    <s v="REL"/>
    <s v="subordinate"/>
    <n v="0"/>
    <x v="0"/>
    <s v="n/a"/>
    <s v="n/a"/>
    <n v="0"/>
    <x v="0"/>
    <x v="2"/>
    <m/>
    <s v="ds"/>
    <x v="1"/>
    <s v="topic-drop"/>
    <s v="contains_new"/>
    <m/>
    <m/>
    <n v="1"/>
    <s v="non-LVC"/>
    <s v="Yes"/>
    <n v="20"/>
    <m/>
    <n v="1"/>
    <n v="3"/>
    <x v="1"/>
    <x v="1"/>
    <s v="n/a"/>
    <x v="0"/>
    <n v="0"/>
  </r>
  <r>
    <s v="Heike 2.66"/>
    <s v="密かに罷り出でらるとて (hisokani makari ideraru tote)"/>
    <s v="he secretly left the Presence,"/>
    <s v="罷り出でらる"/>
    <s v="indicative"/>
    <s v="motion"/>
    <s v="verb"/>
    <x v="0"/>
    <s v="active"/>
    <s v="positive"/>
    <n v="1"/>
    <n v="0"/>
    <s v="n/a"/>
    <n v="1"/>
    <s v="zero_exalt"/>
    <n v="3"/>
    <s v="n/a"/>
    <s v="n/a"/>
    <n v="0"/>
    <n v="0"/>
    <s v="REL"/>
    <s v="subordinate"/>
    <n v="0"/>
    <x v="1"/>
    <s v="sub"/>
    <s v="honorific_aux+lexical_honorific_verb"/>
    <n v="0"/>
    <x v="0"/>
    <x v="4"/>
    <m/>
    <s v="ds"/>
    <x v="0"/>
    <s v="topic-drop"/>
    <s v="no_overt_NP"/>
    <m/>
    <m/>
    <n v="0"/>
    <s v="non-LVC"/>
    <s v="Yes"/>
    <n v="20"/>
    <s v="te"/>
    <n v="1"/>
    <n v="4"/>
    <x v="1"/>
    <x v="0"/>
    <s v="n/a"/>
    <x v="1"/>
    <n v="0"/>
  </r>
  <r>
    <s v="Heike 2.67"/>
    <s v="紫宸殿の御後にして (Shishinden no o-ato ni shite)"/>
    <s v="and going behind the Shishinden,"/>
    <s v="後にして"/>
    <s v="indicative"/>
    <s v="other"/>
    <s v="LVC (j)"/>
    <x v="0"/>
    <s v="active"/>
    <s v="positive"/>
    <n v="1"/>
    <n v="0"/>
    <s v="n/a"/>
    <n v="1"/>
    <s v="zero_recoverable"/>
    <n v="3"/>
    <s v="n/a"/>
    <s v="n/a"/>
    <n v="0"/>
    <n v="0"/>
    <s v="n/a"/>
    <s v="te"/>
    <n v="0"/>
    <x v="0"/>
    <s v="n/a"/>
    <s v="n/a"/>
    <n v="0"/>
    <x v="1"/>
    <x v="4"/>
    <s v="te_medial"/>
    <s v="ss"/>
    <x v="1"/>
    <s v="topic-drop"/>
    <s v="no_overt_NP"/>
    <m/>
    <m/>
    <n v="0"/>
    <s v="LVC"/>
    <s v="Yes"/>
    <n v="20"/>
    <m/>
    <n v="1"/>
    <m/>
    <x v="1"/>
    <x v="2"/>
    <s v="zero_recoverable"/>
    <x v="1"/>
    <n v="0"/>
  </r>
  <r>
    <s v="Heike 2.68"/>
    <s v="かたへの殿上人の見られける (kata e no tenjōbito no mirarekeru)"/>
    <s v=" the court nobles could see him,"/>
    <s v="見られける"/>
    <s v="indicative"/>
    <s v="action"/>
    <s v="verb"/>
    <x v="1"/>
    <s v="active"/>
    <s v="positive"/>
    <n v="1"/>
    <n v="1"/>
    <s v="SUB"/>
    <n v="0"/>
    <s v="overt"/>
    <n v="3"/>
    <s v="zero_recoverable"/>
    <s v="n/a"/>
    <n v="0"/>
    <n v="1"/>
    <s v="REL"/>
    <s v="relative"/>
    <n v="1"/>
    <x v="0"/>
    <s v="sub"/>
    <s v="honorific_aux"/>
    <n v="0"/>
    <x v="2"/>
    <x v="2"/>
    <m/>
    <s v="ds"/>
    <x v="0"/>
    <s v="topic-introduced"/>
    <s v="contains_new"/>
    <m/>
    <m/>
    <n v="1"/>
    <s v="non-LVC"/>
    <s v="Yes"/>
    <n v="20"/>
    <s v="te"/>
    <n v="0"/>
    <n v="5"/>
    <x v="1"/>
    <x v="1"/>
    <s v="overt"/>
    <x v="0"/>
    <n v="0"/>
  </r>
  <r>
    <s v="Heike 2.69"/>
    <s v="所にて主殿司を召して (tokoro nite tonomotsukasa o meshite azukeokite zo iderarekeru)"/>
    <s v="in a place where… he summoned the Tonomotsukasa, "/>
    <s v="召して "/>
    <s v="indicative"/>
    <s v="action"/>
    <s v="verb"/>
    <x v="1"/>
    <s v="active"/>
    <s v="positive"/>
    <n v="1"/>
    <n v="1"/>
    <s v="OBJ"/>
    <n v="1"/>
    <s v="zero_exalt"/>
    <n v="3"/>
    <s v="overt"/>
    <s v="n/a"/>
    <n v="0"/>
    <n v="0"/>
    <s v="n/a"/>
    <s v="te"/>
    <n v="0"/>
    <x v="1"/>
    <s v="sub"/>
    <s v="lexical_honorific_verb"/>
    <n v="0"/>
    <x v="1"/>
    <x v="1"/>
    <s v="te_medial"/>
    <s v="ss"/>
    <x v="0"/>
    <s v="topic-drop"/>
    <s v="contains_new"/>
    <m/>
    <m/>
    <n v="1"/>
    <s v="non-LVC"/>
    <s v="Yes"/>
    <n v="20"/>
    <m/>
    <n v="1"/>
    <n v="6"/>
    <x v="1"/>
    <x v="0"/>
    <s v="zero_recoverable"/>
    <x v="1"/>
    <n v="1"/>
  </r>
  <r>
    <s v="Heike 2.70"/>
    <s v="預け置きてぞ"/>
    <s v=" entrusted [his sword]"/>
    <s v="預け置きて"/>
    <s v="indicative"/>
    <s v="other"/>
    <s v="verb"/>
    <x v="1"/>
    <s v="active"/>
    <s v="positive"/>
    <n v="1"/>
    <n v="0"/>
    <s v="n/a"/>
    <n v="0"/>
    <s v="zero_recoverable"/>
    <n v="3"/>
    <s v="zero_recoverable"/>
    <s v="n/a"/>
    <n v="0"/>
    <n v="0"/>
    <s v="n/a"/>
    <s v="te"/>
    <n v="0"/>
    <x v="0"/>
    <s v="n/a"/>
    <s v="n/a"/>
    <n v="0"/>
    <x v="2"/>
    <x v="2"/>
    <s v="te_medial"/>
    <s v="ss"/>
    <x v="0"/>
    <s v="topic-drop"/>
    <s v="no_overt_NP"/>
    <m/>
    <m/>
    <n v="0"/>
    <s v="non-LVC"/>
    <s v="Yes"/>
    <n v="20"/>
    <s v="main"/>
    <n v="1"/>
    <n v="7"/>
    <x v="1"/>
    <x v="1"/>
    <s v="n/a"/>
    <x v="1"/>
    <n v="0"/>
  </r>
  <r>
    <s v="Heike 2.71"/>
    <s v="出でられける"/>
    <s v="and left,"/>
    <s v="出でられける"/>
    <s v="indicative"/>
    <s v="motion"/>
    <s v="verb"/>
    <x v="0"/>
    <s v="active"/>
    <s v="positive"/>
    <n v="1"/>
    <n v="0"/>
    <s v="n/a"/>
    <n v="0"/>
    <s v="zero_exalt"/>
    <n v="3"/>
    <s v="n/a"/>
    <s v="n/a"/>
    <n v="0"/>
    <n v="0"/>
    <s v="n/a"/>
    <s v="main"/>
    <n v="0"/>
    <x v="1"/>
    <s v="sub"/>
    <s v="honorific_aux"/>
    <n v="0"/>
    <x v="2"/>
    <x v="2"/>
    <m/>
    <s v="ss"/>
    <x v="1"/>
    <s v="topic-drop"/>
    <s v="no_overt_NP"/>
    <m/>
    <m/>
    <n v="0"/>
    <s v="non-LVC"/>
    <s v="Yes"/>
    <n v="20"/>
    <m/>
    <n v="1"/>
    <n v="1"/>
    <x v="1"/>
    <x v="2"/>
    <s v="zero_recoverable"/>
    <x v="1"/>
    <n v="0"/>
  </r>
  <r>
    <s v="Heike 2.72"/>
    <s v="家貞待ち受け奉りて (Iesada machi-uke tatemawari-te)"/>
    <s v="Iesada, who was waiting for his lord,"/>
    <s v="待ち受け奉りて"/>
    <s v="indicative"/>
    <s v="action"/>
    <s v="verb(complex)"/>
    <x v="1"/>
    <s v="active"/>
    <s v="positive"/>
    <n v="1"/>
    <n v="1"/>
    <s v="SUB"/>
    <n v="0"/>
    <s v="overt"/>
    <n v="3"/>
    <s v="zero_recoverable"/>
    <s v="n/a"/>
    <n v="0"/>
    <n v="0"/>
    <s v="n/a"/>
    <s v="te"/>
    <n v="1"/>
    <x v="0"/>
    <s v="sub"/>
    <s v="lexical_humble_verb"/>
    <n v="0"/>
    <x v="1"/>
    <x v="3"/>
    <s v="te_initial"/>
    <s v="ds"/>
    <x v="0"/>
    <s v="topic-shift"/>
    <s v="contains_new"/>
    <m/>
    <m/>
    <n v="1"/>
    <s v="non-LVC"/>
    <s v="Yes"/>
    <n v="21"/>
    <m/>
    <n v="1"/>
    <n v="2"/>
    <x v="0"/>
    <x v="4"/>
    <s v="n/a"/>
    <x v="0"/>
    <n v="0"/>
  </r>
  <r>
    <s v="Heike 2.73"/>
    <s v="さていかが候ひつると (sate ikaga soroitsuru to)"/>
    <s v="&quot;What has happened?&quot; he asked."/>
    <s v="候ひつる"/>
    <s v="indicative"/>
    <s v="other"/>
    <s v="verb"/>
    <x v="0"/>
    <s v="active"/>
    <s v="positive"/>
    <n v="1"/>
    <n v="0"/>
    <s v="n/a"/>
    <n v="1"/>
    <s v="zero_other"/>
    <n v="3"/>
    <s v="n/a"/>
    <s v="n/a"/>
    <n v="0"/>
    <n v="0"/>
    <s v="REL"/>
    <s v="complement"/>
    <n v="0"/>
    <x v="0"/>
    <s v="n/a"/>
    <s v="polite_aux"/>
    <n v="0"/>
    <x v="4"/>
    <x v="2"/>
    <m/>
    <s v="ss"/>
    <x v="0"/>
    <s v="topic-drop"/>
    <s v="no_overt_NP"/>
    <m/>
    <m/>
    <n v="0"/>
    <s v="non-LVC"/>
    <s v="Yes"/>
    <n v="21"/>
    <m/>
    <n v="1"/>
    <n v="3"/>
    <x v="1"/>
    <x v="1"/>
    <s v="overt"/>
    <x v="1"/>
    <n v="0"/>
  </r>
  <r>
    <s v="Heike 2.74"/>
    <s v="申されければ (mōsarekeru ba)"/>
    <s v="he was asked,"/>
    <s v="申されける"/>
    <s v="indicative"/>
    <s v="action"/>
    <s v="verb"/>
    <x v="0"/>
    <s v="passive"/>
    <s v="positive"/>
    <n v="1"/>
    <n v="1"/>
    <s v="O (Speech)"/>
    <n v="0"/>
    <s v="zero_exalt"/>
    <n v="3"/>
    <s v="overt"/>
    <s v="n/a"/>
    <n v="0"/>
    <n v="0"/>
    <s v="n/a"/>
    <s v="main"/>
    <n v="0"/>
    <x v="1"/>
    <s v="sub"/>
    <s v="honorific_aux+lexical_humble_verb"/>
    <n v="0"/>
    <x v="0"/>
    <x v="7"/>
    <m/>
    <s v="ss"/>
    <x v="0"/>
    <s v="topic-drop"/>
    <s v="contains_new"/>
    <m/>
    <m/>
    <n v="1"/>
    <s v="non-LVC"/>
    <s v="Yes"/>
    <n v="21"/>
    <m/>
    <n v="1"/>
    <n v="1"/>
    <x v="1"/>
    <x v="4"/>
    <s v="not_applicable"/>
    <x v="1"/>
    <n v="0"/>
  </r>
  <r>
    <s v="Heike 2.75"/>
    <s v="かくとも云はまほしう"/>
    <s v="to tell him"/>
    <s v="云はまほしう"/>
    <s v="desiderative"/>
    <s v="other"/>
    <s v="verb"/>
    <x v="0"/>
    <s v="active"/>
    <s v="positive"/>
    <n v="1"/>
    <n v="0"/>
    <s v="n/a"/>
    <n v="1"/>
    <s v="zero_other"/>
    <n v="3"/>
    <s v="not_applicable"/>
    <s v="not_applicable"/>
    <n v="0"/>
    <n v="0"/>
    <s v="n/a"/>
    <s v="main"/>
    <n v="0"/>
    <x v="0"/>
    <s v="n/a"/>
    <s v="n/a"/>
    <n v="0"/>
    <x v="2"/>
    <x v="3"/>
    <m/>
    <s v="ss"/>
    <x v="0"/>
    <s v="topic-drop"/>
    <s v="no_overt_NP"/>
    <m/>
    <m/>
    <n v="0"/>
    <s v="non-LVC"/>
    <s v="Yes"/>
    <n v="22"/>
    <m/>
    <n v="1"/>
    <n v="1"/>
    <x v="1"/>
    <x v="4"/>
    <s v="overt"/>
    <x v="1"/>
    <n v="0"/>
  </r>
  <r>
    <s v="Heike 2.76"/>
    <s v="思はれけれども (kakutomo iwamahoshū omowarekeredomo)"/>
    <s v="although he greatly wished,"/>
    <s v="思はれけれども"/>
    <s v="indicative"/>
    <s v="psych-state"/>
    <s v="verb"/>
    <x v="1"/>
    <s v="active"/>
    <s v="positive"/>
    <n v="1"/>
    <n v="1"/>
    <s v="O (Speech)"/>
    <n v="1"/>
    <s v="zero_other"/>
    <n v="3"/>
    <s v="overt"/>
    <s v="n/a"/>
    <n v="0"/>
    <n v="0"/>
    <s v="n/a"/>
    <s v="main"/>
    <n v="0"/>
    <x v="0"/>
    <s v="n/a"/>
    <s v="n/a"/>
    <n v="0"/>
    <x v="9"/>
    <x v="3"/>
    <m/>
    <s v="ss"/>
    <x v="0"/>
    <s v="topic-drop"/>
    <s v="contains_new"/>
    <s v="Psych predicate; かくとも as adjunct."/>
    <m/>
    <n v="1"/>
    <s v="non-LVC"/>
    <s v="Yes"/>
    <n v="23"/>
    <m/>
    <n v="1"/>
    <n v="1"/>
    <x v="1"/>
    <x v="4"/>
    <s v="zero_recoverable"/>
    <x v="1"/>
    <n v="1"/>
  </r>
  <r>
    <s v="Heike 2.77"/>
    <s v="云ひつるほどならば (iitsuru hodo naraba)"/>
    <s v="seeing that, if he told him,"/>
    <s v="云ひつる"/>
    <s v="indicative"/>
    <s v="other"/>
    <s v="verb"/>
    <x v="1"/>
    <s v="active"/>
    <s v="positive"/>
    <n v="1"/>
    <n v="0"/>
    <s v="n/a"/>
    <n v="0"/>
    <s v="zero_other"/>
    <n v="3"/>
    <s v="zero_recoverable"/>
    <s v="n/a"/>
    <n v="0"/>
    <n v="1"/>
    <s v="REL"/>
    <s v="subordinate"/>
    <n v="0"/>
    <x v="0"/>
    <s v="n/a"/>
    <s v="n/a"/>
    <n v="0"/>
    <x v="10"/>
    <x v="3"/>
    <m/>
    <s v="ss"/>
    <x v="1"/>
    <s v="topic-drop"/>
    <s v="no_overt_NP"/>
    <m/>
    <m/>
    <n v="0"/>
    <s v="non-LVC"/>
    <s v="Yes"/>
    <n v="24"/>
    <s v="relative"/>
    <n v="1"/>
    <m/>
    <x v="1"/>
    <x v="0"/>
    <s v="n/a"/>
    <x v="1"/>
    <n v="0"/>
  </r>
  <r>
    <s v="Heike 2.78"/>
    <s v="やがて殿上までも斬り上らんずる  yagate tenjō made mo kiriagaranzuru "/>
    <s v="who would even do violence in the Palace itself,"/>
    <s v="斬り上らんずる"/>
    <s v="dynamic"/>
    <s v="other"/>
    <s v="verb"/>
    <x v="0"/>
    <s v="active"/>
    <s v="positive"/>
    <n v="1"/>
    <n v="0"/>
    <s v="n/a"/>
    <n v="2"/>
    <s v="zero_recoverable"/>
    <n v="3"/>
    <s v="n/a"/>
    <s v="n/a"/>
    <n v="1"/>
    <n v="0"/>
    <s v="REL"/>
    <s v="relative"/>
    <n v="0"/>
    <x v="0"/>
    <s v="n/a"/>
    <s v="n/a"/>
    <n v="0"/>
    <x v="2"/>
    <x v="4"/>
    <m/>
    <s v="ds"/>
    <x v="0"/>
    <s v="topic-drop"/>
    <s v="no_overt_NP"/>
    <m/>
    <m/>
    <n v="0"/>
    <s v="non-LVC"/>
    <s v="Yes"/>
    <n v="24"/>
    <s v="subordinate"/>
    <n v="0"/>
    <n v="2"/>
    <x v="1"/>
    <x v="0"/>
    <s v="n/a"/>
    <x v="1"/>
    <n v="0"/>
  </r>
  <r>
    <s v="Heike 2.79"/>
    <s v="者の面魂にてある間 mono no omodamashii nite aru aida"/>
    <s v="he appeared as one "/>
    <s v="にてある"/>
    <s v="indicative"/>
    <s v="other"/>
    <s v="copula"/>
    <x v="0"/>
    <s v="active"/>
    <s v="positive"/>
    <n v="1"/>
    <n v="0"/>
    <s v="n/a"/>
    <n v="0"/>
    <s v="zero_recoverable"/>
    <n v="3"/>
    <s v="n/a"/>
    <s v="n/a"/>
    <n v="0"/>
    <n v="0"/>
    <s v="REL"/>
    <s v="subordinate"/>
    <n v="0"/>
    <x v="0"/>
    <s v="n/a"/>
    <s v="n/a"/>
    <n v="0"/>
    <x v="0"/>
    <x v="1"/>
    <m/>
    <s v="ss"/>
    <x v="1"/>
    <s v="topic-drop"/>
    <s v="no_overt_NP"/>
    <m/>
    <m/>
    <n v="0"/>
    <s v="non-LVC"/>
    <s v="Yes"/>
    <n v="24"/>
    <m/>
    <n v="1"/>
    <n v="3"/>
    <x v="1"/>
    <x v="2"/>
    <s v="n/a"/>
    <x v="1"/>
    <n v="0"/>
  </r>
  <r>
    <s v="Heike 2.80"/>
    <s v="別の事なし (betsu no koto nashi)"/>
    <s v="nothing out of the ordinary had taken place."/>
    <s v="なし"/>
    <s v="indicative"/>
    <s v="other"/>
    <s v="existential verb"/>
    <x v="0"/>
    <s v="active"/>
    <s v="negative"/>
    <n v="1"/>
    <n v="1"/>
    <s v="SUB"/>
    <n v="0"/>
    <s v="overt"/>
    <n v="3"/>
    <s v="n/a"/>
    <s v="n/a"/>
    <n v="0"/>
    <n v="0"/>
    <s v="n/a"/>
    <s v="main"/>
    <n v="0"/>
    <x v="0"/>
    <s v="n/a"/>
    <s v="n/a"/>
    <n v="0"/>
    <x v="2"/>
    <x v="4"/>
    <m/>
    <s v="ds"/>
    <x v="1"/>
    <s v="topic-drop"/>
    <s v="contains_new"/>
    <s v="Subject = 別の事."/>
    <m/>
    <n v="1"/>
    <s v="non-LVC"/>
    <s v="Yes"/>
    <n v="24"/>
    <s v="subordinate"/>
    <n v="1"/>
    <n v="1"/>
    <x v="1"/>
    <x v="1"/>
    <s v="overt"/>
    <x v="0"/>
    <n v="0"/>
  </r>
  <r>
    <s v="Heike 2.81"/>
    <s v="五節には白薄様濃染紙の紙巻上の筆巴書いたる筆の軸など様々かやうに面白き事をのみこそ歌ひ舞はるるに (gosechi ni wa shirauzusama kozomegami no kamimaki ue no fude tomoe kaitaru fude no jiku nado samazama kayō ni omoshiroki koto o nomi koso utai mawaruru ni)"/>
    <s v="In the Go-sechie festival only such pleasing things as white paper, Shuzenji paper, wrapped brushes, or writing brushes with a tomoe on the stem were customarily sung and danced,"/>
    <s v="歌ひ舞はるる"/>
    <s v="indicative"/>
    <s v="other"/>
    <s v="verb(compound)"/>
    <x v="1"/>
    <s v="active"/>
    <s v="positive"/>
    <n v="1"/>
    <n v="1"/>
    <s v="OBJ"/>
    <n v="2"/>
    <s v="zero_exalt"/>
    <n v="3"/>
    <s v="overt"/>
    <s v="n/a"/>
    <n v="0"/>
    <n v="0"/>
    <s v="REL"/>
    <s v="subordinate"/>
    <n v="0"/>
    <x v="1"/>
    <s v="sub"/>
    <s v="honorific_aux"/>
    <n v="0"/>
    <x v="9"/>
    <x v="3"/>
    <m/>
    <s v="ds"/>
    <x v="1"/>
    <s v="topic-shift"/>
    <s v="contains_new"/>
    <s v="Passive/respect; subject omitted; object 面白き事を overt."/>
    <m/>
    <n v="1"/>
    <s v="non-LVC"/>
    <s v="Yes"/>
    <n v="25"/>
    <s v="main"/>
    <n v="1"/>
    <n v="2"/>
    <x v="0"/>
    <x v="2"/>
    <s v="n/a"/>
    <x v="1"/>
    <n v="0"/>
  </r>
  <r>
    <s v="Heike 2.82"/>
    <s v="中比太宰権帥季仲卿といふ人ありけり (chūbi Dazai gon no so Sukechika kyō to iu hito arikeri)"/>
    <s v="but there was a certain Dazai Gon-no-sotsu Suenaka no Kyo,"/>
    <s v="ありけり"/>
    <s v="indicative"/>
    <s v="stative"/>
    <s v="existential verb"/>
    <x v="0"/>
    <s v="active"/>
    <s v="positive"/>
    <n v="1"/>
    <n v="1"/>
    <s v="SUB"/>
    <n v="1"/>
    <s v="overt"/>
    <n v="3"/>
    <s v="n/a"/>
    <s v="n/a"/>
    <n v="0"/>
    <n v="0"/>
    <s v="n/a"/>
    <s v="main"/>
    <n v="0"/>
    <x v="0"/>
    <s v="n/a"/>
    <s v="n/a"/>
    <n v="0"/>
    <x v="2"/>
    <x v="4"/>
    <m/>
    <s v="ds"/>
    <x v="1"/>
    <s v="topic-introduced"/>
    <s v="contains_new"/>
    <s v="frame predicate"/>
    <m/>
    <n v="1"/>
    <s v="non-LVC"/>
    <s v="Yes"/>
    <n v="25"/>
    <s v="subordinate"/>
    <n v="1"/>
    <n v="1"/>
    <x v="1"/>
    <x v="2"/>
    <s v="n/a"/>
    <x v="1"/>
    <n v="0"/>
  </r>
  <r>
    <s v="Heike 2.83"/>
    <s v="あまりに色の黒かりければ (amari ni iro no kurokarikereba)"/>
    <s v="who was of so dark a complexion that"/>
    <s v="黒かりければ"/>
    <s v="indicative"/>
    <s v="other"/>
    <s v="adjectival predicate"/>
    <x v="0"/>
    <s v="active"/>
    <s v="positive"/>
    <n v="1"/>
    <n v="1"/>
    <s v="SUB"/>
    <n v="1"/>
    <s v="overt"/>
    <n v="3"/>
    <s v="n/a"/>
    <s v="not_applicable"/>
    <n v="0"/>
    <n v="0"/>
    <s v="n/a"/>
    <s v="subordinate"/>
    <n v="0"/>
    <x v="0"/>
    <s v="n/a"/>
    <s v="n/a"/>
    <n v="0"/>
    <x v="3"/>
    <x v="3"/>
    <m/>
    <s v="ds"/>
    <x v="1"/>
    <s v="topic-drop"/>
    <s v="contains_new"/>
    <s v="Adjectival predicate; subject = 色."/>
    <m/>
    <n v="1"/>
    <s v="non-LVC"/>
    <s v="Yes"/>
    <n v="26"/>
    <s v="main"/>
    <n v="1"/>
    <n v="2"/>
    <x v="1"/>
    <x v="2"/>
    <s v="overt"/>
    <x v="1"/>
    <n v="0"/>
  </r>
  <r>
    <s v="Heike 2.84"/>
    <s v="見る人黒帥とぞ申しける (miru hito kurosotsu to zo mōshikeru)"/>
    <s v="people called him 'kuro-sotsu',"/>
    <s v="申しける"/>
    <s v="indicative"/>
    <s v="action"/>
    <s v="verb"/>
    <x v="1"/>
    <s v="active"/>
    <s v="positive"/>
    <n v="1"/>
    <n v="2"/>
    <s v="S+O"/>
    <n v="0"/>
    <s v="overt"/>
    <n v="3"/>
    <s v="overt"/>
    <s v="n/a"/>
    <n v="0"/>
    <n v="0"/>
    <s v="n/a"/>
    <s v="main"/>
    <n v="1"/>
    <x v="0"/>
    <s v="n/a"/>
    <s v="lexical_humble_verb"/>
    <n v="0"/>
    <x v="2"/>
    <x v="4"/>
    <m/>
    <s v="ds"/>
    <x v="0"/>
    <s v="topic-drop"/>
    <s v="contains_new"/>
    <s v="申す humble; subject overt; counted as EXALT INSIG."/>
    <m/>
    <n v="2"/>
    <s v="non-LVC"/>
    <s v="Yes"/>
    <n v="26"/>
    <m/>
    <n v="1"/>
    <n v="1"/>
    <x v="1"/>
    <x v="2"/>
    <s v="n/a"/>
    <x v="1"/>
    <n v="0"/>
  </r>
  <r>
    <s v="Heike 2.85"/>
    <s v="その人未だ蔵人頭たりし時 (sono hito imada kurōdo no tō tarishi toki)"/>
    <s v="and while he was still Kurando-no-to, "/>
    <s v="たりし"/>
    <s v="indicative"/>
    <s v="stative"/>
    <s v="copula"/>
    <x v="0"/>
    <s v="active"/>
    <s v="positive"/>
    <n v="1"/>
    <n v="1"/>
    <s v="SUB"/>
    <n v="0"/>
    <s v="overt"/>
    <n v="3"/>
    <s v="n/a"/>
    <s v="n/a"/>
    <n v="0"/>
    <n v="0"/>
    <s v="REL"/>
    <s v="subordinate"/>
    <n v="0"/>
    <x v="0"/>
    <s v="n/a"/>
    <s v="honorific_aux"/>
    <n v="0"/>
    <x v="0"/>
    <x v="3"/>
    <m/>
    <s v="ss"/>
    <x v="0"/>
    <s v="topic-continued"/>
    <s v="no_overt_NP"/>
    <m/>
    <m/>
    <n v="1"/>
    <s v="non-LVC"/>
    <s v="Yes"/>
    <n v="27"/>
    <s v="subordinate"/>
    <n v="1"/>
    <n v="2"/>
    <x v="1"/>
    <x v="1"/>
    <s v="n/a"/>
    <x v="0"/>
    <n v="0"/>
  </r>
  <r>
    <s v="Heike 2.86"/>
    <s v="五節に舞はれけるに gosechi ni mawarekeru ni"/>
    <s v="when he danced at the Go-sechie,"/>
    <s v="舞はれける"/>
    <s v="indicative"/>
    <s v="action"/>
    <s v="verb"/>
    <x v="0"/>
    <s v="active"/>
    <s v="positive"/>
    <n v="1"/>
    <n v="0"/>
    <s v="n/a"/>
    <n v="0"/>
    <s v="zero_exalt"/>
    <n v="3"/>
    <s v="n/a"/>
    <s v="n/a"/>
    <n v="0"/>
    <n v="0"/>
    <s v="REL"/>
    <s v="subordinate"/>
    <n v="0"/>
    <x v="1"/>
    <s v="sub"/>
    <s v="lexical_honorific_verb"/>
    <n v="0"/>
    <x v="0"/>
    <x v="4"/>
    <m/>
    <s v="ss"/>
    <x v="1"/>
    <s v="topic-drop"/>
    <s v="no_overt_NP"/>
    <m/>
    <m/>
    <n v="0"/>
    <s v="non-LVC"/>
    <s v="Yes"/>
    <n v="27"/>
    <m/>
    <n v="1"/>
    <n v="3"/>
    <x v="1"/>
    <x v="2"/>
    <s v="overt"/>
    <x v="1"/>
    <n v="0"/>
  </r>
  <r>
    <s v="Heike 2.87"/>
    <s v="人々拍子を変へて (hitobito hyōshi o kaete)"/>
    <s v="they changed the rhythm of the music"/>
    <s v="変へて"/>
    <s v="indicative"/>
    <s v="other"/>
    <s v="verb"/>
    <x v="1"/>
    <s v="active"/>
    <s v="positive"/>
    <n v="1"/>
    <n v="2"/>
    <s v="S+O"/>
    <n v="0"/>
    <s v="overt"/>
    <n v="3"/>
    <s v="overt"/>
    <s v="n/a"/>
    <n v="0"/>
    <n v="0"/>
    <s v="n/a"/>
    <s v="te"/>
    <n v="0"/>
    <x v="0"/>
    <s v="n/a"/>
    <s v="n/a"/>
    <n v="0"/>
    <x v="1"/>
    <x v="4"/>
    <s v="te_medial"/>
    <s v="ds"/>
    <x v="0"/>
    <s v="topic-drop"/>
    <s v="contains_new"/>
    <m/>
    <m/>
    <n v="2"/>
    <s v="non-LVC"/>
    <s v="Yes"/>
    <n v="27"/>
    <s v="main"/>
    <n v="1"/>
    <n v="4"/>
    <x v="1"/>
    <x v="2"/>
    <s v="n/a"/>
    <x v="1"/>
    <n v="0"/>
  </r>
  <r>
    <s v="Heike 2.88"/>
    <s v="あなくろくろ黒き頭かな (ana kuro kuro kuroki atama kana)"/>
    <s v="&quot;Oh what a black, black head!&quot;"/>
    <s v="N/A (exclamatory nominal clause)"/>
    <s v="indicative"/>
    <s v="other"/>
    <s v="none"/>
    <x v="0"/>
    <m/>
    <m/>
    <n v="0"/>
    <n v="1"/>
    <s v="SUB"/>
    <n v="0"/>
    <s v="overt"/>
    <n v="3"/>
    <s v="n/a"/>
    <s v="n/a"/>
    <n v="0"/>
    <n v="0"/>
    <s v="n/a"/>
    <s v="main"/>
    <n v="0"/>
    <x v="0"/>
    <s v="n/a"/>
    <s v="n/a"/>
    <n v="0"/>
    <x v="2"/>
    <x v="2"/>
    <m/>
    <s v="ss"/>
    <x v="1"/>
    <s v="topic-drop"/>
    <s v="contains_new"/>
    <m/>
    <m/>
    <m/>
    <s v="non-LVC"/>
    <s v="Yes"/>
    <n v="27"/>
    <s v="complement"/>
    <n v="1"/>
    <n v="1"/>
    <x v="1"/>
    <x v="2"/>
    <s v="overt"/>
    <x v="1"/>
    <n v="0"/>
  </r>
  <r>
    <s v="Heike 2.89"/>
    <s v="いかなる人の漆塗りけんとぞ (ikanaru hito no urushinuriken to zo )"/>
    <s v="&quot;someone must have painted him with lacquer&quot;"/>
    <s v="漆塗りけん"/>
    <s v="epistemic"/>
    <s v="other"/>
    <s v="verb"/>
    <x v="1"/>
    <s v="active"/>
    <s v="positive"/>
    <n v="1"/>
    <n v="2"/>
    <s v="S+O"/>
    <n v="0"/>
    <s v="overt"/>
    <n v="3"/>
    <s v="overt"/>
    <s v="n/a"/>
    <n v="0"/>
    <n v="0"/>
    <s v="n/a"/>
    <s v="complement"/>
    <n v="0"/>
    <x v="0"/>
    <s v="n/a"/>
    <s v="n/a"/>
    <n v="0"/>
    <x v="4"/>
    <x v="3"/>
    <m/>
    <s v="ds"/>
    <x v="1"/>
    <s v="topic-drop"/>
    <s v="contains_new"/>
    <m/>
    <m/>
    <n v="2"/>
    <s v="non-LVC"/>
    <s v="Yes"/>
    <n v="28"/>
    <m/>
    <n v="1"/>
    <n v="2"/>
    <x v="0"/>
    <x v="1"/>
    <s v="overt"/>
    <x v="0"/>
    <n v="0"/>
  </r>
  <r>
    <s v="Heike 2.90"/>
    <s v="囃されける (hayasarekeru)"/>
    <s v="they sang in mockery."/>
    <s v="囃されける"/>
    <s v="indicative"/>
    <s v="communication"/>
    <s v="verb"/>
    <x v="1"/>
    <s v="active"/>
    <s v="positive"/>
    <n v="1"/>
    <n v="1"/>
    <s v="O (Speech)"/>
    <n v="0"/>
    <s v="zero_exalt"/>
    <n v="3"/>
    <s v="overt"/>
    <s v="n/a"/>
    <n v="0"/>
    <n v="0"/>
    <s v="n/a"/>
    <s v="main"/>
    <n v="0"/>
    <x v="1"/>
    <s v="sub"/>
    <s v="honorific_aux"/>
    <n v="0"/>
    <x v="2"/>
    <x v="7"/>
    <m/>
    <s v="ds"/>
    <x v="1"/>
    <s v="topic-drop"/>
    <s v="no_overt_NP"/>
    <m/>
    <m/>
    <n v="1"/>
    <s v="non-LVC"/>
    <s v="Yes"/>
    <n v="28"/>
    <m/>
    <n v="1"/>
    <n v="1"/>
    <x v="1"/>
    <x v="2"/>
    <s v="n/a"/>
    <x v="1"/>
    <n v="0"/>
  </r>
  <r>
    <s v="Heike 2.91"/>
    <s v="また花山院前太政大臣忠雅公未だ十歳と申しし時 (mata Kazanin no saki no Daijōdaijin Tadamasa kō imada jissai to mōshi shi toki)"/>
    <s v="Also, when Prince Tadamasa of the Kazan-in, the former Prime Minister, was only ten years old,"/>
    <s v="申しし"/>
    <s v="indicative"/>
    <s v="action"/>
    <s v="verb"/>
    <x v="0"/>
    <s v="active"/>
    <s v="positive"/>
    <n v="1"/>
    <n v="1"/>
    <s v="SUB"/>
    <n v="1"/>
    <s v="overt"/>
    <n v="3"/>
    <s v="n/a"/>
    <s v="n/a"/>
    <n v="0"/>
    <n v="0"/>
    <s v="n/a"/>
    <s v="subordinate"/>
    <n v="1"/>
    <x v="0"/>
    <s v="sub"/>
    <s v="lexical_humble_verb"/>
    <n v="0"/>
    <x v="0"/>
    <x v="3"/>
    <m/>
    <s v="ds"/>
    <x v="0"/>
    <s v="topic-introduced"/>
    <s v="contains_new"/>
    <m/>
    <m/>
    <n v="1"/>
    <s v="non-LVC"/>
    <s v="Yes"/>
    <n v="29"/>
    <s v="te"/>
    <n v="1"/>
    <n v="2"/>
    <x v="0"/>
    <x v="1"/>
    <s v="n/a"/>
    <x v="0"/>
    <n v="0"/>
  </r>
  <r>
    <s v="Heike 2.92"/>
    <s v="父中納言忠宗卿に後れ給ひて (chichi Chūnagon Tadamune kyō ni okure tamai te)"/>
    <s v="having lost his father, Chunagon Tadamune,"/>
    <s v="後れ給ひて"/>
    <s v="indicative"/>
    <s v="action"/>
    <s v="verb"/>
    <x v="0"/>
    <s v="active"/>
    <s v="positive"/>
    <n v="1"/>
    <n v="1"/>
    <s v="IO"/>
    <n v="0"/>
    <s v="zero_exalt"/>
    <n v="3"/>
    <s v="n/a"/>
    <s v="overt"/>
    <n v="0"/>
    <n v="0"/>
    <s v="n/a"/>
    <s v="te"/>
    <n v="0"/>
    <x v="1"/>
    <s v="sub"/>
    <s v="lexical_honorific_verb"/>
    <n v="0"/>
    <x v="1"/>
    <x v="4"/>
    <s v="te_medial"/>
    <s v="ss"/>
    <x v="0"/>
    <s v="topic-introduced"/>
    <s v="contains_new"/>
    <m/>
    <m/>
    <n v="1"/>
    <s v="non-LVC"/>
    <s v="Yes"/>
    <n v="29"/>
    <s v="subordinate"/>
    <n v="1"/>
    <n v="3"/>
    <x v="1"/>
    <x v="1"/>
    <s v="n/a"/>
    <x v="1"/>
    <n v="0"/>
  </r>
  <r>
    <s v="Heike 2.93"/>
    <s v="孤子にておはせしを (koji nite ohaseshi o)"/>
    <s v="and being left an orphan,"/>
    <s v="おはせし"/>
    <s v="indicative"/>
    <s v="action"/>
    <s v="existential verb"/>
    <x v="0"/>
    <s v="active"/>
    <s v="positive"/>
    <n v="1"/>
    <n v="0"/>
    <s v="n/a"/>
    <n v="0"/>
    <s v="zero_exalt"/>
    <n v="3"/>
    <s v="n/a"/>
    <s v="n/a"/>
    <n v="0"/>
    <n v="0"/>
    <s v="REL"/>
    <s v="subordinate"/>
    <n v="0"/>
    <x v="1"/>
    <s v="sub"/>
    <s v="lexical_honorific_verb"/>
    <n v="0"/>
    <x v="9"/>
    <x v="2"/>
    <m/>
    <s v="ss"/>
    <x v="1"/>
    <s v="topic-drop"/>
    <s v="contains_new"/>
    <m/>
    <m/>
    <n v="0"/>
    <s v="non-LVC"/>
    <s v="Yes"/>
    <n v="29"/>
    <s v="subordinate"/>
    <n v="1"/>
    <n v="4"/>
    <x v="1"/>
    <x v="2"/>
    <s v="n/a"/>
    <x v="1"/>
    <n v="0"/>
  </r>
  <r>
    <s v="Heike 2.94"/>
    <s v="故中御門藤中納言家成卿未だ播磨守にておはしけるが ko-Nakamikado Fuji Chūnagon Ienari kyō imada Harima no kami nite ohasikeru ga"/>
    <s v=" by Fuji Chūnagon Ienari, then Harima no Kami,"/>
    <s v="おはしける"/>
    <s v="indicative"/>
    <s v="stative"/>
    <s v="copula"/>
    <x v="0"/>
    <s v="active"/>
    <s v="positive"/>
    <n v="1"/>
    <n v="1"/>
    <s v="SUB"/>
    <n v="1"/>
    <s v="overt"/>
    <n v="3"/>
    <s v="n/a"/>
    <s v="n/a"/>
    <n v="0"/>
    <n v="0"/>
    <s v="REL"/>
    <s v="subordinate"/>
    <n v="1"/>
    <x v="0"/>
    <s v="sub"/>
    <s v="lexical_honorific_verb"/>
    <n v="0"/>
    <x v="9"/>
    <x v="4"/>
    <m/>
    <s v="ds"/>
    <x v="0"/>
    <s v="topic-introduced"/>
    <s v="contains_new"/>
    <m/>
    <m/>
    <n v="1"/>
    <s v="non-LVC"/>
    <s v="Yes"/>
    <n v="29"/>
    <s v="te"/>
    <n v="1"/>
    <n v="5"/>
    <x v="1"/>
    <x v="0"/>
    <s v="zero_recoverable"/>
    <x v="0"/>
    <n v="0"/>
  </r>
  <r>
    <s v="Heike 2.95"/>
    <s v="聟に取りて muko ni torite "/>
    <s v="he was taken as son-in-law"/>
    <s v="取りて"/>
    <s v="indicative"/>
    <s v="action"/>
    <s v="verb"/>
    <x v="1"/>
    <s v="active"/>
    <s v="positive"/>
    <n v="1"/>
    <n v="1"/>
    <s v="IO"/>
    <n v="0"/>
    <s v="zero_recoverable"/>
    <n v="3"/>
    <s v="zero_recoverable"/>
    <s v="overt"/>
    <n v="0"/>
    <n v="0"/>
    <s v="n/a"/>
    <s v="te"/>
    <n v="0"/>
    <x v="0"/>
    <s v="n/a"/>
    <s v="n/a"/>
    <n v="0"/>
    <x v="2"/>
    <x v="4"/>
    <s v="te_medial"/>
    <s v="ss"/>
    <x v="0"/>
    <s v="topic-drop"/>
    <s v="contains_new"/>
    <m/>
    <m/>
    <n v="1"/>
    <s v="non-LVC"/>
    <s v="Yes"/>
    <n v="29"/>
    <s v="subordinate"/>
    <n v="1"/>
    <n v="6"/>
    <x v="1"/>
    <x v="0"/>
    <s v="n/a"/>
    <x v="1"/>
    <n v="0"/>
  </r>
  <r>
    <s v="Heike 2.96"/>
    <s v="華やかにもてなされければ  hanayaka ni motenasarekereba"/>
    <s v="and splendidly welcomed,"/>
    <s v="もてなされければ"/>
    <s v="indicative"/>
    <s v="action"/>
    <s v="verb"/>
    <x v="0"/>
    <s v="passive"/>
    <s v="positive"/>
    <n v="1"/>
    <n v="0"/>
    <s v="n/a"/>
    <n v="0"/>
    <s v="zero_recoverable"/>
    <n v="3"/>
    <s v="n/a"/>
    <s v="zero_recoverable"/>
    <n v="0"/>
    <n v="0"/>
    <s v="n/a"/>
    <s v="subordinate"/>
    <n v="0"/>
    <x v="0"/>
    <s v="n/a"/>
    <s v="n/a"/>
    <n v="0"/>
    <x v="3"/>
    <x v="2"/>
    <m/>
    <s v="ss"/>
    <x v="1"/>
    <s v="topic-drop"/>
    <s v="contains_new"/>
    <s v="verbal sequence"/>
    <m/>
    <n v="0"/>
    <s v="non-LVC"/>
    <s v="Yes"/>
    <n v="29"/>
    <s v="complement"/>
    <n v="1"/>
    <n v="7"/>
    <x v="1"/>
    <x v="2"/>
    <s v="overt"/>
    <x v="1"/>
    <n v="0"/>
  </r>
  <r>
    <s v="Heike 2.97"/>
    <s v="これも五節には播磨の米は木賊か椋の葉か人の綺羅を磨くはとぞ (kore mo gosechi ni wa Harima no kome wa tokusa ka mukuno ha ka hito no kira o migaku wa to zo)"/>
    <s v="at that Go-sechie with the refrain ‘The rice of Harima...’"/>
    <s v="磨く"/>
    <s v="indicative"/>
    <s v="action"/>
    <s v="verb"/>
    <x v="1"/>
    <s v="active"/>
    <s v="positive"/>
    <n v="1"/>
    <n v="2"/>
    <s v="S+O"/>
    <n v="1"/>
    <s v="overt"/>
    <n v="3"/>
    <s v="overt"/>
    <s v="n/a"/>
    <n v="0"/>
    <n v="0"/>
    <s v="REL"/>
    <s v="complement"/>
    <n v="0"/>
    <x v="0"/>
    <s v="n/a"/>
    <s v="honorific_aux"/>
    <n v="0"/>
    <x v="2"/>
    <x v="4"/>
    <m/>
    <s v="ds"/>
    <x v="1"/>
    <s v="topic-drop"/>
    <s v="contains_new"/>
    <m/>
    <m/>
    <n v="2"/>
    <s v="non-LVC"/>
    <s v="Yes"/>
    <n v="29"/>
    <m/>
    <n v="1"/>
    <n v="8"/>
    <x v="1"/>
    <x v="0"/>
    <s v="n/a"/>
    <x v="0"/>
    <n v="0"/>
  </r>
  <r>
    <s v="Heike 2.98"/>
    <s v="囃されける hayasarekeru"/>
    <s v=" they also japed at him"/>
    <s v="囃されける"/>
    <s v="indicative"/>
    <s v="action"/>
    <s v="verb"/>
    <x v="0"/>
    <s v="passive"/>
    <s v="positive"/>
    <n v="1"/>
    <n v="0"/>
    <s v="n/a"/>
    <n v="1"/>
    <s v="zero_recoverable"/>
    <n v="3"/>
    <s v="n/a"/>
    <s v="n/a"/>
    <n v="0"/>
    <n v="0"/>
    <s v="kakari-musubi"/>
    <s v="main"/>
    <n v="0"/>
    <x v="0"/>
    <s v="n/a"/>
    <s v="n/a"/>
    <n v="0"/>
    <x v="4"/>
    <x v="7"/>
    <m/>
    <s v="ds"/>
    <x v="1"/>
    <s v="topic-drop"/>
    <s v="no_overt_NP"/>
    <m/>
    <m/>
    <n v="0"/>
    <s v="non-LVC"/>
    <s v="Yes"/>
    <n v="29"/>
    <m/>
    <n v="1"/>
    <n v="1"/>
    <x v="1"/>
    <x v="5"/>
    <s v="n/a"/>
    <x v="1"/>
    <n v="0"/>
  </r>
  <r>
    <s v="Heike 2.99"/>
    <s v="上古にはかやうにありしかども (jōko ni wa kayō ni arishikadomo )"/>
    <s v="Long ago such things had happened, "/>
    <s v="ありし / 出で来ず"/>
    <s v="indicative"/>
    <s v="action"/>
    <s v="existential verb"/>
    <x v="0"/>
    <s v="active"/>
    <s v="positive"/>
    <n v="1"/>
    <n v="0"/>
    <s v="n/a"/>
    <n v="2"/>
    <s v="zero_uncertain"/>
    <n v="0"/>
    <s v="n/a"/>
    <s v="n/a"/>
    <n v="0"/>
    <n v="0"/>
    <s v="n/a"/>
    <s v="subordinate"/>
    <n v="0"/>
    <x v="0"/>
    <s v="n/a"/>
    <s v="n/a"/>
    <n v="0"/>
    <x v="9"/>
    <x v="3"/>
    <m/>
    <s v="ds"/>
    <x v="1"/>
    <s v="topic-shift"/>
    <s v="contains_new"/>
    <m/>
    <m/>
    <n v="0"/>
    <s v="non-LVC"/>
    <s v="Yes"/>
    <n v="30"/>
    <s v="subordinate"/>
    <n v="1"/>
    <n v="2"/>
    <x v="0"/>
    <x v="2"/>
    <s v="n/a"/>
    <x v="1"/>
    <n v="0"/>
  </r>
  <r>
    <s v="Heike 2.100"/>
    <s v="事出で来ず koto idekozu"/>
    <s v="but nothing had come of them,"/>
    <s v="出で来ず"/>
    <s v="indicative"/>
    <s v="stative"/>
    <s v="idiom"/>
    <x v="0"/>
    <s v="active"/>
    <s v="negative"/>
    <n v="1"/>
    <n v="1"/>
    <s v="SUB"/>
    <n v="0"/>
    <s v="overt"/>
    <n v="3"/>
    <s v="n/a"/>
    <s v="n/a"/>
    <n v="0"/>
    <n v="0"/>
    <s v="n/a"/>
    <s v="subordinate"/>
    <n v="0"/>
    <x v="0"/>
    <s v="n/a"/>
    <s v="n/a"/>
    <n v="0"/>
    <x v="2"/>
    <x v="4"/>
    <m/>
    <s v="ds"/>
    <x v="2"/>
    <s v="topic-drop"/>
    <s v="contains_new"/>
    <m/>
    <m/>
    <n v="1"/>
    <s v="non-LVC"/>
    <s v="Yes"/>
    <n v="30"/>
    <m/>
    <n v="1"/>
    <n v="3"/>
    <x v="1"/>
    <x v="3"/>
    <m/>
    <x v="1"/>
    <n v="0"/>
  </r>
  <r>
    <s v="Heike 2.101"/>
    <s v="末代いかがあらんずらん (matsudai ikaga aranzuran obotsukanashi)"/>
    <s v="and people said that what was to be done"/>
    <s v="あらんずらん"/>
    <s v="epistemic"/>
    <s v="stative"/>
    <s v="idiom"/>
    <x v="2"/>
    <m/>
    <m/>
    <m/>
    <m/>
    <m/>
    <m/>
    <m/>
    <m/>
    <m/>
    <m/>
    <m/>
    <m/>
    <m/>
    <m/>
    <m/>
    <x v="2"/>
    <s v="n/a"/>
    <s v="n/a"/>
    <m/>
    <x v="5"/>
    <x v="4"/>
    <m/>
    <m/>
    <x v="1"/>
    <m/>
    <m/>
    <m/>
    <m/>
    <m/>
    <s v="non-LVC"/>
    <s v="Yes"/>
    <n v="30"/>
    <m/>
    <n v="1"/>
    <n v="4"/>
    <x v="1"/>
    <x v="5"/>
    <s v="n/a"/>
    <x v="1"/>
    <n v="0"/>
  </r>
  <r>
    <s v="Heike 2.102"/>
    <s v="覚束なし"/>
    <s v="was doubtful"/>
    <s v="覚束なし"/>
    <s v="indicative"/>
    <s v="psych-state"/>
    <s v="adjectival predicate"/>
    <x v="0"/>
    <s v="active"/>
    <s v="negative"/>
    <n v="1"/>
    <n v="0"/>
    <s v="n/a"/>
    <n v="0"/>
    <s v="zero_uncertain"/>
    <n v="0"/>
    <s v="n/a"/>
    <s v="n/a"/>
    <n v="0"/>
    <n v="0"/>
    <s v="n/a"/>
    <s v="main"/>
    <n v="0"/>
    <x v="0"/>
    <s v="n/a"/>
    <s v="n/a"/>
    <n v="0"/>
    <x v="2"/>
    <x v="8"/>
    <m/>
    <s v="ds"/>
    <x v="1"/>
    <s v="topic-drop"/>
    <s v="no_overt_NP"/>
    <m/>
    <m/>
    <n v="0"/>
    <s v="non-LVC"/>
    <s v="Yes"/>
    <n v="30"/>
    <m/>
    <n v="1"/>
    <n v="1"/>
    <x v="1"/>
    <x v="2"/>
    <s v="n/a"/>
    <x v="1"/>
    <n v="0"/>
  </r>
  <r>
    <s v="Heike 2.103"/>
    <s v="案の如く五節果てにしかば (an no gotoku gosechi hate ni shikaba)"/>
    <s v="As he had expected, after the conclusion of the festival,"/>
    <s v="果てにしかば"/>
    <s v="indicative"/>
    <s v="other"/>
    <s v="verb"/>
    <x v="0"/>
    <s v="active"/>
    <s v="positive"/>
    <n v="1"/>
    <n v="1"/>
    <s v="SUB"/>
    <n v="1"/>
    <s v="overt"/>
    <n v="3"/>
    <s v="n/a"/>
    <s v="n/a"/>
    <n v="0"/>
    <n v="0"/>
    <s v="n/a"/>
    <s v="subordinate"/>
    <n v="0"/>
    <x v="0"/>
    <s v="n/a"/>
    <s v="n/a"/>
    <n v="0"/>
    <x v="0"/>
    <x v="3"/>
    <m/>
    <s v="ds"/>
    <x v="1"/>
    <s v="topic-shift"/>
    <s v="contains_new"/>
    <m/>
    <m/>
    <n v="1"/>
    <s v="non-LVC"/>
    <s v="Yes"/>
    <n v="31"/>
    <s v="subordinate"/>
    <n v="1"/>
    <n v="2"/>
    <x v="0"/>
    <x v="2"/>
    <s v="zero_other"/>
    <x v="1"/>
    <n v="0"/>
  </r>
  <r>
    <s v="Heike 2.104"/>
    <s v="殿上人一同に訴へ申されけるは (tenjōbito ichidō ni uttaemōsarekeru wa)"/>
    <s v="all the courtiers and officials together appealed,"/>
    <s v="訴へ申されける"/>
    <s v="indicative"/>
    <s v="other"/>
    <s v="verb"/>
    <x v="1"/>
    <s v="active"/>
    <s v="positive"/>
    <n v="1"/>
    <n v="1"/>
    <s v="SUB"/>
    <n v="1"/>
    <s v="overt"/>
    <n v="3"/>
    <s v="zero_other"/>
    <s v="n/a"/>
    <n v="0"/>
    <n v="0"/>
    <s v="SUB"/>
    <s v="subordinate"/>
    <n v="1"/>
    <x v="0"/>
    <s v="sub"/>
    <s v="honorific_aux+lexical_humble_verb"/>
    <n v="0"/>
    <x v="2"/>
    <x v="4"/>
    <m/>
    <s v="ds"/>
    <x v="1"/>
    <s v="topic-drop"/>
    <s v="contains_new"/>
    <s v="nominalisation"/>
    <m/>
    <n v="1"/>
    <s v="non-LVC"/>
    <s v="Yes"/>
    <n v="31"/>
    <s v="te"/>
    <n v="1"/>
    <n v="3"/>
    <x v="1"/>
    <x v="0"/>
    <s v="overt"/>
    <x v="0"/>
    <n v="0"/>
  </r>
  <r>
    <s v="Heike 2.105"/>
    <s v="それ雄剣を帯して (sore yūken o tai shitei)"/>
    <s v="that wearing a sword"/>
    <s v="帯して "/>
    <s v="indicative"/>
    <s v="action"/>
    <s v="LVC"/>
    <x v="1"/>
    <s v="active"/>
    <s v="positive"/>
    <n v="1"/>
    <n v="1"/>
    <s v="OBJ"/>
    <n v="0"/>
    <s v="zero_recoverable"/>
    <n v="3"/>
    <s v="overt"/>
    <s v="n/a"/>
    <n v="0"/>
    <n v="0"/>
    <s v="n/a"/>
    <s v="te"/>
    <n v="0"/>
    <x v="0"/>
    <s v="n/a"/>
    <s v="n/a"/>
    <n v="0"/>
    <x v="2"/>
    <x v="4"/>
    <s v="te_medial"/>
    <s v="ds"/>
    <x v="0"/>
    <s v="topic-drop"/>
    <s v="contains_new"/>
    <m/>
    <m/>
    <n v="1"/>
    <s v="LVC"/>
    <s v="Yes"/>
    <n v="31"/>
    <s v="te"/>
    <n v="1"/>
    <n v="4"/>
    <x v="1"/>
    <x v="0"/>
    <s v="none"/>
    <x v="1"/>
    <n v="0"/>
  </r>
  <r>
    <s v="Heike 2.106"/>
    <s v="公宴に列し  kōen ni res shi"/>
    <s v=" coming to a Court entertainment "/>
    <s v="列し"/>
    <s v="indicative"/>
    <s v="motion"/>
    <s v="LVC"/>
    <x v="0"/>
    <s v="active"/>
    <s v="positive"/>
    <n v="1"/>
    <n v="1"/>
    <s v="IO"/>
    <n v="0"/>
    <s v="zero_recoverable"/>
    <n v="3"/>
    <s v="none"/>
    <s v="overt"/>
    <n v="0"/>
    <n v="0"/>
    <s v="n/a"/>
    <s v="te"/>
    <n v="0"/>
    <x v="0"/>
    <s v="n/a"/>
    <s v="n/a"/>
    <n v="0"/>
    <x v="2"/>
    <x v="2"/>
    <s v="te_medial"/>
    <s v="ss"/>
    <x v="0"/>
    <s v="topic-drop"/>
    <s v="contains_new"/>
    <m/>
    <m/>
    <n v="1"/>
    <s v="LVC"/>
    <s v="Yes"/>
    <n v="31"/>
    <s v="te"/>
    <n v="1"/>
    <n v="5"/>
    <x v="1"/>
    <x v="1"/>
    <s v="overt"/>
    <x v="1"/>
    <n v="0"/>
  </r>
  <r>
    <s v="Heike 2.107"/>
    <s v="兵仗を賜はりて  hyōjō o tamawari te "/>
    <s v="and bearing arms "/>
    <s v="賜はりて"/>
    <s v="indicative"/>
    <s v="action"/>
    <s v="verb"/>
    <x v="1"/>
    <s v="active"/>
    <s v="positive"/>
    <n v="1"/>
    <n v="1"/>
    <s v="OBJ"/>
    <n v="0"/>
    <s v="zero_exalt"/>
    <n v="3"/>
    <s v="overt"/>
    <s v="n/a"/>
    <n v="0"/>
    <n v="0"/>
    <s v="n/a"/>
    <s v="te"/>
    <n v="0"/>
    <x v="1"/>
    <s v="sub"/>
    <s v="lexical_humble_verb"/>
    <n v="0"/>
    <x v="2"/>
    <x v="2"/>
    <s v="te_medial"/>
    <s v="ss"/>
    <x v="0"/>
    <s v="topic-drop"/>
    <s v="contains_new"/>
    <m/>
    <m/>
    <n v="1"/>
    <s v="non-LVC"/>
    <s v="Yes"/>
    <n v="31"/>
    <s v="subordinate"/>
    <n v="1"/>
    <n v="6"/>
    <x v="1"/>
    <x v="0"/>
    <s v="overt"/>
    <x v="1"/>
    <n v="0"/>
  </r>
  <r>
    <s v="Heike 2.108"/>
    <s v="宮中を出入りするは kyūchū o ideiri suru wa "/>
    <s v="when passing in and out of the Palace"/>
    <s v="出入りする"/>
    <s v="indicative"/>
    <s v="motion"/>
    <s v="verb"/>
    <x v="1"/>
    <s v="active"/>
    <s v="positive"/>
    <n v="1"/>
    <n v="1"/>
    <s v="OBJ"/>
    <n v="0"/>
    <s v="zero_recoverable"/>
    <n v="3"/>
    <s v="overt"/>
    <s v="n/a"/>
    <n v="0"/>
    <n v="0"/>
    <s v="SUB"/>
    <s v="subordinate"/>
    <n v="0"/>
    <x v="0"/>
    <s v="n/a"/>
    <s v="n/a"/>
    <n v="0"/>
    <x v="2"/>
    <x v="2"/>
    <m/>
    <s v="ss"/>
    <x v="1"/>
    <s v="topic-drop"/>
    <s v="contains_new"/>
    <s v="nominalisation"/>
    <m/>
    <n v="1"/>
    <s v="non-LVC"/>
    <s v="Yes"/>
    <n v="31"/>
    <s v="relative"/>
    <n v="1"/>
    <m/>
    <x v="1"/>
    <x v="2"/>
    <s v="overt"/>
    <x v="1"/>
    <n v="0"/>
  </r>
  <r>
    <s v="Heike 2.109"/>
    <s v="皆格式の礼を守る mina kakushiki no rei o mamoru"/>
    <s v=" is according to ancient precedent,"/>
    <s v="守る"/>
    <s v="indicative"/>
    <s v="action"/>
    <s v="verb"/>
    <x v="1"/>
    <s v="active"/>
    <s v="positive"/>
    <n v="1"/>
    <n v="2"/>
    <s v="S+O"/>
    <n v="0"/>
    <s v="overt"/>
    <n v="3"/>
    <s v="overt"/>
    <s v="n/a"/>
    <n v="0"/>
    <n v="1"/>
    <s v="REL"/>
    <s v="relative"/>
    <n v="0"/>
    <x v="0"/>
    <s v="n/a"/>
    <s v="n/a"/>
    <n v="0"/>
    <x v="2"/>
    <x v="4"/>
    <m/>
    <s v="ds"/>
    <x v="1"/>
    <s v="topic-drop"/>
    <s v="contains_new"/>
    <m/>
    <m/>
    <n v="2"/>
    <s v="non-LVC"/>
    <s v="Yes"/>
    <n v="31"/>
    <s v="relative"/>
    <n v="0"/>
    <m/>
    <x v="1"/>
    <x v="2"/>
    <s v="n/a"/>
    <x v="1"/>
    <n v="0"/>
  </r>
  <r>
    <s v="Heike 2.110"/>
    <s v="綸命由ある  rinmei yoshi aru "/>
    <m/>
    <s v="ある"/>
    <s v="indicative"/>
    <s v="stative"/>
    <s v="existential verb"/>
    <x v="0"/>
    <s v="active"/>
    <s v="positive"/>
    <n v="1"/>
    <n v="1"/>
    <s v="SUB"/>
    <n v="0"/>
    <s v="overt"/>
    <n v="3"/>
    <s v="n/a"/>
    <s v="n/a"/>
    <n v="0"/>
    <n v="1"/>
    <s v="REL"/>
    <s v="relative"/>
    <n v="0"/>
    <x v="0"/>
    <s v="n/a"/>
    <s v="n/a"/>
    <n v="0"/>
    <x v="2"/>
    <x v="1"/>
    <m/>
    <s v="ds"/>
    <x v="4"/>
    <s v="topic-drop"/>
    <s v="contains_new"/>
    <m/>
    <m/>
    <n v="1"/>
    <s v="non-LVC"/>
    <s v="Yes"/>
    <n v="31"/>
    <m/>
    <n v="0"/>
    <n v="7"/>
    <x v="1"/>
    <x v="6"/>
    <s v="n/a"/>
    <x v="1"/>
    <n v="0"/>
  </r>
  <r>
    <s v="Heike 2.111"/>
    <s v="先規なり senki nari"/>
    <m/>
    <s v="なり"/>
    <s v="indicative"/>
    <s v="stative"/>
    <s v="copula"/>
    <x v="0"/>
    <s v="active"/>
    <s v="positive"/>
    <n v="1"/>
    <n v="0"/>
    <s v="n/a"/>
    <n v="0"/>
    <s v="none"/>
    <n v="0"/>
    <s v="n/a"/>
    <s v="n/a"/>
    <n v="0"/>
    <n v="0"/>
    <s v="n/a"/>
    <s v="none"/>
    <n v="0"/>
    <x v="0"/>
    <s v="n/a"/>
    <s v="n/a"/>
    <n v="0"/>
    <x v="2"/>
    <x v="1"/>
    <m/>
    <s v="n/a"/>
    <x v="1"/>
    <s v="topic-drop"/>
    <s v="no_overt_NP"/>
    <m/>
    <m/>
    <n v="0"/>
    <s v="non-LVC"/>
    <s v="Yes"/>
    <n v="31"/>
    <m/>
    <n v="1"/>
    <n v="8"/>
    <x v="1"/>
    <x v="2"/>
    <s v="overt"/>
    <x v="1"/>
    <n v="0"/>
  </r>
  <r>
    <s v="Heike 2.112"/>
    <s v="然るを忠盛朝臣或いは相伝の郎従と号して (shikaru o Tadamori ason arui wa sōden no rōjū to gō shite)"/>
    <s v="but Ason Tadamori, calling a certain common soldier his hereditary retainer,"/>
    <s v="号して"/>
    <s v="indicative"/>
    <s v="action"/>
    <s v="verb"/>
    <x v="1"/>
    <s v="active"/>
    <s v="positive"/>
    <n v="1"/>
    <n v="2"/>
    <s v="S+O"/>
    <n v="1"/>
    <s v="overt"/>
    <n v="3"/>
    <s v="overt"/>
    <s v="n/a"/>
    <n v="0"/>
    <n v="0"/>
    <s v="n/a"/>
    <s v="te"/>
    <n v="0"/>
    <x v="0"/>
    <s v="n/a"/>
    <s v="n/a"/>
    <n v="0"/>
    <x v="9"/>
    <x v="9"/>
    <s v="te_medial"/>
    <s v="ds"/>
    <x v="0"/>
    <s v="topic-shift"/>
    <s v="contains_new"/>
    <m/>
    <m/>
    <n v="2"/>
    <s v="non-LVC"/>
    <s v="Yes"/>
    <n v="31"/>
    <s v="inf"/>
    <n v="1"/>
    <n v="9"/>
    <x v="0"/>
    <x v="1"/>
    <s v="overt"/>
    <x v="0"/>
    <n v="0"/>
  </r>
  <r>
    <s v="Heike 2.113"/>
    <s v="布衣の兵を殿上の小庭に召し置き (hoi no hyō o tenjō no koniwa ni meshioki)"/>
    <s v=" and placing him in the small courtyard of the Palace,"/>
    <s v="召し置き"/>
    <s v="indicative"/>
    <s v="action"/>
    <s v="verb"/>
    <x v="1"/>
    <s v="active"/>
    <s v="positive"/>
    <n v="1"/>
    <n v="2"/>
    <s v="O+IO"/>
    <n v="0"/>
    <s v="zero_exalt"/>
    <n v="3"/>
    <s v="overt"/>
    <s v="overt"/>
    <n v="0"/>
    <n v="0"/>
    <s v="n/a"/>
    <s v="inf"/>
    <n v="0"/>
    <x v="1"/>
    <s v="sub"/>
    <s v="lexical_honorific_verb"/>
    <n v="0"/>
    <x v="2"/>
    <x v="2"/>
    <m/>
    <s v="ss"/>
    <x v="0"/>
    <s v="topic-drop"/>
    <s v="contains_new"/>
    <m/>
    <m/>
    <n v="2"/>
    <s v="non-LVC"/>
    <s v="Yes"/>
    <n v="31"/>
    <s v="te"/>
    <n v="1"/>
    <n v="10"/>
    <x v="1"/>
    <x v="2"/>
    <s v="overt"/>
    <x v="1"/>
    <n v="0"/>
  </r>
  <r>
    <s v="Heike 2.114"/>
    <s v="或いは腰の刀を横へ差いて (arui wa koshi no katana o yokoe saite)"/>
    <s v="wearing a sword at his side,"/>
    <s v="差いて"/>
    <s v="indicative"/>
    <s v="other"/>
    <s v="verb"/>
    <x v="1"/>
    <s v="active"/>
    <s v="positive"/>
    <n v="1"/>
    <n v="3"/>
    <s v="S+O+IO"/>
    <n v="2"/>
    <s v="overt"/>
    <n v="3"/>
    <s v="overt"/>
    <s v="overt"/>
    <n v="0"/>
    <n v="0"/>
    <s v="n/a"/>
    <s v="te"/>
    <n v="0"/>
    <x v="0"/>
    <s v="n/a"/>
    <s v="n/a"/>
    <n v="0"/>
    <x v="2"/>
    <x v="6"/>
    <s v="te_medial"/>
    <s v="ss"/>
    <x v="0"/>
    <s v="topic-drop"/>
    <s v="contains_new"/>
    <m/>
    <m/>
    <n v="3"/>
    <s v="non-LVC"/>
    <s v="Yes"/>
    <n v="31"/>
    <s v="relative"/>
    <n v="1"/>
    <m/>
    <x v="1"/>
    <x v="0"/>
    <s v="none"/>
    <x v="0"/>
    <n v="0"/>
  </r>
  <r>
    <s v="Heike 2.115"/>
    <s v="節会の座に列なる setsue no za ni tsuranaru"/>
    <s v="and coming to the festival seat "/>
    <s v="列なる"/>
    <s v="indicative"/>
    <s v="other"/>
    <s v="verb"/>
    <x v="0"/>
    <s v="active"/>
    <s v="positive"/>
    <n v="1"/>
    <n v="1"/>
    <s v="IO"/>
    <n v="0"/>
    <s v="zero_recoverable"/>
    <n v="3"/>
    <s v="none"/>
    <s v="overt"/>
    <n v="0"/>
    <n v="1"/>
    <s v="REL"/>
    <s v="relative"/>
    <n v="0"/>
    <x v="0"/>
    <s v="n/a"/>
    <s v="n/a"/>
    <n v="0"/>
    <x v="2"/>
    <x v="2"/>
    <m/>
    <s v="ss"/>
    <x v="4"/>
    <s v="topic-drop"/>
    <s v="contains_new"/>
    <m/>
    <m/>
    <n v="1"/>
    <s v="non-LVC"/>
    <s v="Yes"/>
    <n v="31"/>
    <s v="relative"/>
    <n v="0"/>
    <m/>
    <x v="1"/>
    <x v="4"/>
    <s v="n/a"/>
    <x v="1"/>
    <n v="0"/>
  </r>
  <r>
    <s v="Heike 2.116"/>
    <s v="[両条稀代]未だ聞かざる (ryōjō kidai imada kikazaru)"/>
    <s v="both acts are unheard-of,"/>
    <s v="聞かざる"/>
    <s v="indicative"/>
    <s v="action"/>
    <s v="verb"/>
    <x v="1"/>
    <s v="active"/>
    <s v="negative"/>
    <n v="1"/>
    <n v="0"/>
    <s v="n/a"/>
    <n v="1"/>
    <s v="zero_other"/>
    <n v="3"/>
    <s v="n/a"/>
    <s v="n/a"/>
    <n v="1"/>
    <n v="0"/>
    <s v="REL"/>
    <s v="relative"/>
    <n v="0"/>
    <x v="0"/>
    <s v="n/a"/>
    <s v="n/a"/>
    <n v="0"/>
    <x v="2"/>
    <x v="1"/>
    <m/>
    <s v="n/a"/>
    <x v="1"/>
    <s v="topic-drop"/>
    <s v="contains_new"/>
    <m/>
    <m/>
    <n v="0"/>
    <s v="non-LVC"/>
    <s v="Yes"/>
    <n v="31"/>
    <s v="main"/>
    <n v="0"/>
    <n v="11"/>
    <x v="1"/>
    <x v="2"/>
    <s v="n/a"/>
    <x v="1"/>
    <n v="0"/>
  </r>
  <r>
    <s v="Heike 2.117"/>
    <s v="狼藉なり rōzaku nari"/>
    <s v="disorderliness"/>
    <s v="狼藉なり"/>
    <s v="indicative"/>
    <s v="stative"/>
    <s v="copula"/>
    <x v="0"/>
    <s v="active"/>
    <s v="positive"/>
    <n v="1"/>
    <n v="1"/>
    <s v="SUB"/>
    <n v="0"/>
    <s v="overt"/>
    <n v="3"/>
    <s v="n/a"/>
    <s v="n/a"/>
    <n v="0"/>
    <n v="0"/>
    <s v="n/a"/>
    <s v="main"/>
    <n v="0"/>
    <x v="0"/>
    <s v="n/a"/>
    <s v="n/a"/>
    <n v="0"/>
    <x v="2"/>
    <x v="1"/>
    <m/>
    <s v="ds"/>
    <x v="1"/>
    <s v="topic-drop"/>
    <s v="contains_new"/>
    <m/>
    <m/>
    <n v="1"/>
    <s v="non-LVC"/>
    <s v="Yes"/>
    <n v="31"/>
    <m/>
    <n v="1"/>
    <n v="1"/>
    <x v="1"/>
    <x v="2"/>
    <s v="n/a"/>
    <x v="1"/>
    <n v="0"/>
  </r>
  <r>
    <s v="Heike 2.118"/>
    <s v="事既に重畳せり (koto sudeni chōjō seri)"/>
    <s v="indeed, one crime piled on another,"/>
    <s v="重畳せり"/>
    <s v="indicative"/>
    <s v="other"/>
    <s v="LVC"/>
    <x v="0"/>
    <s v="active"/>
    <s v="positive"/>
    <n v="1"/>
    <n v="1"/>
    <s v="SUB"/>
    <n v="1"/>
    <s v="overt"/>
    <n v="3"/>
    <s v="n/a"/>
    <s v="n/a"/>
    <n v="0"/>
    <n v="0"/>
    <s v="n/a"/>
    <s v="inf"/>
    <n v="0"/>
    <x v="0"/>
    <s v="n/a"/>
    <s v="n/a"/>
    <n v="0"/>
    <x v="2"/>
    <x v="3"/>
    <m/>
    <s v="ds"/>
    <x v="0"/>
    <s v="topic-drop"/>
    <s v="all given"/>
    <m/>
    <m/>
    <n v="1"/>
    <s v="LVC"/>
    <s v="Yes"/>
    <n v="32"/>
    <m/>
    <n v="1"/>
    <n v="2"/>
    <x v="0"/>
    <x v="2"/>
    <s v="overt"/>
    <x v="1"/>
    <n v="0"/>
  </r>
  <r>
    <s v="Heike 2.119"/>
    <s v="罪科尤も遁れ難し (tsumitoga mottomo nogaregatashi)"/>
    <s v="a charge he would find difficult to escape."/>
    <s v="遁れ難し"/>
    <s v="dynamic"/>
    <s v="stative"/>
    <s v="verb"/>
    <x v="1"/>
    <s v="active"/>
    <s v="positive"/>
    <n v="1"/>
    <n v="1"/>
    <s v="SUB"/>
    <n v="0"/>
    <s v="overt"/>
    <n v="3"/>
    <s v="overt"/>
    <s v="n/a"/>
    <n v="0"/>
    <n v="0"/>
    <s v="n/a"/>
    <s v="main"/>
    <n v="0"/>
    <x v="0"/>
    <s v="n/a"/>
    <s v="n/a"/>
    <n v="0"/>
    <x v="2"/>
    <x v="6"/>
    <m/>
    <s v="ss"/>
    <x v="1"/>
    <s v="topic-drop"/>
    <s v="contains_new"/>
    <m/>
    <m/>
    <n v="1"/>
    <s v="non-LVC"/>
    <s v="Yes"/>
    <n v="32"/>
    <s v="te"/>
    <n v="1"/>
    <n v="1"/>
    <x v="1"/>
    <x v="4"/>
    <s v="overt"/>
    <x v="0"/>
    <n v="0"/>
  </r>
  <r>
    <s v="Heike 2.120"/>
    <s v="早く殿上の御札を削りて (hayaku tenjō no mifuda o kezurite)"/>
    <s v="they petitioned that his name be erased from the list of Courtiers"/>
    <s v="削りて "/>
    <s v="indicative"/>
    <s v="action"/>
    <s v="verb"/>
    <x v="1"/>
    <s v="active"/>
    <s v="positive"/>
    <n v="1"/>
    <n v="1"/>
    <s v="OBJ"/>
    <n v="0"/>
    <s v="zero_other"/>
    <n v="3"/>
    <s v="overt"/>
    <s v="n/a"/>
    <n v="0"/>
    <n v="0"/>
    <s v="n/a"/>
    <s v="te"/>
    <n v="0"/>
    <x v="0"/>
    <s v="n/a"/>
    <s v="n/a"/>
    <n v="0"/>
    <x v="2"/>
    <x v="3"/>
    <s v="te_medial"/>
    <s v="ds"/>
    <x v="0"/>
    <s v="topic-drop"/>
    <s v="contains_new"/>
    <m/>
    <m/>
    <n v="1"/>
    <s v="non-LVC"/>
    <s v="Yes"/>
    <n v="33"/>
    <m/>
    <n v="1"/>
    <m/>
    <x v="1"/>
    <x v="0"/>
    <s v="n/a"/>
    <x v="1"/>
    <n v="0"/>
  </r>
  <r>
    <s v="Heike 2.121"/>
    <s v="欠官停任せらるべき (kekkan teinin seraru beki yoshi)"/>
    <s v=" and he be deprived of rank and office,"/>
    <s v="停任せらるべき"/>
    <s v="deontic"/>
    <s v="action"/>
    <s v="LVC"/>
    <x v="0"/>
    <s v="passive"/>
    <s v="positive"/>
    <n v="1"/>
    <n v="0"/>
    <s v="n/a"/>
    <n v="0"/>
    <s v="zero_recoverable"/>
    <n v="3"/>
    <s v="n/a"/>
    <s v="n/a"/>
    <n v="0"/>
    <n v="1"/>
    <s v="REL"/>
    <s v="relative"/>
    <n v="0"/>
    <x v="0"/>
    <s v="n/a"/>
    <s v="n/a"/>
    <n v="0"/>
    <x v="2"/>
    <x v="2"/>
    <m/>
    <s v="ss"/>
    <x v="1"/>
    <s v="topic-drop"/>
    <s v="no_overt_NP"/>
    <m/>
    <m/>
    <n v="0"/>
    <s v="LVC"/>
    <s v="Yes"/>
    <n v="33"/>
    <m/>
    <n v="0"/>
    <n v="2"/>
    <x v="1"/>
    <x v="2"/>
    <s v="overt"/>
    <x v="1"/>
    <n v="0"/>
  </r>
  <r>
    <s v="Heike 2.122"/>
    <s v="由諸卿一同に訴へ申されければ (yoshi shokyō ichidō ni uttaemōsarekereba)"/>
    <s v="and all the Court Nobles together petitioned,"/>
    <s v="訴へ申されければ"/>
    <s v="indicative"/>
    <s v="action"/>
    <s v="verb"/>
    <x v="1"/>
    <s v="active"/>
    <s v="positive"/>
    <n v="1"/>
    <n v="2"/>
    <s v="S+O"/>
    <n v="1"/>
    <s v="overt"/>
    <n v="3"/>
    <s v="overt"/>
    <s v="n/a"/>
    <n v="0"/>
    <n v="0"/>
    <s v="n/a"/>
    <s v="subordinate"/>
    <n v="1"/>
    <x v="0"/>
    <s v="sub"/>
    <s v="honorific_aux+lexical_honorific_verb"/>
    <n v="0"/>
    <x v="0"/>
    <x v="1"/>
    <m/>
    <s v="ds"/>
    <x v="1"/>
    <s v="topic-drop"/>
    <s v="contains_new"/>
    <m/>
    <m/>
    <n v="2"/>
    <s v="non-LVC"/>
    <s v="Yes"/>
    <n v="33"/>
    <s v="te"/>
    <n v="1"/>
    <n v="3"/>
    <x v="1"/>
    <x v="2"/>
    <s v="n/a"/>
    <x v="1"/>
    <n v="0"/>
  </r>
  <r>
    <s v="Heike 2.123"/>
    <s v="上皇大きに驚かせ給ひて (Jōkō ōki ni odorokase tamai te)"/>
    <s v="His Majesty the Mikado, greatly surprised,"/>
    <s v="驚かせ給ひて"/>
    <s v="indicative"/>
    <s v="action"/>
    <s v="verb"/>
    <x v="0"/>
    <s v="active"/>
    <s v="positive"/>
    <n v="1"/>
    <n v="1"/>
    <s v="SUB"/>
    <n v="0"/>
    <s v="overt"/>
    <n v="3"/>
    <s v="n/a"/>
    <s v="n/a"/>
    <n v="0"/>
    <n v="0"/>
    <s v="n/a"/>
    <s v="te"/>
    <n v="1"/>
    <x v="0"/>
    <s v="sub"/>
    <s v="honorific_aux+lexical_honorific_verb"/>
    <n v="0"/>
    <x v="2"/>
    <x v="4"/>
    <s v="te_medial"/>
    <s v="ds"/>
    <x v="0"/>
    <s v="topic-drop"/>
    <s v="contains_new"/>
    <m/>
    <m/>
    <n v="1"/>
    <s v="non-LVC"/>
    <s v="Yes"/>
    <n v="33"/>
    <s v="te"/>
    <n v="1"/>
    <n v="4"/>
    <x v="1"/>
    <x v="1"/>
    <s v="overt"/>
    <x v="0"/>
    <n v="0"/>
  </r>
  <r>
    <s v="Heike 2.124"/>
    <s v="忠盛を召して (Tadamori o meshite)"/>
    <s v="ordered Tadamori into his Presence,"/>
    <s v="召して"/>
    <s v="indicative"/>
    <s v="action"/>
    <s v="verb"/>
    <x v="0"/>
    <s v="active"/>
    <s v="positive"/>
    <n v="1"/>
    <n v="1"/>
    <s v="OBJ"/>
    <n v="0"/>
    <s v="zero_exalt"/>
    <n v="3"/>
    <s v="overt"/>
    <s v="n/a"/>
    <n v="0"/>
    <n v="0"/>
    <s v="n/a"/>
    <s v="te"/>
    <n v="0"/>
    <x v="1"/>
    <s v="sub"/>
    <s v="lexical_honorific_verb"/>
    <n v="0"/>
    <x v="2"/>
    <x v="2"/>
    <s v="te_medial"/>
    <s v="ss"/>
    <x v="1"/>
    <s v="topic-drop"/>
    <s v="contains_new"/>
    <m/>
    <m/>
    <n v="1"/>
    <s v="non-LVC"/>
    <s v="Yes"/>
    <n v="33"/>
    <s v="main"/>
    <n v="1"/>
    <n v="5"/>
    <x v="1"/>
    <x v="2"/>
    <s v="n/a"/>
    <x v="1"/>
    <n v="0"/>
  </r>
  <r>
    <s v="Heike 2.125"/>
    <s v="御尋ねあり o-tazune ari"/>
    <s v=" to make examination into the affair"/>
    <s v="御尋ねあり"/>
    <s v="indicative"/>
    <s v="action"/>
    <s v="verb"/>
    <x v="0"/>
    <s v="active"/>
    <s v="positive"/>
    <n v="1"/>
    <n v="1"/>
    <s v="SUB"/>
    <n v="0"/>
    <s v="overt"/>
    <n v="3"/>
    <s v="n/a"/>
    <s v="n/a"/>
    <n v="0"/>
    <n v="0"/>
    <s v="n/a"/>
    <s v="main"/>
    <n v="1"/>
    <x v="0"/>
    <s v="sub"/>
    <s v="honorific prefix"/>
    <n v="1"/>
    <x v="2"/>
    <x v="2"/>
    <m/>
    <s v="ds"/>
    <x v="1"/>
    <s v="topic-drop"/>
    <s v="contains_new"/>
    <m/>
    <m/>
    <n v="1"/>
    <s v="non-LVC"/>
    <s v="Yes"/>
    <n v="33"/>
    <m/>
    <n v="1"/>
    <n v="1"/>
    <x v="1"/>
    <x v="1"/>
    <s v="zero_other"/>
    <x v="0"/>
    <n v="0"/>
  </r>
  <r>
    <s v="Heike 2.126"/>
    <s v="陳じ申されけるは (chinji mōsarekeru wa)"/>
    <s v="in his reply he stated that,"/>
    <s v="申されける"/>
    <s v="indicative"/>
    <s v="action"/>
    <s v="verb"/>
    <x v="1"/>
    <s v="active"/>
    <s v="positive"/>
    <n v="1"/>
    <n v="0"/>
    <s v="n/a"/>
    <n v="0"/>
    <s v="zero_exalt"/>
    <n v="3"/>
    <s v="zero_other"/>
    <s v="n/a"/>
    <n v="0"/>
    <n v="0"/>
    <s v="SUB"/>
    <s v="subordinate"/>
    <n v="0"/>
    <x v="1"/>
    <s v="sub"/>
    <s v="honorific_aux+lexical_humble_verb"/>
    <n v="0"/>
    <x v="2"/>
    <x v="3"/>
    <m/>
    <s v="ds"/>
    <x v="0"/>
    <s v="topic-drop"/>
    <s v="no_overt_NP"/>
    <s v="nominalisation"/>
    <m/>
    <n v="0"/>
    <s v="non-LVC"/>
    <s v="Yes"/>
    <n v="34"/>
    <m/>
    <n v="1"/>
    <n v="2"/>
    <x v="0"/>
    <x v="1"/>
    <s v="overt"/>
    <x v="1"/>
    <n v="0"/>
  </r>
  <r>
    <s v="Heike 2.127"/>
    <s v="まづ郎従小庭に伺候の由全く覚悟仕らず (mazu rōjū koniwa ni shikō no yoshi mattaku kakugo tsukamatsurazu)"/>
    <s v="as to the presence of his retainer in the Palace, he certainly knew nothing about it,"/>
    <s v="覚悟仕らず"/>
    <s v="indicative"/>
    <s v="action"/>
    <s v="LVC"/>
    <x v="1"/>
    <s v="active"/>
    <s v="negative"/>
    <n v="1"/>
    <n v="1"/>
    <s v="OBJ"/>
    <n v="2"/>
    <s v="zero_exalt"/>
    <n v="3"/>
    <s v="overt"/>
    <s v="n/a"/>
    <n v="0"/>
    <n v="0"/>
    <s v="n/a"/>
    <s v="subordinate"/>
    <n v="0"/>
    <x v="1"/>
    <s v="sub"/>
    <s v="lexical_humble_verb"/>
    <n v="0"/>
    <x v="2"/>
    <x v="4"/>
    <m/>
    <s v="ss"/>
    <x v="1"/>
    <s v="topic-drop"/>
    <s v="contains_new"/>
    <m/>
    <m/>
    <n v="1"/>
    <s v="LVC"/>
    <s v="Yes"/>
    <n v="34"/>
    <s v="relative"/>
    <n v="1"/>
    <m/>
    <x v="0"/>
    <x v="2"/>
    <s v="zero_other"/>
    <x v="1"/>
    <n v="1"/>
  </r>
  <r>
    <s v="Heike 2.128"/>
    <s v="但し近日人々相巧まるる (tadashi kinjitsu hitobito ai-takuramaruru)"/>
    <s v=" [...]  the designs that people were plotting,"/>
    <s v="巧まるる"/>
    <s v="indicative"/>
    <s v="action"/>
    <s v="verb"/>
    <x v="1"/>
    <s v="active"/>
    <s v="positive"/>
    <n v="1"/>
    <n v="1"/>
    <s v="SUB"/>
    <n v="1"/>
    <s v="overt"/>
    <n v="3"/>
    <s v="zero_other"/>
    <s v="n/a"/>
    <n v="0"/>
    <n v="0"/>
    <s v="REL"/>
    <s v="relative"/>
    <n v="1"/>
    <x v="0"/>
    <s v="sub"/>
    <s v="honorific_aux"/>
    <n v="0"/>
    <x v="2"/>
    <x v="4"/>
    <m/>
    <s v="ds"/>
    <x v="1"/>
    <s v="topic-drop"/>
    <s v="contains_new"/>
    <m/>
    <m/>
    <n v="1"/>
    <s v="non-LVC"/>
    <s v="Yes"/>
    <n v="34"/>
    <s v="subordinate"/>
    <n v="0"/>
    <n v="3"/>
    <x v="1"/>
    <x v="2"/>
    <s v="n/a"/>
    <x v="1"/>
    <n v="0"/>
  </r>
  <r>
    <s v="Heike 2.129"/>
    <s v="旨子細あるかの間 mune shisai aru ka no aida "/>
    <s v="[…] had lately heard of"/>
    <s v="ある"/>
    <s v="indicative"/>
    <s v="stative"/>
    <s v="existential verb"/>
    <x v="0"/>
    <s v="active"/>
    <s v="positive"/>
    <n v="1"/>
    <n v="1"/>
    <s v="SUB"/>
    <n v="1"/>
    <s v="overt"/>
    <n v="3"/>
    <s v="n/a"/>
    <s v="n/a"/>
    <n v="0"/>
    <n v="0"/>
    <s v="n/a"/>
    <s v="subordinate"/>
    <n v="0"/>
    <x v="0"/>
    <s v="n/a"/>
    <s v="n/a"/>
    <n v="0"/>
    <x v="0"/>
    <x v="1"/>
    <m/>
    <s v="ds"/>
    <x v="0"/>
    <s v="topic-drop"/>
    <s v="contains_new"/>
    <m/>
    <m/>
    <n v="1"/>
    <s v="non-LVC"/>
    <s v="Yes"/>
    <n v="34"/>
    <s v="subordinate"/>
    <n v="1"/>
    <n v="4"/>
    <x v="1"/>
    <x v="2"/>
    <s v="overt"/>
    <x v="1"/>
    <n v="0"/>
  </r>
  <r>
    <s v="Heike 2.130"/>
    <s v="年来の家人事を伝へ聞くかによつて (nenrai no kenin goto o tsutae kiku ka ni yotte)"/>
    <s v=" if his retainers"/>
    <s v="伝へ聞く"/>
    <s v="indicative"/>
    <s v="perception"/>
    <s v="compound verb"/>
    <x v="1"/>
    <s v="active"/>
    <s v="positive"/>
    <n v="1"/>
    <n v="2"/>
    <s v="S+O"/>
    <n v="1"/>
    <s v="overt"/>
    <n v="3"/>
    <s v="overt"/>
    <s v="n/a"/>
    <n v="0"/>
    <n v="0"/>
    <s v="n/a"/>
    <s v="subordinate"/>
    <n v="0"/>
    <x v="0"/>
    <s v="n/a"/>
    <s v="n/a"/>
    <n v="0"/>
    <x v="1"/>
    <x v="4"/>
    <m/>
    <s v="ss"/>
    <x v="0"/>
    <s v="topic-drop"/>
    <s v="contains_new"/>
    <m/>
    <m/>
    <n v="2"/>
    <s v="non-LVC"/>
    <s v="Yes"/>
    <n v="34"/>
    <s v="subordinate"/>
    <n v="1"/>
    <n v="5"/>
    <x v="1"/>
    <x v="0"/>
    <s v="overt"/>
    <x v="0"/>
    <n v="0"/>
  </r>
  <r>
    <s v="Heike 2.131"/>
    <s v="その恥を助けんが為に (sono haji o tasuken ga tame ni)"/>
    <s v="and in order to help him against such dishonour,  intending to prevent dishonour,"/>
    <s v="助けん"/>
    <s v="dynamic"/>
    <s v="other"/>
    <s v="verb"/>
    <x v="1"/>
    <s v="active"/>
    <s v="positive"/>
    <n v="1"/>
    <n v="1"/>
    <s v="OBJ"/>
    <n v="0"/>
    <s v="zero_recoverable"/>
    <n v="3"/>
    <s v="overt"/>
    <s v="n/a"/>
    <n v="0"/>
    <n v="0"/>
    <s v="n/a"/>
    <s v="subordinate"/>
    <n v="0"/>
    <x v="0"/>
    <s v="n/a"/>
    <s v="n/a"/>
    <n v="0"/>
    <x v="7"/>
    <x v="4"/>
    <m/>
    <s v="ss"/>
    <x v="0"/>
    <s v="topic-drop"/>
    <s v="contains_new"/>
    <m/>
    <m/>
    <n v="1"/>
    <s v="non-LVC"/>
    <s v="Yes"/>
    <n v="34"/>
    <s v="te"/>
    <n v="1"/>
    <n v="6"/>
    <x v="1"/>
    <x v="0"/>
    <s v="zero_recoverable"/>
    <x v="1"/>
    <n v="1"/>
  </r>
  <r>
    <s v="Heike 2.132"/>
    <s v="忠盛には知らせずして Tadamori ni wa shirasazu shite"/>
    <s v=" without informing him,  "/>
    <s v="知らせず"/>
    <s v="indicative"/>
    <s v="other"/>
    <s v="verb"/>
    <x v="3"/>
    <s v="active"/>
    <s v="negative"/>
    <n v="1"/>
    <n v="2"/>
    <s v="IO"/>
    <n v="1"/>
    <s v="zero_recoverable"/>
    <n v="3"/>
    <s v="zero_recoverable"/>
    <s v="overt"/>
    <n v="0"/>
    <n v="0"/>
    <s v="n/a"/>
    <s v="te"/>
    <n v="0"/>
    <x v="0"/>
    <s v="n/a"/>
    <s v="n/a"/>
    <n v="0"/>
    <x v="1"/>
    <x v="4"/>
    <s v="te_medial"/>
    <s v="ss"/>
    <x v="2"/>
    <s v="topic-continued"/>
    <s v="contains_new"/>
    <m/>
    <m/>
    <n v="2"/>
    <s v="non-LVC"/>
    <s v="Yes"/>
    <n v="34"/>
    <m/>
    <n v="1"/>
    <n v="7"/>
    <x v="1"/>
    <x v="3"/>
    <m/>
    <x v="1"/>
    <n v="0"/>
  </r>
  <r>
    <s v="Heike 2.133"/>
    <s v="密かに参候の条 (hisoka ni sankō no jō)"/>
    <s v="his retainers had come hither secretly"/>
    <s v="N/A (nominal clause)"/>
    <s v="indicative"/>
    <s v="other"/>
    <s v="none"/>
    <x v="2"/>
    <m/>
    <m/>
    <m/>
    <m/>
    <m/>
    <m/>
    <m/>
    <m/>
    <m/>
    <m/>
    <m/>
    <m/>
    <m/>
    <m/>
    <m/>
    <x v="2"/>
    <s v="n/a"/>
    <s v="n/a"/>
    <m/>
    <x v="5"/>
    <x v="2"/>
    <m/>
    <m/>
    <x v="1"/>
    <m/>
    <m/>
    <s v="not sure if I should treat this as a nominal or verbal predicate or whether there is predication at all"/>
    <m/>
    <m/>
    <s v="non-LVC"/>
    <s v="Yes"/>
    <n v="34"/>
    <m/>
    <n v="1"/>
    <m/>
    <x v="1"/>
    <x v="2"/>
    <s v="n/a"/>
    <x v="1"/>
    <n v="0"/>
  </r>
  <r>
    <s v="Heike 2.134"/>
    <s v="力及ばざる chikara oyobazaru"/>
    <s v="his retainers had come hither secretly"/>
    <s v="及ばざる"/>
    <s v="indicative"/>
    <s v="other"/>
    <s v="verb"/>
    <x v="0"/>
    <s v="active"/>
    <s v="negative"/>
    <n v="1"/>
    <n v="1"/>
    <s v="SUB"/>
    <n v="0"/>
    <s v="overt"/>
    <n v="3"/>
    <s v="n/a"/>
    <s v="n/a"/>
    <n v="0"/>
    <n v="1"/>
    <s v="REL"/>
    <s v="relative"/>
    <n v="0"/>
    <x v="0"/>
    <s v="n/a"/>
    <s v="n/a"/>
    <n v="0"/>
    <x v="2"/>
    <x v="8"/>
    <m/>
    <s v="ds"/>
    <x v="1"/>
    <s v="topic-drop"/>
    <s v="contains_new"/>
    <m/>
    <m/>
    <n v="1"/>
    <s v="non-LVC"/>
    <s v="Yes"/>
    <n v="34"/>
    <m/>
    <n v="0"/>
    <n v="8"/>
    <x v="1"/>
    <x v="0"/>
    <s v="n/a"/>
    <x v="0"/>
    <n v="0"/>
  </r>
  <r>
    <s v="Heike 2.135"/>
    <s v="次第なり"/>
    <s v="shidai nari"/>
    <s v="なり"/>
    <s v="indicative"/>
    <s v="stative"/>
    <s v="copula"/>
    <x v="0"/>
    <s v="active"/>
    <s v="positive"/>
    <n v="1"/>
    <n v="0"/>
    <s v="n/a"/>
    <n v="0"/>
    <s v="zero_recoverable"/>
    <n v="3"/>
    <s v="n/a"/>
    <s v="n/a"/>
    <n v="0"/>
    <n v="0"/>
    <s v="n/a"/>
    <s v="main"/>
    <n v="0"/>
    <x v="0"/>
    <s v="n/a"/>
    <s v="n/a"/>
    <n v="0"/>
    <x v="2"/>
    <x v="1"/>
    <m/>
    <s v="ds"/>
    <x v="1"/>
    <s v="topic-drop"/>
    <s v="no_overt_NP"/>
    <m/>
    <m/>
    <n v="0"/>
    <s v="non-LVC"/>
    <s v="Yes"/>
    <n v="34"/>
    <m/>
    <n v="1"/>
    <n v="1"/>
    <x v="1"/>
    <x v="2"/>
    <s v="n/a"/>
    <x v="1"/>
    <n v="0"/>
  </r>
  <r>
    <s v="Heike 2.136"/>
    <s v="もしその咎あるべくば (moshi sono toga arubekuba)"/>
    <s v="&quot;if there be any blame, "/>
    <s v="ある"/>
    <s v="indicative"/>
    <s v="stative"/>
    <s v="existential verb"/>
    <x v="0"/>
    <s v="active"/>
    <s v="positive"/>
    <n v="1"/>
    <n v="1"/>
    <s v="SUB"/>
    <n v="0"/>
    <s v="overt"/>
    <n v="3"/>
    <s v="n/a"/>
    <s v="n/a"/>
    <n v="0"/>
    <n v="0"/>
    <s v="n/a"/>
    <s v="subordinate"/>
    <n v="0"/>
    <x v="0"/>
    <s v="n/a"/>
    <s v="n/a"/>
    <n v="0"/>
    <x v="10"/>
    <x v="3"/>
    <m/>
    <s v="ds"/>
    <x v="1"/>
    <s v="topic-shift"/>
    <s v="contains_new"/>
    <m/>
    <m/>
    <n v="1"/>
    <s v="non-LVC"/>
    <s v="Yes"/>
    <n v="35"/>
    <s v="main"/>
    <n v="1"/>
    <n v="2"/>
    <x v="0"/>
    <x v="1"/>
    <s v="overt"/>
    <x v="0"/>
    <n v="0"/>
  </r>
  <r>
    <s v="Heike 2.137"/>
    <s v="かの身を召し進ずべきか  ka no mi o meshi shinzu beki ka"/>
    <s v="do I not yield my body herewith?&quot;"/>
    <s v="召し進ずべき"/>
    <s v="deontic"/>
    <s v="action"/>
    <s v="LVC"/>
    <x v="2"/>
    <s v="active"/>
    <s v="positive"/>
    <n v="1"/>
    <n v="1"/>
    <s v="OBJ"/>
    <n v="0"/>
    <s v="zero_exalt"/>
    <n v="1"/>
    <s v="overt"/>
    <s v="n/a"/>
    <n v="0"/>
    <n v="0"/>
    <s v="n/a"/>
    <s v="main"/>
    <n v="0"/>
    <x v="1"/>
    <s v="sub"/>
    <s v="lexical_honorific_verb"/>
    <n v="0"/>
    <x v="2"/>
    <x v="4"/>
    <m/>
    <s v="ds"/>
    <x v="0"/>
    <s v="topic-drop"/>
    <s v="contains_new"/>
    <m/>
    <m/>
    <n v="1"/>
    <s v="LVC"/>
    <s v="Yes"/>
    <n v="35"/>
    <s v="main"/>
    <n v="1"/>
    <n v="1"/>
    <x v="1"/>
    <x v="0"/>
    <s v="overt"/>
    <x v="1"/>
    <n v="0"/>
  </r>
  <r>
    <s v="Heike 2.138"/>
    <s v="次に刀の事は主殿司に預け置き候ひ畢んぬ (tsugi ni katana no koto wa tonomotsukasa ni azukeoki soroiowannu)"/>
    <s v="as for the sword, I deposited it in the Tonomotsukasa,"/>
    <s v="預け置き / 候ひ畢んぬ"/>
    <s v="indicative"/>
    <s v="action"/>
    <s v="compound verb"/>
    <x v="1"/>
    <s v="active"/>
    <s v="positive"/>
    <n v="1"/>
    <n v="2"/>
    <s v="O+IO"/>
    <n v="0"/>
    <s v="zero_recoverable"/>
    <n v="1"/>
    <s v="overt"/>
    <s v="overt"/>
    <n v="0"/>
    <n v="0"/>
    <s v="n/a"/>
    <s v="main"/>
    <n v="0"/>
    <x v="0"/>
    <s v="n/a"/>
    <s v="polite_aux"/>
    <n v="0"/>
    <x v="2"/>
    <x v="3"/>
    <m/>
    <s v="ss"/>
    <x v="1"/>
    <s v="topic-shift"/>
    <s v="contains_new"/>
    <m/>
    <m/>
    <n v="2"/>
    <s v="non-LVC"/>
    <s v="Yes"/>
    <n v="36"/>
    <m/>
    <n v="1"/>
    <n v="1"/>
    <x v="1"/>
    <x v="1"/>
    <s v="zero_recoverable"/>
    <x v="1"/>
    <n v="1"/>
  </r>
  <r>
    <s v="Heike 2.139"/>
    <s v="召し出だされ (meshi idasare)"/>
    <s v="if it be brought out from thence,"/>
    <s v="召し出だされ "/>
    <s v="indicative"/>
    <s v="action"/>
    <s v="verb"/>
    <x v="0"/>
    <s v="passive"/>
    <s v="positive"/>
    <n v="1"/>
    <n v="0"/>
    <s v="n/a"/>
    <n v="0"/>
    <s v="zero_exalt"/>
    <n v="3"/>
    <s v="zero_recoverable"/>
    <s v="zero_recoverable"/>
    <n v="0"/>
    <n v="0"/>
    <s v="n/a"/>
    <s v="main"/>
    <n v="0"/>
    <x v="1"/>
    <s v="sub"/>
    <s v="lexical_honorific_verb"/>
    <n v="0"/>
    <x v="2"/>
    <x v="3"/>
    <m/>
    <s v="ds"/>
    <x v="0"/>
    <s v="topic-drop"/>
    <s v="no_overt_NP"/>
    <m/>
    <m/>
    <n v="0"/>
    <s v="non-LVC"/>
    <s v="Yes"/>
    <n v="37"/>
    <m/>
    <n v="1"/>
    <n v="1"/>
    <x v="1"/>
    <x v="2"/>
    <s v="n/a"/>
    <x v="1"/>
    <n v="0"/>
  </r>
  <r>
    <s v="Heike 2.140"/>
    <s v="刀の実否に付きて咎の左右あるべきか  katana no jippi ni tsukite toga no sayū aru beki ka"/>
    <s v=" it may be seen if it be a real sword or not,"/>
    <s v="あるべき"/>
    <s v="deontic"/>
    <s v="stative"/>
    <s v="existential verb"/>
    <x v="0"/>
    <s v="active"/>
    <s v="positive"/>
    <n v="1"/>
    <n v="1"/>
    <s v="SUB"/>
    <n v="1"/>
    <s v="overt"/>
    <n v="3"/>
    <s v="n/a"/>
    <s v="n/a"/>
    <n v="0"/>
    <n v="0"/>
    <s v="n/a"/>
    <s v="main"/>
    <n v="0"/>
    <x v="0"/>
    <s v="n/a"/>
    <s v="n/a"/>
    <n v="0"/>
    <x v="2"/>
    <x v="3"/>
    <m/>
    <s v="ss"/>
    <x v="1"/>
    <s v="topic-drop"/>
    <s v="contains_new"/>
    <m/>
    <m/>
    <n v="1"/>
    <s v="non-LVC"/>
    <s v="Yes"/>
    <n v="38"/>
    <s v="subordinate"/>
    <n v="1"/>
    <n v="1"/>
    <x v="0"/>
    <x v="2"/>
    <s v="n/a"/>
    <x v="1"/>
    <n v="0"/>
  </r>
  <r>
    <s v="Heike 2.141"/>
    <s v="この儀尤も然るべしとて (kono gi motto mo shikarubeshi tote)"/>
    <s v="&quot;This seems quite reasonable,&quot;"/>
    <s v="然るべし"/>
    <s v="deontic"/>
    <s v="stative"/>
    <s v="adjectival predicate"/>
    <x v="0"/>
    <s v="active"/>
    <s v="positive"/>
    <n v="1"/>
    <n v="1"/>
    <s v="SUB"/>
    <n v="0"/>
    <s v="overt"/>
    <n v="3"/>
    <s v="n/a"/>
    <s v="n/a"/>
    <n v="0"/>
    <n v="0"/>
    <s v="n/a"/>
    <s v="subordinate"/>
    <n v="0"/>
    <x v="0"/>
    <s v="n/a"/>
    <s v="n/a"/>
    <n v="0"/>
    <x v="3"/>
    <x v="3"/>
    <m/>
    <s v="ds"/>
    <x v="1"/>
    <s v="topic-drop"/>
    <s v="contains_new"/>
    <m/>
    <m/>
    <n v="1"/>
    <s v="non-LVC"/>
    <s v="Yes"/>
    <n v="39"/>
    <m/>
    <n v="1"/>
    <n v="2"/>
    <x v="1"/>
    <x v="1"/>
    <s v="overt"/>
    <x v="0"/>
    <n v="0"/>
  </r>
  <r>
    <s v="Heike 2.142"/>
    <s v="かの刀を召し出でて (kano katana o meshi-idete)"/>
    <s v="and they hastened to bring forth the sword,"/>
    <s v="召し出でて"/>
    <s v="indicative"/>
    <s v="action"/>
    <s v="verb"/>
    <x v="1"/>
    <s v="active"/>
    <s v="positive"/>
    <n v="1"/>
    <n v="1"/>
    <s v="OBJ"/>
    <n v="1"/>
    <s v="zero_exalt"/>
    <n v="3"/>
    <s v="overt"/>
    <s v="n/a"/>
    <n v="0"/>
    <n v="0"/>
    <s v="n/a"/>
    <s v="te"/>
    <n v="0"/>
    <x v="1"/>
    <s v="sub"/>
    <s v="lexical_honorific_verb"/>
    <n v="0"/>
    <x v="1"/>
    <x v="4"/>
    <s v="te_medial"/>
    <s v="ds"/>
    <x v="0"/>
    <s v="topic-continued"/>
    <s v="all given"/>
    <m/>
    <m/>
    <n v="1"/>
    <s v="non-LVC"/>
    <s v="Yes"/>
    <n v="39"/>
    <m/>
    <n v="1"/>
    <n v="3"/>
    <x v="1"/>
    <x v="1"/>
    <s v="zero_recoverable"/>
    <x v="1"/>
    <n v="1"/>
  </r>
  <r>
    <s v="Heike 2.143"/>
    <s v="叡覧あるに (eiran aru ni)"/>
    <s v="and exhibit it before His Majesty,"/>
    <s v="叡覧ある"/>
    <s v="indicative"/>
    <s v="action"/>
    <s v="LVC"/>
    <x v="1"/>
    <s v="active"/>
    <s v="positive"/>
    <n v="1"/>
    <n v="0"/>
    <s v="n/a"/>
    <n v="0"/>
    <s v="zero_exalt"/>
    <n v="3"/>
    <s v="zero_recoverable"/>
    <s v="n/a"/>
    <n v="0"/>
    <n v="0"/>
    <s v="n/a"/>
    <s v="subordinate"/>
    <n v="0"/>
    <x v="1"/>
    <s v="sub"/>
    <s v="lexical_honorific_verb"/>
    <n v="0"/>
    <x v="0"/>
    <x v="2"/>
    <m/>
    <s v="ss"/>
    <x v="1"/>
    <s v="topic-drop"/>
    <s v="no_overt_NP"/>
    <m/>
    <m/>
    <n v="0"/>
    <s v="LVC"/>
    <s v="Yes"/>
    <n v="39"/>
    <m/>
    <n v="1"/>
    <n v="4"/>
    <x v="1"/>
    <x v="2"/>
    <s v="n/a"/>
    <x v="1"/>
    <n v="0"/>
  </r>
  <r>
    <s v="Heike 2.144"/>
    <s v="上は鞘巻の黒う塗つたりけるが (ue wa sayamaki no kuro u nuttari keru ga)"/>
    <s v="its outside was that of a dirk in a black lacquer sheath,"/>
    <s v="塗つたりける"/>
    <s v="indicative"/>
    <s v="stative"/>
    <s v="verb"/>
    <x v="0"/>
    <s v="resultative"/>
    <s v="positive"/>
    <n v="1"/>
    <n v="1"/>
    <s v="SUB"/>
    <n v="0"/>
    <s v="overt"/>
    <n v="3"/>
    <s v="n/a"/>
    <s v="n/a"/>
    <n v="0"/>
    <n v="0"/>
    <s v="n/a"/>
    <s v="subordinate"/>
    <n v="0"/>
    <x v="0"/>
    <s v="n/a"/>
    <s v="n/a"/>
    <n v="0"/>
    <x v="9"/>
    <x v="4"/>
    <m/>
    <s v="ds"/>
    <x v="1"/>
    <s v="topic-drop"/>
    <s v="contains_new"/>
    <m/>
    <m/>
    <n v="1"/>
    <s v="non-LVC"/>
    <s v="Yes"/>
    <n v="39"/>
    <s v="main"/>
    <n v="1"/>
    <n v="5"/>
    <x v="1"/>
    <x v="2"/>
    <s v="overt"/>
    <x v="1"/>
    <n v="0"/>
  </r>
  <r>
    <s v="Heike 2.145"/>
    <s v="中は木刀に銀薄をぞ押したりける (naka wa bokutō ni gin-haku o zo oshitari keru)"/>
    <s v="but within was only a wooden blade covered with silver."/>
    <s v="押したりける"/>
    <s v="indicative"/>
    <s v="stative"/>
    <s v="verb"/>
    <x v="1"/>
    <s v="resultative"/>
    <s v="positive"/>
    <n v="1"/>
    <n v="3"/>
    <s v="S+O+IO"/>
    <n v="0"/>
    <s v="overt"/>
    <n v="3"/>
    <s v="overt"/>
    <s v="overt"/>
    <n v="0"/>
    <n v="0"/>
    <s v="n/a"/>
    <s v="main"/>
    <n v="0"/>
    <x v="0"/>
    <s v="n/a"/>
    <s v="n/a"/>
    <n v="0"/>
    <x v="2"/>
    <x v="4"/>
    <m/>
    <s v="ds"/>
    <x v="1"/>
    <s v="topic-drop"/>
    <s v="contains_new"/>
    <m/>
    <m/>
    <n v="3"/>
    <s v="non-LVC"/>
    <s v="Yes"/>
    <n v="39"/>
    <s v="subordinate"/>
    <n v="1"/>
    <n v="1"/>
    <x v="1"/>
    <x v="0"/>
    <s v="overt"/>
    <x v="0"/>
    <n v="0"/>
  </r>
  <r>
    <s v="Heike 2.146"/>
    <s v="当座の恥辱を遁れんが為に (tōza no chijoku o nogaren ga tame ni)"/>
    <s v=" to avoid dishonour at the moment,"/>
    <s v="遁れん "/>
    <s v="dynamic"/>
    <s v="other"/>
    <s v="verb"/>
    <x v="1"/>
    <s v="active"/>
    <s v="positive"/>
    <n v="1"/>
    <n v="1"/>
    <s v="OBJ"/>
    <n v="0"/>
    <s v="zero_recoverable"/>
    <n v="3"/>
    <s v="overt"/>
    <s v="n/a"/>
    <n v="0"/>
    <n v="0"/>
    <s v="n/a"/>
    <s v="subordinate"/>
    <n v="0"/>
    <x v="0"/>
    <s v="n/a"/>
    <s v="n/a"/>
    <n v="0"/>
    <x v="7"/>
    <x v="3"/>
    <m/>
    <s v="ds"/>
    <x v="0"/>
    <s v="topic-drop"/>
    <s v="contains_new"/>
    <m/>
    <m/>
    <n v="1"/>
    <s v="non-LVC"/>
    <s v="Yes"/>
    <n v="40"/>
    <m/>
    <n v="1"/>
    <m/>
    <x v="1"/>
    <x v="0"/>
    <s v="overt"/>
    <x v="1"/>
    <n v="0"/>
  </r>
  <r>
    <s v="Heike 2.147"/>
    <s v="刀を帯する katana o taisuru "/>
    <s v="Although he had displayed "/>
    <s v="帯する"/>
    <s v="indicative"/>
    <s v="other"/>
    <s v="LVC"/>
    <x v="1"/>
    <s v="active"/>
    <s v="positive"/>
    <n v="1"/>
    <n v="1"/>
    <s v="OBJ"/>
    <n v="0"/>
    <s v="zero_recoverable"/>
    <n v="3"/>
    <s v="overt"/>
    <s v="n/a"/>
    <n v="0"/>
    <n v="1"/>
    <s v="REL"/>
    <s v="relative"/>
    <n v="0"/>
    <x v="0"/>
    <s v="n/a"/>
    <s v="n/a"/>
    <n v="0"/>
    <x v="2"/>
    <x v="4"/>
    <m/>
    <s v="ss"/>
    <x v="0"/>
    <s v="topic-drop"/>
    <s v="all given"/>
    <m/>
    <m/>
    <n v="1"/>
    <s v="LVC"/>
    <s v="Yes"/>
    <n v="40"/>
    <m/>
    <n v="0"/>
    <n v="2"/>
    <x v="1"/>
    <x v="0"/>
    <s v="overt"/>
    <x v="1"/>
    <n v="0"/>
  </r>
  <r>
    <s v="Heike 2.148"/>
    <s v="由顕すといへども yoshi arawasu to iedomo"/>
    <s v="the appearance of a sword"/>
    <s v="顕す"/>
    <s v="indicative"/>
    <s v="other"/>
    <s v="verb"/>
    <x v="1"/>
    <s v="active"/>
    <s v="positive"/>
    <n v="1"/>
    <n v="1"/>
    <s v="OBJ"/>
    <n v="0"/>
    <s v="zero_recoverable"/>
    <n v="3"/>
    <s v="overt"/>
    <s v="n/a"/>
    <n v="0"/>
    <n v="0"/>
    <s v="n/a"/>
    <s v="subordinate"/>
    <n v="0"/>
    <x v="0"/>
    <s v="n/a"/>
    <s v="n/a"/>
    <n v="0"/>
    <x v="9"/>
    <x v="1"/>
    <m/>
    <s v="ss"/>
    <x v="0"/>
    <s v="topic-drop"/>
    <s v="contains_new"/>
    <m/>
    <m/>
    <n v="1"/>
    <s v="non-LVC"/>
    <s v="Yes"/>
    <n v="40"/>
    <s v="te"/>
    <n v="1"/>
    <n v="3"/>
    <x v="1"/>
    <x v="1"/>
    <s v="overt"/>
    <x v="1"/>
    <n v="0"/>
  </r>
  <r>
    <s v="Heike 2.149"/>
    <s v="後日の訴訟を存じて (gojitsu no soshō o zonjite)"/>
    <s v="his substitution of a wooden blade as a precaution against an after accusation was exceedingly praiseworthy."/>
    <s v="存じて"/>
    <s v="indicative"/>
    <s v="perception"/>
    <s v="LVC"/>
    <x v="1"/>
    <s v="active"/>
    <s v="positive"/>
    <n v="1"/>
    <n v="1"/>
    <s v="OBJ"/>
    <n v="0"/>
    <s v="zero_exalt"/>
    <n v="3"/>
    <s v="overt"/>
    <s v="n/a"/>
    <n v="0"/>
    <n v="0"/>
    <s v="n/a"/>
    <s v="te"/>
    <n v="0"/>
    <x v="1"/>
    <s v="sub"/>
    <s v="lexical_humble_verb"/>
    <n v="0"/>
    <x v="2"/>
    <x v="4"/>
    <s v="te_medial"/>
    <s v="ss"/>
    <x v="0"/>
    <s v="topic-drop"/>
    <s v="contains_new"/>
    <m/>
    <m/>
    <n v="1"/>
    <s v="LVC"/>
    <s v="Yes"/>
    <n v="40"/>
    <s v="relative"/>
    <n v="1"/>
    <m/>
    <x v="1"/>
    <x v="0"/>
    <s v="overt"/>
    <x v="1"/>
    <n v="0"/>
  </r>
  <r>
    <s v="Heike 2.150"/>
    <s v="木刀を帯したる"/>
    <s v=" bokutō o tachitaru "/>
    <s v="帯したる"/>
    <s v="indicative"/>
    <s v="action"/>
    <s v="LVC"/>
    <x v="1"/>
    <s v="active"/>
    <s v="positive"/>
    <n v="1"/>
    <n v="1"/>
    <s v="OBJ"/>
    <n v="0"/>
    <s v="zero_recoverable"/>
    <n v="3"/>
    <s v="overt"/>
    <s v="n/a"/>
    <n v="0"/>
    <n v="1"/>
    <s v="REL"/>
    <s v="relative"/>
    <n v="0"/>
    <x v="0"/>
    <s v="n/a"/>
    <s v="n/a"/>
    <n v="0"/>
    <x v="2"/>
    <x v="2"/>
    <m/>
    <s v="ss"/>
    <x v="1"/>
    <s v="topic-drop"/>
    <s v="contains_new"/>
    <m/>
    <m/>
    <n v="1"/>
    <s v="LVC"/>
    <s v="Yes"/>
    <n v="40"/>
    <s v="main"/>
    <n v="0"/>
    <n v="4"/>
    <x v="1"/>
    <x v="2"/>
    <s v="n/a"/>
    <x v="1"/>
    <n v="0"/>
  </r>
  <r>
    <s v="Heike 2.151"/>
    <s v="用意のほどこそ神妙なれ yōi no hodo koso shinmyō nare"/>
    <m/>
    <s v="なれ"/>
    <s v="indicative"/>
    <s v="stative"/>
    <s v="copula"/>
    <x v="0"/>
    <s v="active"/>
    <s v="positive"/>
    <n v="1"/>
    <n v="1"/>
    <s v="SUB"/>
    <n v="0"/>
    <s v="overt"/>
    <n v="3"/>
    <s v="n/a"/>
    <s v="n/a"/>
    <n v="0"/>
    <n v="0"/>
    <s v="n/a"/>
    <s v="main"/>
    <n v="0"/>
    <x v="0"/>
    <s v="n/a"/>
    <s v="n/a"/>
    <n v="0"/>
    <x v="2"/>
    <x v="1"/>
    <m/>
    <s v="ds"/>
    <x v="1"/>
    <s v="topic-drop"/>
    <s v="contains_new"/>
    <m/>
    <m/>
    <n v="1"/>
    <s v="non-LVC"/>
    <s v="Yes"/>
    <n v="40"/>
    <s v="relative"/>
    <n v="1"/>
    <m/>
    <x v="1"/>
    <x v="0"/>
    <s v="n/a"/>
    <x v="0"/>
    <n v="0"/>
  </r>
  <r>
    <s v="Heike 2.152"/>
    <s v="弓箭に携らん (yumiya ni tazusaran)"/>
    <s v="Such prudence is most commendable in a warrior."/>
    <s v="携らん"/>
    <s v="dynamic"/>
    <s v="action"/>
    <s v="verb"/>
    <x v="0"/>
    <s v="active"/>
    <s v="positive"/>
    <n v="1"/>
    <n v="1"/>
    <s v="IO"/>
    <n v="0"/>
    <s v="zero_recoverable"/>
    <n v="3"/>
    <s v="n/a"/>
    <s v="overt"/>
    <n v="1"/>
    <n v="0"/>
    <s v="REL"/>
    <s v="relative"/>
    <n v="0"/>
    <x v="0"/>
    <s v="n/a"/>
    <s v="n/a"/>
    <n v="0"/>
    <x v="2"/>
    <x v="3"/>
    <m/>
    <s v="ds"/>
    <x v="1"/>
    <s v="topic-shift"/>
    <s v="contains_new"/>
    <m/>
    <m/>
    <n v="1"/>
    <s v="non-LVC"/>
    <s v="Yes"/>
    <n v="41"/>
    <s v="main"/>
    <n v="0"/>
    <n v="1"/>
    <x v="0"/>
    <x v="2"/>
    <s v="n/a"/>
    <x v="1"/>
    <n v="0"/>
  </r>
  <r>
    <s v="Heike 2.153"/>
    <s v="ほどの者の謀は尤もかうこそあらまほしけれ hodo no mono no hakarigoto wa motto mo kō koso aramahoshikere"/>
    <m/>
    <s v="あらまほしけれ"/>
    <s v="desiderative"/>
    <s v="psych-state"/>
    <s v="adjectival predicate"/>
    <x v="0"/>
    <s v="active"/>
    <s v="positive"/>
    <n v="1"/>
    <n v="1"/>
    <s v="SUB"/>
    <n v="1"/>
    <s v="overt"/>
    <n v="3"/>
    <s v="n/a"/>
    <s v="n/a"/>
    <n v="0"/>
    <n v="0"/>
    <s v="n/a"/>
    <s v="main"/>
    <n v="0"/>
    <x v="0"/>
    <s v="n/a"/>
    <s v="n/a"/>
    <n v="0"/>
    <x v="2"/>
    <x v="1"/>
    <m/>
    <s v="ds"/>
    <x v="1"/>
    <s v="topic-shift"/>
    <s v="contains_new"/>
    <m/>
    <m/>
    <n v="1"/>
    <s v="non-LVC"/>
    <s v="Yes"/>
    <n v="41"/>
    <s v="main"/>
    <n v="1"/>
    <n v="1"/>
    <x v="1"/>
    <x v="2"/>
    <s v="n/a"/>
    <x v="1"/>
    <n v="0"/>
  </r>
  <r>
    <s v="Heike 2.154"/>
    <s v="予てはまた郎従小庭に伺候の由 (kanete wa mata rōjū koniwa ni shikō no yoshi) 且つは武士の郎等の習ひなり (katsu wa bushi no rōtō no narai nari)"/>
    <s v="As for his retainer being in the small court, that too is the custom of the retainers of the warrior class, "/>
    <s v="なり"/>
    <s v="indicative"/>
    <s v="stative"/>
    <s v="copula"/>
    <x v="0"/>
    <s v="active"/>
    <s v="positive"/>
    <n v="1"/>
    <n v="1"/>
    <s v="SUB"/>
    <n v="3"/>
    <s v="overt"/>
    <n v="3"/>
    <s v="n/a"/>
    <s v="n/a"/>
    <n v="0"/>
    <n v="0"/>
    <s v="n/a"/>
    <s v="main"/>
    <n v="0"/>
    <x v="0"/>
    <s v="n/a"/>
    <s v="n/a"/>
    <n v="0"/>
    <x v="2"/>
    <x v="3"/>
    <m/>
    <s v="ds"/>
    <x v="1"/>
    <s v="topic-shift"/>
    <s v="contains_new"/>
    <m/>
    <m/>
    <n v="1"/>
    <s v="non-LVC"/>
    <s v="Yes"/>
    <n v="42"/>
    <s v="subordinate"/>
    <n v="1"/>
    <n v="1"/>
    <x v="0"/>
    <x v="2"/>
    <s v="n/a"/>
    <x v="1"/>
    <n v="0"/>
  </r>
  <r>
    <s v="Heike 2.155"/>
    <s v="忠盛が咎にはあらずとて (Tadamori ga toga ni wa arazu tote)"/>
    <s v="and no fault was found in Tadamori."/>
    <s v="あらず"/>
    <s v="indicative"/>
    <s v="stative"/>
    <s v="copula"/>
    <x v="0"/>
    <s v="active"/>
    <s v="negative"/>
    <n v="1"/>
    <n v="1"/>
    <s v="SUB"/>
    <n v="0"/>
    <s v="overt"/>
    <n v="3"/>
    <s v="n/a"/>
    <s v="n/a"/>
    <n v="0"/>
    <n v="0"/>
    <s v="n/a"/>
    <s v="subordinate"/>
    <n v="0"/>
    <x v="0"/>
    <s v="n/a"/>
    <s v="n/a"/>
    <n v="0"/>
    <x v="3"/>
    <x v="3"/>
    <m/>
    <s v="ds"/>
    <x v="0"/>
    <s v="topic-shift"/>
    <s v="contains_new"/>
    <m/>
    <m/>
    <n v="1"/>
    <s v="non-LVC"/>
    <s v="Yes"/>
    <n v="43"/>
    <s v="subordinate"/>
    <n v="1"/>
    <n v="2"/>
    <x v="1"/>
    <x v="0"/>
    <s v="n/a"/>
    <x v="0"/>
    <n v="0"/>
  </r>
  <r>
    <s v="Heike 2.156"/>
    <s v="却つて叡感に預かりし上は (kaette eikan ni azukarishi ue wa)"/>
    <s v="and on the contrary, his conduct was greatly admired,"/>
    <s v="預かりし"/>
    <s v="indicative"/>
    <s v="action"/>
    <s v="verb"/>
    <x v="0"/>
    <s v="active"/>
    <s v="positive"/>
    <n v="1"/>
    <n v="1"/>
    <s v="IO"/>
    <n v="1"/>
    <s v="zero_recoverable"/>
    <n v="3"/>
    <s v="n/a"/>
    <s v="overt"/>
    <n v="0"/>
    <n v="0"/>
    <s v="REL"/>
    <s v="subordinate"/>
    <n v="0"/>
    <x v="0"/>
    <s v="n/a"/>
    <s v="n/a"/>
    <n v="1"/>
    <x v="6"/>
    <x v="4"/>
    <m/>
    <s v="ss"/>
    <x v="1"/>
    <s v="topic-drop"/>
    <s v="contains_new"/>
    <m/>
    <m/>
    <n v="1"/>
    <s v="non-LVC"/>
    <s v="Yes"/>
    <n v="43"/>
    <s v="main"/>
    <n v="1"/>
    <n v="3"/>
    <x v="1"/>
    <x v="2"/>
    <s v="n/a"/>
    <x v="1"/>
    <n v="0"/>
  </r>
  <r>
    <s v="Heike 2.157"/>
    <s v="敢へて罪科の沙汰はなかりけり aete tsumikado no sata wa nakarikeri"/>
    <s v="and he was pronounced guiltless."/>
    <s v="なかりけり"/>
    <s v="indicative"/>
    <s v="aux/modal"/>
    <s v="verb"/>
    <x v="0"/>
    <s v="active"/>
    <s v="negative"/>
    <n v="1"/>
    <n v="1"/>
    <s v="SUB"/>
    <n v="1"/>
    <s v="overt"/>
    <n v="3"/>
    <s v="n/a"/>
    <s v="n/a"/>
    <n v="0"/>
    <n v="0"/>
    <s v="n/a"/>
    <s v="main"/>
    <n v="0"/>
    <x v="0"/>
    <s v="n/a"/>
    <s v="n/a"/>
    <n v="0"/>
    <x v="8"/>
    <x v="4"/>
    <m/>
    <s v="ds"/>
    <x v="2"/>
    <s v="topic-drop"/>
    <s v="contains_new"/>
    <m/>
    <m/>
    <n v="1"/>
    <s v="non-LVC"/>
    <s v="No"/>
    <n v="43"/>
    <m/>
    <n v="1"/>
    <m/>
    <x v="1"/>
    <x v="3"/>
    <m/>
    <x v="1"/>
    <n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
  <r>
    <x v="0"/>
    <s v="忠盛朝臣未だ備前守たりし時 (Tadamori ason imada Bizen no kami tarishi toki)"/>
    <s v="Now Tadamori, while holding the office of Bizen no Kami,"/>
    <s v="たりし"/>
    <s v="indicative"/>
    <s v="stative"/>
    <s v="copula"/>
    <s v="intransitive"/>
    <s v="active"/>
    <s v="positive"/>
    <n v="1"/>
    <n v="1"/>
    <s v="SUB"/>
    <n v="0"/>
    <x v="0"/>
    <n v="3"/>
    <s v="n/a"/>
    <s v="n/a"/>
    <n v="0"/>
    <n v="1"/>
    <s v="REL"/>
    <x v="0"/>
    <n v="0"/>
    <x v="0"/>
    <x v="0"/>
    <x v="0"/>
    <n v="0"/>
    <x v="0"/>
    <x v="0"/>
    <m/>
    <s v="new"/>
    <x v="0"/>
    <x v="0"/>
    <x v="0"/>
    <m/>
    <x v="0"/>
    <n v="1"/>
    <s v="non-LVC"/>
    <s v="Yes"/>
    <n v="1"/>
    <x v="0"/>
    <n v="0"/>
    <n v="1"/>
    <n v="1"/>
    <x v="0"/>
    <s v="overt"/>
    <x v="0"/>
    <n v="0"/>
  </r>
  <r>
    <x v="1"/>
    <s v="鳥羽院の御願得長寿院を造進して (Toba-in no ogan Tokuchōju-in o zōshin shite)"/>
    <s v="by the request of the retired Emperor Toba,"/>
    <s v="造進して"/>
    <s v="indicative"/>
    <s v="other"/>
    <s v="verb"/>
    <s v="transitive"/>
    <s v="active"/>
    <s v="positive"/>
    <n v="1"/>
    <n v="1"/>
    <s v="OBJ"/>
    <n v="1"/>
    <x v="1"/>
    <n v="3"/>
    <s v="overt"/>
    <s v="n/a"/>
    <n v="0"/>
    <n v="0"/>
    <s v="n/a"/>
    <x v="1"/>
    <n v="0"/>
    <x v="0"/>
    <x v="1"/>
    <x v="1"/>
    <n v="1"/>
    <x v="1"/>
    <x v="1"/>
    <s v="te_medial"/>
    <s v="ss"/>
    <x v="0"/>
    <x v="1"/>
    <x v="0"/>
    <s v="stranded subject Tadamori"/>
    <x v="0"/>
    <n v="1"/>
    <s v="non-LVC"/>
    <s v="Yes"/>
    <n v="1"/>
    <x v="0"/>
    <n v="1"/>
    <n v="2"/>
    <n v="0"/>
    <x v="0"/>
    <s v="overt"/>
    <x v="1"/>
    <n v="0"/>
  </r>
  <r>
    <x v="2"/>
    <s v="三十三間の御堂を建て (sanjūsangen no midō o tatete)"/>
    <s v=" had built the temple Toku-cho-juin and the Sa-ju-san-gen-do, or hall 33 ken long,"/>
    <s v="建て"/>
    <s v="indicative"/>
    <s v="other"/>
    <s v="verb"/>
    <s v="transitive"/>
    <s v="active"/>
    <s v="positive"/>
    <n v="1"/>
    <n v="1"/>
    <s v="OBJ"/>
    <n v="0"/>
    <x v="1"/>
    <n v="3"/>
    <s v="overt"/>
    <s v="n/a"/>
    <n v="0"/>
    <n v="0"/>
    <s v="n/a"/>
    <x v="1"/>
    <n v="0"/>
    <x v="0"/>
    <x v="1"/>
    <x v="1"/>
    <n v="1"/>
    <x v="1"/>
    <x v="2"/>
    <s v="te_medial"/>
    <s v="ss"/>
    <x v="0"/>
    <x v="1"/>
    <x v="0"/>
    <m/>
    <x v="0"/>
    <n v="1"/>
    <s v="non-LVC"/>
    <s v="Yes"/>
    <n v="1"/>
    <x v="1"/>
    <n v="1"/>
    <m/>
    <n v="0"/>
    <x v="1"/>
    <s v="overt"/>
    <x v="1"/>
    <n v="0"/>
  </r>
  <r>
    <x v="3"/>
    <s v="一千一体の御仏を据ゑ奉らる (issen ittai no mihotoke o sue-tatematsuraru)"/>
    <s v="within which were one thousand and one Buddhas;"/>
    <s v="据ゑ奉らる"/>
    <s v="indicative"/>
    <s v="action"/>
    <s v="verb"/>
    <s v="transitive"/>
    <s v="active"/>
    <s v="positive"/>
    <n v="1"/>
    <n v="1"/>
    <s v="OBJ"/>
    <n v="0"/>
    <x v="2"/>
    <n v="3"/>
    <s v="overt"/>
    <s v="n/a"/>
    <n v="0"/>
    <n v="1"/>
    <s v="REL"/>
    <x v="0"/>
    <n v="1"/>
    <x v="1"/>
    <x v="2"/>
    <x v="2"/>
    <n v="1"/>
    <x v="2"/>
    <x v="2"/>
    <m/>
    <s v="ss"/>
    <x v="1"/>
    <x v="1"/>
    <x v="0"/>
    <s v="complex verbal form"/>
    <x v="0"/>
    <n v="1"/>
    <s v="non-LVC"/>
    <s v="Yes"/>
    <n v="1"/>
    <x v="2"/>
    <n v="0"/>
    <n v="3"/>
    <n v="0"/>
    <x v="2"/>
    <s v="n/a"/>
    <x v="1"/>
    <n v="0"/>
  </r>
  <r>
    <x v="4"/>
    <s v="供養は天承元年三月十三日なり (kuyō wa Tenshō gannen sangatsu jūsan-nichi nari)"/>
    <s v="its first festival being on the thirteenth day of the third month of the first year of Tensho."/>
    <s v="なり"/>
    <s v="indicative"/>
    <s v="stative"/>
    <s v="copula"/>
    <s v="intransitive"/>
    <s v="active"/>
    <s v="positive"/>
    <n v="1"/>
    <n v="1"/>
    <s v="SUB"/>
    <n v="0"/>
    <x v="0"/>
    <n v="3"/>
    <s v="n/a"/>
    <s v="n/a"/>
    <n v="0"/>
    <n v="0"/>
    <s v="n/a"/>
    <x v="2"/>
    <n v="0"/>
    <x v="0"/>
    <x v="0"/>
    <x v="0"/>
    <n v="0"/>
    <x v="2"/>
    <x v="1"/>
    <m/>
    <s v="ds"/>
    <x v="1"/>
    <x v="0"/>
    <x v="0"/>
    <m/>
    <x v="0"/>
    <n v="1"/>
    <s v="non-LVC"/>
    <s v="Yes"/>
    <n v="1"/>
    <x v="3"/>
    <n v="1"/>
    <n v="1"/>
    <n v="0"/>
    <x v="1"/>
    <s v="overt"/>
    <x v="0"/>
    <n v="0"/>
  </r>
  <r>
    <x v="5"/>
    <s v="勧賞には欠国を賜ふべき由 (kanshō ni wa kakukuni o tamau beki yoshi)"/>
    <s v="As a reward he was to be granted a fief,"/>
    <s v="賜ふべき"/>
    <s v="deontic"/>
    <s v="action"/>
    <s v="verb"/>
    <s v="transitive"/>
    <s v="active"/>
    <s v="positive"/>
    <n v="1"/>
    <n v="1"/>
    <s v="OBJ"/>
    <n v="1"/>
    <x v="2"/>
    <n v="3"/>
    <s v="overt"/>
    <s v="n/a"/>
    <n v="0"/>
    <n v="1"/>
    <s v="n/a"/>
    <x v="3"/>
    <n v="0"/>
    <x v="1"/>
    <x v="2"/>
    <x v="3"/>
    <n v="0"/>
    <x v="3"/>
    <x v="3"/>
    <m/>
    <s v="ds"/>
    <x v="1"/>
    <x v="2"/>
    <x v="0"/>
    <m/>
    <x v="0"/>
    <n v="1"/>
    <s v="non-LVC"/>
    <s v="Yes"/>
    <n v="2"/>
    <x v="4"/>
    <n v="1"/>
    <m/>
    <n v="1"/>
    <x v="1"/>
    <s v="not_applicable"/>
    <x v="1"/>
    <n v="0"/>
  </r>
  <r>
    <x v="6"/>
    <s v="仰せ下されける (ōse-kudasa rekeru)"/>
    <s v="he was honoured by receiving the territory of the province of Tamba,"/>
    <s v="仰せ下されける"/>
    <s v="indicative"/>
    <s v="action"/>
    <s v="verb(complex)"/>
    <s v="intransitive"/>
    <s v="passive"/>
    <s v="positive"/>
    <n v="1"/>
    <n v="0"/>
    <s v="n/a"/>
    <n v="0"/>
    <x v="2"/>
    <n v="3"/>
    <s v="n/a"/>
    <s v="n/a"/>
    <n v="1"/>
    <n v="0"/>
    <s v="REL"/>
    <x v="0"/>
    <n v="0"/>
    <x v="1"/>
    <x v="3"/>
    <x v="4"/>
    <n v="0"/>
    <x v="2"/>
    <x v="4"/>
    <m/>
    <s v="ds"/>
    <x v="0"/>
    <x v="1"/>
    <x v="1"/>
    <m/>
    <x v="0"/>
    <n v="0"/>
    <s v="non-LVC"/>
    <s v="Yes"/>
    <n v="2"/>
    <x v="4"/>
    <n v="0"/>
    <m/>
    <n v="0"/>
    <x v="2"/>
    <s v="n/a"/>
    <x v="1"/>
    <n v="0"/>
  </r>
  <r>
    <x v="7"/>
    <s v="折節但馬国の空きたりけるをぞ (orifushi Tamba no kuni no aki tarikeru o zo)"/>
    <s v="which then happened to be unappropriated."/>
    <s v="空きたりける"/>
    <s v="indicative"/>
    <s v="stative"/>
    <s v="verb"/>
    <s v="intransitive"/>
    <s v="resultative"/>
    <s v="positive"/>
    <n v="1"/>
    <n v="1"/>
    <s v="SUB"/>
    <n v="1"/>
    <x v="0"/>
    <n v="3"/>
    <s v="n/a"/>
    <s v="n/a"/>
    <n v="0"/>
    <n v="0"/>
    <s v="OBJ"/>
    <x v="4"/>
    <n v="0"/>
    <x v="0"/>
    <x v="0"/>
    <x v="0"/>
    <n v="0"/>
    <x v="2"/>
    <x v="1"/>
    <m/>
    <s v="ss"/>
    <x v="1"/>
    <x v="1"/>
    <x v="0"/>
    <s v="internally headed"/>
    <x v="0"/>
    <n v="1"/>
    <s v="non-LVC"/>
    <s v="Yes"/>
    <n v="2"/>
    <x v="4"/>
    <n v="0"/>
    <n v="2"/>
    <n v="0"/>
    <x v="1"/>
    <s v="zero_recoverable"/>
    <x v="0"/>
    <n v="0"/>
  </r>
  <r>
    <x v="8"/>
    <s v="賜はりける (tamawari keru)"/>
    <s v="As a reward he was honoured by receiving the territory of the province of Tamba, which then happened to be unappropriated."/>
    <s v="賜はりける"/>
    <s v="indicative"/>
    <s v="action"/>
    <s v="verb"/>
    <s v="transitive"/>
    <s v="active"/>
    <s v="positive"/>
    <n v="1"/>
    <n v="1"/>
    <s v="OBJ"/>
    <n v="0"/>
    <x v="2"/>
    <n v="3"/>
    <s v="zero_recoverable"/>
    <s v="zero_recoverable"/>
    <n v="0"/>
    <n v="0"/>
    <s v="n/a"/>
    <x v="2"/>
    <n v="0"/>
    <x v="1"/>
    <x v="2"/>
    <x v="5"/>
    <n v="0"/>
    <x v="2"/>
    <x v="5"/>
    <m/>
    <s v="ds"/>
    <x v="1"/>
    <x v="1"/>
    <x v="1"/>
    <m/>
    <x v="0"/>
    <n v="1"/>
    <s v="non-LVC"/>
    <s v="Yes"/>
    <n v="2"/>
    <x v="4"/>
    <n v="1"/>
    <m/>
    <n v="0"/>
    <x v="2"/>
    <s v="overt"/>
    <x v="1"/>
    <n v="0"/>
  </r>
  <r>
    <x v="9"/>
    <s v="上皇御感のあまりに内の昇殿を許さる (jōkō go-kan no amari ni uchi no shōden o yurusaru)"/>
    <s v="Moreover the Emperor of his bounty graciously permitted him to attend the Court;"/>
    <s v="許さる"/>
    <s v="indicative"/>
    <s v="action"/>
    <s v="verb"/>
    <s v="transitive"/>
    <s v="active"/>
    <s v="positive"/>
    <n v="1"/>
    <n v="2"/>
    <s v="S+O"/>
    <n v="1"/>
    <x v="0"/>
    <n v="3"/>
    <s v="overt"/>
    <s v="zero_recoverable"/>
    <n v="1"/>
    <n v="0"/>
    <s v="REL"/>
    <x v="0"/>
    <n v="1"/>
    <x v="0"/>
    <x v="2"/>
    <x v="2"/>
    <n v="1"/>
    <x v="2"/>
    <x v="3"/>
    <m/>
    <s v="ds"/>
    <x v="1"/>
    <x v="1"/>
    <x v="0"/>
    <s v="it's unlcear whether -re- in -yurusareru is passive or honorific"/>
    <x v="0"/>
    <n v="2"/>
    <s v="non-LVC"/>
    <s v="Yes"/>
    <n v="3"/>
    <x v="2"/>
    <n v="0"/>
    <n v="1"/>
    <n v="0"/>
    <x v="2"/>
    <s v="overt"/>
    <x v="1"/>
    <n v="0"/>
  </r>
  <r>
    <x v="10"/>
    <s v="忠盛三十六にて初めて昇殿す (Tadamori sanjūroku nite hajimete shōden su)"/>
    <s v="which Tadamori did for the first time at the age of thirty six."/>
    <s v="昇殿す"/>
    <s v="indicative"/>
    <s v="motion"/>
    <s v="LVC"/>
    <s v="intransitive"/>
    <s v="active"/>
    <s v="positive"/>
    <n v="1"/>
    <n v="1"/>
    <s v="SUB"/>
    <n v="2"/>
    <x v="0"/>
    <n v="3"/>
    <s v="overt"/>
    <s v="n/a"/>
    <n v="0"/>
    <n v="0"/>
    <s v="n/a"/>
    <x v="2"/>
    <n v="0"/>
    <x v="0"/>
    <x v="0"/>
    <x v="0"/>
    <n v="0"/>
    <x v="2"/>
    <x v="1"/>
    <m/>
    <s v="ds"/>
    <x v="1"/>
    <x v="3"/>
    <x v="0"/>
    <m/>
    <x v="0"/>
    <n v="1"/>
    <s v="LVC"/>
    <s v="Yes"/>
    <n v="3"/>
    <x v="5"/>
    <n v="1"/>
    <n v="1"/>
    <n v="1"/>
    <x v="2"/>
    <s v="overt"/>
    <x v="1"/>
    <n v="0"/>
  </r>
  <r>
    <x v="11"/>
    <s v="雲の上人これを嫉み憤り (kumo no uebito kore o sonemi ikidori)"/>
    <s v="the higher Courtiers were furious with jealousy"/>
    <s v="嫉み憤り"/>
    <s v="indicative"/>
    <s v="psych-state"/>
    <s v="verb(compound)"/>
    <s v="transitive"/>
    <s v="active"/>
    <s v="positive"/>
    <n v="1"/>
    <n v="2"/>
    <s v="S+O"/>
    <n v="0"/>
    <x v="0"/>
    <n v="3"/>
    <s v="overt"/>
    <s v="n/a"/>
    <n v="0"/>
    <n v="0"/>
    <s v="n/a"/>
    <x v="5"/>
    <n v="0"/>
    <x v="0"/>
    <x v="0"/>
    <x v="0"/>
    <n v="0"/>
    <x v="2"/>
    <x v="3"/>
    <m/>
    <s v="ds"/>
    <x v="0"/>
    <x v="0"/>
    <x v="0"/>
    <m/>
    <x v="0"/>
    <n v="2"/>
    <s v="non-LVC"/>
    <s v="Yes"/>
    <n v="4"/>
    <x v="6"/>
    <n v="1"/>
    <n v="2"/>
    <n v="0"/>
    <x v="0"/>
    <s v="overt"/>
    <x v="0"/>
    <n v="0"/>
  </r>
  <r>
    <x v="12"/>
    <s v="同じき年の十一月二十三日五節豊の明の節会の夜 (onajiki toshi no jūichigatsu nijūsannichi gosechi Toyo-no-akari no setchie no yo) 忠盛を闇討にせん (Tadamori o yamiuchi ni sen "/>
    <s v="to assassinate him on the evening of the festival of Go-Sechi Toyo-no-akari-no-setchie, on the 23rd day of the eleventh month of the same year."/>
    <s v="闇討にせん"/>
    <s v="dynamic"/>
    <s v="other"/>
    <s v="LVC"/>
    <s v="transitive"/>
    <s v="active"/>
    <s v="positive"/>
    <n v="1"/>
    <n v="1"/>
    <s v="OBJ"/>
    <n v="1"/>
    <x v="1"/>
    <n v="3"/>
    <s v="overt"/>
    <s v="n/a"/>
    <n v="0"/>
    <n v="0"/>
    <s v="n/a"/>
    <x v="6"/>
    <n v="0"/>
    <x v="0"/>
    <x v="0"/>
    <x v="0"/>
    <n v="0"/>
    <x v="4"/>
    <x v="6"/>
    <m/>
    <s v="ss"/>
    <x v="1"/>
    <x v="3"/>
    <x v="0"/>
    <m/>
    <x v="0"/>
    <n v="1"/>
    <s v="LVC"/>
    <s v="Yes"/>
    <n v="4"/>
    <x v="4"/>
    <n v="1"/>
    <n v="3"/>
    <n v="0"/>
    <x v="2"/>
    <s v="n/a"/>
    <x v="1"/>
    <n v="0"/>
  </r>
  <r>
    <x v="13"/>
    <s v="とぞ議せられける (to zo giserarikeru)"/>
    <s v="they plotted"/>
    <s v="議せられける"/>
    <s v="indicative"/>
    <s v="communication"/>
    <s v="LVC"/>
    <s v="intransitive"/>
    <s v="passive"/>
    <s v="positive"/>
    <n v="1"/>
    <n v="1"/>
    <s v="S (Speech)"/>
    <n v="0"/>
    <x v="0"/>
    <s v="n/a"/>
    <s v="n/a"/>
    <s v="n/a"/>
    <n v="0"/>
    <n v="0"/>
    <s v="n/a"/>
    <x v="2"/>
    <n v="0"/>
    <x v="0"/>
    <x v="0"/>
    <x v="0"/>
    <n v="0"/>
    <x v="2"/>
    <x v="7"/>
    <m/>
    <s v="ds"/>
    <x v="1"/>
    <x v="1"/>
    <x v="2"/>
    <m/>
    <x v="0"/>
    <n v="1"/>
    <s v="LVC"/>
    <s v="Yes"/>
    <n v="4"/>
    <x v="0"/>
    <n v="1"/>
    <n v="1"/>
    <n v="0"/>
    <x v="2"/>
    <s v="overt"/>
    <x v="1"/>
    <n v="0"/>
  </r>
  <r>
    <x v="14"/>
    <s v="忠盛この由を伝へ聞きて (Tadamori kono yoshi o tsutae kikite)"/>
    <s v="Tadamori, on hearing of this"/>
    <s v="伝へ聞きて"/>
    <s v="indicative"/>
    <s v="perception"/>
    <s v="verb(compound)"/>
    <s v="transitive"/>
    <s v="active"/>
    <s v="positive"/>
    <n v="1"/>
    <n v="2"/>
    <s v="OBJ"/>
    <n v="0"/>
    <x v="0"/>
    <n v="3"/>
    <s v="overt"/>
    <s v="n/a"/>
    <n v="0"/>
    <n v="0"/>
    <s v="n/a"/>
    <x v="1"/>
    <n v="0"/>
    <x v="0"/>
    <x v="0"/>
    <x v="0"/>
    <n v="0"/>
    <x v="1"/>
    <x v="3"/>
    <s v="te_initial"/>
    <s v="ds"/>
    <x v="1"/>
    <x v="2"/>
    <x v="2"/>
    <m/>
    <x v="0"/>
    <n v="2"/>
    <s v="non-LVC"/>
    <s v="Yes"/>
    <n v="5"/>
    <x v="4"/>
    <n v="1"/>
    <n v="2"/>
    <n v="1"/>
    <x v="2"/>
    <s v="n/a"/>
    <x v="1"/>
    <n v="0"/>
  </r>
  <r>
    <x v="15"/>
    <s v="我右弼の身にあらず (ware ubitsu no mi ni a-razu)"/>
    <s v="I am not a civil official"/>
    <s v="あらず"/>
    <s v="indicative"/>
    <s v="other"/>
    <s v="copula"/>
    <s v="intransitive"/>
    <s v="active"/>
    <s v="negative"/>
    <n v="1"/>
    <n v="1"/>
    <s v="SUB"/>
    <n v="0"/>
    <x v="0"/>
    <n v="1"/>
    <s v="n/a"/>
    <s v="n/a"/>
    <n v="0"/>
    <n v="0"/>
    <s v="n/a"/>
    <x v="3"/>
    <n v="0"/>
    <x v="0"/>
    <x v="0"/>
    <x v="0"/>
    <n v="0"/>
    <x v="1"/>
    <x v="2"/>
    <m/>
    <s v="ds"/>
    <x v="0"/>
    <x v="2"/>
    <x v="0"/>
    <m/>
    <x v="0"/>
    <n v="1"/>
    <s v="non-LVC"/>
    <s v="Yes"/>
    <n v="5"/>
    <x v="0"/>
    <n v="1"/>
    <n v="3"/>
    <n v="0"/>
    <x v="0"/>
    <s v="n/a"/>
    <x v="0"/>
    <n v="0"/>
  </r>
  <r>
    <x v="16"/>
    <s v="武勇の家に生れて (buyū no ie ni umarete)"/>
    <s v="being born of a line of warriors"/>
    <s v="生れて"/>
    <s v="indicative"/>
    <s v="other"/>
    <s v="verb"/>
    <s v="intransitive"/>
    <s v="active"/>
    <s v="positive"/>
    <n v="1"/>
    <n v="1"/>
    <s v="SUB"/>
    <n v="1"/>
    <x v="1"/>
    <n v="1"/>
    <s v="n/a"/>
    <s v="n/a"/>
    <n v="0"/>
    <n v="0"/>
    <s v="n/a"/>
    <x v="1"/>
    <n v="0"/>
    <x v="0"/>
    <x v="0"/>
    <x v="0"/>
    <n v="0"/>
    <x v="1"/>
    <x v="4"/>
    <s v="te_medial"/>
    <s v="ss"/>
    <x v="0"/>
    <x v="1"/>
    <x v="0"/>
    <m/>
    <x v="0"/>
    <n v="1"/>
    <s v="non-LVC"/>
    <s v="Yes"/>
    <n v="5"/>
    <x v="1"/>
    <n v="1"/>
    <m/>
    <n v="0"/>
    <x v="0"/>
    <s v="n/a"/>
    <x v="1"/>
    <n v="0"/>
  </r>
  <r>
    <x v="17"/>
    <s v="今不慮の恥に遇はん (ima furyo no haji ni awan)"/>
    <s v="for myself and my house at this unexpected shame"/>
    <s v="遇はん"/>
    <s v="epistemic"/>
    <s v="other"/>
    <s v="verb"/>
    <s v="intransitive"/>
    <s v="active"/>
    <s v="positive"/>
    <n v="1"/>
    <n v="1"/>
    <s v="IO"/>
    <n v="1"/>
    <x v="1"/>
    <s v="n/a"/>
    <s v="n/a"/>
    <s v="overt"/>
    <n v="0"/>
    <n v="1"/>
    <s v="n/a"/>
    <x v="0"/>
    <n v="0"/>
    <x v="0"/>
    <x v="0"/>
    <x v="0"/>
    <n v="0"/>
    <x v="2"/>
    <x v="2"/>
    <m/>
    <s v="ss"/>
    <x v="1"/>
    <x v="1"/>
    <x v="0"/>
    <m/>
    <x v="0"/>
    <n v="1"/>
    <s v="non-LVC"/>
    <s v="Yes"/>
    <n v="5"/>
    <x v="2"/>
    <n v="0"/>
    <n v="4"/>
    <n v="0"/>
    <x v="2"/>
    <s v="n/a"/>
    <x v="1"/>
    <n v="0"/>
  </r>
  <r>
    <x v="18"/>
    <s v="事家の為身の為心憂かるべし (koto ie no tame mi no tame kokoroukarubeshi)"/>
    <s v="I am troubled in my heart"/>
    <s v="憂かるべし"/>
    <s v="epistemic"/>
    <s v="psych-state"/>
    <s v="adjectival predicate"/>
    <s v="intransitive"/>
    <s v="active"/>
    <s v="positive"/>
    <n v="1"/>
    <n v="1"/>
    <s v="SUB"/>
    <n v="1"/>
    <x v="0"/>
    <n v="3"/>
    <s v="n/a"/>
    <s v="n/a"/>
    <n v="0"/>
    <n v="0"/>
    <s v="n/a"/>
    <x v="2"/>
    <n v="0"/>
    <x v="0"/>
    <x v="0"/>
    <x v="0"/>
    <n v="0"/>
    <x v="2"/>
    <x v="1"/>
    <m/>
    <s v="ds"/>
    <x v="2"/>
    <x v="1"/>
    <x v="0"/>
    <m/>
    <x v="0"/>
    <n v="1"/>
    <s v="non-LVC"/>
    <s v="Yes"/>
    <n v="5"/>
    <x v="4"/>
    <n v="1"/>
    <n v="1"/>
    <n v="0"/>
    <x v="3"/>
    <m/>
    <x v="1"/>
    <n v="0"/>
  </r>
  <r>
    <x v="19"/>
    <s v="詮ずるところ (senzuru tokoro)"/>
    <s v="finally, as for what is to be done"/>
    <s v="詮ずる"/>
    <s v="indicative"/>
    <s v="other"/>
    <m/>
    <m/>
    <m/>
    <m/>
    <m/>
    <m/>
    <m/>
    <m/>
    <x v="3"/>
    <m/>
    <s v="n/a"/>
    <s v="n/a"/>
    <m/>
    <m/>
    <m/>
    <x v="7"/>
    <m/>
    <x v="2"/>
    <x v="4"/>
    <x v="6"/>
    <m/>
    <x v="5"/>
    <x v="3"/>
    <m/>
    <m/>
    <x v="0"/>
    <x v="4"/>
    <x v="3"/>
    <m/>
    <x v="0"/>
    <m/>
    <s v="non-LVC"/>
    <s v="Yes"/>
    <n v="6"/>
    <x v="4"/>
    <n v="1"/>
    <n v="2"/>
    <n v="0"/>
    <x v="0"/>
    <s v="overt"/>
    <x v="1"/>
    <n v="0"/>
  </r>
  <r>
    <x v="20"/>
    <s v="身を全うして (mi o mattō shite)"/>
    <s v="with all your might"/>
    <s v="全うして"/>
    <s v="indicative"/>
    <s v="other"/>
    <s v="LVC"/>
    <s v="transitive"/>
    <s v="active"/>
    <s v="positive"/>
    <n v="1"/>
    <n v="1"/>
    <s v="OBJ"/>
    <n v="0"/>
    <x v="1"/>
    <n v="1"/>
    <s v="overt"/>
    <s v="n/a"/>
    <n v="0"/>
    <n v="0"/>
    <s v="n/a"/>
    <x v="1"/>
    <n v="0"/>
    <x v="0"/>
    <x v="0"/>
    <x v="0"/>
    <n v="0"/>
    <x v="1"/>
    <x v="8"/>
    <s v="te_medial"/>
    <s v="ss"/>
    <x v="0"/>
    <x v="1"/>
    <x v="0"/>
    <m/>
    <x v="0"/>
    <n v="1"/>
    <s v="LVC"/>
    <s v="Yes"/>
    <n v="6"/>
    <x v="6"/>
    <n v="1"/>
    <n v="3"/>
    <n v="0"/>
    <x v="1"/>
    <s v="n/a"/>
    <x v="1"/>
    <n v="0"/>
  </r>
  <r>
    <x v="21"/>
    <s v="君に仕へ奉れ"/>
    <s v=" kimi ni tsukae tatematsure"/>
    <s v="仕へ奉れ"/>
    <s v="imperative"/>
    <s v="action"/>
    <s v="verb"/>
    <s v="intransitive"/>
    <s v="active"/>
    <s v="positive"/>
    <n v="1"/>
    <n v="1"/>
    <s v="IO"/>
    <n v="0"/>
    <x v="2"/>
    <n v="1"/>
    <s v="n/a"/>
    <s v="overt"/>
    <n v="0"/>
    <n v="0"/>
    <s v="n/a"/>
    <x v="6"/>
    <n v="1"/>
    <x v="1"/>
    <x v="2"/>
    <x v="5"/>
    <n v="0"/>
    <x v="2"/>
    <x v="2"/>
    <m/>
    <s v="ss"/>
    <x v="1"/>
    <x v="1"/>
    <x v="0"/>
    <m/>
    <x v="0"/>
    <n v="1"/>
    <s v="non-LVC"/>
    <s v="Yes"/>
    <n v="6"/>
    <x v="2"/>
    <n v="1"/>
    <n v="4"/>
    <n v="0"/>
    <x v="2"/>
    <s v="n/a"/>
    <x v="1"/>
    <n v="0"/>
  </r>
  <r>
    <x v="22"/>
    <s v="といふ本文あり (to iu honbun ari)"/>
    <s v="so goes the original passage"/>
    <s v="あり"/>
    <s v="indicative"/>
    <s v="stative"/>
    <s v="existential verb"/>
    <s v="intransitive"/>
    <s v="active"/>
    <s v="positive"/>
    <n v="1"/>
    <n v="1"/>
    <s v="SUB"/>
    <n v="1"/>
    <x v="0"/>
    <n v="3"/>
    <s v="n/a"/>
    <s v="n/a"/>
    <n v="0"/>
    <n v="0"/>
    <s v="n/a"/>
    <x v="2"/>
    <n v="0"/>
    <x v="0"/>
    <x v="0"/>
    <x v="0"/>
    <n v="0"/>
    <x v="2"/>
    <x v="7"/>
    <m/>
    <s v="ds"/>
    <x v="0"/>
    <x v="1"/>
    <x v="0"/>
    <s v="frame predicate"/>
    <x v="0"/>
    <n v="1"/>
    <s v="non-LVC"/>
    <s v="Yes"/>
    <n v="6"/>
    <x v="5"/>
    <n v="1"/>
    <n v="1"/>
    <n v="0"/>
    <x v="0"/>
    <s v="overt"/>
    <x v="0"/>
    <n v="0"/>
  </r>
  <r>
    <x v="23"/>
    <s v="参内の初めより大なる鞘巻を用意し (sannai no hajime yori ō-naru sayamaki o yōi shi)"/>
    <s v="Before entering the Court he provided himself with a long dirk"/>
    <s v="用意し"/>
    <s v="indicative"/>
    <s v="other"/>
    <s v="LVC"/>
    <s v="transitive"/>
    <s v="active"/>
    <s v="positive"/>
    <n v="1"/>
    <n v="1"/>
    <s v="OBJ"/>
    <n v="1"/>
    <x v="1"/>
    <n v="3"/>
    <s v="overt"/>
    <s v="n/a"/>
    <n v="0"/>
    <n v="0"/>
    <s v="n/a"/>
    <x v="5"/>
    <n v="0"/>
    <x v="0"/>
    <x v="0"/>
    <x v="0"/>
    <n v="0"/>
    <x v="2"/>
    <x v="3"/>
    <m/>
    <s v="ss"/>
    <x v="0"/>
    <x v="1"/>
    <x v="0"/>
    <m/>
    <x v="0"/>
    <n v="1"/>
    <s v="LVC"/>
    <s v="Yes"/>
    <n v="7"/>
    <x v="5"/>
    <n v="1"/>
    <n v="2"/>
    <n v="1"/>
    <x v="0"/>
    <s v="zero_recoverable"/>
    <x v="1"/>
    <n v="1"/>
  </r>
  <r>
    <x v="24"/>
    <s v="束帯の下にしどけなげに差し (sokutai no shita ni shidokenage ni sashi)"/>
    <s v="which he girt on under his long court dress"/>
    <s v="差し"/>
    <s v="indicative"/>
    <s v="other"/>
    <s v="verb"/>
    <s v="transitive"/>
    <s v="active"/>
    <s v="positive"/>
    <n v="1"/>
    <n v="1"/>
    <s v="IO"/>
    <n v="1"/>
    <x v="1"/>
    <n v="3"/>
    <s v="zero_recoverable"/>
    <s v="overt"/>
    <n v="0"/>
    <n v="0"/>
    <s v="n/a"/>
    <x v="5"/>
    <n v="0"/>
    <x v="0"/>
    <x v="0"/>
    <x v="0"/>
    <n v="0"/>
    <x v="2"/>
    <x v="6"/>
    <m/>
    <s v="ss"/>
    <x v="0"/>
    <x v="1"/>
    <x v="0"/>
    <m/>
    <x v="0"/>
    <n v="1"/>
    <s v="non-LVC"/>
    <s v="Yes"/>
    <n v="7"/>
    <x v="0"/>
    <n v="1"/>
    <n v="3"/>
    <n v="0"/>
    <x v="0"/>
    <s v="n/a"/>
    <x v="1"/>
    <n v="0"/>
  </r>
  <r>
    <x v="25"/>
    <s v="火の仄暗き方に向かつて (hi no hokuraki kata ni mukatte)"/>
    <s v="and turning aside to a dimly lit place"/>
    <s v="向かつて"/>
    <s v="indicative"/>
    <s v="other"/>
    <s v="verb"/>
    <s v="intransitive"/>
    <s v="active"/>
    <s v="positive"/>
    <n v="1"/>
    <n v="1"/>
    <s v="IO"/>
    <n v="1"/>
    <x v="1"/>
    <n v="3"/>
    <s v="n/a"/>
    <s v="overt"/>
    <n v="0"/>
    <n v="0"/>
    <s v="n/a"/>
    <x v="1"/>
    <n v="0"/>
    <x v="0"/>
    <x v="0"/>
    <x v="0"/>
    <n v="0"/>
    <x v="1"/>
    <x v="6"/>
    <s v="te_medial"/>
    <s v="ss"/>
    <x v="0"/>
    <x v="1"/>
    <x v="0"/>
    <m/>
    <x v="0"/>
    <n v="1"/>
    <s v="non-LVC"/>
    <s v="Yes"/>
    <n v="7"/>
    <x v="4"/>
    <n v="1"/>
    <n v="4"/>
    <n v="0"/>
    <x v="0"/>
    <s v="overt"/>
    <x v="1"/>
    <n v="0"/>
  </r>
  <r>
    <x v="26"/>
    <s v="やはらこの刀を抜き出でて (yahara kono katana o nuki-idete)"/>
    <s v="slowly drew the blade"/>
    <s v="抜き出でて"/>
    <s v="indicative"/>
    <s v="motion"/>
    <s v="verb(compound)"/>
    <s v="transitive"/>
    <s v="active"/>
    <s v="positive"/>
    <n v="1"/>
    <n v="1"/>
    <s v="OBJ"/>
    <n v="0"/>
    <x v="1"/>
    <n v="3"/>
    <s v="overt"/>
    <s v="n/a"/>
    <n v="0"/>
    <n v="0"/>
    <s v="n/a"/>
    <x v="1"/>
    <n v="0"/>
    <x v="0"/>
    <x v="0"/>
    <x v="0"/>
    <n v="0"/>
    <x v="1"/>
    <x v="2"/>
    <s v="te_medial"/>
    <s v="ss"/>
    <x v="0"/>
    <x v="1"/>
    <x v="2"/>
    <s v="&quot;kono katana&quot; refers to the &quot;sayamaki&quot;, so all given"/>
    <x v="0"/>
    <n v="1"/>
    <s v="non-LVC"/>
    <s v="Yes"/>
    <n v="7"/>
    <x v="4"/>
    <n v="1"/>
    <n v="5"/>
    <n v="0"/>
    <x v="1"/>
    <s v="zero_recoverable"/>
    <x v="1"/>
    <n v="1"/>
  </r>
  <r>
    <x v="27"/>
    <s v="鬢に引き当てられたりけるが (kami ni hiki-ate raretarikeru ga)"/>
    <s v="and passed it through the hair of his head"/>
    <s v="引き当てられたりける"/>
    <s v="indicative"/>
    <s v="motion"/>
    <s v="verb"/>
    <s v="transitive"/>
    <s v="active"/>
    <s v="positive"/>
    <n v="1"/>
    <n v="1"/>
    <s v="IO"/>
    <n v="0"/>
    <x v="2"/>
    <n v="3"/>
    <s v="zero_recoverable"/>
    <s v="overt"/>
    <n v="0"/>
    <n v="0"/>
    <s v="n/a"/>
    <x v="3"/>
    <n v="0"/>
    <x v="1"/>
    <x v="2"/>
    <x v="2"/>
    <n v="0"/>
    <x v="6"/>
    <x v="2"/>
    <m/>
    <s v="ss"/>
    <x v="1"/>
    <x v="1"/>
    <x v="0"/>
    <s v="should the -to part be considered a clausal subject?"/>
    <x v="0"/>
    <n v="1"/>
    <s v="non-LVC"/>
    <s v="Yes"/>
    <n v="7"/>
    <x v="4"/>
    <n v="1"/>
    <m/>
    <n v="0"/>
    <x v="0"/>
    <s v="n/a"/>
    <x v="1"/>
    <n v="0"/>
  </r>
  <r>
    <x v="28"/>
    <s v="余所よりは氷などのやうにぞ見えたりける (yoso yori wa kōri nado no yō ni zo mieta rikeru)"/>
    <s v="so that it gleamed afar off with an icy sheen"/>
    <s v="見えたりける"/>
    <s v="indicative"/>
    <s v="perception"/>
    <s v="verb"/>
    <s v="intransitive"/>
    <s v="resultative"/>
    <s v="positive"/>
    <n v="1"/>
    <n v="0"/>
    <s v="n/a"/>
    <n v="2"/>
    <x v="1"/>
    <n v="3"/>
    <s v="n/a"/>
    <s v="n/a"/>
    <n v="0"/>
    <n v="0"/>
    <s v="n/a"/>
    <x v="0"/>
    <n v="0"/>
    <x v="0"/>
    <x v="0"/>
    <x v="0"/>
    <n v="0"/>
    <x v="2"/>
    <x v="4"/>
    <m/>
    <s v="ds"/>
    <x v="0"/>
    <x v="1"/>
    <x v="1"/>
    <m/>
    <x v="0"/>
    <n v="0"/>
    <s v="non-LVC"/>
    <s v="Yes"/>
    <n v="7"/>
    <x v="4"/>
    <n v="0"/>
    <n v="6"/>
    <n v="0"/>
    <x v="0"/>
    <s v="overt"/>
    <x v="1"/>
    <n v="0"/>
  </r>
  <r>
    <x v="29"/>
    <s v="諸人目を澄ましけり (morobito me o sumashikeri)"/>
    <s v="causing all to stare open-eyed"/>
    <s v="澄ましけり"/>
    <s v="indicative"/>
    <s v="other"/>
    <s v="verb"/>
    <s v="transitive"/>
    <s v="active"/>
    <s v="positive"/>
    <n v="1"/>
    <n v="2"/>
    <s v="O+IO"/>
    <n v="0"/>
    <x v="1"/>
    <n v="3"/>
    <s v="overt"/>
    <s v="overt"/>
    <n v="0"/>
    <n v="0"/>
    <s v="n/a"/>
    <x v="2"/>
    <n v="0"/>
    <x v="0"/>
    <x v="0"/>
    <x v="0"/>
    <n v="0"/>
    <x v="2"/>
    <x v="1"/>
    <m/>
    <s v="ss"/>
    <x v="1"/>
    <x v="1"/>
    <x v="0"/>
    <m/>
    <x v="0"/>
    <n v="2"/>
    <s v="non-LVC"/>
    <s v="Yes"/>
    <n v="7"/>
    <x v="1"/>
    <n v="1"/>
    <m/>
    <n v="1"/>
    <x v="2"/>
    <s v="n/a"/>
    <x v="1"/>
    <n v="0"/>
  </r>
  <r>
    <x v="30"/>
    <s v="また忠盛の郎等元は一門たりし( mata Tadamori no rōtō moto wa ichimon tarishi) "/>
    <s v="Moreover a retainer of Tadamori ... "/>
    <s v="たりし"/>
    <s v="indicative"/>
    <s v="other"/>
    <s v="copula"/>
    <s v="intransitive"/>
    <s v="active"/>
    <s v="positive"/>
    <n v="1"/>
    <n v="1"/>
    <s v="SUB"/>
    <n v="1"/>
    <x v="0"/>
    <n v="3"/>
    <s v="n/a"/>
    <s v="n/a"/>
    <n v="0"/>
    <n v="0"/>
    <s v="REL"/>
    <x v="0"/>
    <n v="0"/>
    <x v="0"/>
    <x v="0"/>
    <x v="0"/>
    <n v="0"/>
    <x v="6"/>
    <x v="3"/>
    <m/>
    <s v="ds"/>
    <x v="0"/>
    <x v="0"/>
    <x v="0"/>
    <m/>
    <x v="0"/>
    <n v="1"/>
    <s v="non-LVC"/>
    <s v="Yes"/>
    <n v="8"/>
    <x v="2"/>
    <n v="0"/>
    <n v="1"/>
    <n v="0"/>
    <x v="2"/>
    <s v="n/a"/>
    <x v="1"/>
    <n v="0"/>
  </r>
  <r>
    <x v="31"/>
    <s v="木工助平貞光が孫新四郎太夫家房が子に左兵衛尉家貞といふ者あり (Moku no suke Sadamitsu ga mago Shinshirō Tayū Iefusa ga ko ni Sahyōe no jō Iesada to iu mono ari)"/>
    <s v="there was one named Sahyoe-no-jo Iesada"/>
    <s v="あり"/>
    <s v="indicative"/>
    <s v="other"/>
    <s v="existential verb"/>
    <s v="intransitive"/>
    <s v="active"/>
    <s v="positive"/>
    <n v="1"/>
    <n v="1"/>
    <s v="SUB"/>
    <n v="2"/>
    <x v="0"/>
    <n v="3"/>
    <s v="n/a"/>
    <s v="n/a"/>
    <n v="0"/>
    <n v="0"/>
    <s v="n/a"/>
    <x v="2"/>
    <n v="0"/>
    <x v="0"/>
    <x v="0"/>
    <x v="0"/>
    <n v="0"/>
    <x v="2"/>
    <x v="1"/>
    <m/>
    <s v="ss"/>
    <x v="0"/>
    <x v="0"/>
    <x v="0"/>
    <s v="frame predicate"/>
    <x v="0"/>
    <n v="1"/>
    <s v="non-LVC"/>
    <s v="Yes"/>
    <n v="8"/>
    <x v="5"/>
    <n v="1"/>
    <n v="1"/>
    <n v="1"/>
    <x v="0"/>
    <s v="overt"/>
    <x v="0"/>
    <n v="0"/>
  </r>
  <r>
    <x v="32"/>
    <s v="薄青の狩衣の下に萌黄威の腹巻を着 (usuao no kariginu no shita ni moegi-odoshi no haramaki o ki)"/>
    <s v="wearing a body armour laced with bright green under a light green &quot;kariginu&quot;"/>
    <s v="着"/>
    <s v="indicative"/>
    <s v="other"/>
    <s v="verb"/>
    <s v="transitive"/>
    <s v="active"/>
    <s v="positive"/>
    <n v="1"/>
    <n v="1"/>
    <s v="OBJ"/>
    <n v="1"/>
    <x v="1"/>
    <n v="3"/>
    <s v="overt"/>
    <s v="n/a"/>
    <n v="0"/>
    <n v="0"/>
    <s v="n/a"/>
    <x v="5"/>
    <n v="0"/>
    <x v="0"/>
    <x v="0"/>
    <x v="0"/>
    <n v="0"/>
    <x v="2"/>
    <x v="3"/>
    <m/>
    <s v="ss"/>
    <x v="0"/>
    <x v="1"/>
    <x v="0"/>
    <m/>
    <x v="0"/>
    <n v="1"/>
    <s v="non-LVC"/>
    <s v="Yes"/>
    <n v="9"/>
    <x v="1"/>
    <n v="1"/>
    <m/>
    <n v="0"/>
    <x v="0"/>
    <s v="overt"/>
    <x v="1"/>
    <n v="0"/>
  </r>
  <r>
    <x v="33"/>
    <s v="柄弦袋付けたる ezurubukuro tsuketaru "/>
    <s v="with a bowstring bag attached"/>
    <s v="付けたる"/>
    <s v="indicative"/>
    <s v="other"/>
    <s v="verb"/>
    <s v="transitive"/>
    <s v="active"/>
    <s v="positive"/>
    <n v="1"/>
    <n v="1"/>
    <s v="OBJ"/>
    <n v="0"/>
    <x v="1"/>
    <n v="3"/>
    <s v="overt"/>
    <s v="n/a"/>
    <n v="1"/>
    <n v="0"/>
    <s v="REL"/>
    <x v="0"/>
    <n v="0"/>
    <x v="0"/>
    <x v="0"/>
    <x v="0"/>
    <n v="0"/>
    <x v="2"/>
    <x v="6"/>
    <m/>
    <s v="ss"/>
    <x v="0"/>
    <x v="1"/>
    <x v="0"/>
    <m/>
    <x v="0"/>
    <n v="1"/>
    <s v="non-LVC"/>
    <s v="Yes"/>
    <n v="9"/>
    <x v="0"/>
    <n v="0"/>
    <n v="2"/>
    <n v="0"/>
    <x v="0"/>
    <s v="overt"/>
    <x v="1"/>
    <n v="0"/>
  </r>
  <r>
    <x v="34"/>
    <s v="太刀脇挟んで (tachi wakihasande)"/>
    <s v="and carrying under his arm a &quot;tachi&quot; "/>
    <s v="挟んで"/>
    <s v="indicative"/>
    <s v="other"/>
    <s v="verb"/>
    <s v="transitive"/>
    <s v="active"/>
    <s v="positive"/>
    <n v="1"/>
    <n v="2"/>
    <s v="O+IO"/>
    <n v="0"/>
    <x v="1"/>
    <n v="3"/>
    <s v="overt"/>
    <s v="overt"/>
    <n v="0"/>
    <n v="0"/>
    <s v="n/a"/>
    <x v="1"/>
    <n v="0"/>
    <x v="0"/>
    <x v="0"/>
    <x v="0"/>
    <n v="0"/>
    <x v="2"/>
    <x v="1"/>
    <s v="te_medial"/>
    <s v="ss"/>
    <x v="0"/>
    <x v="1"/>
    <x v="0"/>
    <m/>
    <x v="0"/>
    <n v="2"/>
    <s v="non-LVC"/>
    <s v="Yes"/>
    <n v="9"/>
    <x v="4"/>
    <n v="1"/>
    <n v="3"/>
    <n v="0"/>
    <x v="0"/>
    <s v="n/a"/>
    <x v="1"/>
    <n v="0"/>
  </r>
  <r>
    <x v="35"/>
    <s v="殿上の小庭に畏つてぞ候ひける (tenjō no koniwa ni kashikomatte zo soroikyeru)"/>
    <s v="was waiting in the &quot;koniwa,&quot; the small court by the Seiryoden"/>
    <s v="畏つて候ひける"/>
    <s v="indicative"/>
    <s v="other"/>
    <s v="verb(complex)"/>
    <s v="intransitive"/>
    <s v="active"/>
    <s v="positive"/>
    <n v="1"/>
    <n v="0"/>
    <s v="n/a"/>
    <n v="1"/>
    <x v="1"/>
    <n v="3"/>
    <s v="n/a"/>
    <s v="n/a"/>
    <n v="0"/>
    <n v="0"/>
    <s v="n/a"/>
    <x v="2"/>
    <n v="0"/>
    <x v="1"/>
    <x v="2"/>
    <x v="5"/>
    <n v="0"/>
    <x v="2"/>
    <x v="2"/>
    <m/>
    <s v="ss"/>
    <x v="1"/>
    <x v="1"/>
    <x v="1"/>
    <m/>
    <x v="0"/>
    <n v="0"/>
    <s v="non-LVC"/>
    <s v="Yes"/>
    <n v="9"/>
    <x v="4"/>
    <n v="1"/>
    <n v="1"/>
    <n v="0"/>
    <x v="2"/>
    <s v="overt"/>
    <x v="1"/>
    <n v="0"/>
  </r>
  <r>
    <x v="36"/>
    <s v="貫首以下怪しみをなして (kanshu ika ayashimi o nashite)"/>
    <s v="Now the Kurando-no-to and others, thinking it strange,"/>
    <s v="なして"/>
    <s v="indicative"/>
    <s v="other"/>
    <s v="LVC (inf)"/>
    <s v="transitive"/>
    <s v="active"/>
    <s v="negative"/>
    <n v="1"/>
    <n v="2"/>
    <s v="S+O"/>
    <n v="0"/>
    <x v="0"/>
    <n v="3"/>
    <s v="overt"/>
    <s v="n/a"/>
    <n v="0"/>
    <n v="0"/>
    <s v="n/a"/>
    <x v="1"/>
    <n v="0"/>
    <x v="0"/>
    <x v="0"/>
    <x v="0"/>
    <n v="0"/>
    <x v="1"/>
    <x v="3"/>
    <s v="te_initial"/>
    <s v="ds"/>
    <x v="0"/>
    <x v="2"/>
    <x v="0"/>
    <m/>
    <x v="0"/>
    <n v="2"/>
    <s v="LVC"/>
    <s v="Yes"/>
    <n v="10"/>
    <x v="7"/>
    <n v="1"/>
    <m/>
    <n v="0"/>
    <x v="2"/>
    <s v="n/a"/>
    <x v="1"/>
    <n v="0"/>
  </r>
  <r>
    <x v="37"/>
    <s v="空柱より内鈴の綱の辺に布衣の者の候ふ  (sorabashira yori uchisuzu no tsuna no hen ni hoi no mono no soroou)"/>
    <s v="that one wearing unsuitable costume should be within the balustrade of the steps of the Court near the bell-rope of the library, "/>
    <s v="候ふ"/>
    <s v="indicative"/>
    <s v="other"/>
    <s v="verb"/>
    <s v="intransitive"/>
    <s v="active"/>
    <s v="positive"/>
    <n v="1"/>
    <n v="1"/>
    <s v="SUB"/>
    <n v="1"/>
    <x v="0"/>
    <n v="3"/>
    <s v="n/a"/>
    <s v="n/a"/>
    <n v="0"/>
    <n v="0"/>
    <s v="SUB"/>
    <x v="4"/>
    <n v="1"/>
    <x v="0"/>
    <x v="2"/>
    <x v="5"/>
    <n v="0"/>
    <x v="2"/>
    <x v="2"/>
    <m/>
    <s v="ss"/>
    <x v="0"/>
    <x v="2"/>
    <x v="0"/>
    <s v="internally headed"/>
    <x v="0"/>
    <n v="1"/>
    <s v="non-LVC"/>
    <s v="Yes"/>
    <n v="10"/>
    <x v="4"/>
    <n v="0"/>
    <n v="2"/>
    <n v="0"/>
    <x v="2"/>
    <s v="n/a"/>
    <x v="1"/>
    <n v="0"/>
  </r>
  <r>
    <x v="38"/>
    <s v="は何者ぞ  wa nani mono zo"/>
    <s v="and wondering who he was."/>
    <s v="何者ぞ  "/>
    <s v="indicative"/>
    <s v="other"/>
    <s v="copula"/>
    <s v="intransitive"/>
    <s v="active"/>
    <s v="positive"/>
    <n v="1"/>
    <n v="1"/>
    <s v="SUB"/>
    <n v="0"/>
    <x v="0"/>
    <n v="3"/>
    <s v="n/a"/>
    <s v="n/a"/>
    <n v="0"/>
    <n v="0"/>
    <s v="n/a"/>
    <x v="2"/>
    <n v="0"/>
    <x v="0"/>
    <x v="0"/>
    <x v="0"/>
    <n v="0"/>
    <x v="2"/>
    <x v="5"/>
    <m/>
    <s v="ss"/>
    <x v="0"/>
    <x v="3"/>
    <x v="2"/>
    <m/>
    <x v="0"/>
    <n v="1"/>
    <s v="non-LVC"/>
    <s v="Yes"/>
    <n v="10"/>
    <x v="4"/>
    <n v="1"/>
    <n v="1"/>
    <n v="0"/>
    <x v="4"/>
    <s v="n/a"/>
    <x v="0"/>
    <n v="0"/>
  </r>
  <r>
    <x v="39"/>
    <s v="狼藉なり (rōzaku nari)"/>
    <s v="&quot;[He is] disorderly&quot;"/>
    <s v="なり"/>
    <s v="indicative"/>
    <s v="stative"/>
    <s v="copula"/>
    <s v="intransitive"/>
    <s v="active"/>
    <s v="positive"/>
    <n v="1"/>
    <n v="0"/>
    <s v="n/a"/>
    <n v="0"/>
    <x v="4"/>
    <n v="3"/>
    <s v="n/a"/>
    <s v="n/a"/>
    <n v="0"/>
    <n v="0"/>
    <s v="n/a"/>
    <x v="2"/>
    <n v="0"/>
    <x v="0"/>
    <x v="0"/>
    <x v="0"/>
    <n v="0"/>
    <x v="2"/>
    <x v="3"/>
    <m/>
    <s v="ss"/>
    <x v="0"/>
    <x v="1"/>
    <x v="1"/>
    <m/>
    <x v="0"/>
    <n v="0"/>
    <s v="non-LVC"/>
    <s v="Yes"/>
    <n v="11"/>
    <x v="6"/>
    <n v="1"/>
    <n v="1"/>
    <n v="1"/>
    <x v="0"/>
    <s v="n/a"/>
    <x v="1"/>
    <n v="0"/>
  </r>
  <r>
    <x v="40"/>
    <s v="疾う疾う罷り出でよと (tōtō makari ideyo to)"/>
    <s v="&quot;Depart quickly&quot;"/>
    <s v="罷り出でよ"/>
    <s v="imperative"/>
    <s v="motion"/>
    <s v="verb"/>
    <s v="intransitive"/>
    <s v="active"/>
    <s v="positive"/>
    <n v="1"/>
    <n v="0"/>
    <s v="n/a"/>
    <n v="0"/>
    <x v="1"/>
    <n v="2"/>
    <s v="n/a"/>
    <s v="n/a"/>
    <n v="0"/>
    <n v="0"/>
    <s v="n/a"/>
    <x v="6"/>
    <n v="0"/>
    <x v="1"/>
    <x v="2"/>
    <x v="5"/>
    <n v="0"/>
    <x v="4"/>
    <x v="3"/>
    <m/>
    <s v="ss"/>
    <x v="0"/>
    <x v="1"/>
    <x v="1"/>
    <s v="embedded"/>
    <x v="0"/>
    <n v="0"/>
    <s v="non-LVC"/>
    <s v="Yes"/>
    <n v="12"/>
    <x v="4"/>
    <n v="1"/>
    <n v="2"/>
    <n v="1"/>
    <x v="0"/>
    <s v="overt"/>
    <x v="1"/>
    <n v="0"/>
  </r>
  <r>
    <x v="41"/>
    <s v="六位を以て云はせられたりければ (to roku-i o motte iwaseraretarikereba)"/>
    <s v="an official of the sixth rank ordered him to depart quickly."/>
    <s v="云はせられたりければ"/>
    <s v="indicative"/>
    <s v="stative"/>
    <s v="verb"/>
    <s v="intransitive"/>
    <s v="causative-passive-resultative"/>
    <s v="positive"/>
    <n v="1"/>
    <n v="2"/>
    <s v="O (Speech) +IO"/>
    <n v="1"/>
    <x v="1"/>
    <n v="3"/>
    <s v="overt"/>
    <s v="n/a"/>
    <n v="0"/>
    <n v="0"/>
    <s v="n/a"/>
    <x v="3"/>
    <n v="1"/>
    <x v="0"/>
    <x v="0"/>
    <x v="2"/>
    <n v="0"/>
    <x v="2"/>
    <x v="7"/>
    <m/>
    <s v="ss"/>
    <x v="0"/>
    <x v="1"/>
    <x v="0"/>
    <m/>
    <x v="0"/>
    <n v="2"/>
    <s v="non-LVC"/>
    <s v="Yes"/>
    <n v="12"/>
    <x v="4"/>
    <n v="1"/>
    <n v="3"/>
    <n v="0"/>
    <x v="2"/>
    <s v="zero_other"/>
    <x v="1"/>
    <n v="1"/>
  </r>
  <r>
    <x v="42"/>
    <s v="家貞畏つて申しけるは (Iesada kashikomatte mōshikeru wa)"/>
    <s v="But Iesada thus replied:"/>
    <s v="申しける"/>
    <s v="indicative"/>
    <s v="action"/>
    <s v="verb"/>
    <s v="transitive"/>
    <s v="active"/>
    <s v="positive"/>
    <n v="1"/>
    <n v="1"/>
    <s v="SUB"/>
    <n v="0"/>
    <x v="0"/>
    <n v="3"/>
    <s v="zero_other"/>
    <s v="n/a"/>
    <n v="1"/>
    <n v="0"/>
    <s v="SUB"/>
    <x v="3"/>
    <n v="1"/>
    <x v="0"/>
    <x v="2"/>
    <x v="5"/>
    <n v="0"/>
    <x v="2"/>
    <x v="4"/>
    <m/>
    <s v="ss"/>
    <x v="1"/>
    <x v="3"/>
    <x v="2"/>
    <s v="internally headed"/>
    <x v="0"/>
    <n v="1"/>
    <s v="non-LVC"/>
    <s v="Yes"/>
    <n v="12"/>
    <x v="4"/>
    <n v="1"/>
    <m/>
    <n v="0"/>
    <x v="2"/>
    <s v="n/a"/>
    <x v="1"/>
    <n v="0"/>
  </r>
  <r>
    <x v="43"/>
    <s v="相伝の主備前守殿今夜闇討にせられ給ふべき (sōden no aruji Bizen no kami-dono kon'ya yamiuchi ni serare-tamō beki) "/>
    <s v="tonight they will try to kill my Lord Bizen-no-kami dono&quot;"/>
    <s v="闇討にせられ給ふ"/>
    <s v="indicative"/>
    <s v="other"/>
    <s v="LVC"/>
    <s v="intransitive"/>
    <s v="passive"/>
    <s v="positive"/>
    <n v="1"/>
    <n v="1"/>
    <s v="SUB"/>
    <n v="1"/>
    <x v="0"/>
    <n v="3"/>
    <s v="n/a"/>
    <s v="n/a"/>
    <n v="0"/>
    <n v="1"/>
    <s v="REL"/>
    <x v="0"/>
    <n v="1"/>
    <x v="0"/>
    <x v="2"/>
    <x v="3"/>
    <n v="0"/>
    <x v="2"/>
    <x v="4"/>
    <m/>
    <s v="ds"/>
    <x v="0"/>
    <x v="2"/>
    <x v="0"/>
    <m/>
    <x v="0"/>
    <n v="1"/>
    <s v="LVC"/>
    <s v="Yes"/>
    <n v="12"/>
    <x v="0"/>
    <n v="0"/>
    <n v="4"/>
    <n v="0"/>
    <x v="0"/>
    <s v="overt"/>
    <x v="0"/>
    <n v="0"/>
  </r>
  <r>
    <x v="44"/>
    <s v="由伝へ承つて(yoshi tsutae uketamawatte) "/>
    <s v="Because I have heard that"/>
    <s v="伝へ承つて"/>
    <s v="indicative"/>
    <s v="communication"/>
    <s v="verb"/>
    <s v="transitive"/>
    <s v="active"/>
    <s v="positive"/>
    <n v="1"/>
    <n v="1"/>
    <s v="OBJ"/>
    <n v="0"/>
    <x v="1"/>
    <n v="1"/>
    <s v="overt"/>
    <s v="n/a"/>
    <n v="0"/>
    <n v="0"/>
    <s v="n/a"/>
    <x v="1"/>
    <n v="0"/>
    <x v="1"/>
    <x v="2"/>
    <x v="2"/>
    <n v="0"/>
    <x v="1"/>
    <x v="1"/>
    <s v="te_medial"/>
    <s v="ss"/>
    <x v="1"/>
    <x v="1"/>
    <x v="0"/>
    <m/>
    <x v="0"/>
    <n v="1"/>
    <s v="non-LVC"/>
    <s v="Yes"/>
    <n v="12"/>
    <x v="4"/>
    <n v="1"/>
    <m/>
    <n v="0"/>
    <x v="2"/>
    <s v="n/a"/>
    <x v="1"/>
    <n v="0"/>
  </r>
  <r>
    <x v="45"/>
    <s v="それならん  (sore naran )"/>
    <s v="&quot;whether it is so&quot;"/>
    <s v="ならん "/>
    <s v="epistemic"/>
    <s v="other"/>
    <s v="verb"/>
    <s v="intransitive"/>
    <s v="active"/>
    <s v="positive"/>
    <n v="1"/>
    <n v="1"/>
    <s v="SUB"/>
    <n v="0"/>
    <x v="0"/>
    <n v="3"/>
    <s v="n/a"/>
    <s v="n/a"/>
    <n v="0"/>
    <n v="1"/>
    <s v="REL"/>
    <x v="0"/>
    <n v="0"/>
    <x v="0"/>
    <x v="0"/>
    <x v="0"/>
    <n v="0"/>
    <x v="2"/>
    <x v="2"/>
    <m/>
    <s v="ds"/>
    <x v="1"/>
    <x v="3"/>
    <x v="2"/>
    <m/>
    <x v="0"/>
    <n v="1"/>
    <s v="non-LVC"/>
    <s v="Yes"/>
    <n v="12"/>
    <x v="4"/>
    <n v="0"/>
    <n v="5"/>
    <n v="0"/>
    <x v="0"/>
    <s v="overt"/>
    <x v="0"/>
    <n v="0"/>
  </r>
  <r>
    <x v="46"/>
    <s v="やうを見んとて (yō o min to te)"/>
    <s v="and in order to see "/>
    <s v="見ん"/>
    <s v="dynamic"/>
    <s v="perception"/>
    <s v="verb"/>
    <s v="transitive"/>
    <s v="active"/>
    <s v="positive"/>
    <n v="1"/>
    <n v="1"/>
    <s v="OBJ"/>
    <n v="0"/>
    <x v="1"/>
    <n v="1"/>
    <s v="overt"/>
    <s v="n/a"/>
    <n v="0"/>
    <n v="0"/>
    <s v="REL"/>
    <x v="3"/>
    <n v="0"/>
    <x v="0"/>
    <x v="0"/>
    <x v="0"/>
    <n v="0"/>
    <x v="7"/>
    <x v="1"/>
    <m/>
    <s v="ds"/>
    <x v="0"/>
    <x v="1"/>
    <x v="0"/>
    <m/>
    <x v="0"/>
    <n v="1"/>
    <s v="non-LVC"/>
    <s v="Yes"/>
    <n v="12"/>
    <x v="4"/>
    <n v="1"/>
    <n v="6"/>
    <n v="0"/>
    <x v="1"/>
    <s v="n/a"/>
    <x v="1"/>
    <n v="0"/>
  </r>
  <r>
    <x v="47"/>
    <s v="かくて候ふなり (kakute soro fu nari)"/>
    <s v="&quot;have come and am thus waiting&quot;"/>
    <s v="候ふなり"/>
    <s v="indicative"/>
    <s v="stative"/>
    <s v="verb(complex)"/>
    <s v="intransitive"/>
    <s v="active"/>
    <s v="positive"/>
    <n v="1"/>
    <n v="0"/>
    <s v="n/a"/>
    <n v="1"/>
    <x v="2"/>
    <n v="1"/>
    <s v="n/a"/>
    <s v="n/a"/>
    <n v="0"/>
    <n v="0"/>
    <s v="n/a"/>
    <x v="2"/>
    <n v="0"/>
    <x v="1"/>
    <x v="2"/>
    <x v="5"/>
    <n v="0"/>
    <x v="2"/>
    <x v="4"/>
    <m/>
    <s v="ss"/>
    <x v="0"/>
    <x v="1"/>
    <x v="1"/>
    <m/>
    <x v="0"/>
    <n v="0"/>
    <s v="non-LVC"/>
    <s v="Yes"/>
    <n v="12"/>
    <x v="2"/>
    <n v="1"/>
    <n v="1"/>
    <n v="0"/>
    <x v="1"/>
    <s v="n/a"/>
    <x v="1"/>
    <n v="0"/>
  </r>
  <r>
    <x v="48"/>
    <s v="えこそ出でまじう候へ (e koso idema jiu soro e)"/>
    <s v="&quot;I cannot possibly go out&quot;"/>
    <s v="出でまじう候へ"/>
    <s v="dynamic"/>
    <s v="motion"/>
    <s v="verb"/>
    <s v="intransitive"/>
    <s v="active"/>
    <s v="negative"/>
    <n v="1"/>
    <n v="0"/>
    <s v="n/a"/>
    <n v="0"/>
    <x v="2"/>
    <n v="1"/>
    <s v="n/a"/>
    <s v="n/a"/>
    <n v="0"/>
    <n v="0"/>
    <s v="n/a"/>
    <x v="2"/>
    <n v="0"/>
    <x v="1"/>
    <x v="2"/>
    <x v="7"/>
    <n v="0"/>
    <x v="2"/>
    <x v="3"/>
    <m/>
    <s v="ss"/>
    <x v="1"/>
    <x v="1"/>
    <x v="1"/>
    <m/>
    <x v="0"/>
    <n v="0"/>
    <s v="non-LVC"/>
    <s v="Yes"/>
    <n v="13"/>
    <x v="4"/>
    <n v="1"/>
    <n v="1"/>
    <n v="1"/>
    <x v="2"/>
    <s v="n/a"/>
    <x v="1"/>
    <n v="0"/>
  </r>
  <r>
    <x v="49"/>
    <s v="これらを由なしとや (korera o yoshi nashi to ya)"/>
    <s v=" there was nothing more to be done;"/>
    <s v="なし"/>
    <s v="indicative"/>
    <s v="stative"/>
    <s v="existential verb"/>
    <s v="intransitive"/>
    <s v="active"/>
    <s v="negative"/>
    <n v="1"/>
    <n v="1"/>
    <s v="SUB"/>
    <n v="1"/>
    <x v="0"/>
    <n v="3"/>
    <s v="n/a"/>
    <s v="n/a"/>
    <n v="0"/>
    <n v="0"/>
    <s v="n/a"/>
    <x v="6"/>
    <n v="0"/>
    <x v="0"/>
    <x v="0"/>
    <x v="0"/>
    <n v="0"/>
    <x v="4"/>
    <x v="3"/>
    <m/>
    <s v="ds"/>
    <x v="3"/>
    <x v="3"/>
    <x v="0"/>
    <m/>
    <x v="0"/>
    <n v="1"/>
    <s v="non-LVC"/>
    <s v="Yes"/>
    <n v="14"/>
    <x v="2"/>
    <n v="1"/>
    <n v="2"/>
    <n v="0"/>
    <x v="1"/>
    <s v="overt"/>
    <x v="0"/>
    <n v="0"/>
  </r>
  <r>
    <x v="50"/>
    <s v="思はれけん (omowareken)"/>
    <s v="And they saw that"/>
    <s v="思はれけん"/>
    <s v="epistemic"/>
    <s v="psych-state"/>
    <s v="verb"/>
    <s v="transitive"/>
    <s v="active"/>
    <s v="positive"/>
    <n v="1"/>
    <n v="1"/>
    <s v="O (Speech)"/>
    <n v="0"/>
    <x v="2"/>
    <n v="3"/>
    <s v="overt"/>
    <s v="n/a"/>
    <n v="0"/>
    <n v="0"/>
    <s v="n/a"/>
    <x v="2"/>
    <n v="0"/>
    <x v="1"/>
    <x v="2"/>
    <x v="2"/>
    <n v="0"/>
    <x v="8"/>
    <x v="0"/>
    <m/>
    <s v="ds"/>
    <x v="3"/>
    <x v="1"/>
    <x v="0"/>
    <m/>
    <x v="0"/>
    <n v="1"/>
    <s v="non-LVC"/>
    <s v="Yes"/>
    <n v="14"/>
    <x v="4"/>
    <n v="1"/>
    <n v="1"/>
    <n v="0"/>
    <x v="2"/>
    <s v="n/a"/>
    <x v="1"/>
    <n v="0"/>
  </r>
  <r>
    <x v="51"/>
    <s v="その夜の闇討なかりけり (sono yo no yamiuchi nakarikeri)"/>
    <s v="and thus the attempt did not take place."/>
    <s v="なかりけり"/>
    <s v="indicative"/>
    <s v="aux/modal"/>
    <s v="verb"/>
    <s v="intransitive"/>
    <s v="active"/>
    <s v="negative"/>
    <n v="1"/>
    <n v="1"/>
    <s v="SUB"/>
    <n v="0"/>
    <x v="0"/>
    <s v="inanimate"/>
    <s v="n/a"/>
    <s v="n/a"/>
    <n v="0"/>
    <n v="0"/>
    <s v="n/a"/>
    <x v="2"/>
    <n v="0"/>
    <x v="0"/>
    <x v="0"/>
    <x v="0"/>
    <n v="0"/>
    <x v="2"/>
    <x v="3"/>
    <m/>
    <s v="ss"/>
    <x v="1"/>
    <x v="2"/>
    <x v="0"/>
    <m/>
    <x v="0"/>
    <n v="1"/>
    <s v="non-LVC"/>
    <s v="Yes"/>
    <n v="15"/>
    <x v="3"/>
    <n v="1"/>
    <n v="1"/>
    <n v="1"/>
    <x v="2"/>
    <s v="n/a"/>
    <x v="1"/>
    <n v="0"/>
  </r>
  <r>
    <x v="52"/>
    <s v="忠盛また御前の召しに舞はれけるに (Tadamori mata gozen no meshi ni mawarekeru ni)"/>
    <s v="But when Tadamori danced in the August presence of the Mikado at his Imperial wish,"/>
    <s v="舞はれける"/>
    <s v="indicative"/>
    <s v="action"/>
    <s v="verb"/>
    <s v="intransitive"/>
    <s v="active"/>
    <s v="positive"/>
    <n v="1"/>
    <n v="1"/>
    <s v="SUB"/>
    <n v="1"/>
    <x v="0"/>
    <n v="3"/>
    <s v="n/a"/>
    <s v="n/a"/>
    <n v="0"/>
    <n v="0"/>
    <s v="REL"/>
    <x v="3"/>
    <n v="1"/>
    <x v="0"/>
    <x v="2"/>
    <x v="2"/>
    <n v="0"/>
    <x v="0"/>
    <x v="3"/>
    <m/>
    <s v="ds"/>
    <x v="1"/>
    <x v="2"/>
    <x v="0"/>
    <m/>
    <x v="0"/>
    <n v="1"/>
    <s v="non-LVC"/>
    <s v="Yes"/>
    <n v="16"/>
    <x v="0"/>
    <n v="1"/>
    <n v="2"/>
    <n v="0"/>
    <x v="2"/>
    <s v="overt"/>
    <x v="1"/>
    <n v="0"/>
  </r>
  <r>
    <x v="53"/>
    <s v="人々拍子を変へて (hitobito hyōshi o kaete)"/>
    <s v="the others mocked at him, changing the words of the music"/>
    <s v="変へて"/>
    <s v="indicative"/>
    <s v="other"/>
    <s v="verb"/>
    <s v="transitive"/>
    <s v="active"/>
    <s v="positive"/>
    <n v="1"/>
    <n v="2"/>
    <s v="S+O"/>
    <n v="0"/>
    <x v="0"/>
    <n v="3"/>
    <s v="overt"/>
    <s v="n/a"/>
    <n v="0"/>
    <n v="0"/>
    <s v="n/a"/>
    <x v="1"/>
    <n v="0"/>
    <x v="0"/>
    <x v="0"/>
    <x v="0"/>
    <n v="0"/>
    <x v="1"/>
    <x v="4"/>
    <s v="te_medial"/>
    <s v="ds"/>
    <x v="1"/>
    <x v="2"/>
    <x v="0"/>
    <m/>
    <x v="0"/>
    <n v="2"/>
    <s v="non-LVC"/>
    <s v="Yes"/>
    <n v="16"/>
    <x v="6"/>
    <n v="1"/>
    <n v="3"/>
    <n v="0"/>
    <x v="2"/>
    <s v="n/a"/>
    <x v="1"/>
    <n v="0"/>
  </r>
  <r>
    <x v="54"/>
    <s v="伊勢へいじはすがめなりけりとぞ (Ise heiji wa sugame narikeri)"/>
    <s v="&quot;the winepot of Ise has turned into a vinegar jar&quot;"/>
    <s v="なりけり"/>
    <s v="indicative"/>
    <s v="stative"/>
    <s v="copula"/>
    <s v="intransitive"/>
    <s v="active"/>
    <s v="positive"/>
    <n v="1"/>
    <n v="1"/>
    <s v="SUB"/>
    <n v="0"/>
    <x v="0"/>
    <n v="3"/>
    <s v="n/a"/>
    <s v="n/a"/>
    <n v="0"/>
    <n v="0"/>
    <s v="n/a"/>
    <x v="6"/>
    <n v="0"/>
    <x v="0"/>
    <x v="0"/>
    <x v="0"/>
    <n v="0"/>
    <x v="4"/>
    <x v="2"/>
    <m/>
    <s v="ds"/>
    <x v="0"/>
    <x v="0"/>
    <x v="0"/>
    <m/>
    <x v="0"/>
    <n v="1"/>
    <s v="non-LVC"/>
    <s v="Yes"/>
    <n v="16"/>
    <x v="2"/>
    <n v="1"/>
    <n v="4"/>
    <n v="0"/>
    <x v="1"/>
    <s v="overt"/>
    <x v="0"/>
    <n v="0"/>
  </r>
  <r>
    <x v="55"/>
    <s v="囃されける (to zo hayasarekeru)"/>
    <s v="they sang in mockery"/>
    <s v="囃されける"/>
    <s v="indicative"/>
    <s v="action"/>
    <s v="verb"/>
    <s v="transitive"/>
    <s v="active"/>
    <s v="positive"/>
    <n v="1"/>
    <n v="1"/>
    <s v="O (Speech)"/>
    <n v="0"/>
    <x v="2"/>
    <n v="3"/>
    <s v="overt"/>
    <s v="n/a"/>
    <n v="0"/>
    <n v="0"/>
    <s v="kakari-musubi"/>
    <x v="2"/>
    <n v="0"/>
    <x v="1"/>
    <x v="2"/>
    <x v="2"/>
    <n v="0"/>
    <x v="8"/>
    <x v="7"/>
    <m/>
    <s v="ss"/>
    <x v="0"/>
    <x v="1"/>
    <x v="0"/>
    <m/>
    <x v="0"/>
    <n v="1"/>
    <s v="non-LVC"/>
    <s v="Yes"/>
    <n v="16"/>
    <x v="3"/>
    <n v="1"/>
    <n v="1"/>
    <n v="0"/>
    <x v="2"/>
    <s v="overt"/>
    <x v="1"/>
    <n v="0"/>
  </r>
  <r>
    <x v="56"/>
    <s v="かけまくも忝くこの人々は柏原天皇の御末とは申しながら (kakemakumo katabokaku kono hitobito wa Kashiwabara Tennō no o-sue to wa mōshinagara)"/>
    <s v="In thus mentioning the vessels of his province they punned on his title..."/>
    <s v="申しながら"/>
    <s v="indicative"/>
    <s v="communication"/>
    <s v="verb"/>
    <s v="transitive"/>
    <s v="active"/>
    <s v="positive"/>
    <n v="1"/>
    <n v="2"/>
    <s v="S+O (Speech)"/>
    <n v="1"/>
    <x v="0"/>
    <n v="3"/>
    <s v="overt"/>
    <s v="n/a"/>
    <n v="0"/>
    <n v="0"/>
    <s v="n/a"/>
    <x v="3"/>
    <n v="1"/>
    <x v="0"/>
    <x v="2"/>
    <x v="5"/>
    <n v="0"/>
    <x v="0"/>
    <x v="3"/>
    <m/>
    <s v="ss"/>
    <x v="1"/>
    <x v="2"/>
    <x v="0"/>
    <m/>
    <x v="0"/>
    <n v="2"/>
    <s v="non-LVC"/>
    <s v="Yes"/>
    <n v="17"/>
    <x v="2"/>
    <n v="1"/>
    <n v="2"/>
    <n v="1"/>
    <x v="2"/>
    <s v="n/a"/>
    <x v="1"/>
    <n v="0"/>
  </r>
  <r>
    <x v="57"/>
    <s v="中比は都の住まひも疎々しく (chūbi wa miyako no sumai mo utoutoshiku)"/>
    <s v="and since lately his family had lived away from the capital,"/>
    <s v="疎々しく"/>
    <s v="indicative"/>
    <s v="psych-state"/>
    <s v="adjectival predicate"/>
    <s v="intransitive"/>
    <s v="active"/>
    <s v="positive"/>
    <n v="1"/>
    <n v="1"/>
    <s v="SUB"/>
    <n v="1"/>
    <x v="0"/>
    <n v="3"/>
    <s v="n/a"/>
    <s v="n/a"/>
    <n v="0"/>
    <n v="0"/>
    <s v="n/a"/>
    <x v="2"/>
    <n v="0"/>
    <x v="0"/>
    <x v="0"/>
    <x v="0"/>
    <n v="0"/>
    <x v="2"/>
    <x v="4"/>
    <m/>
    <s v="ds"/>
    <x v="0"/>
    <x v="2"/>
    <x v="0"/>
    <m/>
    <x v="0"/>
    <n v="1"/>
    <s v="non-LVC"/>
    <s v="Yes"/>
    <n v="17"/>
    <x v="0"/>
    <n v="1"/>
    <n v="1"/>
    <n v="0"/>
    <x v="0"/>
    <s v="n/a"/>
    <x v="0"/>
    <n v="0"/>
  </r>
  <r>
    <x v="58"/>
    <s v="地下にのみ振舞ひなつて ( jige ni nomi furumai natte)"/>
    <s v=" behaving as mere provincial folk"/>
    <s v="振舞ひなつて"/>
    <s v="indicative"/>
    <s v="other"/>
    <s v="verb(compound)"/>
    <s v="intransitive"/>
    <s v="active"/>
    <s v="positive"/>
    <n v="1"/>
    <n v="1"/>
    <s v="IO"/>
    <n v="0"/>
    <x v="1"/>
    <n v="3"/>
    <s v="n/a"/>
    <s v="overt"/>
    <n v="0"/>
    <n v="0"/>
    <s v="n/a"/>
    <x v="1"/>
    <n v="0"/>
    <x v="0"/>
    <x v="0"/>
    <x v="0"/>
    <n v="0"/>
    <x v="1"/>
    <x v="3"/>
    <s v="te_medial"/>
    <s v="ss"/>
    <x v="0"/>
    <x v="1"/>
    <x v="0"/>
    <m/>
    <x v="0"/>
    <n v="1"/>
    <s v="non-LVC"/>
    <s v="Yes"/>
    <n v="18"/>
    <x v="3"/>
    <n v="1"/>
    <n v="2"/>
    <n v="0"/>
    <x v="0"/>
    <s v="n/a"/>
    <x v="1"/>
    <n v="0"/>
  </r>
  <r>
    <x v="59"/>
    <s v="伊勢国に住国深かりしかば  (Ise no kuni ni sumikoku fukakarishikaba)"/>
    <s v="and as they lived deep in Ise province, they likened him to the vessels of that province"/>
    <s v="深かりしかば"/>
    <s v="indicative"/>
    <s v="psych-state"/>
    <s v="adjectival predicate"/>
    <s v="intransitive"/>
    <s v="active"/>
    <s v="positive"/>
    <n v="1"/>
    <n v="1"/>
    <s v="SUB"/>
    <n v="1"/>
    <x v="1"/>
    <n v="3"/>
    <s v="n/a"/>
    <s v="n/a"/>
    <n v="0"/>
    <n v="0"/>
    <s v="n/a"/>
    <x v="3"/>
    <n v="0"/>
    <x v="0"/>
    <x v="0"/>
    <x v="0"/>
    <n v="0"/>
    <x v="3"/>
    <x v="2"/>
    <m/>
    <s v="ss"/>
    <x v="1"/>
    <x v="1"/>
    <x v="0"/>
    <m/>
    <x v="0"/>
    <n v="1"/>
    <s v="non-LVC"/>
    <s v="Yes"/>
    <n v="18"/>
    <x v="0"/>
    <n v="1"/>
    <n v="3"/>
    <n v="0"/>
    <x v="5"/>
    <s v="zero_uncertain"/>
    <x v="1"/>
    <n v="0"/>
  </r>
  <r>
    <x v="60"/>
    <s v="その国の器に言寄せて"/>
    <s v="sono kuni no utsuwa ni kotoyosete)"/>
    <s v="言寄せて"/>
    <s v="indicative"/>
    <s v="communication"/>
    <s v="verb"/>
    <s v="ditransitive"/>
    <s v="active"/>
    <s v="positive"/>
    <n v="1"/>
    <n v="1"/>
    <s v="IO"/>
    <n v="0"/>
    <x v="5"/>
    <n v="3"/>
    <s v="zero_uncertain"/>
    <s v="overt"/>
    <n v="0"/>
    <n v="0"/>
    <s v="n/a"/>
    <x v="1"/>
    <n v="0"/>
    <x v="0"/>
    <x v="0"/>
    <x v="0"/>
    <n v="0"/>
    <x v="1"/>
    <x v="4"/>
    <s v="te_medial"/>
    <s v="ds"/>
    <x v="0"/>
    <x v="1"/>
    <x v="0"/>
    <m/>
    <x v="0"/>
    <n v="1"/>
    <s v="non-LVC"/>
    <s v="Yes"/>
    <n v="18"/>
    <x v="2"/>
    <n v="1"/>
    <n v="4"/>
    <n v="0"/>
    <x v="0"/>
    <s v="n/a"/>
    <x v="1"/>
    <n v="0"/>
  </r>
  <r>
    <x v="61"/>
    <s v="伊勢平氏とぞ囃されける (Ise Heishi to zo hayasarekeru)"/>
    <s v="so they mocked him as 'Ise Heishi'"/>
    <s v="囃されける"/>
    <s v="indicative"/>
    <s v="action"/>
    <s v="verb"/>
    <s v="intransitive"/>
    <s v="passive"/>
    <s v="positive"/>
    <n v="1"/>
    <n v="1"/>
    <s v="O (Speech)"/>
    <n v="0"/>
    <x v="1"/>
    <n v="3"/>
    <s v="n/a"/>
    <s v="overt"/>
    <n v="0"/>
    <n v="0"/>
    <s v="kakari-musubi"/>
    <x v="2"/>
    <n v="0"/>
    <x v="0"/>
    <x v="0"/>
    <x v="0"/>
    <n v="0"/>
    <x v="2"/>
    <x v="2"/>
    <m/>
    <s v="ss"/>
    <x v="1"/>
    <x v="1"/>
    <x v="0"/>
    <m/>
    <x v="0"/>
    <n v="1"/>
    <s v="non-LVC"/>
    <s v="Yes"/>
    <n v="18"/>
    <x v="3"/>
    <n v="1"/>
    <n v="1"/>
    <n v="0"/>
    <x v="2"/>
    <s v="n/a"/>
    <x v="1"/>
    <n v="0"/>
  </r>
  <r>
    <x v="62"/>
    <s v="その上忠盛目の眇まれたりける故にこそ (sono ue Tadamori me no sugamaretari keru yue ni koso)"/>
    <s v="moreover, because Tadamori's eyes were squinted, "/>
    <s v="眇まれたりける"/>
    <s v="indicative"/>
    <s v="action"/>
    <s v="verb"/>
    <s v="intransitive"/>
    <s v="active"/>
    <s v="positive"/>
    <n v="1"/>
    <n v="1"/>
    <s v="SUB"/>
    <n v="1"/>
    <x v="0"/>
    <n v="3"/>
    <s v="n/a"/>
    <s v="n/a"/>
    <n v="0"/>
    <n v="1"/>
    <s v="REL"/>
    <x v="3"/>
    <n v="0"/>
    <x v="0"/>
    <x v="0"/>
    <x v="0"/>
    <n v="0"/>
    <x v="3"/>
    <x v="3"/>
    <m/>
    <s v="ds"/>
    <x v="0"/>
    <x v="3"/>
    <x v="0"/>
    <m/>
    <x v="0"/>
    <n v="1"/>
    <s v="non-LVC"/>
    <s v="Yes"/>
    <n v="19"/>
    <x v="4"/>
    <n v="1"/>
    <n v="2"/>
    <n v="1"/>
    <x v="0"/>
    <s v="n/a"/>
    <x v="0"/>
    <n v="0"/>
  </r>
  <r>
    <x v="63"/>
    <s v="かやうには囃されけるなれ  (kayō ni wa hayasarekeru nare)"/>
    <s v="he was mocked in such a way"/>
    <s v="囃されけるなれ"/>
    <s v="indicative"/>
    <s v="other"/>
    <s v="verb"/>
    <s v="intransitive"/>
    <s v="passive"/>
    <s v="positive"/>
    <n v="1"/>
    <n v="0"/>
    <s v="n/a"/>
    <n v="0"/>
    <x v="1"/>
    <n v="3"/>
    <s v="n/a"/>
    <s v="n/a"/>
    <n v="0"/>
    <n v="0"/>
    <s v="kakari-musubi"/>
    <x v="2"/>
    <n v="0"/>
    <x v="0"/>
    <x v="0"/>
    <x v="0"/>
    <n v="0"/>
    <x v="2"/>
    <x v="4"/>
    <m/>
    <s v="ss"/>
    <x v="0"/>
    <x v="1"/>
    <x v="1"/>
    <m/>
    <x v="0"/>
    <n v="0"/>
    <s v="non-LVC"/>
    <s v="Yes"/>
    <n v="19"/>
    <x v="4"/>
    <n v="1"/>
    <n v="1"/>
    <n v="0"/>
    <x v="2"/>
    <s v="overt"/>
    <x v="1"/>
    <n v="0"/>
  </r>
  <r>
    <x v="64"/>
    <s v="忠盛何とすべきやうもなくして (Tadamori nan to subeki yō mo nakushite)"/>
    <s v="Tadamori, having no way of dealing with the situation,"/>
    <s v="なくして"/>
    <s v="indicative"/>
    <s v="other"/>
    <s v="verb"/>
    <s v="transitive"/>
    <s v="active"/>
    <s v="negative"/>
    <n v="1"/>
    <n v="2"/>
    <s v="S+O"/>
    <n v="0"/>
    <x v="0"/>
    <n v="3"/>
    <s v="overt"/>
    <s v="n/a"/>
    <n v="0"/>
    <n v="0"/>
    <s v="n/a"/>
    <x v="1"/>
    <n v="0"/>
    <x v="0"/>
    <x v="0"/>
    <x v="0"/>
    <n v="0"/>
    <x v="1"/>
    <x v="3"/>
    <s v="te_initial"/>
    <s v="ss"/>
    <x v="1"/>
    <x v="3"/>
    <x v="0"/>
    <m/>
    <x v="0"/>
    <n v="2"/>
    <s v="non-LVC"/>
    <s v="Yes"/>
    <n v="20"/>
    <x v="3"/>
    <n v="1"/>
    <n v="2"/>
    <n v="1"/>
    <x v="2"/>
    <s v="n/a"/>
    <x v="1"/>
    <n v="0"/>
  </r>
  <r>
    <x v="65"/>
    <s v="御遊も未だ終らざる前に (gyoyū mo mada owarazaru mae ni)"/>
    <s v="before the entertainment had ended,"/>
    <s v="終らざる"/>
    <s v="indicative"/>
    <s v="other"/>
    <s v="verb"/>
    <s v="intransitive"/>
    <s v="active"/>
    <s v="negative"/>
    <n v="1"/>
    <n v="1"/>
    <s v="SUB"/>
    <n v="1"/>
    <x v="0"/>
    <n v="3"/>
    <s v="n/a"/>
    <s v="n/a"/>
    <n v="0"/>
    <n v="1"/>
    <s v="REL"/>
    <x v="3"/>
    <n v="0"/>
    <x v="0"/>
    <x v="0"/>
    <x v="0"/>
    <n v="0"/>
    <x v="0"/>
    <x v="2"/>
    <m/>
    <s v="ds"/>
    <x v="1"/>
    <x v="1"/>
    <x v="0"/>
    <m/>
    <x v="0"/>
    <n v="1"/>
    <s v="non-LVC"/>
    <s v="Yes"/>
    <n v="20"/>
    <x v="4"/>
    <n v="1"/>
    <n v="3"/>
    <n v="0"/>
    <x v="1"/>
    <s v="n/a"/>
    <x v="0"/>
    <n v="0"/>
  </r>
  <r>
    <x v="66"/>
    <s v="密かに罷り出でらるとて (hisokani makari ideraru tote)"/>
    <s v="he secretly left the Presence,"/>
    <s v="罷り出でらる"/>
    <s v="indicative"/>
    <s v="motion"/>
    <s v="verb"/>
    <s v="intransitive"/>
    <s v="active"/>
    <s v="positive"/>
    <n v="1"/>
    <n v="0"/>
    <s v="n/a"/>
    <n v="1"/>
    <x v="2"/>
    <n v="3"/>
    <s v="n/a"/>
    <s v="n/a"/>
    <n v="0"/>
    <n v="0"/>
    <s v="REL"/>
    <x v="3"/>
    <n v="0"/>
    <x v="1"/>
    <x v="2"/>
    <x v="8"/>
    <n v="0"/>
    <x v="0"/>
    <x v="4"/>
    <m/>
    <s v="ds"/>
    <x v="0"/>
    <x v="1"/>
    <x v="1"/>
    <m/>
    <x v="0"/>
    <n v="0"/>
    <s v="non-LVC"/>
    <s v="Yes"/>
    <n v="20"/>
    <x v="0"/>
    <n v="1"/>
    <n v="4"/>
    <n v="0"/>
    <x v="0"/>
    <s v="n/a"/>
    <x v="1"/>
    <n v="0"/>
  </r>
  <r>
    <x v="67"/>
    <s v="紫宸殿の御後にして (Shishinden no o-ato ni shite)"/>
    <s v="and going behind the Shishinden,"/>
    <s v="後にして"/>
    <s v="indicative"/>
    <s v="other"/>
    <s v="LVC (j)"/>
    <s v="intransitive"/>
    <s v="active"/>
    <s v="positive"/>
    <n v="1"/>
    <n v="0"/>
    <s v="n/a"/>
    <n v="1"/>
    <x v="1"/>
    <n v="3"/>
    <s v="n/a"/>
    <s v="n/a"/>
    <n v="0"/>
    <n v="0"/>
    <s v="n/a"/>
    <x v="1"/>
    <n v="0"/>
    <x v="0"/>
    <x v="0"/>
    <x v="0"/>
    <n v="0"/>
    <x v="1"/>
    <x v="4"/>
    <s v="te_medial"/>
    <s v="ss"/>
    <x v="1"/>
    <x v="1"/>
    <x v="1"/>
    <m/>
    <x v="0"/>
    <n v="0"/>
    <s v="LVC"/>
    <s v="Yes"/>
    <n v="20"/>
    <x v="4"/>
    <n v="1"/>
    <m/>
    <n v="0"/>
    <x v="2"/>
    <s v="zero_recoverable"/>
    <x v="1"/>
    <n v="0"/>
  </r>
  <r>
    <x v="68"/>
    <s v="かたへの殿上人の見られける (kata e no tenjōbito no mirarekeru)"/>
    <s v=" the court nobles could see him,"/>
    <s v="見られける"/>
    <s v="indicative"/>
    <s v="action"/>
    <s v="verb"/>
    <s v="transitive"/>
    <s v="active"/>
    <s v="positive"/>
    <n v="1"/>
    <n v="1"/>
    <s v="SUB"/>
    <n v="0"/>
    <x v="0"/>
    <n v="3"/>
    <s v="zero_recoverable"/>
    <s v="n/a"/>
    <n v="0"/>
    <n v="1"/>
    <s v="REL"/>
    <x v="0"/>
    <n v="1"/>
    <x v="0"/>
    <x v="2"/>
    <x v="2"/>
    <n v="0"/>
    <x v="2"/>
    <x v="2"/>
    <m/>
    <s v="ds"/>
    <x v="0"/>
    <x v="0"/>
    <x v="0"/>
    <m/>
    <x v="0"/>
    <n v="1"/>
    <s v="non-LVC"/>
    <s v="Yes"/>
    <n v="20"/>
    <x v="0"/>
    <n v="0"/>
    <n v="5"/>
    <n v="0"/>
    <x v="1"/>
    <s v="overt"/>
    <x v="0"/>
    <n v="0"/>
  </r>
  <r>
    <x v="69"/>
    <s v="所にて主殿司を召して (tokoro nite tonomotsukasa o meshite azukeokite zo iderarekeru)"/>
    <s v="in a place where… he summoned the Tonomotsukasa, "/>
    <s v="召して "/>
    <s v="indicative"/>
    <s v="action"/>
    <s v="verb"/>
    <s v="transitive"/>
    <s v="active"/>
    <s v="positive"/>
    <n v="1"/>
    <n v="1"/>
    <s v="OBJ"/>
    <n v="1"/>
    <x v="2"/>
    <n v="3"/>
    <s v="overt"/>
    <s v="n/a"/>
    <n v="0"/>
    <n v="0"/>
    <s v="n/a"/>
    <x v="1"/>
    <n v="0"/>
    <x v="1"/>
    <x v="2"/>
    <x v="3"/>
    <n v="0"/>
    <x v="1"/>
    <x v="1"/>
    <s v="te_medial"/>
    <s v="ss"/>
    <x v="0"/>
    <x v="1"/>
    <x v="0"/>
    <m/>
    <x v="0"/>
    <n v="1"/>
    <s v="non-LVC"/>
    <s v="Yes"/>
    <n v="20"/>
    <x v="4"/>
    <n v="1"/>
    <n v="6"/>
    <n v="0"/>
    <x v="0"/>
    <s v="zero_recoverable"/>
    <x v="1"/>
    <n v="1"/>
  </r>
  <r>
    <x v="70"/>
    <s v="預け置きてぞ"/>
    <s v=" entrusted [his sword]"/>
    <s v="預け置きて"/>
    <s v="indicative"/>
    <s v="other"/>
    <s v="verb"/>
    <s v="transitive"/>
    <s v="active"/>
    <s v="positive"/>
    <n v="1"/>
    <n v="0"/>
    <s v="n/a"/>
    <n v="0"/>
    <x v="1"/>
    <n v="3"/>
    <s v="zero_recoverable"/>
    <s v="n/a"/>
    <n v="0"/>
    <n v="0"/>
    <s v="n/a"/>
    <x v="1"/>
    <n v="0"/>
    <x v="0"/>
    <x v="0"/>
    <x v="0"/>
    <n v="0"/>
    <x v="2"/>
    <x v="2"/>
    <s v="te_medial"/>
    <s v="ss"/>
    <x v="0"/>
    <x v="1"/>
    <x v="1"/>
    <m/>
    <x v="0"/>
    <n v="0"/>
    <s v="non-LVC"/>
    <s v="Yes"/>
    <n v="20"/>
    <x v="2"/>
    <n v="1"/>
    <n v="7"/>
    <n v="0"/>
    <x v="1"/>
    <s v="n/a"/>
    <x v="1"/>
    <n v="0"/>
  </r>
  <r>
    <x v="71"/>
    <s v="出でられける"/>
    <s v="and left,"/>
    <s v="出でられける"/>
    <s v="indicative"/>
    <s v="motion"/>
    <s v="verb"/>
    <s v="intransitive"/>
    <s v="active"/>
    <s v="positive"/>
    <n v="1"/>
    <n v="0"/>
    <s v="n/a"/>
    <n v="0"/>
    <x v="2"/>
    <n v="3"/>
    <s v="n/a"/>
    <s v="n/a"/>
    <n v="0"/>
    <n v="0"/>
    <s v="n/a"/>
    <x v="2"/>
    <n v="0"/>
    <x v="1"/>
    <x v="2"/>
    <x v="2"/>
    <n v="0"/>
    <x v="2"/>
    <x v="2"/>
    <m/>
    <s v="ss"/>
    <x v="1"/>
    <x v="1"/>
    <x v="1"/>
    <m/>
    <x v="0"/>
    <n v="0"/>
    <s v="non-LVC"/>
    <s v="Yes"/>
    <n v="20"/>
    <x v="4"/>
    <n v="1"/>
    <n v="1"/>
    <n v="0"/>
    <x v="2"/>
    <s v="zero_recoverable"/>
    <x v="1"/>
    <n v="0"/>
  </r>
  <r>
    <x v="72"/>
    <s v="家貞待ち受け奉りて (Iesada machi-uke tatemawari-te)"/>
    <s v="Iesada, who was waiting for his lord,"/>
    <s v="待ち受け奉りて"/>
    <s v="indicative"/>
    <s v="action"/>
    <s v="verb(complex)"/>
    <s v="transitive"/>
    <s v="active"/>
    <s v="positive"/>
    <n v="1"/>
    <n v="1"/>
    <s v="SUB"/>
    <n v="0"/>
    <x v="0"/>
    <n v="3"/>
    <s v="zero_recoverable"/>
    <s v="n/a"/>
    <n v="0"/>
    <n v="0"/>
    <s v="n/a"/>
    <x v="1"/>
    <n v="1"/>
    <x v="0"/>
    <x v="2"/>
    <x v="5"/>
    <n v="0"/>
    <x v="1"/>
    <x v="3"/>
    <s v="te_initial"/>
    <s v="ds"/>
    <x v="0"/>
    <x v="2"/>
    <x v="0"/>
    <m/>
    <x v="0"/>
    <n v="1"/>
    <s v="non-LVC"/>
    <s v="Yes"/>
    <n v="21"/>
    <x v="4"/>
    <n v="1"/>
    <n v="2"/>
    <n v="1"/>
    <x v="4"/>
    <s v="n/a"/>
    <x v="0"/>
    <n v="0"/>
  </r>
  <r>
    <x v="73"/>
    <s v="さていかが候ひつると (sate ikaga soroitsuru to)"/>
    <s v="&quot;What has happened?&quot; he asked."/>
    <s v="候ひつる"/>
    <s v="indicative"/>
    <s v="other"/>
    <s v="verb"/>
    <s v="intransitive"/>
    <s v="active"/>
    <s v="positive"/>
    <n v="1"/>
    <n v="0"/>
    <s v="n/a"/>
    <n v="1"/>
    <x v="4"/>
    <n v="3"/>
    <s v="n/a"/>
    <s v="n/a"/>
    <n v="0"/>
    <n v="0"/>
    <s v="REL"/>
    <x v="6"/>
    <n v="0"/>
    <x v="0"/>
    <x v="0"/>
    <x v="7"/>
    <n v="0"/>
    <x v="4"/>
    <x v="2"/>
    <m/>
    <s v="ss"/>
    <x v="0"/>
    <x v="1"/>
    <x v="1"/>
    <m/>
    <x v="0"/>
    <n v="0"/>
    <s v="non-LVC"/>
    <s v="Yes"/>
    <n v="21"/>
    <x v="4"/>
    <n v="1"/>
    <n v="3"/>
    <n v="0"/>
    <x v="1"/>
    <s v="overt"/>
    <x v="1"/>
    <n v="0"/>
  </r>
  <r>
    <x v="74"/>
    <s v="申されければ (mōsarekeru ba)"/>
    <s v="he was asked,"/>
    <s v="申されける"/>
    <s v="indicative"/>
    <s v="action"/>
    <s v="verb"/>
    <s v="intransitive"/>
    <s v="passive"/>
    <s v="positive"/>
    <n v="1"/>
    <n v="1"/>
    <s v="O (Speech)"/>
    <n v="0"/>
    <x v="2"/>
    <n v="3"/>
    <s v="overt"/>
    <s v="n/a"/>
    <n v="0"/>
    <n v="0"/>
    <s v="n/a"/>
    <x v="2"/>
    <n v="0"/>
    <x v="1"/>
    <x v="2"/>
    <x v="9"/>
    <n v="0"/>
    <x v="0"/>
    <x v="7"/>
    <m/>
    <s v="ss"/>
    <x v="0"/>
    <x v="1"/>
    <x v="0"/>
    <m/>
    <x v="0"/>
    <n v="1"/>
    <s v="non-LVC"/>
    <s v="Yes"/>
    <n v="21"/>
    <x v="4"/>
    <n v="1"/>
    <n v="1"/>
    <n v="0"/>
    <x v="4"/>
    <s v="not_applicable"/>
    <x v="1"/>
    <n v="0"/>
  </r>
  <r>
    <x v="75"/>
    <s v="かくとも云はまほしう"/>
    <s v="to tell him"/>
    <s v="云はまほしう"/>
    <s v="desiderative"/>
    <s v="other"/>
    <s v="verb"/>
    <s v="intransitive"/>
    <s v="active"/>
    <s v="positive"/>
    <n v="1"/>
    <n v="0"/>
    <s v="n/a"/>
    <n v="1"/>
    <x v="4"/>
    <n v="3"/>
    <s v="n/a"/>
    <s v="n/a"/>
    <n v="0"/>
    <n v="0"/>
    <s v="n/a"/>
    <x v="2"/>
    <n v="0"/>
    <x v="0"/>
    <x v="0"/>
    <x v="0"/>
    <n v="0"/>
    <x v="2"/>
    <x v="3"/>
    <m/>
    <s v="ss"/>
    <x v="0"/>
    <x v="1"/>
    <x v="1"/>
    <m/>
    <x v="0"/>
    <n v="0"/>
    <s v="non-LVC"/>
    <s v="Yes"/>
    <n v="22"/>
    <x v="4"/>
    <n v="1"/>
    <n v="1"/>
    <n v="0"/>
    <x v="4"/>
    <s v="overt"/>
    <x v="1"/>
    <n v="0"/>
  </r>
  <r>
    <x v="76"/>
    <s v="思はれけれども (kakutomo iwamahoshū omowarekeredomo)"/>
    <s v="although he greatly wished,"/>
    <s v="思はれけれども"/>
    <s v="indicative"/>
    <s v="psych-state"/>
    <s v="verb"/>
    <s v="transitive"/>
    <s v="active"/>
    <s v="positive"/>
    <n v="1"/>
    <n v="1"/>
    <s v="O (Speech)"/>
    <n v="1"/>
    <x v="4"/>
    <n v="3"/>
    <s v="overt"/>
    <s v="n/a"/>
    <n v="0"/>
    <n v="0"/>
    <s v="n/a"/>
    <x v="2"/>
    <n v="0"/>
    <x v="0"/>
    <x v="0"/>
    <x v="0"/>
    <n v="0"/>
    <x v="9"/>
    <x v="3"/>
    <m/>
    <s v="ss"/>
    <x v="0"/>
    <x v="1"/>
    <x v="0"/>
    <s v="Psych predicate; かくとも as adjunct."/>
    <x v="0"/>
    <n v="1"/>
    <s v="non-LVC"/>
    <s v="Yes"/>
    <n v="23"/>
    <x v="4"/>
    <n v="1"/>
    <n v="1"/>
    <n v="0"/>
    <x v="4"/>
    <s v="zero_recoverable"/>
    <x v="1"/>
    <n v="1"/>
  </r>
  <r>
    <x v="77"/>
    <s v="云ひつるほどならば (iitsuru hodo naraba)"/>
    <s v="seeing that, if he told him,"/>
    <s v="云ひつる"/>
    <s v="indicative"/>
    <s v="other"/>
    <s v="verb"/>
    <s v="transitive"/>
    <s v="active"/>
    <s v="positive"/>
    <n v="1"/>
    <n v="0"/>
    <s v="n/a"/>
    <n v="0"/>
    <x v="4"/>
    <n v="3"/>
    <s v="zero_recoverable"/>
    <s v="n/a"/>
    <n v="0"/>
    <n v="1"/>
    <s v="REL"/>
    <x v="3"/>
    <n v="0"/>
    <x v="0"/>
    <x v="0"/>
    <x v="0"/>
    <n v="0"/>
    <x v="10"/>
    <x v="3"/>
    <m/>
    <s v="ss"/>
    <x v="1"/>
    <x v="1"/>
    <x v="1"/>
    <m/>
    <x v="0"/>
    <n v="0"/>
    <s v="non-LVC"/>
    <s v="Yes"/>
    <n v="24"/>
    <x v="1"/>
    <n v="1"/>
    <m/>
    <n v="0"/>
    <x v="0"/>
    <s v="n/a"/>
    <x v="1"/>
    <n v="0"/>
  </r>
  <r>
    <x v="78"/>
    <s v="やがて殿上までも斬り上らんずる  yagate tenjō made mo kiriagaranzuru "/>
    <s v="who would even do violence in the Palace itself,"/>
    <s v="斬り上らんずる"/>
    <s v="dynamic"/>
    <s v="other"/>
    <s v="verb"/>
    <s v="intransitive"/>
    <s v="active"/>
    <s v="positive"/>
    <n v="1"/>
    <n v="0"/>
    <s v="n/a"/>
    <n v="2"/>
    <x v="1"/>
    <n v="3"/>
    <s v="n/a"/>
    <s v="n/a"/>
    <n v="1"/>
    <n v="0"/>
    <s v="REL"/>
    <x v="0"/>
    <n v="0"/>
    <x v="0"/>
    <x v="0"/>
    <x v="0"/>
    <n v="0"/>
    <x v="2"/>
    <x v="4"/>
    <m/>
    <s v="ds"/>
    <x v="0"/>
    <x v="1"/>
    <x v="1"/>
    <m/>
    <x v="0"/>
    <n v="0"/>
    <s v="non-LVC"/>
    <s v="Yes"/>
    <n v="24"/>
    <x v="3"/>
    <n v="0"/>
    <n v="2"/>
    <n v="0"/>
    <x v="0"/>
    <s v="n/a"/>
    <x v="1"/>
    <n v="0"/>
  </r>
  <r>
    <x v="79"/>
    <s v="者の面魂にてある間 mono no omodamashii nite aru aida"/>
    <s v="he appeared as one "/>
    <s v="にてある"/>
    <s v="indicative"/>
    <s v="other"/>
    <s v="copula"/>
    <s v="intransitive"/>
    <s v="active"/>
    <s v="positive"/>
    <n v="1"/>
    <n v="0"/>
    <s v="n/a"/>
    <n v="0"/>
    <x v="1"/>
    <n v="3"/>
    <s v="n/a"/>
    <s v="n/a"/>
    <n v="0"/>
    <n v="0"/>
    <s v="REL"/>
    <x v="3"/>
    <n v="0"/>
    <x v="0"/>
    <x v="0"/>
    <x v="0"/>
    <n v="0"/>
    <x v="0"/>
    <x v="1"/>
    <m/>
    <s v="ss"/>
    <x v="1"/>
    <x v="1"/>
    <x v="1"/>
    <m/>
    <x v="0"/>
    <n v="0"/>
    <s v="non-LVC"/>
    <s v="Yes"/>
    <n v="24"/>
    <x v="4"/>
    <n v="1"/>
    <n v="3"/>
    <n v="0"/>
    <x v="2"/>
    <s v="n/a"/>
    <x v="1"/>
    <n v="0"/>
  </r>
  <r>
    <x v="80"/>
    <s v="別の事なし (betsu no koto nashi)"/>
    <s v="nothing out of the ordinary had taken place."/>
    <s v="なし"/>
    <s v="indicative"/>
    <s v="other"/>
    <s v="existential verb"/>
    <s v="intransitive"/>
    <s v="active"/>
    <s v="negative"/>
    <n v="1"/>
    <n v="1"/>
    <s v="SUB"/>
    <n v="0"/>
    <x v="0"/>
    <n v="3"/>
    <s v="n/a"/>
    <s v="n/a"/>
    <n v="0"/>
    <n v="0"/>
    <s v="n/a"/>
    <x v="2"/>
    <n v="0"/>
    <x v="0"/>
    <x v="0"/>
    <x v="0"/>
    <n v="0"/>
    <x v="2"/>
    <x v="4"/>
    <m/>
    <s v="ds"/>
    <x v="1"/>
    <x v="1"/>
    <x v="0"/>
    <s v="Subject = 別の事."/>
    <x v="0"/>
    <n v="1"/>
    <s v="non-LVC"/>
    <s v="Yes"/>
    <n v="24"/>
    <x v="3"/>
    <n v="1"/>
    <n v="1"/>
    <n v="0"/>
    <x v="1"/>
    <s v="overt"/>
    <x v="0"/>
    <n v="0"/>
  </r>
  <r>
    <x v="81"/>
    <s v="五節には白薄様濃染紙の紙巻上の筆巴書いたる筆の軸など様々かやうに面白き事をのみこそ歌ひ舞はるるに (gosechi ni wa shirauzusama kozomegami no kamimaki ue no fude tomoe kaitaru fude no jiku nado samazama kayō ni omoshiroki koto o nomi koso utai mawaruru ni)"/>
    <s v="In the Go-sechie festival only such pleasing things as white paper, Shuzenji paper, wrapped brushes, or writing brushes with a tomoe on the stem were customarily sung and danced,"/>
    <s v="歌ひ舞はるる"/>
    <s v="indicative"/>
    <s v="other"/>
    <s v="verb(compound)"/>
    <s v="transitive"/>
    <s v="active"/>
    <s v="positive"/>
    <n v="1"/>
    <n v="1"/>
    <s v="OBJ"/>
    <n v="2"/>
    <x v="2"/>
    <n v="3"/>
    <s v="overt"/>
    <s v="n/a"/>
    <n v="0"/>
    <n v="0"/>
    <s v="REL"/>
    <x v="3"/>
    <n v="0"/>
    <x v="1"/>
    <x v="2"/>
    <x v="2"/>
    <n v="0"/>
    <x v="9"/>
    <x v="3"/>
    <m/>
    <s v="ds"/>
    <x v="1"/>
    <x v="2"/>
    <x v="0"/>
    <s v="Passive/respect; subject omitted; object 面白き事を overt."/>
    <x v="0"/>
    <n v="1"/>
    <s v="non-LVC"/>
    <s v="Yes"/>
    <n v="25"/>
    <x v="2"/>
    <n v="1"/>
    <n v="2"/>
    <n v="1"/>
    <x v="2"/>
    <s v="n/a"/>
    <x v="1"/>
    <n v="0"/>
  </r>
  <r>
    <x v="82"/>
    <s v="中比太宰権帥季仲卿といふ人ありけり (chūbi Dazai gon no so Sukechika kyō to iu hito arikeri)"/>
    <s v="but there was a certain Dazai Gon-no-sotsu Suenaka no Kyo,"/>
    <s v="ありけり"/>
    <s v="indicative"/>
    <s v="stative"/>
    <s v="existential verb"/>
    <s v="intransitive"/>
    <s v="active"/>
    <s v="positive"/>
    <n v="1"/>
    <n v="1"/>
    <s v="SUB"/>
    <n v="1"/>
    <x v="0"/>
    <n v="3"/>
    <s v="n/a"/>
    <s v="n/a"/>
    <n v="0"/>
    <n v="0"/>
    <s v="n/a"/>
    <x v="2"/>
    <n v="0"/>
    <x v="0"/>
    <x v="0"/>
    <x v="0"/>
    <n v="0"/>
    <x v="2"/>
    <x v="4"/>
    <m/>
    <s v="ds"/>
    <x v="1"/>
    <x v="0"/>
    <x v="0"/>
    <s v="frame predicate"/>
    <x v="0"/>
    <n v="1"/>
    <s v="non-LVC"/>
    <s v="Yes"/>
    <n v="25"/>
    <x v="3"/>
    <n v="1"/>
    <n v="1"/>
    <n v="0"/>
    <x v="2"/>
    <s v="n/a"/>
    <x v="1"/>
    <n v="0"/>
  </r>
  <r>
    <x v="83"/>
    <s v="あまりに色の黒かりければ (amari ni iro no kurokarikereba)"/>
    <s v="who was of so dark a complexion that"/>
    <s v="黒かりければ"/>
    <s v="indicative"/>
    <s v="other"/>
    <s v="adjectival predicate"/>
    <s v="intransitive"/>
    <s v="active"/>
    <s v="positive"/>
    <n v="1"/>
    <n v="1"/>
    <s v="SUB"/>
    <n v="1"/>
    <x v="0"/>
    <n v="3"/>
    <s v="n/a"/>
    <s v="n/a"/>
    <n v="0"/>
    <n v="0"/>
    <s v="n/a"/>
    <x v="3"/>
    <n v="0"/>
    <x v="0"/>
    <x v="0"/>
    <x v="0"/>
    <n v="0"/>
    <x v="3"/>
    <x v="3"/>
    <m/>
    <s v="ds"/>
    <x v="1"/>
    <x v="1"/>
    <x v="0"/>
    <s v="Adjectival predicate; subject = 色."/>
    <x v="0"/>
    <n v="1"/>
    <s v="non-LVC"/>
    <s v="Yes"/>
    <n v="26"/>
    <x v="2"/>
    <n v="1"/>
    <n v="2"/>
    <n v="0"/>
    <x v="2"/>
    <s v="overt"/>
    <x v="1"/>
    <n v="0"/>
  </r>
  <r>
    <x v="84"/>
    <s v="見る人黒帥とぞ申しける (miru hito kurosotsu to zo mōshikeru)"/>
    <s v="people called him 'kuro-sotsu',"/>
    <s v="申しける"/>
    <s v="indicative"/>
    <s v="action"/>
    <s v="verb"/>
    <s v="transitive"/>
    <s v="active"/>
    <s v="positive"/>
    <n v="1"/>
    <n v="2"/>
    <s v="S+O"/>
    <n v="0"/>
    <x v="0"/>
    <n v="3"/>
    <s v="overt"/>
    <s v="n/a"/>
    <n v="0"/>
    <n v="0"/>
    <s v="n/a"/>
    <x v="2"/>
    <n v="1"/>
    <x v="0"/>
    <x v="0"/>
    <x v="5"/>
    <n v="0"/>
    <x v="2"/>
    <x v="4"/>
    <m/>
    <s v="ds"/>
    <x v="0"/>
    <x v="1"/>
    <x v="0"/>
    <s v="申す humble; subject overt; counted as EXALT INSIG."/>
    <x v="0"/>
    <n v="2"/>
    <s v="non-LVC"/>
    <s v="Yes"/>
    <n v="26"/>
    <x v="4"/>
    <n v="1"/>
    <n v="1"/>
    <n v="0"/>
    <x v="2"/>
    <s v="n/a"/>
    <x v="1"/>
    <n v="0"/>
  </r>
  <r>
    <x v="85"/>
    <s v="その人未だ蔵人頭たりし時 (sono hito imada kurōdo no tō tarishi toki)"/>
    <s v="and while he was still Kurando-no-to, "/>
    <s v="たりし"/>
    <s v="indicative"/>
    <s v="stative"/>
    <s v="copula"/>
    <s v="intransitive"/>
    <s v="active"/>
    <s v="positive"/>
    <n v="1"/>
    <n v="1"/>
    <s v="SUB"/>
    <n v="0"/>
    <x v="0"/>
    <n v="3"/>
    <s v="n/a"/>
    <s v="n/a"/>
    <n v="0"/>
    <n v="0"/>
    <s v="REL"/>
    <x v="3"/>
    <n v="0"/>
    <x v="0"/>
    <x v="0"/>
    <x v="2"/>
    <n v="0"/>
    <x v="0"/>
    <x v="3"/>
    <m/>
    <s v="ss"/>
    <x v="0"/>
    <x v="3"/>
    <x v="1"/>
    <m/>
    <x v="0"/>
    <n v="1"/>
    <s v="non-LVC"/>
    <s v="Yes"/>
    <n v="27"/>
    <x v="3"/>
    <n v="1"/>
    <n v="2"/>
    <n v="0"/>
    <x v="1"/>
    <s v="n/a"/>
    <x v="0"/>
    <n v="0"/>
  </r>
  <r>
    <x v="86"/>
    <s v="五節に舞はれけるに gosechi ni mawarekeru ni"/>
    <s v="when he danced at the Go-sechie,"/>
    <s v="舞はれける"/>
    <s v="indicative"/>
    <s v="action"/>
    <s v="verb"/>
    <s v="intransitive"/>
    <s v="active"/>
    <s v="positive"/>
    <n v="1"/>
    <n v="0"/>
    <s v="n/a"/>
    <n v="0"/>
    <x v="2"/>
    <n v="3"/>
    <s v="n/a"/>
    <s v="n/a"/>
    <n v="0"/>
    <n v="0"/>
    <s v="REL"/>
    <x v="3"/>
    <n v="0"/>
    <x v="1"/>
    <x v="2"/>
    <x v="3"/>
    <n v="0"/>
    <x v="0"/>
    <x v="4"/>
    <m/>
    <s v="ss"/>
    <x v="1"/>
    <x v="1"/>
    <x v="1"/>
    <m/>
    <x v="0"/>
    <n v="0"/>
    <s v="non-LVC"/>
    <s v="Yes"/>
    <n v="27"/>
    <x v="4"/>
    <n v="1"/>
    <n v="3"/>
    <n v="0"/>
    <x v="2"/>
    <s v="overt"/>
    <x v="1"/>
    <n v="0"/>
  </r>
  <r>
    <x v="87"/>
    <s v="人々拍子を変へて (hitobito hyōshi o kaete)"/>
    <s v="they changed the rhythm of the music"/>
    <s v="変へて"/>
    <s v="indicative"/>
    <s v="other"/>
    <s v="verb"/>
    <s v="transitive"/>
    <s v="active"/>
    <s v="positive"/>
    <n v="1"/>
    <n v="2"/>
    <s v="S+O"/>
    <n v="0"/>
    <x v="0"/>
    <n v="3"/>
    <s v="overt"/>
    <s v="n/a"/>
    <n v="0"/>
    <n v="0"/>
    <s v="n/a"/>
    <x v="1"/>
    <n v="0"/>
    <x v="0"/>
    <x v="0"/>
    <x v="0"/>
    <n v="0"/>
    <x v="1"/>
    <x v="4"/>
    <s v="te_medial"/>
    <s v="ds"/>
    <x v="0"/>
    <x v="1"/>
    <x v="0"/>
    <m/>
    <x v="0"/>
    <n v="2"/>
    <s v="non-LVC"/>
    <s v="Yes"/>
    <n v="27"/>
    <x v="2"/>
    <n v="1"/>
    <n v="4"/>
    <n v="0"/>
    <x v="2"/>
    <s v="n/a"/>
    <x v="1"/>
    <n v="0"/>
  </r>
  <r>
    <x v="88"/>
    <s v="あなくろくろ黒き頭かな (ana kuro kuro kuroki atama kana)"/>
    <s v="&quot;Oh what a black, black head!&quot;"/>
    <s v="N/A (exclamatory nominal clause)"/>
    <s v="indicative"/>
    <s v="other"/>
    <s v="none"/>
    <s v="intransitive"/>
    <m/>
    <m/>
    <n v="0"/>
    <n v="1"/>
    <s v="SUB"/>
    <n v="0"/>
    <x v="0"/>
    <n v="3"/>
    <s v="n/a"/>
    <s v="n/a"/>
    <n v="0"/>
    <n v="0"/>
    <s v="n/a"/>
    <x v="2"/>
    <n v="0"/>
    <x v="0"/>
    <x v="0"/>
    <x v="0"/>
    <n v="0"/>
    <x v="2"/>
    <x v="2"/>
    <m/>
    <s v="ss"/>
    <x v="1"/>
    <x v="1"/>
    <x v="0"/>
    <m/>
    <x v="0"/>
    <m/>
    <s v="non-LVC"/>
    <s v="Yes"/>
    <n v="27"/>
    <x v="6"/>
    <n v="1"/>
    <n v="1"/>
    <n v="0"/>
    <x v="2"/>
    <s v="overt"/>
    <x v="1"/>
    <n v="0"/>
  </r>
  <r>
    <x v="89"/>
    <s v="いかなる人の漆塗りけんとぞ (ikanaru hito no urushinuriken to zo )"/>
    <s v="&quot;someone must have painted him with lacquer&quot;"/>
    <s v="漆塗りけん"/>
    <s v="epistemic"/>
    <s v="other"/>
    <s v="verb"/>
    <s v="transitive"/>
    <s v="active"/>
    <s v="positive"/>
    <n v="1"/>
    <n v="2"/>
    <s v="S+O"/>
    <n v="0"/>
    <x v="0"/>
    <n v="3"/>
    <s v="overt"/>
    <s v="n/a"/>
    <n v="0"/>
    <n v="0"/>
    <s v="n/a"/>
    <x v="6"/>
    <n v="0"/>
    <x v="0"/>
    <x v="0"/>
    <x v="0"/>
    <n v="0"/>
    <x v="4"/>
    <x v="3"/>
    <m/>
    <s v="ds"/>
    <x v="1"/>
    <x v="1"/>
    <x v="0"/>
    <m/>
    <x v="0"/>
    <n v="2"/>
    <s v="non-LVC"/>
    <s v="Yes"/>
    <n v="28"/>
    <x v="4"/>
    <n v="1"/>
    <n v="2"/>
    <n v="1"/>
    <x v="1"/>
    <s v="overt"/>
    <x v="0"/>
    <n v="0"/>
  </r>
  <r>
    <x v="90"/>
    <s v="囃されける (hayasarekeru)"/>
    <s v="they sang in mockery."/>
    <s v="囃されける"/>
    <s v="indicative"/>
    <s v="communication"/>
    <s v="verb"/>
    <s v="transitive"/>
    <s v="active"/>
    <s v="positive"/>
    <n v="1"/>
    <n v="1"/>
    <s v="O (Speech)"/>
    <n v="0"/>
    <x v="2"/>
    <n v="3"/>
    <s v="overt"/>
    <s v="n/a"/>
    <n v="0"/>
    <n v="0"/>
    <s v="n/a"/>
    <x v="2"/>
    <n v="0"/>
    <x v="1"/>
    <x v="2"/>
    <x v="2"/>
    <n v="0"/>
    <x v="2"/>
    <x v="7"/>
    <m/>
    <s v="ds"/>
    <x v="1"/>
    <x v="1"/>
    <x v="1"/>
    <m/>
    <x v="0"/>
    <n v="1"/>
    <s v="non-LVC"/>
    <s v="Yes"/>
    <n v="28"/>
    <x v="4"/>
    <n v="1"/>
    <n v="1"/>
    <n v="0"/>
    <x v="2"/>
    <s v="n/a"/>
    <x v="1"/>
    <n v="0"/>
  </r>
  <r>
    <x v="91"/>
    <s v="また花山院前太政大臣忠雅公未だ十歳と申しし時 (mata Kazanin no saki no Daijōdaijin Tadamasa kō imada jissai to mōshi shi toki)"/>
    <s v="Also, when Prince Tadamasa of the Kazan-in, the former Prime Minister, was only ten years old,"/>
    <s v="申しし"/>
    <s v="indicative"/>
    <s v="action"/>
    <s v="verb"/>
    <s v="intransitive"/>
    <s v="active"/>
    <s v="positive"/>
    <n v="1"/>
    <n v="1"/>
    <s v="SUB"/>
    <n v="1"/>
    <x v="0"/>
    <n v="3"/>
    <s v="n/a"/>
    <s v="n/a"/>
    <n v="0"/>
    <n v="0"/>
    <s v="n/a"/>
    <x v="3"/>
    <n v="1"/>
    <x v="0"/>
    <x v="2"/>
    <x v="5"/>
    <n v="0"/>
    <x v="0"/>
    <x v="3"/>
    <m/>
    <s v="ds"/>
    <x v="0"/>
    <x v="0"/>
    <x v="0"/>
    <m/>
    <x v="0"/>
    <n v="1"/>
    <s v="non-LVC"/>
    <s v="Yes"/>
    <n v="29"/>
    <x v="0"/>
    <n v="1"/>
    <n v="2"/>
    <n v="1"/>
    <x v="1"/>
    <s v="n/a"/>
    <x v="0"/>
    <n v="0"/>
  </r>
  <r>
    <x v="92"/>
    <s v="父中納言忠宗卿に後れ給ひて (chichi Chūnagon Tadamune kyō ni okure tamai te)"/>
    <s v="having lost his father, Chunagon Tadamune,"/>
    <s v="後れ給ひて"/>
    <s v="indicative"/>
    <s v="action"/>
    <s v="verb"/>
    <s v="intransitive"/>
    <s v="active"/>
    <s v="positive"/>
    <n v="1"/>
    <n v="1"/>
    <s v="IO"/>
    <n v="0"/>
    <x v="2"/>
    <n v="3"/>
    <s v="n/a"/>
    <s v="overt"/>
    <n v="0"/>
    <n v="0"/>
    <s v="n/a"/>
    <x v="1"/>
    <n v="0"/>
    <x v="1"/>
    <x v="2"/>
    <x v="3"/>
    <n v="0"/>
    <x v="1"/>
    <x v="4"/>
    <s v="te_medial"/>
    <s v="ss"/>
    <x v="0"/>
    <x v="0"/>
    <x v="0"/>
    <m/>
    <x v="0"/>
    <n v="1"/>
    <s v="non-LVC"/>
    <s v="Yes"/>
    <n v="29"/>
    <x v="3"/>
    <n v="1"/>
    <n v="3"/>
    <n v="0"/>
    <x v="1"/>
    <s v="n/a"/>
    <x v="1"/>
    <n v="0"/>
  </r>
  <r>
    <x v="93"/>
    <s v="孤子にておはせしを (koji nite ohaseshi o)"/>
    <s v="and being left an orphan,"/>
    <s v="おはせし"/>
    <s v="indicative"/>
    <s v="action"/>
    <s v="existential verb"/>
    <s v="intransitive"/>
    <s v="active"/>
    <s v="positive"/>
    <n v="1"/>
    <n v="0"/>
    <s v="n/a"/>
    <n v="0"/>
    <x v="2"/>
    <n v="3"/>
    <s v="n/a"/>
    <s v="n/a"/>
    <n v="0"/>
    <n v="0"/>
    <s v="REL"/>
    <x v="3"/>
    <n v="0"/>
    <x v="1"/>
    <x v="2"/>
    <x v="3"/>
    <n v="0"/>
    <x v="9"/>
    <x v="2"/>
    <m/>
    <s v="ss"/>
    <x v="1"/>
    <x v="1"/>
    <x v="0"/>
    <m/>
    <x v="0"/>
    <n v="0"/>
    <s v="non-LVC"/>
    <s v="Yes"/>
    <n v="29"/>
    <x v="3"/>
    <n v="1"/>
    <n v="4"/>
    <n v="0"/>
    <x v="2"/>
    <s v="n/a"/>
    <x v="1"/>
    <n v="0"/>
  </r>
  <r>
    <x v="94"/>
    <s v="故中御門藤中納言家成卿未だ播磨守にておはしけるが ko-Nakamikado Fuji Chūnagon Ienari kyō imada Harima no kami nite ohasikeru ga"/>
    <s v=" by Fuji Chūnagon Ienari, then Harima no Kami,"/>
    <s v="おはしける"/>
    <s v="indicative"/>
    <s v="stative"/>
    <s v="copula"/>
    <s v="intransitive"/>
    <s v="active"/>
    <s v="positive"/>
    <n v="1"/>
    <n v="1"/>
    <s v="SUB"/>
    <n v="1"/>
    <x v="0"/>
    <n v="3"/>
    <s v="n/a"/>
    <s v="n/a"/>
    <n v="0"/>
    <n v="0"/>
    <s v="REL"/>
    <x v="3"/>
    <n v="1"/>
    <x v="0"/>
    <x v="2"/>
    <x v="3"/>
    <n v="0"/>
    <x v="9"/>
    <x v="4"/>
    <m/>
    <s v="ds"/>
    <x v="0"/>
    <x v="0"/>
    <x v="0"/>
    <m/>
    <x v="0"/>
    <n v="1"/>
    <s v="non-LVC"/>
    <s v="Yes"/>
    <n v="29"/>
    <x v="0"/>
    <n v="1"/>
    <n v="5"/>
    <n v="0"/>
    <x v="0"/>
    <s v="zero_recoverable"/>
    <x v="0"/>
    <n v="0"/>
  </r>
  <r>
    <x v="95"/>
    <s v="聟に取りて muko ni torite "/>
    <s v="he was taken as son-in-law"/>
    <s v="取りて"/>
    <s v="indicative"/>
    <s v="action"/>
    <s v="verb"/>
    <s v="transitive"/>
    <s v="active"/>
    <s v="positive"/>
    <n v="1"/>
    <n v="1"/>
    <s v="IO"/>
    <n v="0"/>
    <x v="1"/>
    <n v="3"/>
    <s v="zero_recoverable"/>
    <s v="overt"/>
    <n v="0"/>
    <n v="0"/>
    <s v="n/a"/>
    <x v="1"/>
    <n v="0"/>
    <x v="0"/>
    <x v="0"/>
    <x v="0"/>
    <n v="0"/>
    <x v="2"/>
    <x v="4"/>
    <s v="te_medial"/>
    <s v="ss"/>
    <x v="0"/>
    <x v="1"/>
    <x v="0"/>
    <m/>
    <x v="0"/>
    <n v="1"/>
    <s v="non-LVC"/>
    <s v="Yes"/>
    <n v="29"/>
    <x v="3"/>
    <n v="1"/>
    <n v="6"/>
    <n v="0"/>
    <x v="0"/>
    <s v="n/a"/>
    <x v="1"/>
    <n v="0"/>
  </r>
  <r>
    <x v="96"/>
    <s v="華やかにもてなされければ  hanayaka ni motenasarekereba"/>
    <s v="and splendidly welcomed,"/>
    <s v="もてなされければ"/>
    <s v="indicative"/>
    <s v="action"/>
    <s v="verb"/>
    <s v="intransitive"/>
    <s v="passive"/>
    <s v="positive"/>
    <n v="1"/>
    <n v="0"/>
    <s v="n/a"/>
    <n v="0"/>
    <x v="1"/>
    <n v="3"/>
    <s v="n/a"/>
    <s v="zero_recoverable"/>
    <n v="0"/>
    <n v="0"/>
    <s v="n/a"/>
    <x v="3"/>
    <n v="0"/>
    <x v="0"/>
    <x v="0"/>
    <x v="0"/>
    <n v="0"/>
    <x v="3"/>
    <x v="2"/>
    <m/>
    <s v="ss"/>
    <x v="1"/>
    <x v="1"/>
    <x v="0"/>
    <s v="verbal sequence"/>
    <x v="0"/>
    <n v="0"/>
    <s v="non-LVC"/>
    <s v="Yes"/>
    <n v="29"/>
    <x v="6"/>
    <n v="1"/>
    <n v="7"/>
    <n v="0"/>
    <x v="2"/>
    <s v="overt"/>
    <x v="1"/>
    <n v="0"/>
  </r>
  <r>
    <x v="97"/>
    <s v="これも五節には播磨の米は木賊か椋の葉か人の綺羅を磨くはとぞ (kore mo gosechi ni wa Harima no kome wa tokusa ka mukuno ha ka hito no kira o migaku wa to zo)"/>
    <s v="at that Go-sechie with the refrain ‘The rice of Harima...’"/>
    <s v="磨く"/>
    <s v="indicative"/>
    <s v="action"/>
    <s v="verb"/>
    <s v="transitive"/>
    <s v="active"/>
    <s v="positive"/>
    <n v="1"/>
    <n v="2"/>
    <s v="S+O"/>
    <n v="1"/>
    <x v="0"/>
    <n v="3"/>
    <s v="overt"/>
    <s v="n/a"/>
    <n v="0"/>
    <n v="0"/>
    <s v="REL"/>
    <x v="6"/>
    <n v="0"/>
    <x v="0"/>
    <x v="0"/>
    <x v="2"/>
    <n v="0"/>
    <x v="2"/>
    <x v="4"/>
    <m/>
    <s v="ds"/>
    <x v="1"/>
    <x v="1"/>
    <x v="0"/>
    <m/>
    <x v="0"/>
    <n v="2"/>
    <s v="non-LVC"/>
    <s v="Yes"/>
    <n v="29"/>
    <x v="4"/>
    <n v="1"/>
    <n v="8"/>
    <n v="0"/>
    <x v="0"/>
    <s v="n/a"/>
    <x v="0"/>
    <n v="0"/>
  </r>
  <r>
    <x v="98"/>
    <s v="囃されける hayasarekeru"/>
    <s v=" they also japed at him"/>
    <s v="囃されける"/>
    <s v="indicative"/>
    <s v="action"/>
    <s v="verb"/>
    <s v="intransitive"/>
    <s v="passive"/>
    <s v="positive"/>
    <n v="1"/>
    <n v="0"/>
    <s v="n/a"/>
    <n v="1"/>
    <x v="1"/>
    <n v="3"/>
    <s v="n/a"/>
    <s v="n/a"/>
    <n v="0"/>
    <n v="0"/>
    <s v="kakari-musubi"/>
    <x v="2"/>
    <n v="0"/>
    <x v="0"/>
    <x v="0"/>
    <x v="0"/>
    <n v="0"/>
    <x v="4"/>
    <x v="7"/>
    <m/>
    <s v="ds"/>
    <x v="1"/>
    <x v="1"/>
    <x v="1"/>
    <m/>
    <x v="0"/>
    <n v="0"/>
    <s v="non-LVC"/>
    <s v="Yes"/>
    <n v="29"/>
    <x v="4"/>
    <n v="1"/>
    <n v="1"/>
    <n v="0"/>
    <x v="5"/>
    <s v="n/a"/>
    <x v="1"/>
    <n v="0"/>
  </r>
  <r>
    <x v="99"/>
    <s v="上古にはかやうにありしかども (jōko ni wa kayō ni arishikadomo )"/>
    <s v="Long ago such things had happened, "/>
    <s v="ありし / 出で来ず"/>
    <s v="indicative"/>
    <s v="action"/>
    <s v="existential verb"/>
    <s v="intransitive"/>
    <s v="active"/>
    <s v="positive"/>
    <n v="1"/>
    <n v="0"/>
    <s v="n/a"/>
    <n v="2"/>
    <x v="5"/>
    <n v="0"/>
    <s v="n/a"/>
    <s v="n/a"/>
    <n v="0"/>
    <n v="0"/>
    <s v="n/a"/>
    <x v="3"/>
    <n v="0"/>
    <x v="0"/>
    <x v="0"/>
    <x v="0"/>
    <n v="0"/>
    <x v="9"/>
    <x v="3"/>
    <m/>
    <s v="ds"/>
    <x v="1"/>
    <x v="2"/>
    <x v="0"/>
    <m/>
    <x v="0"/>
    <n v="0"/>
    <s v="non-LVC"/>
    <s v="Yes"/>
    <n v="30"/>
    <x v="3"/>
    <n v="1"/>
    <n v="2"/>
    <n v="1"/>
    <x v="2"/>
    <s v="n/a"/>
    <x v="1"/>
    <n v="0"/>
  </r>
  <r>
    <x v="100"/>
    <s v="事出で来ず koto idekozu"/>
    <s v="but nothing had come of them,"/>
    <s v="出で来ず"/>
    <s v="indicative"/>
    <s v="stative"/>
    <s v="idiom"/>
    <s v="intransitive"/>
    <s v="active"/>
    <s v="negative"/>
    <n v="1"/>
    <n v="1"/>
    <s v="SUB"/>
    <n v="0"/>
    <x v="0"/>
    <n v="3"/>
    <s v="n/a"/>
    <s v="n/a"/>
    <n v="0"/>
    <n v="0"/>
    <s v="n/a"/>
    <x v="3"/>
    <n v="0"/>
    <x v="0"/>
    <x v="0"/>
    <x v="0"/>
    <n v="0"/>
    <x v="2"/>
    <x v="4"/>
    <m/>
    <s v="ds"/>
    <x v="2"/>
    <x v="1"/>
    <x v="0"/>
    <m/>
    <x v="0"/>
    <n v="1"/>
    <s v="non-LVC"/>
    <s v="Yes"/>
    <n v="30"/>
    <x v="4"/>
    <n v="1"/>
    <n v="3"/>
    <n v="0"/>
    <x v="3"/>
    <m/>
    <x v="1"/>
    <n v="0"/>
  </r>
  <r>
    <x v="101"/>
    <s v="末代いかがあらんずらん (matsudai ikaga aranzuran obotsukanashi)"/>
    <s v="and people said that what was to be done"/>
    <s v="あらんずらん"/>
    <s v="epistemic"/>
    <s v="stative"/>
    <s v="idiom"/>
    <m/>
    <m/>
    <m/>
    <m/>
    <m/>
    <m/>
    <m/>
    <x v="3"/>
    <m/>
    <s v="n/a"/>
    <s v="n/a"/>
    <m/>
    <m/>
    <m/>
    <x v="7"/>
    <m/>
    <x v="2"/>
    <x v="0"/>
    <x v="0"/>
    <m/>
    <x v="5"/>
    <x v="4"/>
    <m/>
    <m/>
    <x v="1"/>
    <x v="4"/>
    <x v="3"/>
    <m/>
    <x v="0"/>
    <m/>
    <s v="non-LVC"/>
    <s v="Yes"/>
    <n v="30"/>
    <x v="4"/>
    <n v="1"/>
    <n v="4"/>
    <n v="0"/>
    <x v="5"/>
    <s v="n/a"/>
    <x v="1"/>
    <n v="0"/>
  </r>
  <r>
    <x v="102"/>
    <s v="覚束なし"/>
    <s v="was doubtful"/>
    <s v="覚束なし"/>
    <s v="indicative"/>
    <s v="psych-state"/>
    <s v="adjectival predicate"/>
    <s v="intransitive"/>
    <s v="active"/>
    <s v="negative"/>
    <n v="1"/>
    <n v="0"/>
    <s v="n/a"/>
    <n v="0"/>
    <x v="5"/>
    <n v="0"/>
    <s v="n/a"/>
    <s v="n/a"/>
    <n v="0"/>
    <n v="0"/>
    <s v="n/a"/>
    <x v="2"/>
    <n v="0"/>
    <x v="0"/>
    <x v="0"/>
    <x v="0"/>
    <n v="0"/>
    <x v="2"/>
    <x v="8"/>
    <m/>
    <s v="ds"/>
    <x v="1"/>
    <x v="1"/>
    <x v="1"/>
    <m/>
    <x v="0"/>
    <n v="0"/>
    <s v="non-LVC"/>
    <s v="Yes"/>
    <n v="30"/>
    <x v="4"/>
    <n v="1"/>
    <n v="1"/>
    <n v="0"/>
    <x v="2"/>
    <s v="n/a"/>
    <x v="1"/>
    <n v="0"/>
  </r>
  <r>
    <x v="103"/>
    <s v="案の如く五節果てにしかば (an no gotoku gosechi hate ni shikaba)"/>
    <s v="As he had expected, after the conclusion of the festival,"/>
    <s v="果てにしかば"/>
    <s v="indicative"/>
    <s v="other"/>
    <s v="verb"/>
    <s v="intransitive"/>
    <s v="active"/>
    <s v="positive"/>
    <n v="1"/>
    <n v="1"/>
    <s v="SUB"/>
    <n v="1"/>
    <x v="0"/>
    <n v="3"/>
    <s v="n/a"/>
    <s v="n/a"/>
    <n v="0"/>
    <n v="0"/>
    <s v="n/a"/>
    <x v="3"/>
    <n v="0"/>
    <x v="0"/>
    <x v="0"/>
    <x v="0"/>
    <n v="0"/>
    <x v="0"/>
    <x v="3"/>
    <m/>
    <s v="ds"/>
    <x v="1"/>
    <x v="2"/>
    <x v="0"/>
    <m/>
    <x v="0"/>
    <n v="1"/>
    <s v="non-LVC"/>
    <s v="Yes"/>
    <n v="31"/>
    <x v="3"/>
    <n v="1"/>
    <n v="2"/>
    <n v="1"/>
    <x v="2"/>
    <s v="zero_other"/>
    <x v="1"/>
    <n v="0"/>
  </r>
  <r>
    <x v="104"/>
    <s v="殿上人一同に訴へ申されけるは (tenjōbito ichidō ni uttaemōsarekeru wa)"/>
    <s v="all the courtiers and officials together appealed,"/>
    <s v="訴へ申されける"/>
    <s v="indicative"/>
    <s v="other"/>
    <s v="verb"/>
    <s v="transitive"/>
    <s v="active"/>
    <s v="positive"/>
    <n v="1"/>
    <n v="1"/>
    <s v="SUB"/>
    <n v="1"/>
    <x v="0"/>
    <n v="3"/>
    <s v="zero_other"/>
    <s v="n/a"/>
    <n v="0"/>
    <n v="0"/>
    <s v="SUB"/>
    <x v="3"/>
    <n v="1"/>
    <x v="0"/>
    <x v="2"/>
    <x v="9"/>
    <n v="0"/>
    <x v="2"/>
    <x v="4"/>
    <m/>
    <s v="ds"/>
    <x v="1"/>
    <x v="1"/>
    <x v="0"/>
    <s v="nominalisation"/>
    <x v="0"/>
    <n v="1"/>
    <s v="non-LVC"/>
    <s v="Yes"/>
    <n v="31"/>
    <x v="0"/>
    <n v="1"/>
    <n v="3"/>
    <n v="0"/>
    <x v="0"/>
    <s v="overt"/>
    <x v="0"/>
    <n v="0"/>
  </r>
  <r>
    <x v="105"/>
    <s v="それ雄剣を帯して (sore yūken o tai shitei)"/>
    <s v="that wearing a sword"/>
    <s v="帯して "/>
    <s v="indicative"/>
    <s v="action"/>
    <s v="LVC"/>
    <s v="transitive"/>
    <s v="active"/>
    <s v="positive"/>
    <n v="1"/>
    <n v="1"/>
    <s v="OBJ"/>
    <n v="0"/>
    <x v="1"/>
    <n v="3"/>
    <s v="overt"/>
    <s v="n/a"/>
    <n v="0"/>
    <n v="0"/>
    <s v="n/a"/>
    <x v="1"/>
    <n v="0"/>
    <x v="0"/>
    <x v="0"/>
    <x v="0"/>
    <n v="0"/>
    <x v="2"/>
    <x v="4"/>
    <s v="te_medial"/>
    <s v="ds"/>
    <x v="0"/>
    <x v="1"/>
    <x v="0"/>
    <m/>
    <x v="0"/>
    <n v="1"/>
    <s v="LVC"/>
    <s v="Yes"/>
    <n v="31"/>
    <x v="0"/>
    <n v="1"/>
    <n v="4"/>
    <n v="0"/>
    <x v="0"/>
    <s v="none"/>
    <x v="1"/>
    <n v="0"/>
  </r>
  <r>
    <x v="106"/>
    <s v="公宴に列し  kōen ni res shi"/>
    <s v=" coming to a Court entertainment "/>
    <s v="列し"/>
    <s v="indicative"/>
    <s v="motion"/>
    <s v="LVC"/>
    <s v="intransitive"/>
    <s v="active"/>
    <s v="positive"/>
    <n v="1"/>
    <n v="1"/>
    <s v="IO"/>
    <n v="0"/>
    <x v="1"/>
    <n v="3"/>
    <s v="n/a"/>
    <s v="overt"/>
    <n v="0"/>
    <n v="0"/>
    <s v="n/a"/>
    <x v="1"/>
    <n v="0"/>
    <x v="0"/>
    <x v="0"/>
    <x v="0"/>
    <n v="0"/>
    <x v="2"/>
    <x v="2"/>
    <s v="te_medial"/>
    <s v="ss"/>
    <x v="0"/>
    <x v="1"/>
    <x v="0"/>
    <m/>
    <x v="0"/>
    <n v="1"/>
    <s v="LVC"/>
    <s v="Yes"/>
    <n v="31"/>
    <x v="0"/>
    <n v="1"/>
    <n v="5"/>
    <n v="0"/>
    <x v="1"/>
    <s v="overt"/>
    <x v="1"/>
    <n v="0"/>
  </r>
  <r>
    <x v="107"/>
    <s v="兵仗を賜はりて  hyōjō o tamawari te "/>
    <s v="and bearing arms "/>
    <s v="賜はりて"/>
    <s v="indicative"/>
    <s v="action"/>
    <s v="verb"/>
    <s v="transitive"/>
    <s v="active"/>
    <s v="positive"/>
    <n v="1"/>
    <n v="1"/>
    <s v="OBJ"/>
    <n v="0"/>
    <x v="2"/>
    <n v="3"/>
    <s v="overt"/>
    <s v="n/a"/>
    <n v="0"/>
    <n v="0"/>
    <s v="n/a"/>
    <x v="1"/>
    <n v="0"/>
    <x v="1"/>
    <x v="2"/>
    <x v="5"/>
    <n v="0"/>
    <x v="2"/>
    <x v="2"/>
    <s v="te_medial"/>
    <s v="ss"/>
    <x v="0"/>
    <x v="1"/>
    <x v="0"/>
    <m/>
    <x v="0"/>
    <n v="1"/>
    <s v="non-LVC"/>
    <s v="Yes"/>
    <n v="31"/>
    <x v="3"/>
    <n v="1"/>
    <n v="6"/>
    <n v="0"/>
    <x v="0"/>
    <s v="overt"/>
    <x v="1"/>
    <n v="0"/>
  </r>
  <r>
    <x v="108"/>
    <s v="宮中を出入りするは kyūchū o ideiri suru wa "/>
    <s v="when passing in and out of the Palace"/>
    <s v="出入りする"/>
    <s v="indicative"/>
    <s v="motion"/>
    <s v="verb"/>
    <s v="transitive"/>
    <s v="active"/>
    <s v="positive"/>
    <n v="1"/>
    <n v="1"/>
    <s v="OBJ"/>
    <n v="0"/>
    <x v="1"/>
    <n v="3"/>
    <s v="overt"/>
    <s v="n/a"/>
    <n v="0"/>
    <n v="0"/>
    <s v="SUB"/>
    <x v="3"/>
    <n v="0"/>
    <x v="0"/>
    <x v="0"/>
    <x v="0"/>
    <n v="0"/>
    <x v="2"/>
    <x v="2"/>
    <m/>
    <s v="ss"/>
    <x v="1"/>
    <x v="1"/>
    <x v="0"/>
    <s v="nominalisation"/>
    <x v="0"/>
    <n v="1"/>
    <s v="non-LVC"/>
    <s v="Yes"/>
    <n v="31"/>
    <x v="1"/>
    <n v="1"/>
    <m/>
    <n v="0"/>
    <x v="2"/>
    <s v="overt"/>
    <x v="1"/>
    <n v="0"/>
  </r>
  <r>
    <x v="109"/>
    <s v="皆格式の礼を守る mina kakushiki no rei o mamoru"/>
    <s v=" is according to ancient precedent,"/>
    <s v="守る"/>
    <s v="indicative"/>
    <s v="action"/>
    <s v="verb"/>
    <s v="transitive"/>
    <s v="active"/>
    <s v="positive"/>
    <n v="1"/>
    <n v="2"/>
    <s v="S+O"/>
    <n v="0"/>
    <x v="0"/>
    <n v="3"/>
    <s v="overt"/>
    <s v="n/a"/>
    <n v="0"/>
    <n v="1"/>
    <s v="REL"/>
    <x v="0"/>
    <n v="0"/>
    <x v="0"/>
    <x v="0"/>
    <x v="0"/>
    <n v="0"/>
    <x v="2"/>
    <x v="4"/>
    <m/>
    <s v="ds"/>
    <x v="1"/>
    <x v="1"/>
    <x v="0"/>
    <m/>
    <x v="0"/>
    <n v="2"/>
    <s v="non-LVC"/>
    <s v="Yes"/>
    <n v="31"/>
    <x v="1"/>
    <n v="0"/>
    <m/>
    <n v="0"/>
    <x v="2"/>
    <s v="n/a"/>
    <x v="1"/>
    <n v="0"/>
  </r>
  <r>
    <x v="110"/>
    <s v="綸命由ある  rinmei yoshi aru "/>
    <m/>
    <s v="ある"/>
    <s v="indicative"/>
    <s v="stative"/>
    <s v="existential verb"/>
    <s v="intransitive"/>
    <s v="active"/>
    <s v="positive"/>
    <n v="1"/>
    <n v="1"/>
    <s v="SUB"/>
    <n v="0"/>
    <x v="0"/>
    <n v="3"/>
    <s v="n/a"/>
    <s v="n/a"/>
    <n v="0"/>
    <n v="1"/>
    <s v="REL"/>
    <x v="0"/>
    <n v="0"/>
    <x v="0"/>
    <x v="0"/>
    <x v="0"/>
    <n v="0"/>
    <x v="2"/>
    <x v="1"/>
    <m/>
    <s v="ds"/>
    <x v="4"/>
    <x v="1"/>
    <x v="0"/>
    <m/>
    <x v="0"/>
    <n v="1"/>
    <s v="non-LVC"/>
    <s v="Yes"/>
    <n v="31"/>
    <x v="4"/>
    <n v="0"/>
    <n v="7"/>
    <n v="0"/>
    <x v="6"/>
    <s v="n/a"/>
    <x v="1"/>
    <n v="0"/>
  </r>
  <r>
    <x v="111"/>
    <s v="先規なり senki nari"/>
    <m/>
    <s v="なり"/>
    <s v="indicative"/>
    <s v="stative"/>
    <s v="copula"/>
    <s v="intransitive"/>
    <s v="active"/>
    <s v="positive"/>
    <n v="1"/>
    <n v="0"/>
    <s v="n/a"/>
    <n v="0"/>
    <x v="6"/>
    <n v="0"/>
    <s v="n/a"/>
    <s v="n/a"/>
    <n v="0"/>
    <n v="0"/>
    <s v="n/a"/>
    <x v="8"/>
    <n v="0"/>
    <x v="0"/>
    <x v="0"/>
    <x v="0"/>
    <n v="0"/>
    <x v="2"/>
    <x v="1"/>
    <m/>
    <s v="n/a"/>
    <x v="1"/>
    <x v="1"/>
    <x v="1"/>
    <m/>
    <x v="0"/>
    <n v="0"/>
    <s v="non-LVC"/>
    <s v="Yes"/>
    <n v="31"/>
    <x v="4"/>
    <n v="1"/>
    <n v="8"/>
    <n v="0"/>
    <x v="2"/>
    <s v="overt"/>
    <x v="1"/>
    <n v="0"/>
  </r>
  <r>
    <x v="112"/>
    <s v="然るを忠盛朝臣或いは相伝の郎従と号して (shikaru o Tadamori ason arui wa sōden no rōjū to gō shite)"/>
    <s v="but Ason Tadamori, calling a certain common soldier his hereditary retainer,"/>
    <s v="号して"/>
    <s v="indicative"/>
    <s v="action"/>
    <s v="verb"/>
    <s v="transitive"/>
    <s v="active"/>
    <s v="positive"/>
    <n v="1"/>
    <n v="2"/>
    <s v="S+O"/>
    <n v="1"/>
    <x v="0"/>
    <n v="3"/>
    <s v="overt"/>
    <s v="n/a"/>
    <n v="0"/>
    <n v="0"/>
    <s v="n/a"/>
    <x v="1"/>
    <n v="0"/>
    <x v="0"/>
    <x v="0"/>
    <x v="0"/>
    <n v="0"/>
    <x v="9"/>
    <x v="9"/>
    <s v="te_medial"/>
    <s v="ds"/>
    <x v="0"/>
    <x v="2"/>
    <x v="0"/>
    <m/>
    <x v="0"/>
    <n v="2"/>
    <s v="non-LVC"/>
    <s v="Yes"/>
    <n v="31"/>
    <x v="5"/>
    <n v="1"/>
    <n v="9"/>
    <n v="1"/>
    <x v="1"/>
    <s v="overt"/>
    <x v="0"/>
    <n v="0"/>
  </r>
  <r>
    <x v="113"/>
    <s v="布衣の兵を殿上の小庭に召し置き (hoi no hyō o tenjō no koniwa ni meshioki)"/>
    <s v=" and placing him in the small courtyard of the Palace,"/>
    <s v="召し置き"/>
    <s v="indicative"/>
    <s v="action"/>
    <s v="verb"/>
    <s v="transitive"/>
    <s v="active"/>
    <s v="positive"/>
    <n v="1"/>
    <n v="2"/>
    <s v="O+IO"/>
    <n v="0"/>
    <x v="2"/>
    <n v="3"/>
    <s v="overt"/>
    <s v="overt"/>
    <n v="0"/>
    <n v="0"/>
    <s v="n/a"/>
    <x v="5"/>
    <n v="0"/>
    <x v="1"/>
    <x v="2"/>
    <x v="3"/>
    <n v="0"/>
    <x v="2"/>
    <x v="2"/>
    <m/>
    <s v="ss"/>
    <x v="0"/>
    <x v="1"/>
    <x v="0"/>
    <m/>
    <x v="0"/>
    <n v="2"/>
    <s v="non-LVC"/>
    <s v="Yes"/>
    <n v="31"/>
    <x v="0"/>
    <n v="1"/>
    <n v="10"/>
    <n v="0"/>
    <x v="2"/>
    <s v="overt"/>
    <x v="1"/>
    <n v="0"/>
  </r>
  <r>
    <x v="114"/>
    <s v="或いは腰の刀を横へ差いて (arui wa koshi no katana o yokoe saite)"/>
    <s v="wearing a sword at his side,"/>
    <s v="差いて"/>
    <s v="indicative"/>
    <s v="other"/>
    <s v="verb"/>
    <s v="transitive"/>
    <s v="active"/>
    <s v="positive"/>
    <n v="1"/>
    <n v="3"/>
    <s v="S+O+IO"/>
    <n v="2"/>
    <x v="0"/>
    <n v="3"/>
    <s v="overt"/>
    <s v="overt"/>
    <n v="0"/>
    <n v="0"/>
    <s v="n/a"/>
    <x v="1"/>
    <n v="0"/>
    <x v="0"/>
    <x v="0"/>
    <x v="0"/>
    <n v="0"/>
    <x v="2"/>
    <x v="6"/>
    <s v="te_medial"/>
    <s v="ss"/>
    <x v="0"/>
    <x v="1"/>
    <x v="0"/>
    <m/>
    <x v="0"/>
    <n v="3"/>
    <s v="non-LVC"/>
    <s v="Yes"/>
    <n v="31"/>
    <x v="1"/>
    <n v="1"/>
    <m/>
    <n v="0"/>
    <x v="0"/>
    <s v="none"/>
    <x v="0"/>
    <n v="0"/>
  </r>
  <r>
    <x v="115"/>
    <s v="節会の座に列なる setsue no za ni tsuranaru"/>
    <s v="and coming to the festival seat "/>
    <s v="列なる"/>
    <s v="indicative"/>
    <s v="other"/>
    <s v="verb"/>
    <s v="intransitive"/>
    <s v="active"/>
    <s v="positive"/>
    <n v="1"/>
    <n v="1"/>
    <s v="IO"/>
    <n v="0"/>
    <x v="1"/>
    <n v="3"/>
    <s v="n/a"/>
    <s v="overt"/>
    <n v="0"/>
    <n v="1"/>
    <s v="REL"/>
    <x v="0"/>
    <n v="0"/>
    <x v="0"/>
    <x v="0"/>
    <x v="0"/>
    <n v="0"/>
    <x v="2"/>
    <x v="2"/>
    <m/>
    <s v="ss"/>
    <x v="4"/>
    <x v="1"/>
    <x v="0"/>
    <m/>
    <x v="0"/>
    <n v="1"/>
    <s v="non-LVC"/>
    <s v="Yes"/>
    <n v="31"/>
    <x v="1"/>
    <n v="0"/>
    <m/>
    <n v="0"/>
    <x v="4"/>
    <s v="n/a"/>
    <x v="1"/>
    <n v="0"/>
  </r>
  <r>
    <x v="116"/>
    <s v="[両条稀代]未だ聞かざる (ryōjō kidai imada kikazaru)"/>
    <s v="both acts are unheard-of,"/>
    <s v="聞かざる"/>
    <s v="indicative"/>
    <s v="action"/>
    <s v="verb"/>
    <s v="transitive"/>
    <s v="active"/>
    <s v="negative"/>
    <n v="1"/>
    <n v="0"/>
    <s v="n/a"/>
    <n v="1"/>
    <x v="4"/>
    <n v="3"/>
    <s v="n/a"/>
    <s v="n/a"/>
    <n v="1"/>
    <n v="0"/>
    <s v="REL"/>
    <x v="0"/>
    <n v="0"/>
    <x v="0"/>
    <x v="0"/>
    <x v="0"/>
    <n v="0"/>
    <x v="2"/>
    <x v="1"/>
    <m/>
    <s v="n/a"/>
    <x v="1"/>
    <x v="1"/>
    <x v="0"/>
    <m/>
    <x v="0"/>
    <n v="0"/>
    <s v="non-LVC"/>
    <s v="Yes"/>
    <n v="31"/>
    <x v="2"/>
    <n v="0"/>
    <n v="11"/>
    <n v="0"/>
    <x v="2"/>
    <s v="n/a"/>
    <x v="1"/>
    <n v="0"/>
  </r>
  <r>
    <x v="117"/>
    <s v="狼藉なり rōzaku nari"/>
    <s v="disorderliness"/>
    <s v="狼藉なり"/>
    <s v="indicative"/>
    <s v="stative"/>
    <s v="copula"/>
    <s v="intransitive"/>
    <s v="active"/>
    <s v="positive"/>
    <n v="1"/>
    <n v="1"/>
    <s v="SUB"/>
    <n v="0"/>
    <x v="0"/>
    <n v="3"/>
    <s v="n/a"/>
    <s v="n/a"/>
    <n v="0"/>
    <n v="0"/>
    <s v="n/a"/>
    <x v="2"/>
    <n v="0"/>
    <x v="0"/>
    <x v="0"/>
    <x v="0"/>
    <n v="0"/>
    <x v="2"/>
    <x v="1"/>
    <m/>
    <s v="ds"/>
    <x v="1"/>
    <x v="1"/>
    <x v="0"/>
    <m/>
    <x v="0"/>
    <n v="1"/>
    <s v="non-LVC"/>
    <s v="Yes"/>
    <n v="31"/>
    <x v="4"/>
    <n v="1"/>
    <n v="1"/>
    <n v="0"/>
    <x v="2"/>
    <s v="n/a"/>
    <x v="1"/>
    <n v="0"/>
  </r>
  <r>
    <x v="118"/>
    <s v="事既に重畳せり (koto sudeni chōjō seri)"/>
    <s v="indeed, one crime piled on another,"/>
    <s v="重畳せり"/>
    <s v="indicative"/>
    <s v="other"/>
    <s v="LVC"/>
    <s v="intransitive"/>
    <s v="active"/>
    <s v="positive"/>
    <n v="1"/>
    <n v="1"/>
    <s v="SUB"/>
    <n v="1"/>
    <x v="0"/>
    <n v="3"/>
    <s v="n/a"/>
    <s v="n/a"/>
    <n v="0"/>
    <n v="0"/>
    <s v="n/a"/>
    <x v="5"/>
    <n v="0"/>
    <x v="0"/>
    <x v="0"/>
    <x v="0"/>
    <n v="0"/>
    <x v="2"/>
    <x v="3"/>
    <m/>
    <s v="ds"/>
    <x v="0"/>
    <x v="1"/>
    <x v="2"/>
    <m/>
    <x v="0"/>
    <n v="1"/>
    <s v="LVC"/>
    <s v="Yes"/>
    <n v="32"/>
    <x v="4"/>
    <n v="1"/>
    <n v="2"/>
    <n v="1"/>
    <x v="2"/>
    <s v="overt"/>
    <x v="1"/>
    <n v="0"/>
  </r>
  <r>
    <x v="119"/>
    <s v="罪科尤も遁れ難し (tsumitoga mottomo nogaregatashi)"/>
    <s v="a charge he would find difficult to escape."/>
    <s v="遁れ難し"/>
    <s v="dynamic"/>
    <s v="stative"/>
    <s v="verb"/>
    <s v="transitive"/>
    <s v="active"/>
    <s v="positive"/>
    <n v="1"/>
    <n v="1"/>
    <s v="SUB"/>
    <n v="0"/>
    <x v="0"/>
    <n v="3"/>
    <s v="overt"/>
    <s v="n/a"/>
    <n v="0"/>
    <n v="0"/>
    <s v="n/a"/>
    <x v="2"/>
    <n v="0"/>
    <x v="0"/>
    <x v="0"/>
    <x v="0"/>
    <n v="0"/>
    <x v="2"/>
    <x v="6"/>
    <m/>
    <s v="ss"/>
    <x v="1"/>
    <x v="1"/>
    <x v="0"/>
    <m/>
    <x v="0"/>
    <n v="1"/>
    <s v="non-LVC"/>
    <s v="Yes"/>
    <n v="32"/>
    <x v="0"/>
    <n v="1"/>
    <n v="1"/>
    <n v="0"/>
    <x v="4"/>
    <s v="overt"/>
    <x v="0"/>
    <n v="0"/>
  </r>
  <r>
    <x v="120"/>
    <s v="早く殿上の御札を削りて (hayaku tenjō no mifuda o kezurite)"/>
    <s v="they petitioned that his name be erased from the list of Courtiers"/>
    <s v="削りて "/>
    <s v="indicative"/>
    <s v="action"/>
    <s v="verb"/>
    <s v="transitive"/>
    <s v="active"/>
    <s v="positive"/>
    <n v="1"/>
    <n v="1"/>
    <s v="OBJ"/>
    <n v="0"/>
    <x v="4"/>
    <n v="3"/>
    <s v="overt"/>
    <s v="n/a"/>
    <n v="0"/>
    <n v="0"/>
    <s v="n/a"/>
    <x v="1"/>
    <n v="0"/>
    <x v="0"/>
    <x v="0"/>
    <x v="0"/>
    <n v="0"/>
    <x v="2"/>
    <x v="3"/>
    <s v="te_medial"/>
    <s v="ds"/>
    <x v="0"/>
    <x v="1"/>
    <x v="0"/>
    <m/>
    <x v="0"/>
    <n v="1"/>
    <s v="non-LVC"/>
    <s v="Yes"/>
    <n v="33"/>
    <x v="4"/>
    <n v="1"/>
    <m/>
    <n v="0"/>
    <x v="0"/>
    <s v="n/a"/>
    <x v="1"/>
    <n v="0"/>
  </r>
  <r>
    <x v="121"/>
    <s v="欠官停任せらるべき (kekkan teinin seraru beki yoshi)"/>
    <s v=" and he be deprived of rank and office,"/>
    <s v="停任せらるべき"/>
    <s v="deontic"/>
    <s v="action"/>
    <s v="LVC"/>
    <s v="intransitive"/>
    <s v="passive"/>
    <s v="positive"/>
    <n v="1"/>
    <n v="0"/>
    <s v="n/a"/>
    <n v="0"/>
    <x v="1"/>
    <n v="3"/>
    <s v="n/a"/>
    <s v="n/a"/>
    <n v="0"/>
    <n v="1"/>
    <s v="REL"/>
    <x v="0"/>
    <n v="0"/>
    <x v="0"/>
    <x v="0"/>
    <x v="0"/>
    <n v="0"/>
    <x v="2"/>
    <x v="2"/>
    <m/>
    <s v="ss"/>
    <x v="1"/>
    <x v="1"/>
    <x v="1"/>
    <m/>
    <x v="0"/>
    <n v="0"/>
    <s v="LVC"/>
    <s v="Yes"/>
    <n v="33"/>
    <x v="4"/>
    <n v="0"/>
    <n v="2"/>
    <n v="0"/>
    <x v="2"/>
    <s v="overt"/>
    <x v="1"/>
    <n v="0"/>
  </r>
  <r>
    <x v="122"/>
    <s v="由諸卿一同に訴へ申されければ (yoshi shokyō ichidō ni uttaemōsarekereba)"/>
    <s v="and all the Court Nobles together petitioned,"/>
    <s v="訴へ申されければ"/>
    <s v="indicative"/>
    <s v="action"/>
    <s v="verb"/>
    <s v="transitive"/>
    <s v="active"/>
    <s v="positive"/>
    <n v="1"/>
    <n v="2"/>
    <s v="S+O"/>
    <n v="1"/>
    <x v="0"/>
    <n v="3"/>
    <s v="overt"/>
    <s v="n/a"/>
    <n v="0"/>
    <n v="0"/>
    <s v="n/a"/>
    <x v="3"/>
    <n v="1"/>
    <x v="0"/>
    <x v="2"/>
    <x v="8"/>
    <n v="0"/>
    <x v="0"/>
    <x v="1"/>
    <m/>
    <s v="ds"/>
    <x v="1"/>
    <x v="1"/>
    <x v="0"/>
    <m/>
    <x v="0"/>
    <n v="2"/>
    <s v="non-LVC"/>
    <s v="Yes"/>
    <n v="33"/>
    <x v="0"/>
    <n v="1"/>
    <n v="3"/>
    <n v="0"/>
    <x v="2"/>
    <s v="n/a"/>
    <x v="1"/>
    <n v="0"/>
  </r>
  <r>
    <x v="123"/>
    <s v="上皇大きに驚かせ給ひて (Jōkō ōki ni odorokase tamai te)"/>
    <s v="His Majesty the Mikado, greatly surprised,"/>
    <s v="驚かせ給ひて"/>
    <s v="indicative"/>
    <s v="action"/>
    <s v="verb"/>
    <s v="intransitive"/>
    <s v="active"/>
    <s v="positive"/>
    <n v="1"/>
    <n v="1"/>
    <s v="SUB"/>
    <n v="0"/>
    <x v="0"/>
    <n v="3"/>
    <s v="n/a"/>
    <s v="n/a"/>
    <n v="0"/>
    <n v="0"/>
    <s v="n/a"/>
    <x v="1"/>
    <n v="1"/>
    <x v="0"/>
    <x v="2"/>
    <x v="8"/>
    <n v="0"/>
    <x v="2"/>
    <x v="4"/>
    <s v="te_medial"/>
    <s v="ds"/>
    <x v="0"/>
    <x v="1"/>
    <x v="0"/>
    <m/>
    <x v="0"/>
    <n v="1"/>
    <s v="non-LVC"/>
    <s v="Yes"/>
    <n v="33"/>
    <x v="0"/>
    <n v="1"/>
    <n v="4"/>
    <n v="0"/>
    <x v="1"/>
    <s v="overt"/>
    <x v="0"/>
    <n v="0"/>
  </r>
  <r>
    <x v="124"/>
    <s v="忠盛を召して (Tadamori o meshite)"/>
    <s v="ordered Tadamori into his Presence,"/>
    <s v="召して"/>
    <s v="indicative"/>
    <s v="action"/>
    <s v="verb"/>
    <s v="intransitive"/>
    <s v="active"/>
    <s v="positive"/>
    <n v="1"/>
    <n v="1"/>
    <s v="OBJ"/>
    <n v="0"/>
    <x v="2"/>
    <n v="3"/>
    <s v="overt"/>
    <s v="n/a"/>
    <n v="0"/>
    <n v="0"/>
    <s v="n/a"/>
    <x v="1"/>
    <n v="0"/>
    <x v="1"/>
    <x v="2"/>
    <x v="3"/>
    <n v="0"/>
    <x v="2"/>
    <x v="2"/>
    <s v="te_medial"/>
    <s v="ss"/>
    <x v="1"/>
    <x v="1"/>
    <x v="0"/>
    <m/>
    <x v="0"/>
    <n v="1"/>
    <s v="non-LVC"/>
    <s v="Yes"/>
    <n v="33"/>
    <x v="2"/>
    <n v="1"/>
    <n v="5"/>
    <n v="0"/>
    <x v="2"/>
    <s v="n/a"/>
    <x v="1"/>
    <n v="0"/>
  </r>
  <r>
    <x v="125"/>
    <s v="御尋ねあり o-tazune ari"/>
    <s v=" to make examination into the affair"/>
    <s v="御尋ねあり"/>
    <s v="indicative"/>
    <s v="action"/>
    <s v="verb"/>
    <s v="intransitive"/>
    <s v="active"/>
    <s v="positive"/>
    <n v="1"/>
    <n v="1"/>
    <s v="SUB"/>
    <n v="0"/>
    <x v="0"/>
    <n v="3"/>
    <s v="n/a"/>
    <s v="n/a"/>
    <n v="0"/>
    <n v="0"/>
    <s v="n/a"/>
    <x v="2"/>
    <n v="1"/>
    <x v="0"/>
    <x v="2"/>
    <x v="10"/>
    <n v="1"/>
    <x v="2"/>
    <x v="2"/>
    <m/>
    <s v="ds"/>
    <x v="1"/>
    <x v="1"/>
    <x v="0"/>
    <m/>
    <x v="0"/>
    <n v="1"/>
    <s v="non-LVC"/>
    <s v="Yes"/>
    <n v="33"/>
    <x v="4"/>
    <n v="1"/>
    <n v="1"/>
    <n v="0"/>
    <x v="1"/>
    <s v="zero_other"/>
    <x v="0"/>
    <n v="0"/>
  </r>
  <r>
    <x v="126"/>
    <s v="陳じ申されけるは (chinji mōsarekeru wa)"/>
    <s v="in his reply he stated that,"/>
    <s v="申されける"/>
    <s v="indicative"/>
    <s v="action"/>
    <s v="verb"/>
    <s v="transitive"/>
    <s v="active"/>
    <s v="positive"/>
    <n v="1"/>
    <n v="0"/>
    <s v="n/a"/>
    <n v="0"/>
    <x v="2"/>
    <n v="3"/>
    <s v="zero_other"/>
    <s v="n/a"/>
    <n v="0"/>
    <n v="0"/>
    <s v="SUB"/>
    <x v="3"/>
    <n v="0"/>
    <x v="1"/>
    <x v="2"/>
    <x v="9"/>
    <n v="0"/>
    <x v="2"/>
    <x v="3"/>
    <m/>
    <s v="ds"/>
    <x v="0"/>
    <x v="1"/>
    <x v="1"/>
    <s v="nominalisation"/>
    <x v="0"/>
    <n v="0"/>
    <s v="non-LVC"/>
    <s v="Yes"/>
    <n v="34"/>
    <x v="4"/>
    <n v="1"/>
    <n v="2"/>
    <n v="1"/>
    <x v="1"/>
    <s v="overt"/>
    <x v="1"/>
    <n v="0"/>
  </r>
  <r>
    <x v="127"/>
    <s v="まづ郎従小庭に伺候の由全く覚悟仕らず (mazu rōjū koniwa ni shikō no yoshi mattaku kakugo tsukamatsurazu)"/>
    <s v="as to the presence of his retainer in the Palace, he certainly knew nothing about it,"/>
    <s v="覚悟仕らず"/>
    <s v="indicative"/>
    <s v="action"/>
    <s v="LVC"/>
    <s v="transitive"/>
    <s v="active"/>
    <s v="negative"/>
    <n v="1"/>
    <n v="1"/>
    <s v="OBJ"/>
    <n v="2"/>
    <x v="2"/>
    <n v="3"/>
    <s v="overt"/>
    <s v="n/a"/>
    <n v="0"/>
    <n v="0"/>
    <s v="n/a"/>
    <x v="3"/>
    <n v="0"/>
    <x v="1"/>
    <x v="2"/>
    <x v="5"/>
    <n v="0"/>
    <x v="2"/>
    <x v="4"/>
    <m/>
    <s v="ss"/>
    <x v="1"/>
    <x v="1"/>
    <x v="0"/>
    <m/>
    <x v="0"/>
    <n v="1"/>
    <s v="LVC"/>
    <s v="Yes"/>
    <n v="34"/>
    <x v="1"/>
    <n v="1"/>
    <m/>
    <n v="1"/>
    <x v="2"/>
    <s v="zero_other"/>
    <x v="1"/>
    <n v="1"/>
  </r>
  <r>
    <x v="128"/>
    <s v="但し近日人々相巧まるる (tadashi kinjitsu hitobito ai-takuramaruru)"/>
    <s v=" [...]  the designs that people were plotting,"/>
    <s v="巧まるる"/>
    <s v="indicative"/>
    <s v="action"/>
    <s v="verb"/>
    <s v="transitive"/>
    <s v="active"/>
    <s v="positive"/>
    <n v="1"/>
    <n v="1"/>
    <s v="SUB"/>
    <n v="1"/>
    <x v="0"/>
    <n v="3"/>
    <s v="zero_other"/>
    <s v="n/a"/>
    <n v="0"/>
    <n v="0"/>
    <s v="REL"/>
    <x v="0"/>
    <n v="1"/>
    <x v="0"/>
    <x v="2"/>
    <x v="2"/>
    <n v="0"/>
    <x v="2"/>
    <x v="4"/>
    <m/>
    <s v="ds"/>
    <x v="1"/>
    <x v="1"/>
    <x v="0"/>
    <m/>
    <x v="0"/>
    <n v="1"/>
    <s v="non-LVC"/>
    <s v="Yes"/>
    <n v="34"/>
    <x v="3"/>
    <n v="0"/>
    <n v="3"/>
    <n v="0"/>
    <x v="2"/>
    <s v="n/a"/>
    <x v="1"/>
    <n v="0"/>
  </r>
  <r>
    <x v="129"/>
    <s v="旨子細あるかの間 mune shisai aru ka no aida "/>
    <s v="[…] had lately heard of"/>
    <s v="ある"/>
    <s v="indicative"/>
    <s v="stative"/>
    <s v="existential verb"/>
    <s v="intransitive"/>
    <s v="active"/>
    <s v="positive"/>
    <n v="1"/>
    <n v="1"/>
    <s v="SUB"/>
    <n v="1"/>
    <x v="0"/>
    <n v="3"/>
    <s v="n/a"/>
    <s v="n/a"/>
    <n v="0"/>
    <n v="0"/>
    <s v="n/a"/>
    <x v="3"/>
    <n v="0"/>
    <x v="0"/>
    <x v="0"/>
    <x v="0"/>
    <n v="0"/>
    <x v="0"/>
    <x v="1"/>
    <m/>
    <s v="ds"/>
    <x v="0"/>
    <x v="1"/>
    <x v="0"/>
    <m/>
    <x v="0"/>
    <n v="1"/>
    <s v="non-LVC"/>
    <s v="Yes"/>
    <n v="34"/>
    <x v="3"/>
    <n v="1"/>
    <n v="4"/>
    <n v="0"/>
    <x v="2"/>
    <s v="overt"/>
    <x v="1"/>
    <n v="0"/>
  </r>
  <r>
    <x v="130"/>
    <s v="年来の家人事を伝へ聞くかによつて (nenrai no kenin goto o tsutae kiku ka ni yotte)"/>
    <s v=" if his retainers"/>
    <s v="伝へ聞く"/>
    <s v="indicative"/>
    <s v="perception"/>
    <s v="compound verb"/>
    <s v="transitive"/>
    <s v="active"/>
    <s v="positive"/>
    <n v="1"/>
    <n v="2"/>
    <s v="S+O"/>
    <n v="1"/>
    <x v="0"/>
    <n v="3"/>
    <s v="overt"/>
    <s v="n/a"/>
    <n v="0"/>
    <n v="0"/>
    <s v="n/a"/>
    <x v="3"/>
    <n v="0"/>
    <x v="0"/>
    <x v="0"/>
    <x v="0"/>
    <n v="0"/>
    <x v="1"/>
    <x v="4"/>
    <m/>
    <s v="ss"/>
    <x v="0"/>
    <x v="1"/>
    <x v="0"/>
    <m/>
    <x v="0"/>
    <n v="2"/>
    <s v="non-LVC"/>
    <s v="Yes"/>
    <n v="34"/>
    <x v="3"/>
    <n v="1"/>
    <n v="5"/>
    <n v="0"/>
    <x v="0"/>
    <s v="overt"/>
    <x v="0"/>
    <n v="0"/>
  </r>
  <r>
    <x v="131"/>
    <s v="その恥を助けんが為に (sono haji o tasuken ga tame ni)"/>
    <s v="and in order to help him against such dishonour,  intending to prevent dishonour,"/>
    <s v="助けん"/>
    <s v="dynamic"/>
    <s v="other"/>
    <s v="verb"/>
    <s v="transitive"/>
    <s v="active"/>
    <s v="positive"/>
    <n v="1"/>
    <n v="1"/>
    <s v="OBJ"/>
    <n v="0"/>
    <x v="1"/>
    <n v="3"/>
    <s v="overt"/>
    <s v="n/a"/>
    <n v="0"/>
    <n v="0"/>
    <s v="n/a"/>
    <x v="3"/>
    <n v="0"/>
    <x v="0"/>
    <x v="0"/>
    <x v="0"/>
    <n v="0"/>
    <x v="7"/>
    <x v="4"/>
    <m/>
    <s v="ss"/>
    <x v="0"/>
    <x v="1"/>
    <x v="0"/>
    <m/>
    <x v="0"/>
    <n v="1"/>
    <s v="non-LVC"/>
    <s v="Yes"/>
    <n v="34"/>
    <x v="0"/>
    <n v="1"/>
    <n v="6"/>
    <n v="0"/>
    <x v="0"/>
    <s v="zero_recoverable"/>
    <x v="1"/>
    <n v="1"/>
  </r>
  <r>
    <x v="132"/>
    <s v="忠盛には知らせずして Tadamori ni wa shirasazu shite"/>
    <s v=" without informing him,  "/>
    <s v="知らせず"/>
    <s v="indicative"/>
    <s v="other"/>
    <s v="verb"/>
    <s v="ditransitive"/>
    <s v="active"/>
    <s v="negative"/>
    <n v="1"/>
    <n v="2"/>
    <s v="IO"/>
    <n v="1"/>
    <x v="1"/>
    <n v="3"/>
    <s v="zero_recoverable"/>
    <s v="overt"/>
    <n v="0"/>
    <n v="0"/>
    <s v="n/a"/>
    <x v="1"/>
    <n v="0"/>
    <x v="0"/>
    <x v="0"/>
    <x v="0"/>
    <n v="0"/>
    <x v="1"/>
    <x v="4"/>
    <s v="te_medial"/>
    <s v="ss"/>
    <x v="2"/>
    <x v="3"/>
    <x v="0"/>
    <m/>
    <x v="0"/>
    <n v="2"/>
    <s v="non-LVC"/>
    <s v="Yes"/>
    <n v="34"/>
    <x v="4"/>
    <n v="1"/>
    <n v="7"/>
    <n v="0"/>
    <x v="3"/>
    <m/>
    <x v="1"/>
    <n v="0"/>
  </r>
  <r>
    <x v="133"/>
    <s v="密かに参候の条 (hisoka ni sankō no jō)"/>
    <s v="his retainers had come hither secretly"/>
    <s v="N/A (nominal clause)"/>
    <s v="indicative"/>
    <s v="other"/>
    <s v="none"/>
    <m/>
    <m/>
    <m/>
    <m/>
    <m/>
    <m/>
    <m/>
    <x v="3"/>
    <m/>
    <s v="n/a"/>
    <s v="n/a"/>
    <m/>
    <m/>
    <m/>
    <x v="7"/>
    <m/>
    <x v="2"/>
    <x v="0"/>
    <x v="0"/>
    <m/>
    <x v="5"/>
    <x v="2"/>
    <m/>
    <m/>
    <x v="1"/>
    <x v="4"/>
    <x v="3"/>
    <s v="not sure if I should treat this as a nominal or verbal predicate or whether there is predication at all"/>
    <x v="0"/>
    <m/>
    <s v="non-LVC"/>
    <s v="Yes"/>
    <n v="34"/>
    <x v="4"/>
    <n v="1"/>
    <m/>
    <n v="0"/>
    <x v="2"/>
    <s v="n/a"/>
    <x v="1"/>
    <n v="0"/>
  </r>
  <r>
    <x v="134"/>
    <s v="力及ばざる chikara oyobazaru"/>
    <s v="his retainers had come hither secretly"/>
    <s v="及ばざる"/>
    <s v="indicative"/>
    <s v="other"/>
    <s v="verb"/>
    <s v="intransitive"/>
    <s v="active"/>
    <s v="negative"/>
    <n v="1"/>
    <n v="1"/>
    <s v="SUB"/>
    <n v="0"/>
    <x v="0"/>
    <n v="3"/>
    <s v="n/a"/>
    <s v="n/a"/>
    <n v="0"/>
    <n v="1"/>
    <s v="REL"/>
    <x v="0"/>
    <n v="0"/>
    <x v="0"/>
    <x v="0"/>
    <x v="0"/>
    <n v="0"/>
    <x v="2"/>
    <x v="8"/>
    <m/>
    <s v="ds"/>
    <x v="1"/>
    <x v="1"/>
    <x v="0"/>
    <m/>
    <x v="0"/>
    <n v="1"/>
    <s v="non-LVC"/>
    <s v="Yes"/>
    <n v="34"/>
    <x v="4"/>
    <n v="0"/>
    <n v="8"/>
    <n v="0"/>
    <x v="0"/>
    <s v="n/a"/>
    <x v="0"/>
    <n v="0"/>
  </r>
  <r>
    <x v="135"/>
    <s v="次第なり"/>
    <s v="shidai nari"/>
    <s v="なり"/>
    <s v="indicative"/>
    <s v="stative"/>
    <s v="copula"/>
    <s v="intransitive"/>
    <s v="active"/>
    <s v="positive"/>
    <n v="1"/>
    <n v="0"/>
    <s v="n/a"/>
    <n v="0"/>
    <x v="1"/>
    <n v="3"/>
    <s v="n/a"/>
    <s v="n/a"/>
    <n v="0"/>
    <n v="0"/>
    <s v="n/a"/>
    <x v="2"/>
    <n v="0"/>
    <x v="0"/>
    <x v="0"/>
    <x v="0"/>
    <n v="0"/>
    <x v="2"/>
    <x v="1"/>
    <m/>
    <s v="ds"/>
    <x v="1"/>
    <x v="1"/>
    <x v="1"/>
    <m/>
    <x v="0"/>
    <n v="0"/>
    <s v="non-LVC"/>
    <s v="Yes"/>
    <n v="34"/>
    <x v="4"/>
    <n v="1"/>
    <n v="1"/>
    <n v="0"/>
    <x v="2"/>
    <s v="n/a"/>
    <x v="1"/>
    <n v="0"/>
  </r>
  <r>
    <x v="136"/>
    <s v="もしその咎あるべくば (moshi sono toga arubekuba)"/>
    <s v="&quot;if there be any blame, "/>
    <s v="ある"/>
    <s v="indicative"/>
    <s v="stative"/>
    <s v="existential verb"/>
    <s v="intransitive"/>
    <s v="active"/>
    <s v="positive"/>
    <n v="1"/>
    <n v="1"/>
    <s v="SUB"/>
    <n v="0"/>
    <x v="0"/>
    <n v="3"/>
    <s v="n/a"/>
    <s v="n/a"/>
    <n v="0"/>
    <n v="0"/>
    <s v="n/a"/>
    <x v="3"/>
    <n v="0"/>
    <x v="0"/>
    <x v="0"/>
    <x v="0"/>
    <n v="0"/>
    <x v="10"/>
    <x v="3"/>
    <m/>
    <s v="ds"/>
    <x v="1"/>
    <x v="2"/>
    <x v="0"/>
    <m/>
    <x v="0"/>
    <n v="1"/>
    <s v="non-LVC"/>
    <s v="Yes"/>
    <n v="35"/>
    <x v="2"/>
    <n v="1"/>
    <n v="2"/>
    <n v="1"/>
    <x v="1"/>
    <s v="overt"/>
    <x v="0"/>
    <n v="0"/>
  </r>
  <r>
    <x v="137"/>
    <s v="かの身を召し進ずべきか  ka no mi o meshi shinzu beki ka"/>
    <s v="do I not yield my body herewith?&quot;"/>
    <s v="召し進ずべき"/>
    <s v="deontic"/>
    <s v="action"/>
    <s v="LVC"/>
    <m/>
    <s v="active"/>
    <s v="positive"/>
    <n v="1"/>
    <n v="1"/>
    <s v="OBJ"/>
    <n v="0"/>
    <x v="2"/>
    <n v="1"/>
    <s v="overt"/>
    <s v="n/a"/>
    <n v="0"/>
    <n v="0"/>
    <s v="n/a"/>
    <x v="2"/>
    <n v="0"/>
    <x v="1"/>
    <x v="2"/>
    <x v="3"/>
    <n v="0"/>
    <x v="2"/>
    <x v="4"/>
    <m/>
    <s v="ds"/>
    <x v="0"/>
    <x v="1"/>
    <x v="0"/>
    <m/>
    <x v="0"/>
    <n v="1"/>
    <s v="LVC"/>
    <s v="Yes"/>
    <n v="35"/>
    <x v="2"/>
    <n v="1"/>
    <n v="1"/>
    <n v="0"/>
    <x v="0"/>
    <s v="overt"/>
    <x v="1"/>
    <n v="0"/>
  </r>
  <r>
    <x v="138"/>
    <s v="次に刀の事は主殿司に預け置き候ひ畢んぬ (tsugi ni katana no koto wa tonomotsukasa ni azukeoki soroiowannu)"/>
    <s v="as for the sword, I deposited it in the Tonomotsukasa,"/>
    <s v="預け置き / 候ひ畢んぬ"/>
    <s v="indicative"/>
    <s v="action"/>
    <s v="compound verb"/>
    <s v="transitive"/>
    <s v="active"/>
    <s v="positive"/>
    <n v="1"/>
    <n v="2"/>
    <s v="O+IO"/>
    <n v="0"/>
    <x v="1"/>
    <n v="1"/>
    <s v="overt"/>
    <s v="overt"/>
    <n v="0"/>
    <n v="0"/>
    <s v="n/a"/>
    <x v="2"/>
    <n v="0"/>
    <x v="0"/>
    <x v="0"/>
    <x v="7"/>
    <n v="0"/>
    <x v="2"/>
    <x v="3"/>
    <m/>
    <s v="ss"/>
    <x v="1"/>
    <x v="2"/>
    <x v="0"/>
    <m/>
    <x v="0"/>
    <n v="2"/>
    <s v="non-LVC"/>
    <s v="Yes"/>
    <n v="36"/>
    <x v="4"/>
    <n v="1"/>
    <n v="1"/>
    <n v="0"/>
    <x v="1"/>
    <s v="zero_recoverable"/>
    <x v="1"/>
    <n v="1"/>
  </r>
  <r>
    <x v="139"/>
    <s v="召し出だされ (meshi idasare)"/>
    <s v="if it be brought out from thence,"/>
    <s v="召し出だされ "/>
    <s v="indicative"/>
    <s v="action"/>
    <s v="verb"/>
    <s v="intransitive"/>
    <s v="passive"/>
    <s v="positive"/>
    <n v="1"/>
    <n v="0"/>
    <s v="n/a"/>
    <n v="0"/>
    <x v="2"/>
    <n v="3"/>
    <s v="zero_recoverable"/>
    <s v="zero_recoverable"/>
    <n v="0"/>
    <n v="0"/>
    <s v="n/a"/>
    <x v="2"/>
    <n v="0"/>
    <x v="1"/>
    <x v="2"/>
    <x v="3"/>
    <n v="0"/>
    <x v="2"/>
    <x v="3"/>
    <m/>
    <s v="ds"/>
    <x v="0"/>
    <x v="1"/>
    <x v="1"/>
    <m/>
    <x v="0"/>
    <n v="0"/>
    <s v="non-LVC"/>
    <s v="Yes"/>
    <n v="37"/>
    <x v="4"/>
    <n v="1"/>
    <n v="1"/>
    <n v="0"/>
    <x v="2"/>
    <s v="n/a"/>
    <x v="1"/>
    <n v="0"/>
  </r>
  <r>
    <x v="140"/>
    <s v="刀の実否に付きて咎の左右あるべきか  katana no jippi ni tsukite toga no sayū aru beki ka"/>
    <s v=" it may be seen if it be a real sword or not,"/>
    <s v="あるべき"/>
    <s v="deontic"/>
    <s v="stative"/>
    <s v="existential verb"/>
    <s v="intransitive"/>
    <s v="active"/>
    <s v="positive"/>
    <n v="1"/>
    <n v="1"/>
    <s v="SUB"/>
    <n v="1"/>
    <x v="0"/>
    <n v="3"/>
    <s v="n/a"/>
    <s v="n/a"/>
    <n v="0"/>
    <n v="0"/>
    <s v="n/a"/>
    <x v="2"/>
    <n v="0"/>
    <x v="0"/>
    <x v="0"/>
    <x v="0"/>
    <n v="0"/>
    <x v="2"/>
    <x v="3"/>
    <m/>
    <s v="ss"/>
    <x v="1"/>
    <x v="1"/>
    <x v="0"/>
    <m/>
    <x v="0"/>
    <n v="1"/>
    <s v="non-LVC"/>
    <s v="Yes"/>
    <n v="38"/>
    <x v="3"/>
    <n v="1"/>
    <n v="1"/>
    <n v="1"/>
    <x v="2"/>
    <s v="n/a"/>
    <x v="1"/>
    <n v="0"/>
  </r>
  <r>
    <x v="141"/>
    <s v="この儀尤も然るべしとて (kono gi motto mo shikarubeshi tote)"/>
    <s v="&quot;This seems quite reasonable,&quot;"/>
    <s v="然るべし"/>
    <s v="deontic"/>
    <s v="stative"/>
    <s v="adjectival predicate"/>
    <s v="intransitive"/>
    <s v="active"/>
    <s v="positive"/>
    <n v="1"/>
    <n v="1"/>
    <s v="SUB"/>
    <n v="0"/>
    <x v="0"/>
    <n v="3"/>
    <s v="n/a"/>
    <s v="n/a"/>
    <n v="0"/>
    <n v="0"/>
    <s v="n/a"/>
    <x v="3"/>
    <n v="0"/>
    <x v="0"/>
    <x v="0"/>
    <x v="0"/>
    <n v="0"/>
    <x v="3"/>
    <x v="3"/>
    <m/>
    <s v="ds"/>
    <x v="1"/>
    <x v="1"/>
    <x v="0"/>
    <m/>
    <x v="0"/>
    <n v="1"/>
    <s v="non-LVC"/>
    <s v="Yes"/>
    <n v="39"/>
    <x v="4"/>
    <n v="1"/>
    <n v="2"/>
    <n v="0"/>
    <x v="1"/>
    <s v="overt"/>
    <x v="0"/>
    <n v="0"/>
  </r>
  <r>
    <x v="142"/>
    <s v="かの刀を召し出でて (kano katana o meshi-idete)"/>
    <s v="and they hastened to bring forth the sword,"/>
    <s v="召し出でて"/>
    <s v="indicative"/>
    <s v="action"/>
    <s v="verb"/>
    <s v="transitive"/>
    <s v="active"/>
    <s v="positive"/>
    <n v="1"/>
    <n v="1"/>
    <s v="OBJ"/>
    <n v="1"/>
    <x v="2"/>
    <n v="3"/>
    <s v="overt"/>
    <s v="n/a"/>
    <n v="0"/>
    <n v="0"/>
    <s v="n/a"/>
    <x v="1"/>
    <n v="0"/>
    <x v="1"/>
    <x v="2"/>
    <x v="3"/>
    <n v="0"/>
    <x v="1"/>
    <x v="4"/>
    <s v="te_medial"/>
    <s v="ds"/>
    <x v="0"/>
    <x v="3"/>
    <x v="2"/>
    <m/>
    <x v="0"/>
    <n v="1"/>
    <s v="non-LVC"/>
    <s v="Yes"/>
    <n v="39"/>
    <x v="4"/>
    <n v="1"/>
    <n v="3"/>
    <n v="0"/>
    <x v="1"/>
    <s v="zero_recoverable"/>
    <x v="1"/>
    <n v="1"/>
  </r>
  <r>
    <x v="143"/>
    <s v="叡覧あるに (eiran aru ni)"/>
    <s v="and exhibit it before His Majesty,"/>
    <s v="叡覧ある"/>
    <s v="indicative"/>
    <s v="action"/>
    <s v="LVC"/>
    <s v="transitive"/>
    <s v="active"/>
    <s v="positive"/>
    <n v="1"/>
    <n v="0"/>
    <s v="n/a"/>
    <n v="0"/>
    <x v="2"/>
    <n v="3"/>
    <s v="zero_recoverable"/>
    <s v="n/a"/>
    <n v="0"/>
    <n v="0"/>
    <s v="n/a"/>
    <x v="3"/>
    <n v="0"/>
    <x v="1"/>
    <x v="2"/>
    <x v="3"/>
    <n v="0"/>
    <x v="0"/>
    <x v="2"/>
    <m/>
    <s v="ss"/>
    <x v="1"/>
    <x v="1"/>
    <x v="1"/>
    <m/>
    <x v="0"/>
    <n v="0"/>
    <s v="LVC"/>
    <s v="Yes"/>
    <n v="39"/>
    <x v="4"/>
    <n v="1"/>
    <n v="4"/>
    <n v="0"/>
    <x v="2"/>
    <s v="n/a"/>
    <x v="1"/>
    <n v="0"/>
  </r>
  <r>
    <x v="144"/>
    <s v="上は鞘巻の黒う塗つたりけるが (ue wa sayamaki no kuro u nuttari keru ga)"/>
    <s v="its outside was that of a dirk in a black lacquer sheath,"/>
    <s v="塗つたりける"/>
    <s v="indicative"/>
    <s v="stative"/>
    <s v="verb"/>
    <s v="intransitive"/>
    <s v="resultative"/>
    <s v="positive"/>
    <n v="1"/>
    <n v="1"/>
    <s v="SUB"/>
    <n v="0"/>
    <x v="0"/>
    <n v="3"/>
    <s v="n/a"/>
    <s v="n/a"/>
    <n v="0"/>
    <n v="0"/>
    <s v="n/a"/>
    <x v="3"/>
    <n v="0"/>
    <x v="0"/>
    <x v="0"/>
    <x v="0"/>
    <n v="0"/>
    <x v="9"/>
    <x v="4"/>
    <m/>
    <s v="ds"/>
    <x v="1"/>
    <x v="1"/>
    <x v="0"/>
    <m/>
    <x v="0"/>
    <n v="1"/>
    <s v="non-LVC"/>
    <s v="Yes"/>
    <n v="39"/>
    <x v="2"/>
    <n v="1"/>
    <n v="5"/>
    <n v="0"/>
    <x v="2"/>
    <s v="overt"/>
    <x v="1"/>
    <n v="0"/>
  </r>
  <r>
    <x v="145"/>
    <s v="中は木刀に銀薄をぞ押したりける (naka wa bokutō ni gin-haku o zo oshitari keru)"/>
    <s v="but within was only a wooden blade covered with silver."/>
    <s v="押したりける"/>
    <s v="indicative"/>
    <s v="stative"/>
    <s v="verb"/>
    <s v="transitive"/>
    <s v="resultative"/>
    <s v="positive"/>
    <n v="1"/>
    <n v="3"/>
    <s v="S+O+IO"/>
    <n v="0"/>
    <x v="0"/>
    <n v="3"/>
    <s v="overt"/>
    <s v="overt"/>
    <n v="0"/>
    <n v="0"/>
    <s v="n/a"/>
    <x v="2"/>
    <n v="0"/>
    <x v="0"/>
    <x v="0"/>
    <x v="0"/>
    <n v="0"/>
    <x v="2"/>
    <x v="4"/>
    <m/>
    <s v="ds"/>
    <x v="1"/>
    <x v="1"/>
    <x v="0"/>
    <m/>
    <x v="0"/>
    <n v="3"/>
    <s v="non-LVC"/>
    <s v="Yes"/>
    <n v="39"/>
    <x v="3"/>
    <n v="1"/>
    <n v="1"/>
    <n v="0"/>
    <x v="0"/>
    <s v="overt"/>
    <x v="0"/>
    <n v="0"/>
  </r>
  <r>
    <x v="146"/>
    <s v="当座の恥辱を遁れんが為に (tōza no chijoku o nogaren ga tame ni)"/>
    <s v=" to avoid dishonour at the moment,"/>
    <s v="遁れん "/>
    <s v="dynamic"/>
    <s v="other"/>
    <s v="verb"/>
    <s v="transitive"/>
    <s v="active"/>
    <s v="positive"/>
    <n v="1"/>
    <n v="1"/>
    <s v="OBJ"/>
    <n v="0"/>
    <x v="1"/>
    <n v="3"/>
    <s v="overt"/>
    <s v="n/a"/>
    <n v="0"/>
    <n v="0"/>
    <s v="n/a"/>
    <x v="3"/>
    <n v="0"/>
    <x v="0"/>
    <x v="0"/>
    <x v="0"/>
    <n v="0"/>
    <x v="7"/>
    <x v="3"/>
    <m/>
    <s v="ds"/>
    <x v="0"/>
    <x v="1"/>
    <x v="0"/>
    <m/>
    <x v="0"/>
    <n v="1"/>
    <s v="non-LVC"/>
    <s v="Yes"/>
    <n v="40"/>
    <x v="4"/>
    <n v="1"/>
    <m/>
    <n v="0"/>
    <x v="0"/>
    <s v="overt"/>
    <x v="1"/>
    <n v="0"/>
  </r>
  <r>
    <x v="147"/>
    <s v="刀を帯する katana o taisuru "/>
    <s v="Although he had displayed "/>
    <s v="帯する"/>
    <s v="indicative"/>
    <s v="other"/>
    <s v="LVC"/>
    <s v="transitive"/>
    <s v="active"/>
    <s v="positive"/>
    <n v="1"/>
    <n v="1"/>
    <s v="OBJ"/>
    <n v="0"/>
    <x v="1"/>
    <n v="3"/>
    <s v="overt"/>
    <s v="n/a"/>
    <n v="0"/>
    <n v="1"/>
    <s v="REL"/>
    <x v="0"/>
    <n v="0"/>
    <x v="0"/>
    <x v="0"/>
    <x v="0"/>
    <n v="0"/>
    <x v="2"/>
    <x v="4"/>
    <m/>
    <s v="ss"/>
    <x v="0"/>
    <x v="1"/>
    <x v="2"/>
    <m/>
    <x v="0"/>
    <n v="1"/>
    <s v="LVC"/>
    <s v="Yes"/>
    <n v="40"/>
    <x v="4"/>
    <n v="0"/>
    <n v="2"/>
    <n v="0"/>
    <x v="0"/>
    <s v="overt"/>
    <x v="1"/>
    <n v="0"/>
  </r>
  <r>
    <x v="148"/>
    <s v="由顕すといへども yoshi arawasu to iedomo"/>
    <s v="the appearance of a sword"/>
    <s v="顕す"/>
    <s v="indicative"/>
    <s v="other"/>
    <s v="verb"/>
    <s v="transitive"/>
    <s v="active"/>
    <s v="positive"/>
    <n v="1"/>
    <n v="1"/>
    <s v="OBJ"/>
    <n v="0"/>
    <x v="1"/>
    <n v="3"/>
    <s v="overt"/>
    <s v="n/a"/>
    <n v="0"/>
    <n v="0"/>
    <s v="n/a"/>
    <x v="3"/>
    <n v="0"/>
    <x v="0"/>
    <x v="0"/>
    <x v="0"/>
    <n v="0"/>
    <x v="9"/>
    <x v="1"/>
    <m/>
    <s v="ss"/>
    <x v="0"/>
    <x v="1"/>
    <x v="0"/>
    <m/>
    <x v="0"/>
    <n v="1"/>
    <s v="non-LVC"/>
    <s v="Yes"/>
    <n v="40"/>
    <x v="0"/>
    <n v="1"/>
    <n v="3"/>
    <n v="0"/>
    <x v="1"/>
    <s v="overt"/>
    <x v="1"/>
    <n v="0"/>
  </r>
  <r>
    <x v="149"/>
    <s v="後日の訴訟を存じて (gojitsu no soshō o zonjite)"/>
    <s v="his substitution of a wooden blade as a precaution against an after accusation was exceedingly praiseworthy."/>
    <s v="存じて"/>
    <s v="indicative"/>
    <s v="perception"/>
    <s v="LVC"/>
    <s v="transitive"/>
    <s v="active"/>
    <s v="positive"/>
    <n v="1"/>
    <n v="1"/>
    <s v="OBJ"/>
    <n v="0"/>
    <x v="2"/>
    <n v="3"/>
    <s v="overt"/>
    <s v="n/a"/>
    <n v="0"/>
    <n v="0"/>
    <s v="n/a"/>
    <x v="1"/>
    <n v="0"/>
    <x v="1"/>
    <x v="2"/>
    <x v="5"/>
    <n v="0"/>
    <x v="2"/>
    <x v="4"/>
    <s v="te_medial"/>
    <s v="ss"/>
    <x v="0"/>
    <x v="1"/>
    <x v="0"/>
    <m/>
    <x v="0"/>
    <n v="1"/>
    <s v="LVC"/>
    <s v="Yes"/>
    <n v="40"/>
    <x v="1"/>
    <n v="1"/>
    <m/>
    <n v="0"/>
    <x v="0"/>
    <s v="overt"/>
    <x v="1"/>
    <n v="0"/>
  </r>
  <r>
    <x v="150"/>
    <s v="木刀を帯したる"/>
    <s v=" bokutō o tachitaru "/>
    <s v="帯したる"/>
    <s v="indicative"/>
    <s v="action"/>
    <s v="LVC"/>
    <s v="transitive"/>
    <s v="active"/>
    <s v="positive"/>
    <n v="1"/>
    <n v="1"/>
    <s v="OBJ"/>
    <n v="0"/>
    <x v="1"/>
    <n v="3"/>
    <s v="overt"/>
    <s v="n/a"/>
    <n v="0"/>
    <n v="1"/>
    <s v="REL"/>
    <x v="0"/>
    <n v="0"/>
    <x v="0"/>
    <x v="0"/>
    <x v="0"/>
    <n v="0"/>
    <x v="2"/>
    <x v="2"/>
    <m/>
    <s v="ss"/>
    <x v="1"/>
    <x v="1"/>
    <x v="0"/>
    <m/>
    <x v="0"/>
    <n v="1"/>
    <s v="LVC"/>
    <s v="Yes"/>
    <n v="40"/>
    <x v="2"/>
    <n v="0"/>
    <n v="4"/>
    <n v="0"/>
    <x v="2"/>
    <s v="n/a"/>
    <x v="1"/>
    <n v="0"/>
  </r>
  <r>
    <x v="151"/>
    <s v="用意のほどこそ神妙なれ yōi no hodo koso shinmyō nare"/>
    <m/>
    <s v="なれ"/>
    <s v="indicative"/>
    <s v="stative"/>
    <s v="copula"/>
    <s v="intransitive"/>
    <s v="active"/>
    <s v="positive"/>
    <n v="1"/>
    <n v="1"/>
    <s v="SUB"/>
    <n v="0"/>
    <x v="0"/>
    <n v="3"/>
    <s v="n/a"/>
    <s v="n/a"/>
    <n v="0"/>
    <n v="0"/>
    <s v="n/a"/>
    <x v="2"/>
    <n v="0"/>
    <x v="0"/>
    <x v="0"/>
    <x v="0"/>
    <n v="0"/>
    <x v="2"/>
    <x v="1"/>
    <m/>
    <s v="ds"/>
    <x v="1"/>
    <x v="1"/>
    <x v="0"/>
    <m/>
    <x v="0"/>
    <n v="1"/>
    <s v="non-LVC"/>
    <s v="Yes"/>
    <n v="40"/>
    <x v="1"/>
    <n v="1"/>
    <m/>
    <n v="0"/>
    <x v="0"/>
    <s v="n/a"/>
    <x v="0"/>
    <n v="0"/>
  </r>
  <r>
    <x v="152"/>
    <s v="弓箭に携らん (yumiya ni tazusaran)"/>
    <s v="Such prudence is most commendable in a warrior."/>
    <s v="携らん"/>
    <s v="dynamic"/>
    <s v="action"/>
    <s v="verb"/>
    <s v="intransitive"/>
    <s v="active"/>
    <s v="positive"/>
    <n v="1"/>
    <n v="1"/>
    <s v="IO"/>
    <n v="0"/>
    <x v="1"/>
    <n v="3"/>
    <s v="n/a"/>
    <s v="overt"/>
    <n v="1"/>
    <n v="0"/>
    <s v="REL"/>
    <x v="0"/>
    <n v="0"/>
    <x v="0"/>
    <x v="0"/>
    <x v="0"/>
    <n v="0"/>
    <x v="2"/>
    <x v="3"/>
    <m/>
    <s v="ds"/>
    <x v="1"/>
    <x v="2"/>
    <x v="0"/>
    <m/>
    <x v="0"/>
    <n v="1"/>
    <s v="non-LVC"/>
    <s v="Yes"/>
    <n v="41"/>
    <x v="2"/>
    <n v="0"/>
    <n v="1"/>
    <n v="1"/>
    <x v="2"/>
    <s v="n/a"/>
    <x v="1"/>
    <n v="0"/>
  </r>
  <r>
    <x v="153"/>
    <s v="ほどの者の謀は尤もかうこそあらまほしけれ hodo no mono no hakarigoto wa motto mo kō koso aramahoshikere"/>
    <m/>
    <s v="あらまほしけれ"/>
    <s v="desiderative"/>
    <s v="psych-state"/>
    <s v="adjectival predicate"/>
    <s v="intransitive"/>
    <s v="active"/>
    <s v="positive"/>
    <n v="1"/>
    <n v="1"/>
    <s v="SUB"/>
    <n v="1"/>
    <x v="0"/>
    <n v="3"/>
    <s v="n/a"/>
    <s v="n/a"/>
    <n v="0"/>
    <n v="0"/>
    <s v="n/a"/>
    <x v="2"/>
    <n v="0"/>
    <x v="0"/>
    <x v="0"/>
    <x v="0"/>
    <n v="0"/>
    <x v="2"/>
    <x v="1"/>
    <m/>
    <s v="ds"/>
    <x v="1"/>
    <x v="2"/>
    <x v="0"/>
    <m/>
    <x v="0"/>
    <n v="1"/>
    <s v="non-LVC"/>
    <s v="Yes"/>
    <n v="41"/>
    <x v="2"/>
    <n v="1"/>
    <n v="1"/>
    <n v="0"/>
    <x v="2"/>
    <s v="n/a"/>
    <x v="1"/>
    <n v="0"/>
  </r>
  <r>
    <x v="154"/>
    <s v="予てはまた郎従小庭に伺候の由 (kanete wa mata rōjū koniwa ni shikō no yoshi) 且つは武士の郎等の習ひなり (katsu wa bushi no rōtō no narai nari)"/>
    <s v="As for his retainer being in the small court, that too is the custom of the retainers of the warrior class, "/>
    <s v="なり"/>
    <s v="indicative"/>
    <s v="stative"/>
    <s v="copula"/>
    <s v="intransitive"/>
    <s v="active"/>
    <s v="positive"/>
    <n v="1"/>
    <n v="1"/>
    <s v="SUB"/>
    <n v="3"/>
    <x v="0"/>
    <n v="3"/>
    <s v="n/a"/>
    <s v="n/a"/>
    <n v="0"/>
    <n v="0"/>
    <s v="n/a"/>
    <x v="2"/>
    <n v="0"/>
    <x v="0"/>
    <x v="0"/>
    <x v="0"/>
    <n v="0"/>
    <x v="2"/>
    <x v="3"/>
    <m/>
    <s v="ds"/>
    <x v="1"/>
    <x v="2"/>
    <x v="0"/>
    <m/>
    <x v="0"/>
    <n v="1"/>
    <s v="non-LVC"/>
    <s v="Yes"/>
    <n v="42"/>
    <x v="3"/>
    <n v="1"/>
    <n v="1"/>
    <n v="1"/>
    <x v="2"/>
    <s v="n/a"/>
    <x v="1"/>
    <n v="0"/>
  </r>
  <r>
    <x v="155"/>
    <s v="忠盛が咎にはあらずとて (Tadamori ga toga ni wa arazu tote)"/>
    <s v="and no fault was found in Tadamori."/>
    <s v="あらず"/>
    <s v="indicative"/>
    <s v="stative"/>
    <s v="copula"/>
    <s v="intransitive"/>
    <s v="active"/>
    <s v="negative"/>
    <n v="1"/>
    <n v="1"/>
    <s v="SUB"/>
    <n v="0"/>
    <x v="0"/>
    <n v="3"/>
    <s v="n/a"/>
    <s v="n/a"/>
    <n v="0"/>
    <n v="0"/>
    <s v="n/a"/>
    <x v="3"/>
    <n v="0"/>
    <x v="0"/>
    <x v="0"/>
    <x v="0"/>
    <n v="0"/>
    <x v="3"/>
    <x v="3"/>
    <m/>
    <s v="ds"/>
    <x v="0"/>
    <x v="2"/>
    <x v="0"/>
    <m/>
    <x v="0"/>
    <n v="1"/>
    <s v="non-LVC"/>
    <s v="Yes"/>
    <n v="43"/>
    <x v="3"/>
    <n v="1"/>
    <n v="2"/>
    <n v="0"/>
    <x v="0"/>
    <s v="n/a"/>
    <x v="0"/>
    <n v="0"/>
  </r>
  <r>
    <x v="156"/>
    <s v="却つて叡感に預かりし上は (kaette eikan ni azukarishi ue wa)"/>
    <s v="and on the contrary, his conduct was greatly admired,"/>
    <s v="預かりし"/>
    <s v="indicative"/>
    <s v="action"/>
    <s v="verb"/>
    <s v="intransitive"/>
    <s v="active"/>
    <s v="positive"/>
    <n v="1"/>
    <n v="1"/>
    <s v="IO"/>
    <n v="1"/>
    <x v="1"/>
    <n v="3"/>
    <s v="n/a"/>
    <s v="overt"/>
    <n v="0"/>
    <n v="0"/>
    <s v="REL"/>
    <x v="3"/>
    <n v="0"/>
    <x v="0"/>
    <x v="0"/>
    <x v="0"/>
    <n v="1"/>
    <x v="6"/>
    <x v="4"/>
    <m/>
    <s v="ss"/>
    <x v="1"/>
    <x v="1"/>
    <x v="0"/>
    <m/>
    <x v="0"/>
    <n v="1"/>
    <s v="non-LVC"/>
    <s v="Yes"/>
    <n v="43"/>
    <x v="2"/>
    <n v="1"/>
    <n v="3"/>
    <n v="0"/>
    <x v="2"/>
    <s v="n/a"/>
    <x v="1"/>
    <n v="0"/>
  </r>
  <r>
    <x v="157"/>
    <s v="敢へて罪科の沙汰はなかりけり aete tsumikado no sata wa nakarikeri"/>
    <s v="and he was pronounced guiltless."/>
    <s v="なかりけり"/>
    <s v="indicative"/>
    <s v="aux/modal"/>
    <s v="verb"/>
    <s v="intransitive"/>
    <s v="active"/>
    <s v="negative"/>
    <n v="1"/>
    <n v="1"/>
    <s v="SUB"/>
    <n v="1"/>
    <x v="0"/>
    <n v="3"/>
    <s v="n/a"/>
    <s v="n/a"/>
    <n v="0"/>
    <n v="0"/>
    <s v="n/a"/>
    <x v="2"/>
    <n v="0"/>
    <x v="0"/>
    <x v="0"/>
    <x v="0"/>
    <n v="0"/>
    <x v="8"/>
    <x v="4"/>
    <m/>
    <s v="ds"/>
    <x v="2"/>
    <x v="1"/>
    <x v="0"/>
    <m/>
    <x v="0"/>
    <n v="1"/>
    <s v="non-LVC"/>
    <s v="No"/>
    <n v="43"/>
    <x v="4"/>
    <n v="1"/>
    <m/>
    <n v="0"/>
    <x v="3"/>
    <m/>
    <x v="1"/>
    <n v="0"/>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
  <r>
    <s v="Heike 2.1"/>
    <s v="忠盛朝臣未だ備前守たりし時 (Tadamori ason imada Bizen no kami tarishi toki)"/>
    <s v="Now Tadamori, while holding the office of Bizen no Kami,"/>
    <s v="たりし"/>
    <s v="indicative"/>
    <s v="stative"/>
    <s v="copula"/>
    <s v="intransitive"/>
    <s v="active"/>
    <s v="positive"/>
    <n v="1"/>
    <n v="1"/>
    <s v="SUB"/>
    <n v="0"/>
    <s v="overt"/>
    <n v="3"/>
    <s v="n/a"/>
    <s v="n/a"/>
    <n v="0"/>
    <n v="1"/>
    <s v="REL"/>
    <s v="relative"/>
    <n v="0"/>
    <n v="0"/>
    <s v="n/a"/>
    <s v="n/a"/>
    <n v="0"/>
    <x v="0"/>
    <x v="0"/>
    <m/>
    <s v="new"/>
    <s v="ss"/>
    <s v="topic-introduced"/>
    <s v="contains_new"/>
    <m/>
    <m/>
    <n v="1"/>
    <x v="0"/>
    <s v="Yes"/>
    <n v="1"/>
    <s v="te"/>
    <n v="0"/>
    <n v="1"/>
    <x v="0"/>
    <s v="zero_recoverable"/>
    <s v="overt"/>
    <n v="1"/>
    <n v="0"/>
  </r>
  <r>
    <s v="Heike 2.2"/>
    <s v="鳥羽院の御願得長寿院を造進して (Toba-in no ogan Tokuchōju-in o zōshin shite)"/>
    <s v="by the request of the retired Emperor Toba,"/>
    <s v="造進して"/>
    <s v="indicative"/>
    <s v="other"/>
    <s v="verb"/>
    <s v="transitive"/>
    <s v="active"/>
    <s v="positive"/>
    <n v="1"/>
    <n v="1"/>
    <s v="OBJ"/>
    <n v="1"/>
    <s v="zero_recoverable"/>
    <n v="3"/>
    <s v="overt"/>
    <s v="n/a"/>
    <n v="0"/>
    <n v="0"/>
    <s v="n/a"/>
    <s v="te"/>
    <n v="0"/>
    <n v="0"/>
    <s v="obj"/>
    <s v="nominal_prefix"/>
    <n v="1"/>
    <x v="1"/>
    <x v="1"/>
    <s v="te_medial"/>
    <s v="ss"/>
    <s v="ss"/>
    <s v="topic-drop"/>
    <s v="contains_new"/>
    <s v="stranded subject Tadamori"/>
    <m/>
    <n v="1"/>
    <x v="0"/>
    <s v="Yes"/>
    <n v="1"/>
    <s v="te"/>
    <n v="1"/>
    <n v="2"/>
    <x v="1"/>
    <s v="zero_recoverable"/>
    <s v="overt"/>
    <n v="0"/>
    <n v="0"/>
  </r>
  <r>
    <s v="Heike 2.3"/>
    <s v="三十三間の御堂を建て (sanjūsangen no midō o tatete)"/>
    <s v=" had built the temple Toku-cho-juin and the Sa-ju-san-gen-do, or hall 33 ken long,"/>
    <s v="建て"/>
    <s v="indicative"/>
    <s v="other"/>
    <s v="verb"/>
    <s v="transitive"/>
    <s v="active"/>
    <s v="positive"/>
    <n v="1"/>
    <n v="1"/>
    <s v="OBJ"/>
    <n v="0"/>
    <s v="zero_recoverable"/>
    <n v="3"/>
    <s v="overt"/>
    <s v="n/a"/>
    <n v="0"/>
    <n v="0"/>
    <s v="n/a"/>
    <s v="te"/>
    <n v="0"/>
    <n v="0"/>
    <s v="obj"/>
    <s v="nominal_prefix"/>
    <n v="1"/>
    <x v="1"/>
    <x v="2"/>
    <s v="te_medial"/>
    <s v="ss"/>
    <s v="ss"/>
    <s v="topic-drop"/>
    <s v="contains_new"/>
    <m/>
    <m/>
    <n v="1"/>
    <x v="0"/>
    <s v="Yes"/>
    <n v="1"/>
    <s v="relative"/>
    <n v="1"/>
    <m/>
    <x v="1"/>
    <s v="zero_exalt"/>
    <s v="overt"/>
    <n v="0"/>
    <n v="0"/>
  </r>
  <r>
    <s v="Heike 2.4"/>
    <s v="一千一体の御仏を据ゑ奉らる (issen ittai no mihotoke o sue-tatematsuraru)"/>
    <s v="within which were one thousand and one Buddhas;"/>
    <s v="据ゑ奉らる"/>
    <s v="indicative"/>
    <s v="action"/>
    <s v="verb"/>
    <s v="transitive"/>
    <s v="active"/>
    <s v="positive"/>
    <n v="1"/>
    <n v="1"/>
    <s v="OBJ"/>
    <n v="0"/>
    <s v="zero_exalt"/>
    <n v="3"/>
    <s v="overt"/>
    <s v="n/a"/>
    <n v="0"/>
    <n v="1"/>
    <s v="REL"/>
    <s v="relative"/>
    <n v="1"/>
    <n v="1"/>
    <s v="sub"/>
    <s v="honorific_aux"/>
    <n v="1"/>
    <x v="2"/>
    <x v="2"/>
    <m/>
    <s v="ss"/>
    <s v="ds"/>
    <s v="topic-drop"/>
    <s v="contains_new"/>
    <s v="complex verbal form"/>
    <m/>
    <n v="1"/>
    <x v="0"/>
    <s v="Yes"/>
    <n v="1"/>
    <s v="main"/>
    <n v="0"/>
    <n v="3"/>
    <x v="1"/>
    <s v="overt"/>
    <s v="n/a"/>
    <n v="0"/>
    <n v="0"/>
  </r>
  <r>
    <s v="Heike 2.5"/>
    <s v="供養は天承元年三月十三日なり (kuyō wa Tenshō gannen sangatsu jūsan-nichi nari)"/>
    <s v="its first festival being on the thirteenth day of the third month of the first year of Tensho."/>
    <s v="なり"/>
    <s v="indicative"/>
    <s v="stative"/>
    <s v="copula"/>
    <s v="intransitive"/>
    <s v="active"/>
    <s v="positive"/>
    <n v="1"/>
    <n v="1"/>
    <s v="SUB"/>
    <n v="0"/>
    <s v="overt"/>
    <n v="3"/>
    <s v="n/a"/>
    <s v="n/a"/>
    <n v="0"/>
    <n v="0"/>
    <s v="n/a"/>
    <s v="main"/>
    <n v="0"/>
    <n v="0"/>
    <s v="n/a"/>
    <s v="n/a"/>
    <n v="0"/>
    <x v="2"/>
    <x v="1"/>
    <m/>
    <s v="ds"/>
    <s v="ds"/>
    <s v="topic-introduced"/>
    <s v="contains_new"/>
    <m/>
    <m/>
    <n v="1"/>
    <x v="0"/>
    <s v="Yes"/>
    <n v="1"/>
    <s v="subordinate"/>
    <n v="1"/>
    <n v="1"/>
    <x v="1"/>
    <s v="zero_exalt"/>
    <s v="overt"/>
    <n v="1"/>
    <n v="0"/>
  </r>
  <r>
    <s v="Heike 2.6"/>
    <s v="勧賞には欠国を賜ふべき由 (kanshō ni wa kakukuni o tamau beki yoshi)"/>
    <s v="As a reward he was to be granted a fief,"/>
    <s v="賜ふべき"/>
    <s v="deontic"/>
    <s v="action"/>
    <s v="verb"/>
    <s v="transitive"/>
    <s v="active"/>
    <s v="positive"/>
    <n v="1"/>
    <n v="1"/>
    <s v="OBJ"/>
    <n v="1"/>
    <s v="zero_exalt"/>
    <n v="3"/>
    <s v="overt"/>
    <s v="n/a"/>
    <n v="0"/>
    <n v="1"/>
    <s v="n/a"/>
    <s v="subordinate"/>
    <n v="0"/>
    <n v="1"/>
    <s v="sub"/>
    <s v="lexical_honorific_verb"/>
    <n v="0"/>
    <x v="3"/>
    <x v="3"/>
    <m/>
    <s v="ds"/>
    <s v="ds"/>
    <s v="topic-shift"/>
    <s v="contains_new"/>
    <m/>
    <m/>
    <n v="1"/>
    <x v="0"/>
    <s v="Yes"/>
    <n v="2"/>
    <m/>
    <n v="1"/>
    <m/>
    <x v="0"/>
    <s v="zero_exalt"/>
    <s v="not_applicable"/>
    <n v="0"/>
    <n v="0"/>
  </r>
  <r>
    <s v="Heike 2.7"/>
    <s v="仰せ下されける (ōse-kudasa rekeru)"/>
    <s v="he was honoured by receiving the territory of the province of Tamba,"/>
    <s v="仰せ下されける"/>
    <s v="indicative"/>
    <s v="action"/>
    <s v="verb(complex)"/>
    <s v="intransitive"/>
    <s v="passive"/>
    <s v="positive"/>
    <n v="1"/>
    <n v="0"/>
    <s v="n/a"/>
    <n v="0"/>
    <s v="zero_exalt"/>
    <n v="3"/>
    <s v="n/a"/>
    <s v="n/a"/>
    <n v="1"/>
    <n v="0"/>
    <s v="REL"/>
    <s v="relative"/>
    <n v="0"/>
    <n v="1"/>
    <s v="io"/>
    <s v="lexical honorific+honorific aux"/>
    <n v="0"/>
    <x v="2"/>
    <x v="4"/>
    <m/>
    <s v="ds"/>
    <s v="ss"/>
    <s v="topic-drop"/>
    <s v="no_overt_NP"/>
    <m/>
    <m/>
    <n v="0"/>
    <x v="0"/>
    <s v="Yes"/>
    <n v="2"/>
    <m/>
    <n v="0"/>
    <m/>
    <x v="1"/>
    <s v="overt"/>
    <s v="n/a"/>
    <n v="0"/>
    <n v="0"/>
  </r>
  <r>
    <s v="Heike 2.8"/>
    <s v="折節但馬国の空きたりけるをぞ (orifushi Tamba no kuni no aki tarikeru o zo)"/>
    <s v="which then happened to be unappropriated."/>
    <s v="空きたりける"/>
    <s v="indicative"/>
    <s v="stative"/>
    <s v="verb"/>
    <s v="intransitive"/>
    <s v="resultative"/>
    <s v="positive"/>
    <n v="1"/>
    <n v="1"/>
    <s v="SUB"/>
    <n v="1"/>
    <s v="overt"/>
    <n v="3"/>
    <s v="n/a"/>
    <s v="n/a"/>
    <n v="0"/>
    <n v="0"/>
    <s v="OBJ"/>
    <s v="nominalised"/>
    <n v="0"/>
    <n v="0"/>
    <s v="n/a"/>
    <s v="n/a"/>
    <n v="0"/>
    <x v="2"/>
    <x v="1"/>
    <m/>
    <s v="ss"/>
    <s v="ds"/>
    <s v="topic-drop"/>
    <s v="contains_new"/>
    <s v="internally headed"/>
    <m/>
    <n v="1"/>
    <x v="0"/>
    <s v="Yes"/>
    <n v="2"/>
    <m/>
    <n v="0"/>
    <n v="2"/>
    <x v="1"/>
    <s v="zero_exalt"/>
    <s v="zero_recoverable"/>
    <n v="1"/>
    <n v="0"/>
  </r>
  <r>
    <s v="Heike 2.9"/>
    <s v="賜はりける (tamawari keru)"/>
    <s v="As a reward he was honoured by receiving the territory of the province of Tamba, which then happened to be unappropriated."/>
    <s v="賜はりける"/>
    <s v="indicative"/>
    <s v="action"/>
    <s v="verb"/>
    <s v="transitive"/>
    <s v="active"/>
    <s v="positive"/>
    <n v="1"/>
    <n v="1"/>
    <s v="OBJ"/>
    <n v="0"/>
    <s v="zero_exalt"/>
    <n v="3"/>
    <s v="zero_recoverable"/>
    <s v="zero_recoverable"/>
    <n v="0"/>
    <n v="0"/>
    <s v="n/a"/>
    <s v="main"/>
    <n v="0"/>
    <n v="1"/>
    <s v="sub"/>
    <s v="lexical_humble_verb"/>
    <n v="0"/>
    <x v="2"/>
    <x v="5"/>
    <m/>
    <s v="ds"/>
    <s v="ds"/>
    <s v="topic-drop"/>
    <s v="no_overt_NP"/>
    <m/>
    <m/>
    <n v="1"/>
    <x v="0"/>
    <s v="Yes"/>
    <n v="2"/>
    <m/>
    <n v="1"/>
    <m/>
    <x v="1"/>
    <s v="overt"/>
    <s v="overt"/>
    <n v="0"/>
    <n v="0"/>
  </r>
  <r>
    <s v="Heike 2.10"/>
    <s v="上皇御感のあまりに内の昇殿を許さる (jōkō go-kan no amari ni uchi no shōden o yurusaru)"/>
    <s v="Moreover the Emperor of his bounty graciously permitted him to attend the Court;"/>
    <s v="許さる"/>
    <s v="indicative"/>
    <s v="action"/>
    <s v="verb"/>
    <s v="transitive"/>
    <s v="active"/>
    <s v="positive"/>
    <n v="1"/>
    <n v="2"/>
    <s v="S+O"/>
    <n v="1"/>
    <s v="overt"/>
    <n v="3"/>
    <s v="overt"/>
    <s v="zero_recoverable"/>
    <n v="1"/>
    <n v="0"/>
    <s v="REL"/>
    <s v="relative"/>
    <n v="1"/>
    <n v="0"/>
    <s v="sub"/>
    <s v="honorific_aux"/>
    <n v="1"/>
    <x v="2"/>
    <x v="3"/>
    <m/>
    <s v="ds"/>
    <s v="ds"/>
    <s v="topic-drop"/>
    <s v="contains_new"/>
    <s v="it's unlcear whether -re- in -yurusareru is passive or honorific"/>
    <m/>
    <n v="2"/>
    <x v="0"/>
    <s v="Yes"/>
    <n v="3"/>
    <s v="main"/>
    <n v="0"/>
    <n v="1"/>
    <x v="1"/>
    <s v="overt"/>
    <s v="overt"/>
    <n v="0"/>
    <n v="0"/>
  </r>
  <r>
    <s v="Heike 2.11"/>
    <s v="忠盛三十六にて初めて昇殿す (Tadamori sanjūroku nite hajimete shōden su)"/>
    <s v="which Tadamori did for the first time at the age of thirty six."/>
    <s v="昇殿す"/>
    <s v="indicative"/>
    <s v="motion"/>
    <s v="LVC"/>
    <s v="intransitive"/>
    <s v="active"/>
    <s v="positive"/>
    <n v="1"/>
    <n v="1"/>
    <s v="SUB"/>
    <n v="2"/>
    <s v="overt"/>
    <n v="3"/>
    <s v="overt"/>
    <s v="n/a"/>
    <n v="0"/>
    <n v="0"/>
    <s v="n/a"/>
    <s v="main"/>
    <n v="0"/>
    <n v="0"/>
    <s v="n/a"/>
    <s v="n/a"/>
    <n v="0"/>
    <x v="2"/>
    <x v="1"/>
    <m/>
    <s v="ds"/>
    <s v="ds"/>
    <s v="topic-continued"/>
    <s v="contains_new"/>
    <m/>
    <m/>
    <n v="1"/>
    <x v="1"/>
    <s v="Yes"/>
    <n v="3"/>
    <s v="inf"/>
    <n v="1"/>
    <n v="1"/>
    <x v="0"/>
    <s v="overt"/>
    <s v="overt"/>
    <n v="0"/>
    <n v="0"/>
  </r>
  <r>
    <s v="Heike 2.12"/>
    <s v="雲の上人これを嫉み憤り (kumo no uebito kore o sonemi ikidori)"/>
    <s v="the higher Courtiers were furious with jealousy"/>
    <s v="嫉み憤り"/>
    <s v="indicative"/>
    <s v="psych-state"/>
    <s v="verb(compound)"/>
    <s v="transitive"/>
    <s v="active"/>
    <s v="positive"/>
    <n v="1"/>
    <n v="2"/>
    <s v="S+O"/>
    <n v="0"/>
    <s v="overt"/>
    <n v="3"/>
    <s v="overt"/>
    <s v="n/a"/>
    <n v="0"/>
    <n v="0"/>
    <s v="n/a"/>
    <s v="inf"/>
    <n v="0"/>
    <n v="0"/>
    <s v="n/a"/>
    <s v="n/a"/>
    <n v="0"/>
    <x v="2"/>
    <x v="3"/>
    <m/>
    <s v="ds"/>
    <s v="ss"/>
    <s v="topic-introduced"/>
    <s v="contains_new"/>
    <m/>
    <m/>
    <n v="2"/>
    <x v="0"/>
    <s v="Yes"/>
    <n v="4"/>
    <s v="complement"/>
    <n v="1"/>
    <n v="2"/>
    <x v="1"/>
    <s v="zero_recoverable"/>
    <s v="overt"/>
    <n v="1"/>
    <n v="0"/>
  </r>
  <r>
    <s v="Heike 2.13"/>
    <s v="同じき年の十一月二十三日五節豊の明の節会の夜 (onajiki toshi no jūichigatsu nijūsannichi gosechi Toyo-no-akari no setchie no yo) 忠盛を闇討にせん (Tadamori o yamiuchi ni sen "/>
    <s v="to assassinate him on the evening of the festival of Go-Sechi Toyo-no-akari-no-setchie, on the 23rd day of the eleventh month of the same year."/>
    <s v="闇討にせん"/>
    <s v="dynamic"/>
    <s v="other"/>
    <s v="LVC"/>
    <s v="transitive"/>
    <s v="active"/>
    <s v="positive"/>
    <n v="1"/>
    <n v="1"/>
    <s v="OBJ"/>
    <n v="1"/>
    <s v="zero_recoverable"/>
    <n v="3"/>
    <s v="overt"/>
    <s v="n/a"/>
    <n v="0"/>
    <n v="0"/>
    <s v="n/a"/>
    <s v="complement"/>
    <n v="0"/>
    <n v="0"/>
    <s v="n/a"/>
    <s v="n/a"/>
    <n v="0"/>
    <x v="4"/>
    <x v="6"/>
    <m/>
    <s v="ss"/>
    <s v="ds"/>
    <s v="topic-continued"/>
    <s v="contains_new"/>
    <m/>
    <m/>
    <n v="1"/>
    <x v="1"/>
    <s v="Yes"/>
    <n v="4"/>
    <m/>
    <n v="1"/>
    <n v="3"/>
    <x v="1"/>
    <s v="overt"/>
    <s v="n/a"/>
    <n v="0"/>
    <n v="0"/>
  </r>
  <r>
    <s v="Heike 2.14"/>
    <s v="とぞ議せられける (to zo giserarikeru)"/>
    <s v="they plotted"/>
    <s v="議せられける"/>
    <s v="indicative"/>
    <s v="communication"/>
    <s v="LVC"/>
    <s v="intransitive"/>
    <s v="passive"/>
    <s v="positive"/>
    <n v="1"/>
    <n v="1"/>
    <s v="S (Speech)"/>
    <n v="0"/>
    <s v="overt"/>
    <s v="n/a"/>
    <s v="n/a"/>
    <s v="n/a"/>
    <n v="0"/>
    <n v="0"/>
    <s v="n/a"/>
    <s v="main"/>
    <n v="0"/>
    <n v="0"/>
    <s v="n/a"/>
    <s v="n/a"/>
    <n v="0"/>
    <x v="2"/>
    <x v="7"/>
    <m/>
    <s v="ds"/>
    <s v="ds"/>
    <s v="topic-drop"/>
    <s v="all given"/>
    <m/>
    <m/>
    <n v="1"/>
    <x v="1"/>
    <s v="Yes"/>
    <n v="4"/>
    <s v="te"/>
    <n v="1"/>
    <n v="1"/>
    <x v="1"/>
    <s v="overt"/>
    <s v="overt"/>
    <n v="0"/>
    <n v="0"/>
  </r>
  <r>
    <s v="Heike 2.15"/>
    <s v="忠盛この由を伝へ聞きて (Tadamori kono yoshi o tsutae kikite)"/>
    <s v="Tadamori, on hearing of this"/>
    <s v="伝へ聞きて"/>
    <s v="indicative"/>
    <s v="perception"/>
    <s v="verb(compound)"/>
    <s v="transitive"/>
    <s v="active"/>
    <s v="positive"/>
    <n v="1"/>
    <n v="2"/>
    <s v="OBJ"/>
    <n v="0"/>
    <s v="overt"/>
    <n v="3"/>
    <s v="overt"/>
    <s v="n/a"/>
    <n v="0"/>
    <n v="0"/>
    <s v="n/a"/>
    <s v="te"/>
    <n v="0"/>
    <n v="0"/>
    <s v="n/a"/>
    <s v="n/a"/>
    <n v="0"/>
    <x v="1"/>
    <x v="3"/>
    <s v="te_initial"/>
    <s v="ds"/>
    <s v="ds"/>
    <s v="topic-shift"/>
    <s v="all given"/>
    <m/>
    <m/>
    <n v="2"/>
    <x v="0"/>
    <s v="Yes"/>
    <n v="5"/>
    <m/>
    <n v="1"/>
    <n v="2"/>
    <x v="0"/>
    <s v="overt"/>
    <s v="n/a"/>
    <n v="0"/>
    <n v="0"/>
  </r>
  <r>
    <s v="Heike 2.16"/>
    <s v="我右弼の身にあらず (ware ubitsu no mi ni a-razu)"/>
    <s v="I am not a civil official"/>
    <s v="あらず"/>
    <s v="indicative"/>
    <s v="other"/>
    <s v="copula"/>
    <s v="intransitive"/>
    <s v="active"/>
    <s v="negative"/>
    <n v="1"/>
    <n v="1"/>
    <s v="SUB"/>
    <n v="0"/>
    <s v="overt"/>
    <n v="1"/>
    <s v="n/a"/>
    <s v="n/a"/>
    <n v="0"/>
    <n v="0"/>
    <s v="n/a"/>
    <s v="subordinate"/>
    <n v="0"/>
    <n v="0"/>
    <s v="n/a"/>
    <s v="n/a"/>
    <n v="0"/>
    <x v="1"/>
    <x v="2"/>
    <m/>
    <s v="ds"/>
    <s v="ss"/>
    <s v="topic-shift"/>
    <s v="contains_new"/>
    <m/>
    <m/>
    <n v="1"/>
    <x v="0"/>
    <s v="Yes"/>
    <n v="5"/>
    <s v="te"/>
    <n v="1"/>
    <n v="3"/>
    <x v="1"/>
    <s v="zero_recoverable"/>
    <s v="n/a"/>
    <n v="1"/>
    <n v="0"/>
  </r>
  <r>
    <s v="Heike 2.17"/>
    <s v="武勇の家に生れて (buyū no ie ni umarete)"/>
    <s v="being born of a line of warriors"/>
    <s v="生れて"/>
    <s v="indicative"/>
    <s v="other"/>
    <s v="verb"/>
    <s v="intransitive"/>
    <s v="active"/>
    <s v="positive"/>
    <n v="1"/>
    <n v="1"/>
    <s v="SUB"/>
    <n v="1"/>
    <s v="zero_recoverable"/>
    <n v="1"/>
    <s v="n/a"/>
    <s v="n/a"/>
    <n v="0"/>
    <n v="0"/>
    <s v="n/a"/>
    <s v="te"/>
    <n v="0"/>
    <n v="0"/>
    <s v="n/a"/>
    <s v="n/a"/>
    <n v="0"/>
    <x v="1"/>
    <x v="4"/>
    <s v="te_medial"/>
    <s v="ss"/>
    <s v="ss"/>
    <s v="topic-drop"/>
    <s v="contains_new"/>
    <m/>
    <m/>
    <n v="1"/>
    <x v="0"/>
    <s v="Yes"/>
    <n v="5"/>
    <s v="relative"/>
    <n v="1"/>
    <m/>
    <x v="1"/>
    <s v="zero_recoverable"/>
    <s v="n/a"/>
    <n v="0"/>
    <n v="0"/>
  </r>
  <r>
    <s v="Heike 2.18"/>
    <s v="今不慮の恥に遇はん (ima furyo no haji ni awan)"/>
    <s v="for myself and my house at this unexpected shame"/>
    <s v="遇はん"/>
    <s v="epistemic"/>
    <s v="other"/>
    <s v="verb"/>
    <s v="intransitive"/>
    <s v="active"/>
    <s v="positive"/>
    <n v="1"/>
    <n v="1"/>
    <s v="IO"/>
    <n v="1"/>
    <s v="zero_recoverable"/>
    <s v="n/a"/>
    <s v="n/a"/>
    <s v="overt"/>
    <n v="0"/>
    <n v="1"/>
    <s v="n/a"/>
    <s v="relative"/>
    <n v="0"/>
    <n v="0"/>
    <s v="n/a"/>
    <s v="n/a"/>
    <n v="0"/>
    <x v="2"/>
    <x v="2"/>
    <m/>
    <s v="ss"/>
    <s v="ds"/>
    <s v="topic-drop"/>
    <s v="contains_new"/>
    <m/>
    <m/>
    <n v="1"/>
    <x v="0"/>
    <s v="Yes"/>
    <n v="5"/>
    <s v="main"/>
    <n v="0"/>
    <n v="4"/>
    <x v="1"/>
    <s v="overt"/>
    <s v="n/a"/>
    <n v="0"/>
    <n v="0"/>
  </r>
  <r>
    <s v="Heike 2.19"/>
    <s v="事家の為身の為心憂かるべし (koto ie no tame mi no tame kokoroukarubeshi)"/>
    <s v="I am troubled in my heart"/>
    <s v="憂かるべし"/>
    <s v="epistemic"/>
    <s v="psych-state"/>
    <s v="adjectival predicate"/>
    <s v="intransitive"/>
    <s v="active"/>
    <s v="positive"/>
    <n v="1"/>
    <n v="1"/>
    <s v="SUB"/>
    <n v="1"/>
    <s v="overt"/>
    <n v="3"/>
    <s v="n/a"/>
    <s v="n/a"/>
    <n v="0"/>
    <n v="0"/>
    <s v="n/a"/>
    <s v="main"/>
    <n v="0"/>
    <n v="0"/>
    <s v="n/a"/>
    <s v="n/a"/>
    <n v="0"/>
    <x v="2"/>
    <x v="1"/>
    <m/>
    <s v="ds"/>
    <n v="0"/>
    <s v="topic-drop"/>
    <s v="contains_new"/>
    <m/>
    <m/>
    <n v="1"/>
    <x v="0"/>
    <s v="Yes"/>
    <n v="5"/>
    <m/>
    <n v="1"/>
    <n v="1"/>
    <x v="1"/>
    <m/>
    <m/>
    <n v="0"/>
    <n v="0"/>
  </r>
  <r>
    <s v="Heike 2.20"/>
    <s v="詮ずるところ (senzuru tokoro)"/>
    <s v="finally, as for what is to be done"/>
    <s v="詮ずる"/>
    <s v="indicative"/>
    <s v="other"/>
    <m/>
    <m/>
    <m/>
    <m/>
    <m/>
    <m/>
    <m/>
    <m/>
    <m/>
    <m/>
    <s v="n/a"/>
    <s v="n/a"/>
    <m/>
    <m/>
    <m/>
    <m/>
    <m/>
    <m/>
    <m/>
    <m/>
    <m/>
    <x v="5"/>
    <x v="3"/>
    <m/>
    <m/>
    <s v="ss"/>
    <m/>
    <m/>
    <m/>
    <m/>
    <m/>
    <x v="0"/>
    <s v="Yes"/>
    <n v="6"/>
    <m/>
    <n v="1"/>
    <n v="2"/>
    <x v="1"/>
    <s v="zero_recoverable"/>
    <s v="overt"/>
    <n v="0"/>
    <n v="0"/>
  </r>
  <r>
    <s v="Heike 2.21"/>
    <s v="身を全うして (mi o mattō shite)"/>
    <s v="with all your might"/>
    <s v="全うして"/>
    <s v="indicative"/>
    <s v="other"/>
    <s v="LVC"/>
    <s v="transitive"/>
    <s v="active"/>
    <s v="positive"/>
    <n v="1"/>
    <n v="1"/>
    <s v="OBJ"/>
    <n v="0"/>
    <s v="zero_recoverable"/>
    <n v="1"/>
    <s v="overt"/>
    <s v="n/a"/>
    <n v="0"/>
    <n v="0"/>
    <s v="n/a"/>
    <s v="te"/>
    <n v="0"/>
    <n v="0"/>
    <s v="n/a"/>
    <s v="n/a"/>
    <n v="0"/>
    <x v="1"/>
    <x v="8"/>
    <s v="te_medial"/>
    <s v="ss"/>
    <s v="ss"/>
    <s v="topic-drop"/>
    <s v="contains_new"/>
    <m/>
    <m/>
    <n v="1"/>
    <x v="1"/>
    <s v="Yes"/>
    <n v="6"/>
    <s v="complement"/>
    <n v="1"/>
    <n v="3"/>
    <x v="1"/>
    <s v="zero_exalt"/>
    <s v="n/a"/>
    <n v="0"/>
    <n v="0"/>
  </r>
  <r>
    <s v="Heike 2.22"/>
    <s v="君に仕へ奉れ"/>
    <s v=" kimi ni tsukae tatematsure"/>
    <s v="仕へ奉れ"/>
    <s v="imperative"/>
    <s v="action"/>
    <s v="verb"/>
    <s v="intransitive"/>
    <s v="active"/>
    <s v="positive"/>
    <n v="1"/>
    <n v="1"/>
    <s v="IO"/>
    <n v="0"/>
    <s v="zero_exalt"/>
    <n v="1"/>
    <s v="n/a"/>
    <s v="overt"/>
    <n v="0"/>
    <n v="0"/>
    <s v="n/a"/>
    <s v="complement"/>
    <n v="1"/>
    <n v="1"/>
    <s v="sub"/>
    <s v="lexical_humble_verb"/>
    <n v="0"/>
    <x v="2"/>
    <x v="2"/>
    <m/>
    <s v="ss"/>
    <s v="ds"/>
    <s v="topic-drop"/>
    <s v="contains_new"/>
    <m/>
    <m/>
    <n v="1"/>
    <x v="0"/>
    <s v="Yes"/>
    <n v="6"/>
    <s v="main"/>
    <n v="1"/>
    <n v="4"/>
    <x v="1"/>
    <s v="overt"/>
    <s v="n/a"/>
    <n v="0"/>
    <n v="0"/>
  </r>
  <r>
    <s v="Heike 2.23"/>
    <s v="といふ本文あり (to iu honbun ari)"/>
    <s v="so goes the original passage"/>
    <s v="あり"/>
    <s v="indicative"/>
    <s v="stative"/>
    <s v="existential verb"/>
    <s v="intransitive"/>
    <s v="active"/>
    <s v="positive"/>
    <n v="1"/>
    <n v="1"/>
    <s v="SUB"/>
    <n v="1"/>
    <s v="overt"/>
    <n v="3"/>
    <s v="n/a"/>
    <s v="n/a"/>
    <n v="0"/>
    <n v="0"/>
    <s v="n/a"/>
    <s v="main"/>
    <n v="0"/>
    <n v="0"/>
    <s v="n/a"/>
    <s v="n/a"/>
    <n v="0"/>
    <x v="2"/>
    <x v="7"/>
    <m/>
    <s v="ds"/>
    <s v="ss"/>
    <s v="topic-drop"/>
    <s v="contains_new"/>
    <s v="frame predicate"/>
    <m/>
    <n v="1"/>
    <x v="0"/>
    <s v="Yes"/>
    <n v="6"/>
    <s v="inf"/>
    <n v="1"/>
    <n v="1"/>
    <x v="1"/>
    <s v="zero_recoverable"/>
    <s v="overt"/>
    <n v="1"/>
    <n v="0"/>
  </r>
  <r>
    <s v="Heike 2.24"/>
    <s v="参内の初めより大なる鞘巻を用意し (sannai no hajime yori ō-naru sayamaki o yōi shi)"/>
    <s v="Before entering the Court he provided himself with a long dirk"/>
    <s v="用意し"/>
    <s v="indicative"/>
    <s v="other"/>
    <s v="LVC"/>
    <s v="transitive"/>
    <s v="active"/>
    <s v="positive"/>
    <n v="1"/>
    <n v="1"/>
    <s v="OBJ"/>
    <n v="1"/>
    <s v="zero_recoverable"/>
    <n v="3"/>
    <s v="overt"/>
    <s v="n/a"/>
    <n v="0"/>
    <n v="0"/>
    <s v="n/a"/>
    <s v="inf"/>
    <n v="0"/>
    <n v="0"/>
    <s v="n/a"/>
    <s v="n/a"/>
    <n v="0"/>
    <x v="2"/>
    <x v="3"/>
    <m/>
    <s v="ss"/>
    <s v="ss"/>
    <s v="topic-drop"/>
    <s v="contains_new"/>
    <m/>
    <m/>
    <n v="1"/>
    <x v="1"/>
    <s v="Yes"/>
    <n v="7"/>
    <s v="inf"/>
    <n v="1"/>
    <n v="2"/>
    <x v="0"/>
    <s v="zero_recoverable"/>
    <s v="zero_recoverable"/>
    <n v="0"/>
    <n v="1"/>
  </r>
  <r>
    <s v="Heike 2.25"/>
    <s v="束帯の下にしどけなげに差し (sokutai no shita ni shidokenage ni sashi)"/>
    <s v="which he girt on under his long court dress"/>
    <s v="差し"/>
    <s v="indicative"/>
    <s v="other"/>
    <s v="verb"/>
    <s v="transitive"/>
    <s v="active"/>
    <s v="positive"/>
    <n v="1"/>
    <n v="1"/>
    <s v="IO"/>
    <n v="1"/>
    <s v="zero_recoverable"/>
    <n v="3"/>
    <s v="zero_recoverable"/>
    <s v="overt"/>
    <n v="0"/>
    <n v="0"/>
    <s v="n/a"/>
    <s v="inf"/>
    <n v="0"/>
    <n v="0"/>
    <s v="n/a"/>
    <s v="n/a"/>
    <n v="0"/>
    <x v="2"/>
    <x v="6"/>
    <m/>
    <s v="ss"/>
    <s v="ss"/>
    <s v="topic-drop"/>
    <s v="contains_new"/>
    <m/>
    <m/>
    <n v="1"/>
    <x v="0"/>
    <s v="Yes"/>
    <n v="7"/>
    <s v="te"/>
    <n v="1"/>
    <n v="3"/>
    <x v="1"/>
    <s v="zero_recoverable"/>
    <s v="n/a"/>
    <n v="0"/>
    <n v="0"/>
  </r>
  <r>
    <s v="Heike 2.26"/>
    <s v="火の仄暗き方に向かつて (hi no hokuraki kata ni mukatte)"/>
    <s v="and turning aside to a dimly lit place"/>
    <s v="向かつて"/>
    <s v="indicative"/>
    <s v="other"/>
    <s v="verb"/>
    <s v="intransitive"/>
    <s v="active"/>
    <s v="positive"/>
    <n v="1"/>
    <n v="1"/>
    <s v="IO"/>
    <n v="1"/>
    <s v="zero_recoverable"/>
    <n v="3"/>
    <s v="n/a"/>
    <s v="overt"/>
    <n v="0"/>
    <n v="0"/>
    <s v="n/a"/>
    <s v="te"/>
    <n v="0"/>
    <n v="0"/>
    <s v="n/a"/>
    <s v="n/a"/>
    <n v="0"/>
    <x v="1"/>
    <x v="6"/>
    <s v="te_medial"/>
    <s v="ss"/>
    <s v="ss"/>
    <s v="topic-drop"/>
    <s v="contains_new"/>
    <m/>
    <m/>
    <n v="1"/>
    <x v="0"/>
    <s v="Yes"/>
    <n v="7"/>
    <m/>
    <n v="1"/>
    <n v="4"/>
    <x v="1"/>
    <s v="zero_recoverable"/>
    <s v="overt"/>
    <n v="0"/>
    <n v="0"/>
  </r>
  <r>
    <s v="Heike 2.27"/>
    <s v="やはらこの刀を抜き出でて (yahara kono katana o nuki-idete)"/>
    <s v="slowly drew the blade"/>
    <s v="抜き出でて"/>
    <s v="indicative"/>
    <s v="motion"/>
    <s v="verb(compound)"/>
    <s v="transitive"/>
    <s v="active"/>
    <s v="positive"/>
    <n v="1"/>
    <n v="1"/>
    <s v="OBJ"/>
    <n v="0"/>
    <s v="zero_recoverable"/>
    <n v="3"/>
    <s v="overt"/>
    <s v="n/a"/>
    <n v="0"/>
    <n v="0"/>
    <s v="n/a"/>
    <s v="te"/>
    <n v="0"/>
    <n v="0"/>
    <s v="n/a"/>
    <s v="n/a"/>
    <n v="0"/>
    <x v="1"/>
    <x v="2"/>
    <s v="te_medial"/>
    <s v="ss"/>
    <s v="ss"/>
    <s v="topic-drop"/>
    <s v="all given"/>
    <s v="&quot;kono katana&quot; refers to the &quot;sayamaki&quot;, so all given"/>
    <m/>
    <n v="1"/>
    <x v="0"/>
    <s v="Yes"/>
    <n v="7"/>
    <m/>
    <n v="1"/>
    <n v="5"/>
    <x v="1"/>
    <s v="zero_exalt"/>
    <s v="zero_recoverable"/>
    <n v="0"/>
    <n v="1"/>
  </r>
  <r>
    <s v="Heike 2.28"/>
    <s v="鬢に引き当てられたりけるが (kami ni hiki-ate raretarikeru ga)"/>
    <s v="and passed it through the hair of his head"/>
    <s v="引き当てられたりける"/>
    <s v="indicative"/>
    <s v="motion"/>
    <s v="verb"/>
    <s v="transitive"/>
    <s v="active"/>
    <s v="positive"/>
    <n v="1"/>
    <n v="1"/>
    <s v="IO"/>
    <n v="0"/>
    <s v="zero_exalt"/>
    <n v="3"/>
    <s v="zero_recoverable"/>
    <s v="overt"/>
    <n v="0"/>
    <n v="0"/>
    <s v="n/a"/>
    <s v="subordinate"/>
    <n v="0"/>
    <n v="1"/>
    <s v="sub"/>
    <s v="honorific_aux"/>
    <n v="0"/>
    <x v="6"/>
    <x v="2"/>
    <m/>
    <s v="ss"/>
    <s v="ds"/>
    <s v="topic-drop"/>
    <s v="contains_new"/>
    <s v="should the -to part be considered a clausal subject?"/>
    <m/>
    <n v="1"/>
    <x v="0"/>
    <s v="Yes"/>
    <n v="7"/>
    <m/>
    <n v="1"/>
    <m/>
    <x v="1"/>
    <s v="zero_recoverable"/>
    <s v="n/a"/>
    <n v="0"/>
    <n v="0"/>
  </r>
  <r>
    <s v="Heike 2.29"/>
    <s v="余所よりは氷などのやうにぞ見えたりける (yoso yori wa kōri nado no yō ni zo mieta rikeru)"/>
    <s v="so that it gleamed afar off with an icy sheen"/>
    <s v="見えたりける"/>
    <s v="indicative"/>
    <s v="perception"/>
    <s v="verb"/>
    <s v="intransitive"/>
    <s v="resultative"/>
    <s v="positive"/>
    <n v="1"/>
    <n v="0"/>
    <s v="n/a"/>
    <n v="2"/>
    <s v="zero_recoverable"/>
    <n v="3"/>
    <s v="n/a"/>
    <s v="n/a"/>
    <n v="0"/>
    <n v="0"/>
    <s v="n/a"/>
    <s v="relative"/>
    <n v="0"/>
    <n v="0"/>
    <s v="n/a"/>
    <s v="n/a"/>
    <n v="0"/>
    <x v="2"/>
    <x v="4"/>
    <m/>
    <s v="ds"/>
    <s v="ss"/>
    <s v="topic-drop"/>
    <s v="no_overt_NP"/>
    <m/>
    <m/>
    <n v="0"/>
    <x v="0"/>
    <s v="Yes"/>
    <n v="7"/>
    <m/>
    <n v="0"/>
    <n v="6"/>
    <x v="1"/>
    <s v="zero_recoverable"/>
    <s v="overt"/>
    <n v="0"/>
    <n v="0"/>
  </r>
  <r>
    <s v="Heike 2.30"/>
    <s v="諸人目を澄ましけり (morobito me o sumashikeri)"/>
    <s v="causing all to stare open-eyed"/>
    <s v="澄ましけり"/>
    <s v="indicative"/>
    <s v="other"/>
    <s v="verb"/>
    <s v="transitive"/>
    <s v="active"/>
    <s v="positive"/>
    <n v="1"/>
    <n v="2"/>
    <s v="O+IO"/>
    <n v="0"/>
    <s v="zero_recoverable"/>
    <n v="3"/>
    <s v="overt"/>
    <s v="overt"/>
    <n v="0"/>
    <n v="0"/>
    <s v="n/a"/>
    <s v="main"/>
    <n v="0"/>
    <n v="0"/>
    <s v="n/a"/>
    <s v="n/a"/>
    <n v="0"/>
    <x v="2"/>
    <x v="1"/>
    <m/>
    <s v="ss"/>
    <s v="ds"/>
    <s v="topic-drop"/>
    <s v="contains_new"/>
    <m/>
    <m/>
    <n v="2"/>
    <x v="0"/>
    <s v="Yes"/>
    <n v="7"/>
    <s v="relative"/>
    <n v="1"/>
    <m/>
    <x v="0"/>
    <s v="overt"/>
    <s v="n/a"/>
    <n v="0"/>
    <n v="0"/>
  </r>
  <r>
    <s v="Heike 2.31"/>
    <s v="また忠盛の郎等元は一門たりし( mata Tadamori no rōtō moto wa ichimon tarishi) "/>
    <s v="Moreover a retainer of Tadamori ... "/>
    <s v="たりし"/>
    <s v="indicative"/>
    <s v="other"/>
    <s v="copula"/>
    <s v="intransitive"/>
    <s v="active"/>
    <s v="positive"/>
    <n v="1"/>
    <n v="1"/>
    <s v="SUB"/>
    <n v="1"/>
    <s v="overt"/>
    <n v="3"/>
    <s v="n/a"/>
    <s v="n/a"/>
    <n v="0"/>
    <n v="0"/>
    <s v="REL"/>
    <s v="relative"/>
    <n v="0"/>
    <n v="0"/>
    <s v="n/a"/>
    <s v="n/a"/>
    <n v="0"/>
    <x v="6"/>
    <x v="3"/>
    <m/>
    <s v="ds"/>
    <s v="ss"/>
    <s v="topic-introduced"/>
    <s v="contains_new"/>
    <m/>
    <m/>
    <n v="1"/>
    <x v="0"/>
    <s v="Yes"/>
    <n v="8"/>
    <s v="main"/>
    <n v="0"/>
    <n v="1"/>
    <x v="1"/>
    <s v="overt"/>
    <s v="n/a"/>
    <n v="0"/>
    <n v="0"/>
  </r>
  <r>
    <s v="Heike 2.32"/>
    <s v="木工助平貞光が孫新四郎太夫家房が子に左兵衛尉家貞といふ者あり (Moku no suke Sadamitsu ga mago Shinshirō Tayū Iefusa ga ko ni Sahyōe no jō Iesada to iu mono ari)"/>
    <s v="there was one named Sahyoe-no-jo Iesada"/>
    <s v="あり"/>
    <s v="indicative"/>
    <s v="other"/>
    <s v="existential verb"/>
    <s v="intransitive"/>
    <s v="active"/>
    <s v="positive"/>
    <n v="1"/>
    <n v="1"/>
    <s v="SUB"/>
    <n v="2"/>
    <s v="overt"/>
    <n v="3"/>
    <s v="n/a"/>
    <s v="n/a"/>
    <n v="0"/>
    <n v="0"/>
    <s v="n/a"/>
    <s v="main"/>
    <n v="0"/>
    <n v="0"/>
    <s v="n/a"/>
    <s v="n/a"/>
    <n v="0"/>
    <x v="2"/>
    <x v="1"/>
    <m/>
    <s v="ss"/>
    <s v="ss"/>
    <s v="topic-introduced"/>
    <s v="contains_new"/>
    <s v="frame predicate"/>
    <m/>
    <n v="1"/>
    <x v="0"/>
    <s v="Yes"/>
    <n v="8"/>
    <s v="inf"/>
    <n v="1"/>
    <n v="1"/>
    <x v="0"/>
    <s v="zero_recoverable"/>
    <s v="overt"/>
    <n v="1"/>
    <n v="0"/>
  </r>
  <r>
    <s v="Heike 2.33"/>
    <s v="薄青の狩衣の下に萌黄威の腹巻を着 (usuao no kariginu no shita ni moegi-odoshi no haramaki o ki)"/>
    <s v="wearing a body armour laced with bright green under a light green &quot;kariginu&quot;"/>
    <s v="着"/>
    <s v="indicative"/>
    <s v="other"/>
    <s v="verb"/>
    <s v="transitive"/>
    <s v="active"/>
    <s v="positive"/>
    <n v="1"/>
    <n v="1"/>
    <s v="OBJ"/>
    <n v="1"/>
    <s v="zero_recoverable"/>
    <n v="3"/>
    <s v="overt"/>
    <s v="n/a"/>
    <n v="0"/>
    <n v="0"/>
    <s v="n/a"/>
    <s v="inf"/>
    <n v="0"/>
    <n v="0"/>
    <s v="n/a"/>
    <s v="n/a"/>
    <n v="0"/>
    <x v="2"/>
    <x v="3"/>
    <m/>
    <s v="ss"/>
    <s v="ss"/>
    <s v="topic-drop"/>
    <s v="contains_new"/>
    <m/>
    <m/>
    <n v="1"/>
    <x v="0"/>
    <s v="Yes"/>
    <n v="9"/>
    <s v="relative"/>
    <n v="1"/>
    <m/>
    <x v="1"/>
    <s v="zero_recoverable"/>
    <s v="overt"/>
    <n v="0"/>
    <n v="0"/>
  </r>
  <r>
    <s v="Heike 2.34"/>
    <s v="柄弦袋付けたる ezurubukuro tsuketaru "/>
    <s v="with a bowstring bag attached"/>
    <s v="付けたる"/>
    <s v="indicative"/>
    <s v="other"/>
    <s v="verb"/>
    <s v="transitive"/>
    <s v="active"/>
    <s v="positive"/>
    <n v="1"/>
    <n v="1"/>
    <s v="OBJ"/>
    <n v="0"/>
    <s v="zero_recoverable"/>
    <n v="3"/>
    <s v="overt"/>
    <s v="n/a"/>
    <n v="1"/>
    <n v="0"/>
    <s v="REL"/>
    <s v="relative"/>
    <n v="0"/>
    <n v="0"/>
    <s v="n/a"/>
    <s v="n/a"/>
    <n v="0"/>
    <x v="2"/>
    <x v="6"/>
    <m/>
    <s v="ss"/>
    <s v="ss"/>
    <s v="topic-drop"/>
    <s v="contains_new"/>
    <m/>
    <m/>
    <n v="1"/>
    <x v="0"/>
    <s v="Yes"/>
    <n v="9"/>
    <s v="te"/>
    <n v="0"/>
    <n v="2"/>
    <x v="1"/>
    <s v="zero_recoverable"/>
    <s v="overt"/>
    <n v="0"/>
    <n v="0"/>
  </r>
  <r>
    <s v="Heike 2.35"/>
    <s v="太刀脇挟んで (tachi wakihasande)"/>
    <s v="and carrying under his arm a &quot;tachi&quot; "/>
    <s v="挟んで"/>
    <s v="indicative"/>
    <s v="other"/>
    <s v="verb"/>
    <s v="transitive"/>
    <s v="active"/>
    <s v="positive"/>
    <n v="1"/>
    <n v="2"/>
    <s v="O+IO"/>
    <n v="0"/>
    <s v="zero_recoverable"/>
    <n v="3"/>
    <s v="overt"/>
    <s v="overt"/>
    <n v="0"/>
    <n v="0"/>
    <s v="n/a"/>
    <s v="te"/>
    <n v="0"/>
    <n v="0"/>
    <s v="n/a"/>
    <s v="n/a"/>
    <n v="0"/>
    <x v="2"/>
    <x v="1"/>
    <s v="te_medial"/>
    <s v="ss"/>
    <s v="ss"/>
    <s v="topic-drop"/>
    <s v="contains_new"/>
    <m/>
    <m/>
    <n v="2"/>
    <x v="0"/>
    <s v="Yes"/>
    <n v="9"/>
    <m/>
    <n v="1"/>
    <n v="3"/>
    <x v="1"/>
    <s v="zero_recoverable"/>
    <s v="n/a"/>
    <n v="0"/>
    <n v="0"/>
  </r>
  <r>
    <s v="Heike 2.36"/>
    <s v="殿上の小庭に畏つてぞ候ひける (tenjō no koniwa ni kashikomatte zo soroikyeru)"/>
    <s v="was waiting in the &quot;koniwa,&quot; the small court by the Seiryoden"/>
    <s v="畏つて候ひける"/>
    <s v="indicative"/>
    <s v="other"/>
    <s v="verb(complex)"/>
    <s v="intransitive"/>
    <s v="active"/>
    <s v="positive"/>
    <n v="1"/>
    <n v="0"/>
    <s v="n/a"/>
    <n v="1"/>
    <s v="zero_recoverable"/>
    <n v="3"/>
    <s v="n/a"/>
    <s v="n/a"/>
    <n v="0"/>
    <n v="0"/>
    <s v="n/a"/>
    <s v="main"/>
    <n v="0"/>
    <n v="1"/>
    <s v="sub"/>
    <s v="lexical_humble_verb"/>
    <n v="0"/>
    <x v="2"/>
    <x v="2"/>
    <m/>
    <s v="ss"/>
    <s v="ds"/>
    <s v="topic-drop"/>
    <s v="no_overt_NP"/>
    <m/>
    <m/>
    <n v="0"/>
    <x v="0"/>
    <s v="Yes"/>
    <n v="9"/>
    <m/>
    <n v="1"/>
    <n v="1"/>
    <x v="1"/>
    <s v="overt"/>
    <s v="overt"/>
    <n v="0"/>
    <n v="0"/>
  </r>
  <r>
    <s v="Heike 2.37"/>
    <s v="貫首以下怪しみをなして (kanshu ika ayashimi o nashite)"/>
    <s v="Now the Kurando-no-to and others, thinking it strange,"/>
    <s v="なして"/>
    <s v="indicative"/>
    <s v="other"/>
    <s v="LVC (inf)"/>
    <s v="transitive"/>
    <s v="active"/>
    <s v="negative"/>
    <n v="1"/>
    <n v="2"/>
    <s v="S+O"/>
    <n v="0"/>
    <s v="overt"/>
    <n v="3"/>
    <s v="overt"/>
    <s v="n/a"/>
    <n v="0"/>
    <n v="0"/>
    <s v="n/a"/>
    <s v="te"/>
    <n v="0"/>
    <n v="0"/>
    <s v="n/a"/>
    <s v="n/a"/>
    <n v="0"/>
    <x v="1"/>
    <x v="3"/>
    <s v="te_initial"/>
    <s v="ds"/>
    <s v="ss"/>
    <s v="topic-shift"/>
    <s v="contains_new"/>
    <m/>
    <m/>
    <n v="2"/>
    <x v="1"/>
    <s v="Yes"/>
    <n v="10"/>
    <s v="nominalised"/>
    <n v="1"/>
    <m/>
    <x v="1"/>
    <s v="overt"/>
    <s v="n/a"/>
    <n v="0"/>
    <n v="0"/>
  </r>
  <r>
    <s v="Heike 2.38"/>
    <s v="空柱より内鈴の綱の辺に布衣の者の候ふ  (sorabashira yori uchisuzu no tsuna no hen ni hoi no mono no soroou)"/>
    <s v="that one wearing unsuitable costume should be within the balustrade of the steps of the Court near the bell-rope of the library, "/>
    <s v="候ふ"/>
    <s v="indicative"/>
    <s v="other"/>
    <s v="verb"/>
    <s v="intransitive"/>
    <s v="active"/>
    <s v="positive"/>
    <n v="1"/>
    <n v="1"/>
    <s v="SUB"/>
    <n v="1"/>
    <s v="overt"/>
    <n v="3"/>
    <s v="n/a"/>
    <s v="n/a"/>
    <n v="0"/>
    <n v="0"/>
    <s v="SUB"/>
    <s v="nominalised"/>
    <n v="1"/>
    <n v="0"/>
    <s v="sub"/>
    <s v="lexical_humble_verb"/>
    <n v="0"/>
    <x v="2"/>
    <x v="2"/>
    <m/>
    <s v="ss"/>
    <s v="ss"/>
    <s v="topic-shift"/>
    <s v="contains_new"/>
    <s v="internally headed"/>
    <m/>
    <n v="1"/>
    <x v="0"/>
    <s v="Yes"/>
    <n v="10"/>
    <m/>
    <n v="0"/>
    <n v="2"/>
    <x v="1"/>
    <s v="overt"/>
    <s v="n/a"/>
    <n v="0"/>
    <n v="0"/>
  </r>
  <r>
    <s v="Heike 2.39"/>
    <s v="は何者ぞ  wa nani mono zo"/>
    <s v="and wondering who he was."/>
    <s v="何者ぞ  "/>
    <s v="indicative"/>
    <s v="other"/>
    <s v="copula"/>
    <s v="intransitive"/>
    <s v="active"/>
    <s v="positive"/>
    <n v="1"/>
    <n v="1"/>
    <s v="SUB"/>
    <n v="0"/>
    <s v="overt"/>
    <n v="3"/>
    <s v="n/a"/>
    <s v="n/a"/>
    <n v="0"/>
    <n v="0"/>
    <s v="n/a"/>
    <s v="main"/>
    <n v="0"/>
    <n v="0"/>
    <s v="n/a"/>
    <s v="n/a"/>
    <n v="0"/>
    <x v="2"/>
    <x v="5"/>
    <m/>
    <s v="ss"/>
    <s v="ss"/>
    <s v="topic-continued"/>
    <s v="all given"/>
    <m/>
    <m/>
    <n v="1"/>
    <x v="0"/>
    <s v="Yes"/>
    <n v="10"/>
    <m/>
    <n v="1"/>
    <n v="1"/>
    <x v="1"/>
    <s v="zero_other"/>
    <s v="n/a"/>
    <n v="1"/>
    <n v="0"/>
  </r>
  <r>
    <s v="Heike 2.40"/>
    <s v="狼藉なり (rōzaku nari)"/>
    <s v="&quot;[He is] disorderly&quot;"/>
    <s v="なり"/>
    <s v="indicative"/>
    <s v="stative"/>
    <s v="copula"/>
    <s v="intransitive"/>
    <s v="active"/>
    <s v="positive"/>
    <n v="1"/>
    <n v="0"/>
    <s v="n/a"/>
    <n v="0"/>
    <s v="zero_other"/>
    <n v="3"/>
    <s v="n/a"/>
    <s v="n/a"/>
    <n v="0"/>
    <n v="0"/>
    <s v="n/a"/>
    <s v="main"/>
    <n v="0"/>
    <n v="0"/>
    <s v="n/a"/>
    <s v="n/a"/>
    <n v="0"/>
    <x v="2"/>
    <x v="3"/>
    <m/>
    <s v="ss"/>
    <s v="ss"/>
    <s v="topic-drop"/>
    <s v="no_overt_NP"/>
    <m/>
    <m/>
    <n v="0"/>
    <x v="0"/>
    <s v="Yes"/>
    <n v="11"/>
    <s v="complement"/>
    <n v="1"/>
    <n v="1"/>
    <x v="0"/>
    <s v="zero_recoverable"/>
    <s v="n/a"/>
    <n v="0"/>
    <n v="0"/>
  </r>
  <r>
    <s v="Heike 2.41"/>
    <s v="疾う疾う罷り出でよと (tōtō makari ideyo to)"/>
    <s v="&quot;Depart quickly&quot;"/>
    <s v="罷り出でよ"/>
    <s v="imperative"/>
    <s v="motion"/>
    <s v="verb"/>
    <s v="intransitive"/>
    <s v="active"/>
    <s v="positive"/>
    <n v="1"/>
    <n v="0"/>
    <s v="n/a"/>
    <n v="0"/>
    <s v="zero_recoverable"/>
    <n v="2"/>
    <s v="n/a"/>
    <s v="n/a"/>
    <n v="0"/>
    <n v="0"/>
    <s v="n/a"/>
    <s v="complement"/>
    <n v="0"/>
    <n v="1"/>
    <s v="sub"/>
    <s v="lexical_humble_verb"/>
    <n v="0"/>
    <x v="4"/>
    <x v="3"/>
    <m/>
    <s v="ss"/>
    <s v="ss"/>
    <s v="topic-drop"/>
    <s v="no_overt_NP"/>
    <s v="embedded"/>
    <m/>
    <n v="0"/>
    <x v="0"/>
    <s v="Yes"/>
    <n v="12"/>
    <m/>
    <n v="1"/>
    <n v="2"/>
    <x v="0"/>
    <s v="zero_recoverable"/>
    <s v="overt"/>
    <n v="0"/>
    <n v="0"/>
  </r>
  <r>
    <s v="Heike 2.42"/>
    <s v="六位を以て云はせられたりければ (to roku-i o motte iwaseraretarikereba)"/>
    <s v="an official of the sixth rank ordered him to depart quickly."/>
    <s v="云はせられたりければ"/>
    <s v="indicative"/>
    <s v="stative"/>
    <s v="verb"/>
    <s v="intransitive"/>
    <s v="causative-passive-resultative"/>
    <s v="positive"/>
    <n v="1"/>
    <n v="2"/>
    <s v="O (Speech) +IO"/>
    <n v="1"/>
    <s v="zero_recoverable"/>
    <n v="3"/>
    <s v="overt"/>
    <s v="n/a"/>
    <n v="0"/>
    <n v="0"/>
    <s v="n/a"/>
    <s v="subordinate"/>
    <n v="1"/>
    <n v="0"/>
    <s v="n/a"/>
    <s v="honorific_aux"/>
    <n v="0"/>
    <x v="2"/>
    <x v="7"/>
    <m/>
    <s v="ss"/>
    <s v="ss"/>
    <s v="topic-drop"/>
    <s v="contains_new"/>
    <m/>
    <m/>
    <n v="2"/>
    <x v="0"/>
    <s v="Yes"/>
    <n v="12"/>
    <m/>
    <n v="1"/>
    <n v="3"/>
    <x v="1"/>
    <s v="overt"/>
    <s v="zero_other"/>
    <n v="0"/>
    <n v="1"/>
  </r>
  <r>
    <s v="Heike 2.43"/>
    <s v="家貞畏つて申しけるは (Iesada kashikomatte mōshikeru wa)"/>
    <s v="But Iesada thus replied:"/>
    <s v="申しける"/>
    <s v="indicative"/>
    <s v="action"/>
    <s v="verb"/>
    <s v="transitive"/>
    <s v="active"/>
    <s v="positive"/>
    <n v="1"/>
    <n v="1"/>
    <s v="SUB"/>
    <n v="0"/>
    <s v="overt"/>
    <n v="3"/>
    <s v="zero_other"/>
    <s v="n/a"/>
    <n v="1"/>
    <n v="0"/>
    <s v="SUB"/>
    <s v="subordinate"/>
    <n v="1"/>
    <n v="0"/>
    <s v="sub"/>
    <s v="lexical_humble_verb"/>
    <n v="0"/>
    <x v="2"/>
    <x v="4"/>
    <m/>
    <s v="ss"/>
    <s v="ds"/>
    <s v="topic-continued"/>
    <s v="all given"/>
    <s v="internally headed"/>
    <m/>
    <n v="1"/>
    <x v="0"/>
    <s v="Yes"/>
    <n v="12"/>
    <m/>
    <n v="1"/>
    <m/>
    <x v="1"/>
    <s v="overt"/>
    <s v="n/a"/>
    <n v="0"/>
    <n v="0"/>
  </r>
  <r>
    <s v="Heike 2.44"/>
    <s v="相伝の主備前守殿今夜闇討にせられ給ふべき (sōden no aruji Bizen no kami-dono kon'ya yamiuchi ni serare-tamō beki) "/>
    <s v="tonight they will try to kill my Lord Bizen-no-kami dono&quot;"/>
    <s v="闇討にせられ給ふ"/>
    <s v="indicative"/>
    <s v="other"/>
    <s v="LVC"/>
    <s v="intransitive"/>
    <s v="passive"/>
    <s v="positive"/>
    <n v="1"/>
    <n v="1"/>
    <s v="SUB"/>
    <n v="1"/>
    <s v="overt"/>
    <n v="3"/>
    <s v="n/a"/>
    <s v="n/a"/>
    <n v="0"/>
    <n v="1"/>
    <s v="REL"/>
    <s v="relative"/>
    <n v="1"/>
    <n v="0"/>
    <s v="sub"/>
    <s v="lexical_honorific_verb"/>
    <n v="0"/>
    <x v="2"/>
    <x v="4"/>
    <m/>
    <s v="ds"/>
    <s v="ss"/>
    <s v="topic-shift"/>
    <s v="contains_new"/>
    <m/>
    <m/>
    <n v="1"/>
    <x v="1"/>
    <s v="Yes"/>
    <n v="12"/>
    <s v="te"/>
    <n v="0"/>
    <n v="4"/>
    <x v="1"/>
    <s v="zero_recoverable"/>
    <s v="overt"/>
    <n v="1"/>
    <n v="0"/>
  </r>
  <r>
    <s v="Heike 2.45"/>
    <s v="由伝へ承つて(yoshi tsutae uketamawatte) "/>
    <s v="Because I have heard that"/>
    <s v="伝へ承つて"/>
    <s v="indicative"/>
    <s v="communication"/>
    <s v="verb"/>
    <s v="transitive"/>
    <s v="active"/>
    <s v="positive"/>
    <n v="1"/>
    <n v="1"/>
    <s v="OBJ"/>
    <n v="0"/>
    <s v="zero_recoverable"/>
    <n v="1"/>
    <s v="overt"/>
    <s v="n/a"/>
    <n v="0"/>
    <n v="0"/>
    <s v="n/a"/>
    <s v="te"/>
    <n v="0"/>
    <n v="1"/>
    <s v="sub"/>
    <s v="honorific_aux"/>
    <n v="0"/>
    <x v="1"/>
    <x v="1"/>
    <s v="te_medial"/>
    <s v="ss"/>
    <s v="ds"/>
    <s v="topic-drop"/>
    <s v="contains_new"/>
    <m/>
    <m/>
    <n v="1"/>
    <x v="0"/>
    <s v="Yes"/>
    <n v="12"/>
    <m/>
    <n v="1"/>
    <m/>
    <x v="1"/>
    <s v="overt"/>
    <s v="n/a"/>
    <n v="0"/>
    <n v="0"/>
  </r>
  <r>
    <s v="Heike 2.46"/>
    <s v="それならん  (sore naran )"/>
    <s v="&quot;whether it is so&quot;"/>
    <s v="ならん "/>
    <s v="epistemic"/>
    <s v="other"/>
    <s v="verb"/>
    <s v="intransitive"/>
    <s v="active"/>
    <s v="positive"/>
    <n v="1"/>
    <n v="1"/>
    <s v="SUB"/>
    <n v="0"/>
    <s v="overt"/>
    <n v="3"/>
    <s v="n/a"/>
    <s v="n/a"/>
    <n v="0"/>
    <n v="1"/>
    <s v="REL"/>
    <s v="relative"/>
    <n v="0"/>
    <n v="0"/>
    <s v="n/a"/>
    <s v="n/a"/>
    <n v="0"/>
    <x v="2"/>
    <x v="2"/>
    <m/>
    <s v="ds"/>
    <s v="ds"/>
    <s v="topic-continued"/>
    <s v="all given"/>
    <m/>
    <m/>
    <n v="1"/>
    <x v="0"/>
    <s v="Yes"/>
    <n v="12"/>
    <m/>
    <n v="0"/>
    <n v="5"/>
    <x v="1"/>
    <s v="zero_recoverable"/>
    <s v="overt"/>
    <n v="1"/>
    <n v="0"/>
  </r>
  <r>
    <s v="Heike 2.47"/>
    <s v="やうを見んとて (yō o min to te)"/>
    <s v="and in order to see "/>
    <s v="見ん"/>
    <s v="dynamic"/>
    <s v="perception"/>
    <s v="verb"/>
    <s v="transitive"/>
    <s v="active"/>
    <s v="positive"/>
    <n v="1"/>
    <n v="1"/>
    <s v="OBJ"/>
    <n v="0"/>
    <s v="zero_recoverable"/>
    <n v="1"/>
    <s v="overt"/>
    <s v="n/a"/>
    <n v="0"/>
    <n v="0"/>
    <s v="REL"/>
    <s v="subordinate"/>
    <n v="0"/>
    <n v="0"/>
    <s v="n/a"/>
    <s v="n/a"/>
    <n v="0"/>
    <x v="7"/>
    <x v="1"/>
    <m/>
    <s v="ds"/>
    <s v="ss"/>
    <s v="topic-drop"/>
    <s v="contains_new"/>
    <m/>
    <m/>
    <n v="1"/>
    <x v="0"/>
    <s v="Yes"/>
    <n v="12"/>
    <m/>
    <n v="1"/>
    <n v="6"/>
    <x v="1"/>
    <s v="zero_exalt"/>
    <s v="n/a"/>
    <n v="0"/>
    <n v="0"/>
  </r>
  <r>
    <s v="Heike 2.48"/>
    <s v="かくて候ふなり (kakute soro fu nari)"/>
    <s v="&quot;have come and am thus waiting&quot;"/>
    <s v="候ふなり"/>
    <s v="indicative"/>
    <s v="stative"/>
    <s v="verb(complex)"/>
    <s v="intransitive"/>
    <s v="active"/>
    <s v="positive"/>
    <n v="1"/>
    <n v="0"/>
    <s v="n/a"/>
    <n v="1"/>
    <s v="zero_exalt"/>
    <n v="1"/>
    <s v="n/a"/>
    <s v="n/a"/>
    <n v="0"/>
    <n v="0"/>
    <s v="n/a"/>
    <s v="main"/>
    <n v="0"/>
    <n v="1"/>
    <s v="sub"/>
    <s v="lexical_humble_verb"/>
    <n v="0"/>
    <x v="2"/>
    <x v="4"/>
    <m/>
    <s v="ss"/>
    <s v="ss"/>
    <s v="topic-drop"/>
    <s v="no_overt_NP"/>
    <m/>
    <m/>
    <n v="0"/>
    <x v="0"/>
    <s v="Yes"/>
    <n v="12"/>
    <s v="main"/>
    <n v="1"/>
    <n v="1"/>
    <x v="1"/>
    <s v="zero_exalt"/>
    <s v="n/a"/>
    <n v="0"/>
    <n v="0"/>
  </r>
  <r>
    <s v="Heike 2.49"/>
    <s v="えこそ出でまじう候へ (e koso idema jiu soro e)"/>
    <s v="&quot;I cannot possibly go out&quot;"/>
    <s v="出でまじう候へ"/>
    <s v="dynamic"/>
    <s v="motion"/>
    <s v="verb"/>
    <s v="intransitive"/>
    <s v="active"/>
    <s v="negative"/>
    <n v="1"/>
    <n v="0"/>
    <s v="n/a"/>
    <n v="0"/>
    <s v="zero_exalt"/>
    <n v="1"/>
    <s v="n/a"/>
    <s v="n/a"/>
    <n v="0"/>
    <n v="0"/>
    <s v="n/a"/>
    <s v="main"/>
    <n v="0"/>
    <n v="1"/>
    <s v="sub"/>
    <s v="polite_aux"/>
    <n v="0"/>
    <x v="2"/>
    <x v="3"/>
    <m/>
    <s v="ss"/>
    <s v="ds"/>
    <s v="topic-drop"/>
    <s v="no_overt_NP"/>
    <m/>
    <m/>
    <n v="0"/>
    <x v="0"/>
    <s v="Yes"/>
    <n v="13"/>
    <m/>
    <n v="1"/>
    <n v="1"/>
    <x v="0"/>
    <s v="overt"/>
    <s v="n/a"/>
    <n v="0"/>
    <n v="0"/>
  </r>
  <r>
    <s v="Heike 2.50"/>
    <s v="これらを由なしとや (korera o yoshi nashi to ya)"/>
    <s v=" there was nothing more to be done;"/>
    <s v="なし"/>
    <s v="indicative"/>
    <s v="stative"/>
    <s v="existential verb"/>
    <s v="intransitive"/>
    <s v="active"/>
    <s v="negative"/>
    <n v="1"/>
    <n v="1"/>
    <s v="SUB"/>
    <n v="1"/>
    <s v="overt"/>
    <n v="3"/>
    <s v="n/a"/>
    <s v="n/a"/>
    <n v="0"/>
    <n v="0"/>
    <s v="n/a"/>
    <s v="complement"/>
    <n v="0"/>
    <n v="0"/>
    <s v="n/a"/>
    <s v="n/a"/>
    <n v="0"/>
    <x v="4"/>
    <x v="3"/>
    <m/>
    <s v="ds"/>
    <m/>
    <s v="topic-continued"/>
    <s v="contains_new"/>
    <m/>
    <m/>
    <n v="1"/>
    <x v="0"/>
    <s v="Yes"/>
    <n v="14"/>
    <s v="main"/>
    <n v="1"/>
    <n v="2"/>
    <x v="1"/>
    <s v="zero_exalt"/>
    <s v="overt"/>
    <n v="1"/>
    <n v="0"/>
  </r>
  <r>
    <m/>
    <s v="思はれけん (omowareken)"/>
    <s v="And they saw that"/>
    <s v="思はれけん"/>
    <s v="epistemic"/>
    <s v="psych-state"/>
    <s v="verb"/>
    <s v="transitive"/>
    <s v="active"/>
    <s v="positive"/>
    <n v="1"/>
    <n v="1"/>
    <s v="O (Speech)"/>
    <n v="0"/>
    <s v="zero_exalt"/>
    <n v="3"/>
    <s v="overt"/>
    <s v="n/a"/>
    <n v="0"/>
    <n v="0"/>
    <s v="n/a"/>
    <s v="main"/>
    <n v="0"/>
    <n v="1"/>
    <s v="sub"/>
    <s v="honorific_aux"/>
    <n v="0"/>
    <x v="8"/>
    <x v="0"/>
    <m/>
    <s v="ds"/>
    <m/>
    <s v="topic-drop"/>
    <s v="contains_new"/>
    <m/>
    <m/>
    <n v="1"/>
    <x v="0"/>
    <s v="Yes"/>
    <n v="14"/>
    <m/>
    <n v="1"/>
    <n v="1"/>
    <x v="1"/>
    <s v="overt"/>
    <s v="n/a"/>
    <n v="0"/>
    <n v="0"/>
  </r>
  <r>
    <s v="Heike 2.51"/>
    <s v="その夜の闇討なかりけり (sono yo no yamiuchi nakarikeri)"/>
    <s v="and thus the attempt did not take place."/>
    <s v="なかりけり"/>
    <s v="indicative"/>
    <s v="aux/modal"/>
    <s v="verb"/>
    <s v="intransitive"/>
    <s v="active"/>
    <s v="negative"/>
    <n v="1"/>
    <n v="1"/>
    <s v="SUB"/>
    <n v="0"/>
    <s v="overt"/>
    <s v="inanimate"/>
    <s v="n/a"/>
    <s v="n/a"/>
    <n v="0"/>
    <n v="0"/>
    <s v="n/a"/>
    <s v="main"/>
    <n v="0"/>
    <n v="0"/>
    <s v="n/a"/>
    <s v="n/a"/>
    <n v="0"/>
    <x v="2"/>
    <x v="3"/>
    <m/>
    <s v="ss"/>
    <s v="ds"/>
    <s v="topic-shift"/>
    <s v="contains_new"/>
    <m/>
    <m/>
    <n v="1"/>
    <x v="0"/>
    <s v="Yes"/>
    <n v="15"/>
    <s v="subordinate"/>
    <n v="1"/>
    <n v="1"/>
    <x v="0"/>
    <s v="overt"/>
    <s v="n/a"/>
    <n v="0"/>
    <n v="0"/>
  </r>
  <r>
    <s v="Heike 2.52"/>
    <s v="忠盛また御前の召しに舞はれけるに (Tadamori mata gozen no meshi ni mawarekeru ni)"/>
    <s v="But when Tadamori danced in the August presence of the Mikado at his Imperial wish,"/>
    <s v="舞はれける"/>
    <s v="indicative"/>
    <s v="action"/>
    <s v="verb"/>
    <s v="intransitive"/>
    <s v="active"/>
    <s v="positive"/>
    <n v="1"/>
    <n v="1"/>
    <s v="SUB"/>
    <n v="1"/>
    <s v="overt"/>
    <n v="3"/>
    <s v="n/a"/>
    <s v="n/a"/>
    <n v="0"/>
    <n v="0"/>
    <s v="REL"/>
    <s v="subordinate"/>
    <n v="1"/>
    <n v="0"/>
    <s v="sub"/>
    <s v="honorific_aux"/>
    <n v="0"/>
    <x v="0"/>
    <x v="3"/>
    <m/>
    <s v="ds"/>
    <s v="ds"/>
    <s v="topic-shift"/>
    <s v="contains_new"/>
    <m/>
    <m/>
    <n v="1"/>
    <x v="0"/>
    <s v="Yes"/>
    <n v="16"/>
    <s v="te"/>
    <n v="1"/>
    <n v="2"/>
    <x v="1"/>
    <s v="overt"/>
    <s v="overt"/>
    <n v="0"/>
    <n v="0"/>
  </r>
  <r>
    <s v="Heike 2.53"/>
    <s v="人々拍子を変へて (hitobito hyōshi o kaete)"/>
    <s v="the others mocked at him, changing the words of the music"/>
    <s v="変へて"/>
    <s v="indicative"/>
    <s v="other"/>
    <s v="verb"/>
    <s v="transitive"/>
    <s v="active"/>
    <s v="positive"/>
    <n v="1"/>
    <n v="2"/>
    <s v="S+O"/>
    <n v="0"/>
    <s v="overt"/>
    <n v="3"/>
    <s v="overt"/>
    <s v="n/a"/>
    <n v="0"/>
    <n v="0"/>
    <s v="n/a"/>
    <s v="te"/>
    <n v="0"/>
    <n v="0"/>
    <s v="n/a"/>
    <s v="n/a"/>
    <n v="0"/>
    <x v="1"/>
    <x v="4"/>
    <s v="te_medial"/>
    <s v="ds"/>
    <s v="ds"/>
    <s v="topic-shift"/>
    <s v="contains_new"/>
    <m/>
    <m/>
    <n v="2"/>
    <x v="0"/>
    <s v="Yes"/>
    <n v="16"/>
    <s v="complement"/>
    <n v="1"/>
    <n v="3"/>
    <x v="1"/>
    <s v="overt"/>
    <s v="n/a"/>
    <n v="0"/>
    <n v="0"/>
  </r>
  <r>
    <s v="Heike 2.54"/>
    <s v="伊勢へいじはすがめなりけりとぞ (Ise heiji wa sugame narikeri)"/>
    <s v="&quot;the winepot of Ise has turned into a vinegar jar&quot;"/>
    <s v="なりけり"/>
    <s v="indicative"/>
    <s v="stative"/>
    <s v="copula"/>
    <s v="intransitive"/>
    <s v="active"/>
    <s v="positive"/>
    <n v="1"/>
    <n v="1"/>
    <s v="SUB"/>
    <n v="0"/>
    <s v="overt"/>
    <n v="3"/>
    <s v="n/a"/>
    <s v="n/a"/>
    <n v="0"/>
    <n v="0"/>
    <s v="n/a"/>
    <s v="complement"/>
    <n v="0"/>
    <n v="0"/>
    <s v="n/a"/>
    <s v="n/a"/>
    <n v="0"/>
    <x v="4"/>
    <x v="2"/>
    <m/>
    <s v="ds"/>
    <s v="ss"/>
    <s v="topic-introduced"/>
    <s v="contains_new"/>
    <m/>
    <m/>
    <n v="1"/>
    <x v="0"/>
    <s v="Yes"/>
    <n v="16"/>
    <s v="main"/>
    <n v="1"/>
    <n v="4"/>
    <x v="1"/>
    <s v="zero_exalt"/>
    <s v="overt"/>
    <n v="1"/>
    <n v="0"/>
  </r>
  <r>
    <s v="Heike 2.55"/>
    <s v="囃されける (to zo hayasarekeru)"/>
    <s v="they sang in mockery"/>
    <s v="囃されける"/>
    <s v="indicative"/>
    <s v="action"/>
    <s v="verb"/>
    <s v="transitive"/>
    <s v="active"/>
    <s v="positive"/>
    <n v="1"/>
    <n v="1"/>
    <s v="O (Speech)"/>
    <n v="0"/>
    <s v="zero_exalt"/>
    <n v="3"/>
    <s v="overt"/>
    <s v="n/a"/>
    <n v="0"/>
    <n v="0"/>
    <s v="kakari-musubi"/>
    <s v="main"/>
    <n v="0"/>
    <n v="1"/>
    <s v="sub"/>
    <s v="honorific_aux"/>
    <n v="0"/>
    <x v="8"/>
    <x v="7"/>
    <m/>
    <s v="ss"/>
    <s v="ss"/>
    <s v="topic-drop"/>
    <s v="contains_new"/>
    <m/>
    <m/>
    <n v="1"/>
    <x v="0"/>
    <s v="Yes"/>
    <n v="16"/>
    <s v="subordinate"/>
    <n v="1"/>
    <n v="1"/>
    <x v="1"/>
    <s v="overt"/>
    <s v="overt"/>
    <n v="0"/>
    <n v="0"/>
  </r>
  <r>
    <s v="Heike 2.56"/>
    <s v="かけまくも忝くこの人々は柏原天皇の御末とは申しながら (kakemakumo katabokaku kono hitobito wa Kashiwabara Tennō no o-sue to wa mōshinagara)"/>
    <s v="In thus mentioning the vessels of his province they punned on his title..."/>
    <s v="申しながら"/>
    <s v="indicative"/>
    <s v="communication"/>
    <s v="verb"/>
    <s v="transitive"/>
    <s v="active"/>
    <s v="positive"/>
    <n v="1"/>
    <n v="2"/>
    <s v="S+O (Speech)"/>
    <n v="1"/>
    <s v="overt"/>
    <n v="3"/>
    <s v="overt"/>
    <s v="n/a"/>
    <n v="0"/>
    <n v="0"/>
    <s v="n/a"/>
    <s v="subordinate"/>
    <n v="1"/>
    <n v="0"/>
    <s v="sub"/>
    <s v="lexical_humble_verb"/>
    <n v="0"/>
    <x v="0"/>
    <x v="3"/>
    <m/>
    <s v="ss"/>
    <s v="ds"/>
    <s v="topic-shift"/>
    <s v="contains_new"/>
    <m/>
    <m/>
    <n v="2"/>
    <x v="0"/>
    <s v="Yes"/>
    <n v="17"/>
    <s v="main"/>
    <n v="1"/>
    <n v="2"/>
    <x v="0"/>
    <s v="overt"/>
    <s v="n/a"/>
    <n v="0"/>
    <n v="0"/>
  </r>
  <r>
    <s v="Heike 2.57"/>
    <s v="中比は都の住まひも疎々しく (chūbi wa miyako no sumai mo utoutoshiku)"/>
    <s v="and since lately his family had lived away from the capital,"/>
    <s v="疎々しく"/>
    <s v="indicative"/>
    <s v="psych-state"/>
    <s v="adjectival predicate"/>
    <s v="intransitive"/>
    <s v="active"/>
    <s v="positive"/>
    <n v="1"/>
    <n v="1"/>
    <s v="SUB"/>
    <n v="1"/>
    <s v="overt"/>
    <n v="3"/>
    <s v="n/a"/>
    <s v="n/a"/>
    <n v="0"/>
    <n v="0"/>
    <s v="n/a"/>
    <s v="main"/>
    <n v="0"/>
    <n v="0"/>
    <s v="n/a"/>
    <s v="n/a"/>
    <n v="0"/>
    <x v="2"/>
    <x v="4"/>
    <m/>
    <s v="ds"/>
    <s v="ss"/>
    <s v="topic-shift"/>
    <s v="contains_new"/>
    <m/>
    <m/>
    <n v="1"/>
    <x v="0"/>
    <s v="Yes"/>
    <n v="17"/>
    <s v="te"/>
    <n v="1"/>
    <n v="1"/>
    <x v="1"/>
    <s v="zero_recoverable"/>
    <s v="n/a"/>
    <n v="1"/>
    <n v="0"/>
  </r>
  <r>
    <s v="Heike 2.58"/>
    <s v="地下にのみ振舞ひなつて ( jige ni nomi furumai natte)"/>
    <s v=" behaving as mere provincial folk"/>
    <s v="振舞ひなつて"/>
    <s v="indicative"/>
    <s v="other"/>
    <s v="verb(compound)"/>
    <s v="intransitive"/>
    <s v="active"/>
    <s v="positive"/>
    <n v="1"/>
    <n v="1"/>
    <s v="IO"/>
    <n v="0"/>
    <s v="zero_recoverable"/>
    <n v="3"/>
    <s v="n/a"/>
    <s v="overt"/>
    <n v="0"/>
    <n v="0"/>
    <s v="n/a"/>
    <s v="te"/>
    <n v="0"/>
    <n v="0"/>
    <s v="n/a"/>
    <s v="n/a"/>
    <n v="0"/>
    <x v="1"/>
    <x v="3"/>
    <s v="te_medial"/>
    <s v="ss"/>
    <s v="ss"/>
    <s v="topic-drop"/>
    <s v="contains_new"/>
    <m/>
    <m/>
    <n v="1"/>
    <x v="0"/>
    <s v="Yes"/>
    <n v="18"/>
    <s v="subordinate"/>
    <n v="1"/>
    <n v="2"/>
    <x v="1"/>
    <s v="zero_recoverable"/>
    <s v="n/a"/>
    <n v="0"/>
    <n v="0"/>
  </r>
  <r>
    <s v="Heike 2.59"/>
    <s v="伊勢国に住国深かりしかば  (Ise no kuni ni sumikoku fukakarishikaba)"/>
    <s v="and as they lived deep in Ise province, they likened him to the vessels of that province"/>
    <s v="深かりしかば"/>
    <s v="indicative"/>
    <s v="psych-state"/>
    <s v="adjectival predicate"/>
    <s v="intransitive"/>
    <s v="active"/>
    <s v="positive"/>
    <n v="1"/>
    <n v="1"/>
    <s v="SUB"/>
    <n v="1"/>
    <s v="zero_recoverable"/>
    <n v="3"/>
    <s v="n/a"/>
    <s v="n/a"/>
    <n v="0"/>
    <n v="0"/>
    <s v="n/a"/>
    <s v="subordinate"/>
    <n v="0"/>
    <n v="0"/>
    <s v="n/a"/>
    <s v="n/a"/>
    <n v="0"/>
    <x v="3"/>
    <x v="2"/>
    <m/>
    <s v="ss"/>
    <s v="ds"/>
    <s v="topic-drop"/>
    <s v="contains_new"/>
    <m/>
    <m/>
    <n v="1"/>
    <x v="0"/>
    <s v="Yes"/>
    <n v="18"/>
    <s v="te"/>
    <n v="1"/>
    <n v="3"/>
    <x v="1"/>
    <s v="zero_uncertain"/>
    <s v="zero_uncertain"/>
    <n v="0"/>
    <n v="0"/>
  </r>
  <r>
    <s v="Heike 2.60"/>
    <s v="その国の器に言寄せて"/>
    <s v="sono kuni no utsuwa ni kotoyosete)"/>
    <s v="言寄せて"/>
    <s v="indicative"/>
    <s v="communication"/>
    <s v="verb"/>
    <s v="ditransitive"/>
    <s v="active"/>
    <s v="positive"/>
    <n v="1"/>
    <n v="1"/>
    <s v="IO"/>
    <n v="0"/>
    <s v="zero_uncertain"/>
    <n v="3"/>
    <s v="zero_uncertain"/>
    <s v="overt"/>
    <n v="0"/>
    <n v="0"/>
    <s v="n/a"/>
    <s v="te"/>
    <n v="0"/>
    <n v="0"/>
    <s v="n/a"/>
    <s v="n/a"/>
    <n v="0"/>
    <x v="1"/>
    <x v="4"/>
    <s v="te_medial"/>
    <s v="ds"/>
    <s v="ss"/>
    <s v="topic-drop"/>
    <s v="contains_new"/>
    <m/>
    <m/>
    <n v="1"/>
    <x v="0"/>
    <s v="Yes"/>
    <n v="18"/>
    <s v="main"/>
    <n v="1"/>
    <n v="4"/>
    <x v="1"/>
    <s v="zero_recoverable"/>
    <s v="n/a"/>
    <n v="0"/>
    <n v="0"/>
  </r>
  <r>
    <s v="Heike 2.61"/>
    <s v="伊勢平氏とぞ囃されける (Ise Heishi to zo hayasarekeru)"/>
    <s v="so they mocked him as 'Ise Heishi'"/>
    <s v="囃されける"/>
    <s v="indicative"/>
    <s v="action"/>
    <s v="verb"/>
    <s v="intransitive"/>
    <s v="passive"/>
    <s v="positive"/>
    <n v="1"/>
    <n v="1"/>
    <s v="O (Speech)"/>
    <n v="0"/>
    <s v="zero_recoverable"/>
    <n v="3"/>
    <s v="n/a"/>
    <s v="overt"/>
    <n v="0"/>
    <n v="0"/>
    <s v="kakari-musubi"/>
    <s v="main"/>
    <n v="0"/>
    <n v="0"/>
    <s v="n/a"/>
    <s v="n/a"/>
    <n v="0"/>
    <x v="2"/>
    <x v="2"/>
    <m/>
    <s v="ss"/>
    <s v="ds"/>
    <s v="topic-drop"/>
    <s v="contains_new"/>
    <m/>
    <m/>
    <n v="1"/>
    <x v="0"/>
    <s v="Yes"/>
    <n v="18"/>
    <s v="subordinate"/>
    <n v="1"/>
    <n v="1"/>
    <x v="1"/>
    <s v="overt"/>
    <s v="n/a"/>
    <n v="0"/>
    <n v="0"/>
  </r>
  <r>
    <s v="Heike 2.62"/>
    <s v="その上忠盛目の眇まれたりける故にこそ (sono ue Tadamori me no sugamaretari keru yue ni koso)"/>
    <s v="moreover, because Tadamori's eyes were squinted, "/>
    <s v="眇まれたりける"/>
    <s v="indicative"/>
    <s v="action"/>
    <s v="verb"/>
    <s v="intransitive"/>
    <s v="active"/>
    <s v="positive"/>
    <n v="1"/>
    <n v="1"/>
    <s v="SUB"/>
    <n v="1"/>
    <s v="overt"/>
    <n v="3"/>
    <s v="n/a"/>
    <s v="n/a"/>
    <n v="0"/>
    <n v="1"/>
    <s v="REL"/>
    <s v="subordinate"/>
    <n v="0"/>
    <n v="0"/>
    <s v="n/a"/>
    <s v="n/a"/>
    <n v="0"/>
    <x v="3"/>
    <x v="3"/>
    <m/>
    <s v="ds"/>
    <s v="ss"/>
    <s v="topic-continued"/>
    <s v="contains_new"/>
    <m/>
    <m/>
    <n v="1"/>
    <x v="0"/>
    <s v="Yes"/>
    <n v="19"/>
    <m/>
    <n v="1"/>
    <n v="2"/>
    <x v="0"/>
    <s v="zero_recoverable"/>
    <s v="n/a"/>
    <n v="1"/>
    <n v="0"/>
  </r>
  <r>
    <s v="Heike 2.63"/>
    <s v="かやうには囃されけるなれ  (kayō ni wa hayasarekeru nare)"/>
    <s v="he was mocked in such a way"/>
    <s v="囃されけるなれ"/>
    <s v="indicative"/>
    <s v="other"/>
    <s v="verb"/>
    <s v="intransitive"/>
    <s v="passive"/>
    <s v="positive"/>
    <n v="1"/>
    <n v="0"/>
    <s v="n/a"/>
    <n v="0"/>
    <s v="zero_recoverable"/>
    <n v="3"/>
    <s v="n/a"/>
    <s v="n/a"/>
    <n v="0"/>
    <n v="0"/>
    <s v="kakari-musubi"/>
    <s v="main"/>
    <n v="0"/>
    <n v="0"/>
    <s v="n/a"/>
    <s v="n/a"/>
    <n v="0"/>
    <x v="2"/>
    <x v="4"/>
    <m/>
    <s v="ss"/>
    <s v="ss"/>
    <s v="topic-drop"/>
    <s v="no_overt_NP"/>
    <m/>
    <m/>
    <n v="0"/>
    <x v="0"/>
    <s v="Yes"/>
    <n v="19"/>
    <m/>
    <n v="1"/>
    <n v="1"/>
    <x v="1"/>
    <s v="overt"/>
    <s v="overt"/>
    <n v="0"/>
    <n v="0"/>
  </r>
  <r>
    <s v="Heike 2.64"/>
    <s v="忠盛何とすべきやうもなくして (Tadamori nan to subeki yō mo nakushite)"/>
    <s v="Tadamori, having no way of dealing with the situation,"/>
    <s v="なくして"/>
    <s v="indicative"/>
    <s v="other"/>
    <s v="verb"/>
    <s v="transitive"/>
    <s v="active"/>
    <s v="negative"/>
    <n v="1"/>
    <n v="2"/>
    <s v="S+O"/>
    <n v="0"/>
    <s v="overt"/>
    <n v="3"/>
    <s v="overt"/>
    <s v="n/a"/>
    <n v="0"/>
    <n v="0"/>
    <s v="n/a"/>
    <s v="te"/>
    <n v="0"/>
    <n v="0"/>
    <s v="n/a"/>
    <s v="n/a"/>
    <n v="0"/>
    <x v="1"/>
    <x v="3"/>
    <s v="te_initial"/>
    <s v="ss"/>
    <s v="ds"/>
    <s v="topic-continued"/>
    <s v="contains_new"/>
    <m/>
    <m/>
    <n v="2"/>
    <x v="0"/>
    <s v="Yes"/>
    <n v="20"/>
    <s v="subordinate"/>
    <n v="1"/>
    <n v="2"/>
    <x v="0"/>
    <s v="overt"/>
    <s v="n/a"/>
    <n v="0"/>
    <n v="0"/>
  </r>
  <r>
    <s v="Heike 2.65"/>
    <s v="御遊も未だ終らざる前に (gyoyū mo mada owarazaru mae ni)"/>
    <s v="before the entertainment had ended,"/>
    <s v="終らざる"/>
    <s v="indicative"/>
    <s v="other"/>
    <s v="verb"/>
    <s v="intransitive"/>
    <s v="active"/>
    <s v="negative"/>
    <n v="1"/>
    <n v="1"/>
    <s v="SUB"/>
    <n v="1"/>
    <s v="overt"/>
    <n v="3"/>
    <s v="n/a"/>
    <s v="n/a"/>
    <n v="0"/>
    <n v="1"/>
    <s v="REL"/>
    <s v="subordinate"/>
    <n v="0"/>
    <n v="0"/>
    <s v="n/a"/>
    <s v="n/a"/>
    <n v="0"/>
    <x v="0"/>
    <x v="2"/>
    <m/>
    <s v="ds"/>
    <s v="ds"/>
    <s v="topic-drop"/>
    <s v="contains_new"/>
    <m/>
    <m/>
    <n v="1"/>
    <x v="0"/>
    <s v="Yes"/>
    <n v="20"/>
    <m/>
    <n v="1"/>
    <n v="3"/>
    <x v="1"/>
    <s v="zero_exalt"/>
    <s v="n/a"/>
    <n v="1"/>
    <n v="0"/>
  </r>
  <r>
    <s v="Heike 2.66"/>
    <s v="密かに罷り出でらるとて (hisokani makari ideraru tote)"/>
    <s v="he secretly left the Presence,"/>
    <s v="罷り出でらる"/>
    <s v="indicative"/>
    <s v="motion"/>
    <s v="verb"/>
    <s v="intransitive"/>
    <s v="active"/>
    <s v="positive"/>
    <n v="1"/>
    <n v="0"/>
    <s v="n/a"/>
    <n v="1"/>
    <s v="zero_exalt"/>
    <n v="3"/>
    <s v="n/a"/>
    <s v="n/a"/>
    <n v="0"/>
    <n v="0"/>
    <s v="REL"/>
    <s v="subordinate"/>
    <n v="0"/>
    <n v="1"/>
    <s v="sub"/>
    <s v="honorific_aux+lexical_honorific_verb"/>
    <n v="0"/>
    <x v="0"/>
    <x v="4"/>
    <m/>
    <s v="ds"/>
    <s v="ss"/>
    <s v="topic-drop"/>
    <s v="no_overt_NP"/>
    <m/>
    <m/>
    <n v="0"/>
    <x v="0"/>
    <s v="Yes"/>
    <n v="20"/>
    <s v="te"/>
    <n v="1"/>
    <n v="4"/>
    <x v="1"/>
    <s v="zero_recoverable"/>
    <s v="n/a"/>
    <n v="0"/>
    <n v="0"/>
  </r>
  <r>
    <s v="Heike 2.67"/>
    <s v="紫宸殿の御後にして (Shishinden no o-ato ni shite)"/>
    <s v="and going behind the Shishinden,"/>
    <s v="後にして"/>
    <s v="indicative"/>
    <s v="other"/>
    <s v="LVC (j)"/>
    <s v="intransitive"/>
    <s v="active"/>
    <s v="positive"/>
    <n v="1"/>
    <n v="0"/>
    <s v="n/a"/>
    <n v="1"/>
    <s v="zero_recoverable"/>
    <n v="3"/>
    <s v="n/a"/>
    <s v="n/a"/>
    <n v="0"/>
    <n v="0"/>
    <s v="n/a"/>
    <s v="te"/>
    <n v="0"/>
    <n v="0"/>
    <s v="n/a"/>
    <s v="n/a"/>
    <n v="0"/>
    <x v="1"/>
    <x v="4"/>
    <s v="te_medial"/>
    <s v="ss"/>
    <s v="ds"/>
    <s v="topic-drop"/>
    <s v="no_overt_NP"/>
    <m/>
    <m/>
    <n v="0"/>
    <x v="1"/>
    <s v="Yes"/>
    <n v="20"/>
    <m/>
    <n v="1"/>
    <m/>
    <x v="1"/>
    <s v="overt"/>
    <s v="zero_recoverable"/>
    <n v="0"/>
    <n v="0"/>
  </r>
  <r>
    <s v="Heike 2.68"/>
    <s v="かたへの殿上人の見られける (kata e no tenjōbito no mirarekeru)"/>
    <s v=" the court nobles could see him,"/>
    <s v="見られける"/>
    <s v="indicative"/>
    <s v="action"/>
    <s v="verb"/>
    <s v="transitive"/>
    <s v="active"/>
    <s v="positive"/>
    <n v="1"/>
    <n v="1"/>
    <s v="SUB"/>
    <n v="0"/>
    <s v="overt"/>
    <n v="3"/>
    <s v="zero_recoverable"/>
    <s v="n/a"/>
    <n v="0"/>
    <n v="1"/>
    <s v="REL"/>
    <s v="relative"/>
    <n v="1"/>
    <n v="0"/>
    <s v="sub"/>
    <s v="honorific_aux"/>
    <n v="0"/>
    <x v="2"/>
    <x v="2"/>
    <m/>
    <s v="ds"/>
    <s v="ss"/>
    <s v="topic-introduced"/>
    <s v="contains_new"/>
    <m/>
    <m/>
    <n v="1"/>
    <x v="0"/>
    <s v="Yes"/>
    <n v="20"/>
    <s v="te"/>
    <n v="0"/>
    <n v="5"/>
    <x v="1"/>
    <s v="zero_exalt"/>
    <s v="overt"/>
    <n v="1"/>
    <n v="0"/>
  </r>
  <r>
    <s v="Heike 2.69"/>
    <s v="所にて主殿司を召して (tokoro nite tonomotsukasa o meshite azukeokite zo iderarekeru)"/>
    <s v="in a place where… he summoned the Tonomotsukasa, "/>
    <s v="召して "/>
    <s v="indicative"/>
    <s v="action"/>
    <s v="verb"/>
    <s v="transitive"/>
    <s v="active"/>
    <s v="positive"/>
    <n v="1"/>
    <n v="1"/>
    <s v="OBJ"/>
    <n v="1"/>
    <s v="zero_exalt"/>
    <n v="3"/>
    <s v="overt"/>
    <s v="n/a"/>
    <n v="0"/>
    <n v="0"/>
    <s v="n/a"/>
    <s v="te"/>
    <n v="0"/>
    <n v="1"/>
    <s v="sub"/>
    <s v="lexical_honorific_verb"/>
    <n v="0"/>
    <x v="1"/>
    <x v="1"/>
    <s v="te_medial"/>
    <s v="ss"/>
    <s v="ss"/>
    <s v="topic-drop"/>
    <s v="contains_new"/>
    <m/>
    <m/>
    <n v="1"/>
    <x v="0"/>
    <s v="Yes"/>
    <n v="20"/>
    <m/>
    <n v="1"/>
    <n v="6"/>
    <x v="1"/>
    <s v="zero_recoverable"/>
    <s v="zero_recoverable"/>
    <n v="0"/>
    <n v="1"/>
  </r>
  <r>
    <s v="Heike 2.70"/>
    <s v="預け置きてぞ"/>
    <s v=" entrusted [his sword]"/>
    <s v="預け置きて"/>
    <s v="indicative"/>
    <s v="other"/>
    <s v="verb"/>
    <s v="transitive"/>
    <s v="active"/>
    <s v="positive"/>
    <n v="1"/>
    <n v="0"/>
    <s v="n/a"/>
    <n v="0"/>
    <s v="zero_recoverable"/>
    <n v="3"/>
    <s v="zero_recoverable"/>
    <s v="n/a"/>
    <n v="0"/>
    <n v="0"/>
    <s v="n/a"/>
    <s v="te"/>
    <n v="0"/>
    <n v="0"/>
    <s v="n/a"/>
    <s v="n/a"/>
    <n v="0"/>
    <x v="2"/>
    <x v="2"/>
    <s v="te_medial"/>
    <s v="ss"/>
    <s v="ss"/>
    <s v="topic-drop"/>
    <s v="no_overt_NP"/>
    <m/>
    <m/>
    <n v="0"/>
    <x v="0"/>
    <s v="Yes"/>
    <n v="20"/>
    <s v="main"/>
    <n v="1"/>
    <n v="7"/>
    <x v="1"/>
    <s v="zero_exalt"/>
    <s v="n/a"/>
    <n v="0"/>
    <n v="0"/>
  </r>
  <r>
    <s v="Heike 2.71"/>
    <s v="出でられける"/>
    <s v="and left,"/>
    <s v="出でられける"/>
    <s v="indicative"/>
    <s v="motion"/>
    <s v="verb"/>
    <s v="intransitive"/>
    <s v="active"/>
    <s v="positive"/>
    <n v="1"/>
    <n v="0"/>
    <s v="n/a"/>
    <n v="0"/>
    <s v="zero_exalt"/>
    <n v="3"/>
    <s v="n/a"/>
    <s v="n/a"/>
    <n v="0"/>
    <n v="0"/>
    <s v="n/a"/>
    <s v="main"/>
    <n v="0"/>
    <n v="1"/>
    <s v="sub"/>
    <s v="honorific_aux"/>
    <n v="0"/>
    <x v="2"/>
    <x v="2"/>
    <m/>
    <s v="ss"/>
    <s v="ds"/>
    <s v="topic-drop"/>
    <s v="no_overt_NP"/>
    <m/>
    <m/>
    <n v="0"/>
    <x v="0"/>
    <s v="Yes"/>
    <n v="20"/>
    <m/>
    <n v="1"/>
    <n v="1"/>
    <x v="1"/>
    <s v="overt"/>
    <s v="zero_recoverable"/>
    <n v="0"/>
    <n v="0"/>
  </r>
  <r>
    <s v="Heike 2.72"/>
    <s v="家貞待ち受け奉りて (Iesada machi-uke tatemawari-te)"/>
    <s v="Iesada, who was waiting for his lord,"/>
    <s v="待ち受け奉りて"/>
    <s v="indicative"/>
    <s v="action"/>
    <s v="verb(complex)"/>
    <s v="transitive"/>
    <s v="active"/>
    <s v="positive"/>
    <n v="1"/>
    <n v="1"/>
    <s v="SUB"/>
    <n v="0"/>
    <s v="overt"/>
    <n v="3"/>
    <s v="zero_recoverable"/>
    <s v="n/a"/>
    <n v="0"/>
    <n v="0"/>
    <s v="n/a"/>
    <s v="te"/>
    <n v="1"/>
    <n v="0"/>
    <s v="sub"/>
    <s v="lexical_humble_verb"/>
    <n v="0"/>
    <x v="1"/>
    <x v="3"/>
    <s v="te_initial"/>
    <s v="ds"/>
    <s v="ss"/>
    <s v="topic-shift"/>
    <s v="contains_new"/>
    <m/>
    <m/>
    <n v="1"/>
    <x v="0"/>
    <s v="Yes"/>
    <n v="21"/>
    <m/>
    <n v="1"/>
    <n v="2"/>
    <x v="0"/>
    <s v="zero_other"/>
    <s v="n/a"/>
    <n v="1"/>
    <n v="0"/>
  </r>
  <r>
    <s v="Heike 2.73"/>
    <s v="さていかが候ひつると (sate ikaga soroitsuru to)"/>
    <s v="&quot;What has happened?&quot; he asked."/>
    <s v="候ひつる"/>
    <s v="indicative"/>
    <s v="other"/>
    <s v="verb"/>
    <s v="intransitive"/>
    <s v="active"/>
    <s v="positive"/>
    <n v="1"/>
    <n v="0"/>
    <s v="n/a"/>
    <n v="1"/>
    <s v="zero_other"/>
    <n v="3"/>
    <s v="n/a"/>
    <s v="n/a"/>
    <n v="0"/>
    <n v="0"/>
    <s v="REL"/>
    <s v="complement"/>
    <n v="0"/>
    <n v="0"/>
    <s v="n/a"/>
    <s v="polite_aux"/>
    <n v="0"/>
    <x v="4"/>
    <x v="2"/>
    <m/>
    <s v="ss"/>
    <s v="ss"/>
    <s v="topic-drop"/>
    <s v="no_overt_NP"/>
    <m/>
    <m/>
    <n v="0"/>
    <x v="0"/>
    <s v="Yes"/>
    <n v="21"/>
    <m/>
    <n v="1"/>
    <n v="3"/>
    <x v="1"/>
    <s v="zero_exalt"/>
    <s v="overt"/>
    <n v="0"/>
    <n v="0"/>
  </r>
  <r>
    <s v="Heike 2.74"/>
    <s v="申されければ (mōsarekeru ba)"/>
    <s v="he was asked,"/>
    <s v="申されける"/>
    <s v="indicative"/>
    <s v="action"/>
    <s v="verb"/>
    <s v="intransitive"/>
    <s v="passive"/>
    <s v="positive"/>
    <n v="1"/>
    <n v="1"/>
    <s v="O (Speech)"/>
    <n v="0"/>
    <s v="zero_exalt"/>
    <n v="3"/>
    <s v="overt"/>
    <s v="n/a"/>
    <n v="0"/>
    <n v="0"/>
    <s v="n/a"/>
    <s v="main"/>
    <n v="0"/>
    <n v="1"/>
    <s v="sub"/>
    <s v="honorific_aux+lexical_humble_verb"/>
    <n v="0"/>
    <x v="0"/>
    <x v="7"/>
    <m/>
    <s v="ss"/>
    <s v="ss"/>
    <s v="topic-drop"/>
    <s v="contains_new"/>
    <m/>
    <m/>
    <n v="1"/>
    <x v="0"/>
    <s v="Yes"/>
    <n v="21"/>
    <m/>
    <n v="1"/>
    <n v="1"/>
    <x v="1"/>
    <s v="zero_other"/>
    <s v="not_applicable"/>
    <n v="0"/>
    <n v="0"/>
  </r>
  <r>
    <s v="Heike 2.75"/>
    <s v="かくとも云はまほしう"/>
    <s v="to tell him"/>
    <s v="云はまほしう"/>
    <s v="desiderative"/>
    <s v="other"/>
    <s v="verb"/>
    <s v="intransitive"/>
    <s v="active"/>
    <s v="positive"/>
    <n v="1"/>
    <n v="0"/>
    <s v="n/a"/>
    <n v="1"/>
    <s v="zero_other"/>
    <n v="3"/>
    <s v="n/a"/>
    <s v="n/a"/>
    <n v="0"/>
    <n v="0"/>
    <s v="n/a"/>
    <s v="main"/>
    <n v="0"/>
    <n v="0"/>
    <s v="n/a"/>
    <s v="n/a"/>
    <n v="0"/>
    <x v="2"/>
    <x v="3"/>
    <m/>
    <s v="ss"/>
    <s v="ss"/>
    <s v="topic-drop"/>
    <s v="no_overt_NP"/>
    <m/>
    <m/>
    <n v="0"/>
    <x v="0"/>
    <s v="Yes"/>
    <n v="22"/>
    <m/>
    <n v="1"/>
    <n v="1"/>
    <x v="1"/>
    <s v="zero_other"/>
    <s v="overt"/>
    <n v="0"/>
    <n v="0"/>
  </r>
  <r>
    <s v="Heike 2.76"/>
    <s v="思はれけれども (kakutomo iwamahoshū omowarekeredomo)"/>
    <s v="although he greatly wished,"/>
    <s v="思はれけれども"/>
    <s v="indicative"/>
    <s v="psych-state"/>
    <s v="verb"/>
    <s v="transitive"/>
    <s v="active"/>
    <s v="positive"/>
    <n v="1"/>
    <n v="1"/>
    <s v="O (Speech)"/>
    <n v="1"/>
    <s v="zero_other"/>
    <n v="3"/>
    <s v="overt"/>
    <s v="n/a"/>
    <n v="0"/>
    <n v="0"/>
    <s v="n/a"/>
    <s v="main"/>
    <n v="0"/>
    <n v="0"/>
    <s v="n/a"/>
    <s v="n/a"/>
    <n v="0"/>
    <x v="9"/>
    <x v="3"/>
    <m/>
    <s v="ss"/>
    <s v="ss"/>
    <s v="topic-drop"/>
    <s v="contains_new"/>
    <s v="Psych predicate; かくとも as adjunct."/>
    <m/>
    <n v="1"/>
    <x v="0"/>
    <s v="Yes"/>
    <n v="23"/>
    <m/>
    <n v="1"/>
    <n v="1"/>
    <x v="1"/>
    <s v="zero_other"/>
    <s v="zero_recoverable"/>
    <n v="0"/>
    <n v="1"/>
  </r>
  <r>
    <s v="Heike 2.77"/>
    <s v="云ひつるほどならば (iitsuru hodo naraba)"/>
    <s v="seeing that, if he told him,"/>
    <s v="云ひつる"/>
    <s v="indicative"/>
    <s v="other"/>
    <s v="verb"/>
    <s v="transitive"/>
    <s v="active"/>
    <s v="positive"/>
    <n v="1"/>
    <n v="0"/>
    <s v="n/a"/>
    <n v="0"/>
    <s v="zero_other"/>
    <n v="3"/>
    <s v="zero_recoverable"/>
    <s v="n/a"/>
    <n v="0"/>
    <n v="1"/>
    <s v="REL"/>
    <s v="subordinate"/>
    <n v="0"/>
    <n v="0"/>
    <s v="n/a"/>
    <s v="n/a"/>
    <n v="0"/>
    <x v="10"/>
    <x v="3"/>
    <m/>
    <s v="ss"/>
    <s v="ds"/>
    <s v="topic-drop"/>
    <s v="no_overt_NP"/>
    <m/>
    <m/>
    <n v="0"/>
    <x v="0"/>
    <s v="Yes"/>
    <n v="24"/>
    <s v="relative"/>
    <n v="1"/>
    <m/>
    <x v="1"/>
    <s v="zero_recoverable"/>
    <s v="n/a"/>
    <n v="0"/>
    <n v="0"/>
  </r>
  <r>
    <s v="Heike 2.78"/>
    <s v="やがて殿上までも斬り上らんずる  yagate tenjō made mo kiriagaranzuru "/>
    <s v="who would even do violence in the Palace itself,"/>
    <s v="斬り上らんずる"/>
    <s v="dynamic"/>
    <s v="other"/>
    <s v="verb"/>
    <s v="intransitive"/>
    <s v="active"/>
    <s v="positive"/>
    <n v="1"/>
    <n v="0"/>
    <s v="n/a"/>
    <n v="2"/>
    <s v="zero_recoverable"/>
    <n v="3"/>
    <s v="n/a"/>
    <s v="n/a"/>
    <n v="1"/>
    <n v="0"/>
    <s v="REL"/>
    <s v="relative"/>
    <n v="0"/>
    <n v="0"/>
    <s v="n/a"/>
    <s v="n/a"/>
    <n v="0"/>
    <x v="2"/>
    <x v="4"/>
    <m/>
    <s v="ds"/>
    <s v="ss"/>
    <s v="topic-drop"/>
    <s v="no_overt_NP"/>
    <m/>
    <m/>
    <n v="0"/>
    <x v="0"/>
    <s v="Yes"/>
    <n v="24"/>
    <s v="subordinate"/>
    <n v="0"/>
    <n v="2"/>
    <x v="1"/>
    <s v="zero_recoverable"/>
    <s v="n/a"/>
    <n v="0"/>
    <n v="0"/>
  </r>
  <r>
    <s v="Heike 2.79"/>
    <s v="者の面魂にてある間 mono no omodamashii nite aru aida"/>
    <s v="he appeared as one "/>
    <s v="にてある"/>
    <s v="indicative"/>
    <s v="other"/>
    <s v="copula"/>
    <s v="intransitive"/>
    <s v="active"/>
    <s v="positive"/>
    <n v="1"/>
    <n v="0"/>
    <s v="n/a"/>
    <n v="0"/>
    <s v="zero_recoverable"/>
    <n v="3"/>
    <s v="n/a"/>
    <s v="n/a"/>
    <n v="0"/>
    <n v="0"/>
    <s v="REL"/>
    <s v="subordinate"/>
    <n v="0"/>
    <n v="0"/>
    <s v="n/a"/>
    <s v="n/a"/>
    <n v="0"/>
    <x v="0"/>
    <x v="1"/>
    <m/>
    <s v="ss"/>
    <s v="ds"/>
    <s v="topic-drop"/>
    <s v="no_overt_NP"/>
    <m/>
    <m/>
    <n v="0"/>
    <x v="0"/>
    <s v="Yes"/>
    <n v="24"/>
    <m/>
    <n v="1"/>
    <n v="3"/>
    <x v="1"/>
    <s v="overt"/>
    <s v="n/a"/>
    <n v="0"/>
    <n v="0"/>
  </r>
  <r>
    <s v="Heike 2.80"/>
    <s v="別の事なし (betsu no koto nashi)"/>
    <s v="nothing out of the ordinary had taken place."/>
    <s v="なし"/>
    <s v="indicative"/>
    <s v="other"/>
    <s v="existential verb"/>
    <s v="intransitive"/>
    <s v="active"/>
    <s v="negative"/>
    <n v="1"/>
    <n v="1"/>
    <s v="SUB"/>
    <n v="0"/>
    <s v="overt"/>
    <n v="3"/>
    <s v="n/a"/>
    <s v="n/a"/>
    <n v="0"/>
    <n v="0"/>
    <s v="n/a"/>
    <s v="main"/>
    <n v="0"/>
    <n v="0"/>
    <s v="n/a"/>
    <s v="n/a"/>
    <n v="0"/>
    <x v="2"/>
    <x v="4"/>
    <m/>
    <s v="ds"/>
    <s v="ds"/>
    <s v="topic-drop"/>
    <s v="contains_new"/>
    <s v="Subject = 別の事."/>
    <m/>
    <n v="1"/>
    <x v="0"/>
    <s v="Yes"/>
    <n v="24"/>
    <s v="subordinate"/>
    <n v="1"/>
    <n v="1"/>
    <x v="1"/>
    <s v="zero_exalt"/>
    <s v="overt"/>
    <n v="1"/>
    <n v="0"/>
  </r>
  <r>
    <s v="Heike 2.81"/>
    <s v="五節には白薄様濃染紙の紙巻上の筆巴書いたる筆の軸など様々かやうに面白き事をのみこそ歌ひ舞はるるに (gosechi ni wa shirauzusama kozomegami no kamimaki ue no fude tomoe kaitaru fude no jiku nado samazama kayō ni omoshiroki koto o nomi koso utai mawaruru ni)"/>
    <s v="In the Go-sechie festival only such pleasing things as white paper, Shuzenji paper, wrapped brushes, or writing brushes with a tomoe on the stem were customarily sung and danced,"/>
    <s v="歌ひ舞はるる"/>
    <s v="indicative"/>
    <s v="other"/>
    <s v="verb(compound)"/>
    <s v="transitive"/>
    <s v="active"/>
    <s v="positive"/>
    <n v="1"/>
    <n v="1"/>
    <s v="OBJ"/>
    <n v="2"/>
    <s v="zero_exalt"/>
    <n v="3"/>
    <s v="overt"/>
    <s v="n/a"/>
    <n v="0"/>
    <n v="0"/>
    <s v="REL"/>
    <s v="subordinate"/>
    <n v="0"/>
    <n v="1"/>
    <s v="sub"/>
    <s v="honorific_aux"/>
    <n v="0"/>
    <x v="9"/>
    <x v="3"/>
    <m/>
    <s v="ds"/>
    <s v="ds"/>
    <s v="topic-shift"/>
    <s v="contains_new"/>
    <s v="Passive/respect; subject omitted; object 面白き事を overt."/>
    <m/>
    <n v="1"/>
    <x v="0"/>
    <s v="Yes"/>
    <n v="25"/>
    <s v="main"/>
    <n v="1"/>
    <n v="2"/>
    <x v="0"/>
    <s v="overt"/>
    <s v="n/a"/>
    <n v="0"/>
    <n v="0"/>
  </r>
  <r>
    <s v="Heike 2.82"/>
    <s v="中比太宰権帥季仲卿といふ人ありけり (chūbi Dazai gon no so Sukechika kyō to iu hito arikeri)"/>
    <s v="but there was a certain Dazai Gon-no-sotsu Suenaka no Kyo,"/>
    <s v="ありけり"/>
    <s v="indicative"/>
    <s v="stative"/>
    <s v="existential verb"/>
    <s v="intransitive"/>
    <s v="active"/>
    <s v="positive"/>
    <n v="1"/>
    <n v="1"/>
    <s v="SUB"/>
    <n v="1"/>
    <s v="overt"/>
    <n v="3"/>
    <s v="n/a"/>
    <s v="n/a"/>
    <n v="0"/>
    <n v="0"/>
    <s v="n/a"/>
    <s v="main"/>
    <n v="0"/>
    <n v="0"/>
    <s v="n/a"/>
    <s v="n/a"/>
    <n v="0"/>
    <x v="2"/>
    <x v="4"/>
    <m/>
    <s v="ds"/>
    <s v="ds"/>
    <s v="topic-introduced"/>
    <s v="contains_new"/>
    <s v="frame predicate"/>
    <m/>
    <n v="1"/>
    <x v="0"/>
    <s v="Yes"/>
    <n v="25"/>
    <s v="subordinate"/>
    <n v="1"/>
    <n v="1"/>
    <x v="1"/>
    <s v="overt"/>
    <s v="n/a"/>
    <n v="0"/>
    <n v="0"/>
  </r>
  <r>
    <s v="Heike 2.83"/>
    <s v="あまりに色の黒かりければ (amari ni iro no kurokarikereba)"/>
    <s v="who was of so dark a complexion that"/>
    <s v="黒かりければ"/>
    <s v="indicative"/>
    <s v="other"/>
    <s v="adjectival predicate"/>
    <s v="intransitive"/>
    <s v="active"/>
    <s v="positive"/>
    <n v="1"/>
    <n v="1"/>
    <s v="SUB"/>
    <n v="1"/>
    <s v="overt"/>
    <n v="3"/>
    <s v="n/a"/>
    <s v="n/a"/>
    <n v="0"/>
    <n v="0"/>
    <s v="n/a"/>
    <s v="subordinate"/>
    <n v="0"/>
    <n v="0"/>
    <s v="n/a"/>
    <s v="n/a"/>
    <n v="0"/>
    <x v="3"/>
    <x v="3"/>
    <m/>
    <s v="ds"/>
    <s v="ds"/>
    <s v="topic-drop"/>
    <s v="contains_new"/>
    <s v="Adjectival predicate; subject = 色."/>
    <m/>
    <n v="1"/>
    <x v="0"/>
    <s v="Yes"/>
    <n v="26"/>
    <s v="main"/>
    <n v="1"/>
    <n v="2"/>
    <x v="1"/>
    <s v="overt"/>
    <s v="overt"/>
    <n v="0"/>
    <n v="0"/>
  </r>
  <r>
    <s v="Heike 2.84"/>
    <s v="見る人黒帥とぞ申しける (miru hito kurosotsu to zo mōshikeru)"/>
    <s v="people called him 'kuro-sotsu',"/>
    <s v="申しける"/>
    <s v="indicative"/>
    <s v="action"/>
    <s v="verb"/>
    <s v="transitive"/>
    <s v="active"/>
    <s v="positive"/>
    <n v="1"/>
    <n v="2"/>
    <s v="S+O"/>
    <n v="0"/>
    <s v="overt"/>
    <n v="3"/>
    <s v="overt"/>
    <s v="n/a"/>
    <n v="0"/>
    <n v="0"/>
    <s v="n/a"/>
    <s v="main"/>
    <n v="1"/>
    <n v="0"/>
    <s v="n/a"/>
    <s v="lexical_humble_verb"/>
    <n v="0"/>
    <x v="2"/>
    <x v="4"/>
    <m/>
    <s v="ds"/>
    <s v="ss"/>
    <s v="topic-drop"/>
    <s v="contains_new"/>
    <s v="申す humble; subject overt; counted as EXALT INSIG."/>
    <m/>
    <n v="2"/>
    <x v="0"/>
    <s v="Yes"/>
    <n v="26"/>
    <m/>
    <n v="1"/>
    <n v="1"/>
    <x v="1"/>
    <s v="overt"/>
    <s v="n/a"/>
    <n v="0"/>
    <n v="0"/>
  </r>
  <r>
    <s v="Heike 2.85"/>
    <s v="その人未だ蔵人頭たりし時 (sono hito imada kurōdo no tō tarishi toki)"/>
    <s v="and while he was still Kurando-no-to, "/>
    <s v="たりし"/>
    <s v="indicative"/>
    <s v="stative"/>
    <s v="copula"/>
    <s v="intransitive"/>
    <s v="active"/>
    <s v="positive"/>
    <n v="1"/>
    <n v="1"/>
    <s v="SUB"/>
    <n v="0"/>
    <s v="overt"/>
    <n v="3"/>
    <s v="n/a"/>
    <s v="n/a"/>
    <n v="0"/>
    <n v="0"/>
    <s v="REL"/>
    <s v="subordinate"/>
    <n v="0"/>
    <n v="0"/>
    <s v="n/a"/>
    <s v="honorific_aux"/>
    <n v="0"/>
    <x v="0"/>
    <x v="3"/>
    <m/>
    <s v="ss"/>
    <s v="ss"/>
    <s v="topic-continued"/>
    <s v="no_overt_NP"/>
    <m/>
    <m/>
    <n v="1"/>
    <x v="0"/>
    <s v="Yes"/>
    <n v="27"/>
    <s v="subordinate"/>
    <n v="1"/>
    <n v="2"/>
    <x v="1"/>
    <s v="zero_exalt"/>
    <s v="n/a"/>
    <n v="1"/>
    <n v="0"/>
  </r>
  <r>
    <s v="Heike 2.86"/>
    <s v="五節に舞はれけるに gosechi ni mawarekeru ni"/>
    <s v="when he danced at the Go-sechie,"/>
    <s v="舞はれける"/>
    <s v="indicative"/>
    <s v="action"/>
    <s v="verb"/>
    <s v="intransitive"/>
    <s v="active"/>
    <s v="positive"/>
    <n v="1"/>
    <n v="0"/>
    <s v="n/a"/>
    <n v="0"/>
    <s v="zero_exalt"/>
    <n v="3"/>
    <s v="n/a"/>
    <s v="n/a"/>
    <n v="0"/>
    <n v="0"/>
    <s v="REL"/>
    <s v="subordinate"/>
    <n v="0"/>
    <n v="1"/>
    <s v="sub"/>
    <s v="lexical_honorific_verb"/>
    <n v="0"/>
    <x v="0"/>
    <x v="4"/>
    <m/>
    <s v="ss"/>
    <s v="ds"/>
    <s v="topic-drop"/>
    <s v="no_overt_NP"/>
    <m/>
    <m/>
    <n v="0"/>
    <x v="0"/>
    <s v="Yes"/>
    <n v="27"/>
    <m/>
    <n v="1"/>
    <n v="3"/>
    <x v="1"/>
    <s v="overt"/>
    <s v="overt"/>
    <n v="0"/>
    <n v="0"/>
  </r>
  <r>
    <s v="Heike 2.87"/>
    <s v="人々拍子を変へて (hitobito hyōshi o kaete)"/>
    <s v="they changed the rhythm of the music"/>
    <s v="変へて"/>
    <s v="indicative"/>
    <s v="other"/>
    <s v="verb"/>
    <s v="transitive"/>
    <s v="active"/>
    <s v="positive"/>
    <n v="1"/>
    <n v="2"/>
    <s v="S+O"/>
    <n v="0"/>
    <s v="overt"/>
    <n v="3"/>
    <s v="overt"/>
    <s v="n/a"/>
    <n v="0"/>
    <n v="0"/>
    <s v="n/a"/>
    <s v="te"/>
    <n v="0"/>
    <n v="0"/>
    <s v="n/a"/>
    <s v="n/a"/>
    <n v="0"/>
    <x v="1"/>
    <x v="4"/>
    <s v="te_medial"/>
    <s v="ds"/>
    <s v="ss"/>
    <s v="topic-drop"/>
    <s v="contains_new"/>
    <m/>
    <m/>
    <n v="2"/>
    <x v="0"/>
    <s v="Yes"/>
    <n v="27"/>
    <s v="main"/>
    <n v="1"/>
    <n v="4"/>
    <x v="1"/>
    <s v="overt"/>
    <s v="n/a"/>
    <n v="0"/>
    <n v="0"/>
  </r>
  <r>
    <s v="Heike 2.88"/>
    <s v="あなくろくろ黒き頭かな (ana kuro kuro kuroki atama kana)"/>
    <s v="&quot;Oh what a black, black head!&quot;"/>
    <s v="N/A (exclamatory nominal clause)"/>
    <s v="indicative"/>
    <s v="other"/>
    <s v="none"/>
    <s v="intransitive"/>
    <m/>
    <m/>
    <n v="0"/>
    <n v="1"/>
    <s v="SUB"/>
    <n v="0"/>
    <s v="overt"/>
    <n v="3"/>
    <s v="n/a"/>
    <s v="n/a"/>
    <n v="0"/>
    <n v="0"/>
    <s v="n/a"/>
    <s v="main"/>
    <n v="0"/>
    <n v="0"/>
    <s v="n/a"/>
    <s v="n/a"/>
    <n v="0"/>
    <x v="2"/>
    <x v="2"/>
    <m/>
    <s v="ss"/>
    <s v="ds"/>
    <s v="topic-drop"/>
    <s v="contains_new"/>
    <m/>
    <m/>
    <m/>
    <x v="0"/>
    <s v="Yes"/>
    <n v="27"/>
    <s v="complement"/>
    <n v="1"/>
    <n v="1"/>
    <x v="1"/>
    <s v="overt"/>
    <s v="overt"/>
    <n v="0"/>
    <n v="0"/>
  </r>
  <r>
    <s v="Heike 2.89"/>
    <s v="いかなる人の漆塗りけんとぞ (ikanaru hito no urushinuriken to zo )"/>
    <s v="&quot;someone must have painted him with lacquer&quot;"/>
    <s v="漆塗りけん"/>
    <s v="epistemic"/>
    <s v="other"/>
    <s v="verb"/>
    <s v="transitive"/>
    <s v="active"/>
    <s v="positive"/>
    <n v="1"/>
    <n v="2"/>
    <s v="S+O"/>
    <n v="0"/>
    <s v="overt"/>
    <n v="3"/>
    <s v="overt"/>
    <s v="n/a"/>
    <n v="0"/>
    <n v="0"/>
    <s v="n/a"/>
    <s v="complement"/>
    <n v="0"/>
    <n v="0"/>
    <s v="n/a"/>
    <s v="n/a"/>
    <n v="0"/>
    <x v="4"/>
    <x v="3"/>
    <m/>
    <s v="ds"/>
    <s v="ds"/>
    <s v="topic-drop"/>
    <s v="contains_new"/>
    <m/>
    <m/>
    <n v="2"/>
    <x v="0"/>
    <s v="Yes"/>
    <n v="28"/>
    <m/>
    <n v="1"/>
    <n v="2"/>
    <x v="0"/>
    <s v="zero_exalt"/>
    <s v="overt"/>
    <n v="1"/>
    <n v="0"/>
  </r>
  <r>
    <s v="Heike 2.90"/>
    <s v="囃されける (hayasarekeru)"/>
    <s v="they sang in mockery."/>
    <s v="囃されける"/>
    <s v="indicative"/>
    <s v="communication"/>
    <s v="verb"/>
    <s v="transitive"/>
    <s v="active"/>
    <s v="positive"/>
    <n v="1"/>
    <n v="1"/>
    <s v="O (Speech)"/>
    <n v="0"/>
    <s v="zero_exalt"/>
    <n v="3"/>
    <s v="overt"/>
    <s v="n/a"/>
    <n v="0"/>
    <n v="0"/>
    <s v="n/a"/>
    <s v="main"/>
    <n v="0"/>
    <n v="1"/>
    <s v="sub"/>
    <s v="honorific_aux"/>
    <n v="0"/>
    <x v="2"/>
    <x v="7"/>
    <m/>
    <s v="ds"/>
    <s v="ds"/>
    <s v="topic-drop"/>
    <s v="no_overt_NP"/>
    <m/>
    <m/>
    <n v="1"/>
    <x v="0"/>
    <s v="Yes"/>
    <n v="28"/>
    <m/>
    <n v="1"/>
    <n v="1"/>
    <x v="1"/>
    <s v="overt"/>
    <s v="n/a"/>
    <n v="0"/>
    <n v="0"/>
  </r>
  <r>
    <s v="Heike 2.91"/>
    <s v="また花山院前太政大臣忠雅公未だ十歳と申しし時 (mata Kazanin no saki no Daijōdaijin Tadamasa kō imada jissai to mōshi shi toki)"/>
    <s v="Also, when Prince Tadamasa of the Kazan-in, the former Prime Minister, was only ten years old,"/>
    <s v="申しし"/>
    <s v="indicative"/>
    <s v="action"/>
    <s v="verb"/>
    <s v="intransitive"/>
    <s v="active"/>
    <s v="positive"/>
    <n v="1"/>
    <n v="1"/>
    <s v="SUB"/>
    <n v="1"/>
    <s v="overt"/>
    <n v="3"/>
    <s v="n/a"/>
    <s v="n/a"/>
    <n v="0"/>
    <n v="0"/>
    <s v="n/a"/>
    <s v="subordinate"/>
    <n v="1"/>
    <n v="0"/>
    <s v="sub"/>
    <s v="lexical_humble_verb"/>
    <n v="0"/>
    <x v="0"/>
    <x v="3"/>
    <m/>
    <s v="ds"/>
    <s v="ss"/>
    <s v="topic-introduced"/>
    <s v="contains_new"/>
    <m/>
    <m/>
    <n v="1"/>
    <x v="0"/>
    <s v="Yes"/>
    <n v="29"/>
    <s v="te"/>
    <n v="1"/>
    <n v="2"/>
    <x v="0"/>
    <s v="zero_exalt"/>
    <s v="n/a"/>
    <n v="1"/>
    <n v="0"/>
  </r>
  <r>
    <s v="Heike 2.92"/>
    <s v="父中納言忠宗卿に後れ給ひて (chichi Chūnagon Tadamune kyō ni okure tamai te)"/>
    <s v="having lost his father, Chunagon Tadamune,"/>
    <s v="後れ給ひて"/>
    <s v="indicative"/>
    <s v="action"/>
    <s v="verb"/>
    <s v="intransitive"/>
    <s v="active"/>
    <s v="positive"/>
    <n v="1"/>
    <n v="1"/>
    <s v="IO"/>
    <n v="0"/>
    <s v="zero_exalt"/>
    <n v="3"/>
    <s v="n/a"/>
    <s v="overt"/>
    <n v="0"/>
    <n v="0"/>
    <s v="n/a"/>
    <s v="te"/>
    <n v="0"/>
    <n v="1"/>
    <s v="sub"/>
    <s v="lexical_honorific_verb"/>
    <n v="0"/>
    <x v="1"/>
    <x v="4"/>
    <s v="te_medial"/>
    <s v="ss"/>
    <s v="ss"/>
    <s v="topic-introduced"/>
    <s v="contains_new"/>
    <m/>
    <m/>
    <n v="1"/>
    <x v="0"/>
    <s v="Yes"/>
    <n v="29"/>
    <s v="subordinate"/>
    <n v="1"/>
    <n v="3"/>
    <x v="1"/>
    <s v="zero_exalt"/>
    <s v="n/a"/>
    <n v="0"/>
    <n v="0"/>
  </r>
  <r>
    <s v="Heike 2.93"/>
    <s v="孤子にておはせしを (koji nite ohaseshi o)"/>
    <s v="and being left an orphan,"/>
    <s v="おはせし"/>
    <s v="indicative"/>
    <s v="action"/>
    <s v="existential verb"/>
    <s v="intransitive"/>
    <s v="active"/>
    <s v="positive"/>
    <n v="1"/>
    <n v="0"/>
    <s v="n/a"/>
    <n v="0"/>
    <s v="zero_exalt"/>
    <n v="3"/>
    <s v="n/a"/>
    <s v="n/a"/>
    <n v="0"/>
    <n v="0"/>
    <s v="REL"/>
    <s v="subordinate"/>
    <n v="0"/>
    <n v="1"/>
    <s v="sub"/>
    <s v="lexical_honorific_verb"/>
    <n v="0"/>
    <x v="9"/>
    <x v="2"/>
    <m/>
    <s v="ss"/>
    <s v="ds"/>
    <s v="topic-drop"/>
    <s v="contains_new"/>
    <m/>
    <m/>
    <n v="0"/>
    <x v="0"/>
    <s v="Yes"/>
    <n v="29"/>
    <s v="subordinate"/>
    <n v="1"/>
    <n v="4"/>
    <x v="1"/>
    <s v="overt"/>
    <s v="n/a"/>
    <n v="0"/>
    <n v="0"/>
  </r>
  <r>
    <s v="Heike 2.94"/>
    <s v="故中御門藤中納言家成卿未だ播磨守にておはしけるが ko-Nakamikado Fuji Chūnagon Ienari kyō imada Harima no kami nite ohasikeru ga"/>
    <s v=" by Fuji Chūnagon Ienari, then Harima no Kami,"/>
    <s v="おはしける"/>
    <s v="indicative"/>
    <s v="stative"/>
    <s v="copula"/>
    <s v="intransitive"/>
    <s v="active"/>
    <s v="positive"/>
    <n v="1"/>
    <n v="1"/>
    <s v="SUB"/>
    <n v="1"/>
    <s v="overt"/>
    <n v="3"/>
    <s v="n/a"/>
    <s v="n/a"/>
    <n v="0"/>
    <n v="0"/>
    <s v="REL"/>
    <s v="subordinate"/>
    <n v="1"/>
    <n v="0"/>
    <s v="sub"/>
    <s v="lexical_honorific_verb"/>
    <n v="0"/>
    <x v="9"/>
    <x v="4"/>
    <m/>
    <s v="ds"/>
    <s v="ss"/>
    <s v="topic-introduced"/>
    <s v="contains_new"/>
    <m/>
    <m/>
    <n v="1"/>
    <x v="0"/>
    <s v="Yes"/>
    <n v="29"/>
    <s v="te"/>
    <n v="1"/>
    <n v="5"/>
    <x v="1"/>
    <s v="zero_recoverable"/>
    <s v="zero_recoverable"/>
    <n v="1"/>
    <n v="0"/>
  </r>
  <r>
    <s v="Heike 2.95"/>
    <s v="聟に取りて muko ni torite "/>
    <s v="he was taken as son-in-law"/>
    <s v="取りて"/>
    <s v="indicative"/>
    <s v="action"/>
    <s v="verb"/>
    <s v="transitive"/>
    <s v="active"/>
    <s v="positive"/>
    <n v="1"/>
    <n v="1"/>
    <s v="IO"/>
    <n v="0"/>
    <s v="zero_recoverable"/>
    <n v="3"/>
    <s v="zero_recoverable"/>
    <s v="overt"/>
    <n v="0"/>
    <n v="0"/>
    <s v="n/a"/>
    <s v="te"/>
    <n v="0"/>
    <n v="0"/>
    <s v="n/a"/>
    <s v="n/a"/>
    <n v="0"/>
    <x v="2"/>
    <x v="4"/>
    <s v="te_medial"/>
    <s v="ss"/>
    <s v="ss"/>
    <s v="topic-drop"/>
    <s v="contains_new"/>
    <m/>
    <m/>
    <n v="1"/>
    <x v="0"/>
    <s v="Yes"/>
    <n v="29"/>
    <s v="subordinate"/>
    <n v="1"/>
    <n v="6"/>
    <x v="1"/>
    <s v="zero_recoverable"/>
    <s v="n/a"/>
    <n v="0"/>
    <n v="0"/>
  </r>
  <r>
    <s v="Heike 2.96"/>
    <s v="華やかにもてなされければ  hanayaka ni motenasarekereba"/>
    <s v="and splendidly welcomed,"/>
    <s v="もてなされければ"/>
    <s v="indicative"/>
    <s v="action"/>
    <s v="verb"/>
    <s v="intransitive"/>
    <s v="passive"/>
    <s v="positive"/>
    <n v="1"/>
    <n v="0"/>
    <s v="n/a"/>
    <n v="0"/>
    <s v="zero_recoverable"/>
    <n v="3"/>
    <s v="n/a"/>
    <s v="zero_recoverable"/>
    <n v="0"/>
    <n v="0"/>
    <s v="n/a"/>
    <s v="subordinate"/>
    <n v="0"/>
    <n v="0"/>
    <s v="n/a"/>
    <s v="n/a"/>
    <n v="0"/>
    <x v="3"/>
    <x v="2"/>
    <m/>
    <s v="ss"/>
    <s v="ds"/>
    <s v="topic-drop"/>
    <s v="contains_new"/>
    <s v="verbal sequence"/>
    <m/>
    <n v="0"/>
    <x v="0"/>
    <s v="Yes"/>
    <n v="29"/>
    <s v="complement"/>
    <n v="1"/>
    <n v="7"/>
    <x v="1"/>
    <s v="overt"/>
    <s v="overt"/>
    <n v="0"/>
    <n v="0"/>
  </r>
  <r>
    <s v="Heike 2.97"/>
    <s v="これも五節には播磨の米は木賊か椋の葉か人の綺羅を磨くはとぞ (kore mo gosechi ni wa Harima no kome wa tokusa ka mukuno ha ka hito no kira o migaku wa to zo)"/>
    <s v="at that Go-sechie with the refrain ‘The rice of Harima...’"/>
    <s v="磨く"/>
    <s v="indicative"/>
    <s v="action"/>
    <s v="verb"/>
    <s v="transitive"/>
    <s v="active"/>
    <s v="positive"/>
    <n v="1"/>
    <n v="2"/>
    <s v="S+O"/>
    <n v="1"/>
    <s v="overt"/>
    <n v="3"/>
    <s v="overt"/>
    <s v="n/a"/>
    <n v="0"/>
    <n v="0"/>
    <s v="REL"/>
    <s v="complement"/>
    <n v="0"/>
    <n v="0"/>
    <s v="n/a"/>
    <s v="honorific_aux"/>
    <n v="0"/>
    <x v="2"/>
    <x v="4"/>
    <m/>
    <s v="ds"/>
    <s v="ds"/>
    <s v="topic-drop"/>
    <s v="contains_new"/>
    <m/>
    <m/>
    <n v="2"/>
    <x v="0"/>
    <s v="Yes"/>
    <n v="29"/>
    <m/>
    <n v="1"/>
    <n v="8"/>
    <x v="1"/>
    <s v="zero_recoverable"/>
    <s v="n/a"/>
    <n v="1"/>
    <n v="0"/>
  </r>
  <r>
    <s v="Heike 2.98"/>
    <s v="囃されける hayasarekeru"/>
    <s v=" they also japed at him"/>
    <s v="囃されける"/>
    <s v="indicative"/>
    <s v="action"/>
    <s v="verb"/>
    <s v="intransitive"/>
    <s v="passive"/>
    <s v="positive"/>
    <n v="1"/>
    <n v="0"/>
    <s v="n/a"/>
    <n v="1"/>
    <s v="zero_recoverable"/>
    <n v="3"/>
    <s v="n/a"/>
    <s v="n/a"/>
    <n v="0"/>
    <n v="0"/>
    <s v="kakari-musubi"/>
    <s v="main"/>
    <n v="0"/>
    <n v="0"/>
    <s v="n/a"/>
    <s v="n/a"/>
    <n v="0"/>
    <x v="4"/>
    <x v="7"/>
    <m/>
    <s v="ds"/>
    <s v="ds"/>
    <s v="topic-drop"/>
    <s v="no_overt_NP"/>
    <m/>
    <m/>
    <n v="0"/>
    <x v="0"/>
    <s v="Yes"/>
    <n v="29"/>
    <m/>
    <n v="1"/>
    <n v="1"/>
    <x v="1"/>
    <s v="zero_uncertain"/>
    <s v="n/a"/>
    <n v="0"/>
    <n v="0"/>
  </r>
  <r>
    <s v="Heike 2.99"/>
    <s v="上古にはかやうにありしかども (jōko ni wa kayō ni arishikadomo )"/>
    <s v="Long ago such things had happened, "/>
    <s v="ありし / 出で来ず"/>
    <s v="indicative"/>
    <s v="action"/>
    <s v="existential verb"/>
    <s v="intransitive"/>
    <s v="active"/>
    <s v="positive"/>
    <n v="1"/>
    <n v="0"/>
    <s v="n/a"/>
    <n v="2"/>
    <s v="zero_uncertain"/>
    <n v="0"/>
    <s v="n/a"/>
    <s v="n/a"/>
    <n v="0"/>
    <n v="0"/>
    <s v="n/a"/>
    <s v="subordinate"/>
    <n v="0"/>
    <n v="0"/>
    <s v="n/a"/>
    <s v="n/a"/>
    <n v="0"/>
    <x v="9"/>
    <x v="3"/>
    <m/>
    <s v="ds"/>
    <s v="ds"/>
    <s v="topic-shift"/>
    <s v="contains_new"/>
    <m/>
    <m/>
    <n v="0"/>
    <x v="0"/>
    <s v="Yes"/>
    <n v="30"/>
    <s v="subordinate"/>
    <n v="1"/>
    <n v="2"/>
    <x v="0"/>
    <s v="overt"/>
    <s v="n/a"/>
    <n v="0"/>
    <n v="0"/>
  </r>
  <r>
    <s v="Heike 2.100"/>
    <s v="事出で来ず koto idekozu"/>
    <s v="but nothing had come of them,"/>
    <s v="出で来ず"/>
    <s v="indicative"/>
    <s v="stative"/>
    <s v="idiom"/>
    <s v="intransitive"/>
    <s v="active"/>
    <s v="negative"/>
    <n v="1"/>
    <n v="1"/>
    <s v="SUB"/>
    <n v="0"/>
    <s v="overt"/>
    <n v="3"/>
    <s v="n/a"/>
    <s v="n/a"/>
    <n v="0"/>
    <n v="0"/>
    <s v="n/a"/>
    <s v="subordinate"/>
    <n v="0"/>
    <n v="0"/>
    <s v="n/a"/>
    <s v="n/a"/>
    <n v="0"/>
    <x v="2"/>
    <x v="4"/>
    <m/>
    <s v="ds"/>
    <n v="0"/>
    <s v="topic-drop"/>
    <s v="contains_new"/>
    <m/>
    <m/>
    <n v="1"/>
    <x v="0"/>
    <s v="Yes"/>
    <n v="30"/>
    <m/>
    <n v="1"/>
    <n v="3"/>
    <x v="1"/>
    <m/>
    <m/>
    <n v="0"/>
    <n v="0"/>
  </r>
  <r>
    <s v="Heike 2.101"/>
    <s v="末代いかがあらんずらん (matsudai ikaga aranzuran obotsukanashi)"/>
    <s v="and people said that what was to be done"/>
    <s v="あらんずらん"/>
    <s v="epistemic"/>
    <s v="stative"/>
    <s v="idiom"/>
    <m/>
    <m/>
    <m/>
    <m/>
    <m/>
    <m/>
    <m/>
    <m/>
    <m/>
    <s v="n/a"/>
    <s v="n/a"/>
    <m/>
    <m/>
    <m/>
    <m/>
    <m/>
    <m/>
    <s v="n/a"/>
    <s v="n/a"/>
    <m/>
    <x v="5"/>
    <x v="4"/>
    <m/>
    <m/>
    <s v="ds"/>
    <m/>
    <m/>
    <m/>
    <m/>
    <m/>
    <x v="0"/>
    <s v="Yes"/>
    <n v="30"/>
    <m/>
    <n v="1"/>
    <n v="4"/>
    <x v="1"/>
    <s v="zero_uncertain"/>
    <s v="n/a"/>
    <n v="0"/>
    <n v="0"/>
  </r>
  <r>
    <s v="Heike 2.102"/>
    <s v="覚束なし"/>
    <s v="was doubtful"/>
    <s v="覚束なし"/>
    <s v="indicative"/>
    <s v="psych-state"/>
    <s v="adjectival predicate"/>
    <s v="intransitive"/>
    <s v="active"/>
    <s v="negative"/>
    <n v="1"/>
    <n v="0"/>
    <s v="n/a"/>
    <n v="0"/>
    <s v="zero_uncertain"/>
    <n v="0"/>
    <s v="n/a"/>
    <s v="n/a"/>
    <n v="0"/>
    <n v="0"/>
    <s v="n/a"/>
    <s v="main"/>
    <n v="0"/>
    <n v="0"/>
    <s v="n/a"/>
    <s v="n/a"/>
    <n v="0"/>
    <x v="2"/>
    <x v="8"/>
    <m/>
    <s v="ds"/>
    <s v="ds"/>
    <s v="topic-drop"/>
    <s v="no_overt_NP"/>
    <m/>
    <m/>
    <n v="0"/>
    <x v="0"/>
    <s v="Yes"/>
    <n v="30"/>
    <m/>
    <n v="1"/>
    <n v="1"/>
    <x v="1"/>
    <s v="overt"/>
    <s v="n/a"/>
    <n v="0"/>
    <n v="0"/>
  </r>
  <r>
    <s v="Heike 2.103"/>
    <s v="案の如く五節果てにしかば (an no gotoku gosechi hate ni shikaba)"/>
    <s v="As he had expected, after the conclusion of the festival,"/>
    <s v="果てにしかば"/>
    <s v="indicative"/>
    <s v="other"/>
    <s v="verb"/>
    <s v="intransitive"/>
    <s v="active"/>
    <s v="positive"/>
    <n v="1"/>
    <n v="1"/>
    <s v="SUB"/>
    <n v="1"/>
    <s v="overt"/>
    <n v="3"/>
    <s v="n/a"/>
    <s v="n/a"/>
    <n v="0"/>
    <n v="0"/>
    <s v="n/a"/>
    <s v="subordinate"/>
    <n v="0"/>
    <n v="0"/>
    <s v="n/a"/>
    <s v="n/a"/>
    <n v="0"/>
    <x v="0"/>
    <x v="3"/>
    <m/>
    <s v="ds"/>
    <s v="ds"/>
    <s v="topic-shift"/>
    <s v="contains_new"/>
    <m/>
    <m/>
    <n v="1"/>
    <x v="0"/>
    <s v="Yes"/>
    <n v="31"/>
    <s v="subordinate"/>
    <n v="1"/>
    <n v="2"/>
    <x v="0"/>
    <s v="overt"/>
    <s v="zero_other"/>
    <n v="0"/>
    <n v="0"/>
  </r>
  <r>
    <s v="Heike 2.104"/>
    <s v="殿上人一同に訴へ申されけるは (tenjōbito ichidō ni uttaemōsarekeru wa)"/>
    <s v="all the courtiers and officials together appealed,"/>
    <s v="訴へ申されける"/>
    <s v="indicative"/>
    <s v="other"/>
    <s v="verb"/>
    <s v="transitive"/>
    <s v="active"/>
    <s v="positive"/>
    <n v="1"/>
    <n v="1"/>
    <s v="SUB"/>
    <n v="1"/>
    <s v="overt"/>
    <n v="3"/>
    <s v="zero_other"/>
    <s v="n/a"/>
    <n v="0"/>
    <n v="0"/>
    <s v="SUB"/>
    <s v="subordinate"/>
    <n v="1"/>
    <n v="0"/>
    <s v="sub"/>
    <s v="honorific_aux+lexical_humble_verb"/>
    <n v="0"/>
    <x v="2"/>
    <x v="4"/>
    <m/>
    <s v="ds"/>
    <s v="ds"/>
    <s v="topic-drop"/>
    <s v="contains_new"/>
    <s v="nominalisation"/>
    <m/>
    <n v="1"/>
    <x v="0"/>
    <s v="Yes"/>
    <n v="31"/>
    <s v="te"/>
    <n v="1"/>
    <n v="3"/>
    <x v="1"/>
    <s v="zero_recoverable"/>
    <s v="overt"/>
    <n v="1"/>
    <n v="0"/>
  </r>
  <r>
    <s v="Heike 2.105"/>
    <s v="それ雄剣を帯して (sore yūken o tai shitei)"/>
    <s v="that wearing a sword"/>
    <s v="帯して "/>
    <s v="indicative"/>
    <s v="action"/>
    <s v="LVC"/>
    <s v="transitive"/>
    <s v="active"/>
    <s v="positive"/>
    <n v="1"/>
    <n v="1"/>
    <s v="OBJ"/>
    <n v="0"/>
    <s v="zero_recoverable"/>
    <n v="3"/>
    <s v="overt"/>
    <s v="n/a"/>
    <n v="0"/>
    <n v="0"/>
    <s v="n/a"/>
    <s v="te"/>
    <n v="0"/>
    <n v="0"/>
    <s v="n/a"/>
    <s v="n/a"/>
    <n v="0"/>
    <x v="2"/>
    <x v="4"/>
    <s v="te_medial"/>
    <s v="ds"/>
    <s v="ss"/>
    <s v="topic-drop"/>
    <s v="contains_new"/>
    <m/>
    <m/>
    <n v="1"/>
    <x v="1"/>
    <s v="Yes"/>
    <n v="31"/>
    <s v="te"/>
    <n v="1"/>
    <n v="4"/>
    <x v="1"/>
    <s v="zero_recoverable"/>
    <s v="none"/>
    <n v="0"/>
    <n v="0"/>
  </r>
  <r>
    <s v="Heike 2.106"/>
    <s v="公宴に列し  kōen ni res shi"/>
    <s v=" coming to a Court entertainment "/>
    <s v="列し"/>
    <s v="indicative"/>
    <s v="motion"/>
    <s v="LVC"/>
    <s v="intransitive"/>
    <s v="active"/>
    <s v="positive"/>
    <n v="1"/>
    <n v="1"/>
    <s v="IO"/>
    <n v="0"/>
    <s v="zero_recoverable"/>
    <n v="3"/>
    <s v="n/a"/>
    <s v="overt"/>
    <n v="0"/>
    <n v="0"/>
    <s v="n/a"/>
    <s v="te"/>
    <n v="0"/>
    <n v="0"/>
    <s v="n/a"/>
    <s v="n/a"/>
    <n v="0"/>
    <x v="2"/>
    <x v="2"/>
    <s v="te_medial"/>
    <s v="ss"/>
    <s v="ss"/>
    <s v="topic-drop"/>
    <s v="contains_new"/>
    <m/>
    <m/>
    <n v="1"/>
    <x v="1"/>
    <s v="Yes"/>
    <n v="31"/>
    <s v="te"/>
    <n v="1"/>
    <n v="5"/>
    <x v="1"/>
    <s v="zero_exalt"/>
    <s v="overt"/>
    <n v="0"/>
    <n v="0"/>
  </r>
  <r>
    <s v="Heike 2.107"/>
    <s v="兵仗を賜はりて  hyōjō o tamawari te "/>
    <s v="and bearing arms "/>
    <s v="賜はりて"/>
    <s v="indicative"/>
    <s v="action"/>
    <s v="verb"/>
    <s v="transitive"/>
    <s v="active"/>
    <s v="positive"/>
    <n v="1"/>
    <n v="1"/>
    <s v="OBJ"/>
    <n v="0"/>
    <s v="zero_exalt"/>
    <n v="3"/>
    <s v="overt"/>
    <s v="n/a"/>
    <n v="0"/>
    <n v="0"/>
    <s v="n/a"/>
    <s v="te"/>
    <n v="0"/>
    <n v="1"/>
    <s v="sub"/>
    <s v="lexical_humble_verb"/>
    <n v="0"/>
    <x v="2"/>
    <x v="2"/>
    <s v="te_medial"/>
    <s v="ss"/>
    <s v="ss"/>
    <s v="topic-drop"/>
    <s v="contains_new"/>
    <m/>
    <m/>
    <n v="1"/>
    <x v="0"/>
    <s v="Yes"/>
    <n v="31"/>
    <s v="subordinate"/>
    <n v="1"/>
    <n v="6"/>
    <x v="1"/>
    <s v="zero_recoverable"/>
    <s v="overt"/>
    <n v="0"/>
    <n v="0"/>
  </r>
  <r>
    <s v="Heike 2.108"/>
    <s v="宮中を出入りするは kyūchū o ideiri suru wa "/>
    <s v="when passing in and out of the Palace"/>
    <s v="出入りする"/>
    <s v="indicative"/>
    <s v="motion"/>
    <s v="verb"/>
    <s v="transitive"/>
    <s v="active"/>
    <s v="positive"/>
    <n v="1"/>
    <n v="1"/>
    <s v="OBJ"/>
    <n v="0"/>
    <s v="zero_recoverable"/>
    <n v="3"/>
    <s v="overt"/>
    <s v="n/a"/>
    <n v="0"/>
    <n v="0"/>
    <s v="SUB"/>
    <s v="subordinate"/>
    <n v="0"/>
    <n v="0"/>
    <s v="n/a"/>
    <s v="n/a"/>
    <n v="0"/>
    <x v="2"/>
    <x v="2"/>
    <m/>
    <s v="ss"/>
    <s v="ds"/>
    <s v="topic-drop"/>
    <s v="contains_new"/>
    <s v="nominalisation"/>
    <m/>
    <n v="1"/>
    <x v="0"/>
    <s v="Yes"/>
    <n v="31"/>
    <s v="relative"/>
    <n v="1"/>
    <m/>
    <x v="1"/>
    <s v="overt"/>
    <s v="overt"/>
    <n v="0"/>
    <n v="0"/>
  </r>
  <r>
    <s v="Heike 2.109"/>
    <s v="皆格式の礼を守る mina kakushiki no rei o mamoru"/>
    <s v=" is according to ancient precedent,"/>
    <s v="守る"/>
    <s v="indicative"/>
    <s v="action"/>
    <s v="verb"/>
    <s v="transitive"/>
    <s v="active"/>
    <s v="positive"/>
    <n v="1"/>
    <n v="2"/>
    <s v="S+O"/>
    <n v="0"/>
    <s v="overt"/>
    <n v="3"/>
    <s v="overt"/>
    <s v="n/a"/>
    <n v="0"/>
    <n v="1"/>
    <s v="REL"/>
    <s v="relative"/>
    <n v="0"/>
    <n v="0"/>
    <s v="n/a"/>
    <s v="n/a"/>
    <n v="0"/>
    <x v="2"/>
    <x v="4"/>
    <m/>
    <s v="ds"/>
    <s v="ds"/>
    <s v="topic-drop"/>
    <s v="contains_new"/>
    <m/>
    <m/>
    <n v="2"/>
    <x v="0"/>
    <s v="Yes"/>
    <n v="31"/>
    <s v="relative"/>
    <n v="0"/>
    <m/>
    <x v="1"/>
    <s v="overt"/>
    <s v="n/a"/>
    <n v="0"/>
    <n v="0"/>
  </r>
  <r>
    <s v="Heike 2.110"/>
    <s v="綸命由ある  rinmei yoshi aru "/>
    <m/>
    <s v="ある"/>
    <s v="indicative"/>
    <s v="stative"/>
    <s v="existential verb"/>
    <s v="intransitive"/>
    <s v="active"/>
    <s v="positive"/>
    <n v="1"/>
    <n v="1"/>
    <s v="SUB"/>
    <n v="0"/>
    <s v="overt"/>
    <n v="3"/>
    <s v="n/a"/>
    <s v="n/a"/>
    <n v="0"/>
    <n v="1"/>
    <s v="REL"/>
    <s v="relative"/>
    <n v="0"/>
    <n v="0"/>
    <s v="n/a"/>
    <s v="n/a"/>
    <n v="0"/>
    <x v="2"/>
    <x v="1"/>
    <m/>
    <s v="ds"/>
    <s v="n/a"/>
    <s v="topic-drop"/>
    <s v="contains_new"/>
    <m/>
    <m/>
    <n v="1"/>
    <x v="0"/>
    <s v="Yes"/>
    <n v="31"/>
    <m/>
    <n v="0"/>
    <n v="7"/>
    <x v="1"/>
    <s v="none"/>
    <s v="n/a"/>
    <n v="0"/>
    <n v="0"/>
  </r>
  <r>
    <s v="Heike 2.111"/>
    <s v="先規なり senki nari"/>
    <m/>
    <s v="なり"/>
    <s v="indicative"/>
    <s v="stative"/>
    <s v="copula"/>
    <s v="intransitive"/>
    <s v="active"/>
    <s v="positive"/>
    <n v="1"/>
    <n v="0"/>
    <s v="n/a"/>
    <n v="0"/>
    <s v="none"/>
    <n v="0"/>
    <s v="n/a"/>
    <s v="n/a"/>
    <n v="0"/>
    <n v="0"/>
    <s v="n/a"/>
    <s v="none"/>
    <n v="0"/>
    <n v="0"/>
    <s v="n/a"/>
    <s v="n/a"/>
    <n v="0"/>
    <x v="2"/>
    <x v="1"/>
    <m/>
    <s v="n/a"/>
    <s v="ds"/>
    <s v="topic-drop"/>
    <s v="no_overt_NP"/>
    <m/>
    <m/>
    <n v="0"/>
    <x v="0"/>
    <s v="Yes"/>
    <n v="31"/>
    <m/>
    <n v="1"/>
    <n v="8"/>
    <x v="1"/>
    <s v="overt"/>
    <s v="overt"/>
    <n v="0"/>
    <n v="0"/>
  </r>
  <r>
    <s v="Heike 2.112"/>
    <s v="然るを忠盛朝臣或いは相伝の郎従と号して (shikaru o Tadamori ason arui wa sōden no rōjū to gō shite)"/>
    <s v="but Ason Tadamori, calling a certain common soldier his hereditary retainer,"/>
    <s v="号して"/>
    <s v="indicative"/>
    <s v="action"/>
    <s v="verb"/>
    <s v="transitive"/>
    <s v="active"/>
    <s v="positive"/>
    <n v="1"/>
    <n v="2"/>
    <s v="S+O"/>
    <n v="1"/>
    <s v="overt"/>
    <n v="3"/>
    <s v="overt"/>
    <s v="n/a"/>
    <n v="0"/>
    <n v="0"/>
    <s v="n/a"/>
    <s v="te"/>
    <n v="0"/>
    <n v="0"/>
    <s v="n/a"/>
    <s v="n/a"/>
    <n v="0"/>
    <x v="9"/>
    <x v="9"/>
    <s v="te_medial"/>
    <s v="ds"/>
    <s v="ss"/>
    <s v="topic-shift"/>
    <s v="contains_new"/>
    <m/>
    <m/>
    <n v="2"/>
    <x v="0"/>
    <s v="Yes"/>
    <n v="31"/>
    <s v="inf"/>
    <n v="1"/>
    <n v="9"/>
    <x v="0"/>
    <s v="zero_exalt"/>
    <s v="overt"/>
    <n v="1"/>
    <n v="0"/>
  </r>
  <r>
    <s v="Heike 2.113"/>
    <s v="布衣の兵を殿上の小庭に召し置き (hoi no hyō o tenjō no koniwa ni meshioki)"/>
    <s v=" and placing him in the small courtyard of the Palace,"/>
    <s v="召し置き"/>
    <s v="indicative"/>
    <s v="action"/>
    <s v="verb"/>
    <s v="transitive"/>
    <s v="active"/>
    <s v="positive"/>
    <n v="1"/>
    <n v="2"/>
    <s v="O+IO"/>
    <n v="0"/>
    <s v="zero_exalt"/>
    <n v="3"/>
    <s v="overt"/>
    <s v="overt"/>
    <n v="0"/>
    <n v="0"/>
    <s v="n/a"/>
    <s v="inf"/>
    <n v="0"/>
    <n v="1"/>
    <s v="sub"/>
    <s v="lexical_honorific_verb"/>
    <n v="0"/>
    <x v="2"/>
    <x v="2"/>
    <m/>
    <s v="ss"/>
    <s v="ss"/>
    <s v="topic-drop"/>
    <s v="contains_new"/>
    <m/>
    <m/>
    <n v="2"/>
    <x v="0"/>
    <s v="Yes"/>
    <n v="31"/>
    <s v="te"/>
    <n v="1"/>
    <n v="10"/>
    <x v="1"/>
    <s v="overt"/>
    <s v="overt"/>
    <n v="0"/>
    <n v="0"/>
  </r>
  <r>
    <s v="Heike 2.114"/>
    <s v="或いは腰の刀を横へ差いて (arui wa koshi no katana o yokoe saite)"/>
    <s v="wearing a sword at his side,"/>
    <s v="差いて"/>
    <s v="indicative"/>
    <s v="other"/>
    <s v="verb"/>
    <s v="transitive"/>
    <s v="active"/>
    <s v="positive"/>
    <n v="1"/>
    <n v="3"/>
    <s v="S+O+IO"/>
    <n v="2"/>
    <s v="overt"/>
    <n v="3"/>
    <s v="overt"/>
    <s v="overt"/>
    <n v="0"/>
    <n v="0"/>
    <s v="n/a"/>
    <s v="te"/>
    <n v="0"/>
    <n v="0"/>
    <s v="n/a"/>
    <s v="n/a"/>
    <n v="0"/>
    <x v="2"/>
    <x v="6"/>
    <s v="te_medial"/>
    <s v="ss"/>
    <s v="ss"/>
    <s v="topic-drop"/>
    <s v="contains_new"/>
    <m/>
    <m/>
    <n v="3"/>
    <x v="0"/>
    <s v="Yes"/>
    <n v="31"/>
    <s v="relative"/>
    <n v="1"/>
    <m/>
    <x v="1"/>
    <s v="zero_recoverable"/>
    <s v="none"/>
    <n v="1"/>
    <n v="0"/>
  </r>
  <r>
    <s v="Heike 2.115"/>
    <s v="節会の座に列なる setsue no za ni tsuranaru"/>
    <s v="and coming to the festival seat "/>
    <s v="列なる"/>
    <s v="indicative"/>
    <s v="other"/>
    <s v="verb"/>
    <s v="intransitive"/>
    <s v="active"/>
    <s v="positive"/>
    <n v="1"/>
    <n v="1"/>
    <s v="IO"/>
    <n v="0"/>
    <s v="zero_recoverable"/>
    <n v="3"/>
    <s v="n/a"/>
    <s v="overt"/>
    <n v="0"/>
    <n v="1"/>
    <s v="REL"/>
    <s v="relative"/>
    <n v="0"/>
    <n v="0"/>
    <s v="n/a"/>
    <s v="n/a"/>
    <n v="0"/>
    <x v="2"/>
    <x v="2"/>
    <m/>
    <s v="ss"/>
    <s v="n/a"/>
    <s v="topic-drop"/>
    <s v="contains_new"/>
    <m/>
    <m/>
    <n v="1"/>
    <x v="0"/>
    <s v="Yes"/>
    <n v="31"/>
    <s v="relative"/>
    <n v="0"/>
    <m/>
    <x v="1"/>
    <s v="zero_other"/>
    <s v="n/a"/>
    <n v="0"/>
    <n v="0"/>
  </r>
  <r>
    <s v="Heike 2.116"/>
    <s v="[両条稀代]未だ聞かざる (ryōjō kidai imada kikazaru)"/>
    <s v="both acts are unheard-of,"/>
    <s v="聞かざる"/>
    <s v="indicative"/>
    <s v="action"/>
    <s v="verb"/>
    <s v="transitive"/>
    <s v="active"/>
    <s v="negative"/>
    <n v="1"/>
    <n v="0"/>
    <s v="n/a"/>
    <n v="1"/>
    <s v="zero_other"/>
    <n v="3"/>
    <s v="n/a"/>
    <s v="n/a"/>
    <n v="1"/>
    <n v="0"/>
    <s v="REL"/>
    <s v="relative"/>
    <n v="0"/>
    <n v="0"/>
    <s v="n/a"/>
    <s v="n/a"/>
    <n v="0"/>
    <x v="2"/>
    <x v="1"/>
    <m/>
    <s v="n/a"/>
    <s v="ds"/>
    <s v="topic-drop"/>
    <s v="contains_new"/>
    <m/>
    <m/>
    <n v="0"/>
    <x v="0"/>
    <s v="Yes"/>
    <n v="31"/>
    <s v="main"/>
    <n v="0"/>
    <n v="11"/>
    <x v="1"/>
    <s v="overt"/>
    <s v="n/a"/>
    <n v="0"/>
    <n v="0"/>
  </r>
  <r>
    <s v="Heike 2.117"/>
    <s v="狼藉なり rōzaku nari"/>
    <s v="disorderliness"/>
    <s v="狼藉なり"/>
    <s v="indicative"/>
    <s v="stative"/>
    <s v="copula"/>
    <s v="intransitive"/>
    <s v="active"/>
    <s v="positive"/>
    <n v="1"/>
    <n v="1"/>
    <s v="SUB"/>
    <n v="0"/>
    <s v="overt"/>
    <n v="3"/>
    <s v="n/a"/>
    <s v="n/a"/>
    <n v="0"/>
    <n v="0"/>
    <s v="n/a"/>
    <s v="main"/>
    <n v="0"/>
    <n v="0"/>
    <s v="n/a"/>
    <s v="n/a"/>
    <n v="0"/>
    <x v="2"/>
    <x v="1"/>
    <m/>
    <s v="ds"/>
    <s v="ds"/>
    <s v="topic-drop"/>
    <s v="contains_new"/>
    <m/>
    <m/>
    <n v="1"/>
    <x v="0"/>
    <s v="Yes"/>
    <n v="31"/>
    <m/>
    <n v="1"/>
    <n v="1"/>
    <x v="1"/>
    <s v="overt"/>
    <s v="n/a"/>
    <n v="0"/>
    <n v="0"/>
  </r>
  <r>
    <s v="Heike 2.118"/>
    <s v="事既に重畳せり (koto sudeni chōjō seri)"/>
    <s v="indeed, one crime piled on another,"/>
    <s v="重畳せり"/>
    <s v="indicative"/>
    <s v="other"/>
    <s v="LVC"/>
    <s v="intransitive"/>
    <s v="active"/>
    <s v="positive"/>
    <n v="1"/>
    <n v="1"/>
    <s v="SUB"/>
    <n v="1"/>
    <s v="overt"/>
    <n v="3"/>
    <s v="n/a"/>
    <s v="n/a"/>
    <n v="0"/>
    <n v="0"/>
    <s v="n/a"/>
    <s v="inf"/>
    <n v="0"/>
    <n v="0"/>
    <s v="n/a"/>
    <s v="n/a"/>
    <n v="0"/>
    <x v="2"/>
    <x v="3"/>
    <m/>
    <s v="ds"/>
    <s v="ss"/>
    <s v="topic-drop"/>
    <s v="all given"/>
    <m/>
    <m/>
    <n v="1"/>
    <x v="1"/>
    <s v="Yes"/>
    <n v="32"/>
    <m/>
    <n v="1"/>
    <n v="2"/>
    <x v="0"/>
    <s v="overt"/>
    <s v="overt"/>
    <n v="0"/>
    <n v="0"/>
  </r>
  <r>
    <s v="Heike 2.119"/>
    <s v="罪科尤も遁れ難し (tsumitoga mottomo nogaregatashi)"/>
    <s v="a charge he would find difficult to escape."/>
    <s v="遁れ難し"/>
    <s v="dynamic"/>
    <s v="stative"/>
    <s v="verb"/>
    <s v="transitive"/>
    <s v="active"/>
    <s v="positive"/>
    <n v="1"/>
    <n v="1"/>
    <s v="SUB"/>
    <n v="0"/>
    <s v="overt"/>
    <n v="3"/>
    <s v="overt"/>
    <s v="n/a"/>
    <n v="0"/>
    <n v="0"/>
    <s v="n/a"/>
    <s v="main"/>
    <n v="0"/>
    <n v="0"/>
    <s v="n/a"/>
    <s v="n/a"/>
    <n v="0"/>
    <x v="2"/>
    <x v="6"/>
    <m/>
    <s v="ss"/>
    <s v="ds"/>
    <s v="topic-drop"/>
    <s v="contains_new"/>
    <m/>
    <m/>
    <n v="1"/>
    <x v="0"/>
    <s v="Yes"/>
    <n v="32"/>
    <s v="te"/>
    <n v="1"/>
    <n v="1"/>
    <x v="1"/>
    <s v="zero_other"/>
    <s v="overt"/>
    <n v="1"/>
    <n v="0"/>
  </r>
  <r>
    <s v="Heike 2.120"/>
    <s v="早く殿上の御札を削りて (hayaku tenjō no mifuda o kezurite)"/>
    <s v="they petitioned that his name be erased from the list of Courtiers"/>
    <s v="削りて "/>
    <s v="indicative"/>
    <s v="action"/>
    <s v="verb"/>
    <s v="transitive"/>
    <s v="active"/>
    <s v="positive"/>
    <n v="1"/>
    <n v="1"/>
    <s v="OBJ"/>
    <n v="0"/>
    <s v="zero_other"/>
    <n v="3"/>
    <s v="overt"/>
    <s v="n/a"/>
    <n v="0"/>
    <n v="0"/>
    <s v="n/a"/>
    <s v="te"/>
    <n v="0"/>
    <n v="0"/>
    <s v="n/a"/>
    <s v="n/a"/>
    <n v="0"/>
    <x v="2"/>
    <x v="3"/>
    <s v="te_medial"/>
    <s v="ds"/>
    <s v="ss"/>
    <s v="topic-drop"/>
    <s v="contains_new"/>
    <m/>
    <m/>
    <n v="1"/>
    <x v="0"/>
    <s v="Yes"/>
    <n v="33"/>
    <m/>
    <n v="1"/>
    <m/>
    <x v="1"/>
    <s v="zero_recoverable"/>
    <s v="n/a"/>
    <n v="0"/>
    <n v="0"/>
  </r>
  <r>
    <s v="Heike 2.121"/>
    <s v="欠官停任せらるべき (kekkan teinin seraru beki yoshi)"/>
    <s v=" and he be deprived of rank and office,"/>
    <s v="停任せらるべき"/>
    <s v="deontic"/>
    <s v="action"/>
    <s v="LVC"/>
    <s v="intransitive"/>
    <s v="passive"/>
    <s v="positive"/>
    <n v="1"/>
    <n v="0"/>
    <s v="n/a"/>
    <n v="0"/>
    <s v="zero_recoverable"/>
    <n v="3"/>
    <s v="n/a"/>
    <s v="n/a"/>
    <n v="0"/>
    <n v="1"/>
    <s v="REL"/>
    <s v="relative"/>
    <n v="0"/>
    <n v="0"/>
    <s v="n/a"/>
    <s v="n/a"/>
    <n v="0"/>
    <x v="2"/>
    <x v="2"/>
    <m/>
    <s v="ss"/>
    <s v="ds"/>
    <s v="topic-drop"/>
    <s v="no_overt_NP"/>
    <m/>
    <m/>
    <n v="0"/>
    <x v="1"/>
    <s v="Yes"/>
    <n v="33"/>
    <m/>
    <n v="0"/>
    <n v="2"/>
    <x v="1"/>
    <s v="overt"/>
    <s v="overt"/>
    <n v="0"/>
    <n v="0"/>
  </r>
  <r>
    <s v="Heike 2.122"/>
    <s v="由諸卿一同に訴へ申されければ (yoshi shokyō ichidō ni uttaemōsarekereba)"/>
    <s v="and all the Court Nobles together petitioned,"/>
    <s v="訴へ申されければ"/>
    <s v="indicative"/>
    <s v="action"/>
    <s v="verb"/>
    <s v="transitive"/>
    <s v="active"/>
    <s v="positive"/>
    <n v="1"/>
    <n v="2"/>
    <s v="S+O"/>
    <n v="1"/>
    <s v="overt"/>
    <n v="3"/>
    <s v="overt"/>
    <s v="n/a"/>
    <n v="0"/>
    <n v="0"/>
    <s v="n/a"/>
    <s v="subordinate"/>
    <n v="1"/>
    <n v="0"/>
    <s v="sub"/>
    <s v="honorific_aux+lexical_honorific_verb"/>
    <n v="0"/>
    <x v="0"/>
    <x v="1"/>
    <m/>
    <s v="ds"/>
    <s v="ds"/>
    <s v="topic-drop"/>
    <s v="contains_new"/>
    <m/>
    <m/>
    <n v="2"/>
    <x v="0"/>
    <s v="Yes"/>
    <n v="33"/>
    <s v="te"/>
    <n v="1"/>
    <n v="3"/>
    <x v="1"/>
    <s v="overt"/>
    <s v="n/a"/>
    <n v="0"/>
    <n v="0"/>
  </r>
  <r>
    <s v="Heike 2.123"/>
    <s v="上皇大きに驚かせ給ひて (Jōkō ōki ni odorokase tamai te)"/>
    <s v="His Majesty the Mikado, greatly surprised,"/>
    <s v="驚かせ給ひて"/>
    <s v="indicative"/>
    <s v="action"/>
    <s v="verb"/>
    <s v="intransitive"/>
    <s v="active"/>
    <s v="positive"/>
    <n v="1"/>
    <n v="1"/>
    <s v="SUB"/>
    <n v="0"/>
    <s v="overt"/>
    <n v="3"/>
    <s v="n/a"/>
    <s v="n/a"/>
    <n v="0"/>
    <n v="0"/>
    <s v="n/a"/>
    <s v="te"/>
    <n v="1"/>
    <n v="0"/>
    <s v="sub"/>
    <s v="honorific_aux+lexical_honorific_verb"/>
    <n v="0"/>
    <x v="2"/>
    <x v="4"/>
    <s v="te_medial"/>
    <s v="ds"/>
    <s v="ss"/>
    <s v="topic-drop"/>
    <s v="contains_new"/>
    <m/>
    <m/>
    <n v="1"/>
    <x v="0"/>
    <s v="Yes"/>
    <n v="33"/>
    <s v="te"/>
    <n v="1"/>
    <n v="4"/>
    <x v="1"/>
    <s v="zero_exalt"/>
    <s v="overt"/>
    <n v="1"/>
    <n v="0"/>
  </r>
  <r>
    <s v="Heike 2.124"/>
    <s v="忠盛を召して (Tadamori o meshite)"/>
    <s v="ordered Tadamori into his Presence,"/>
    <s v="召して"/>
    <s v="indicative"/>
    <s v="action"/>
    <s v="verb"/>
    <s v="intransitive"/>
    <s v="active"/>
    <s v="positive"/>
    <n v="1"/>
    <n v="1"/>
    <s v="OBJ"/>
    <n v="0"/>
    <s v="zero_exalt"/>
    <n v="3"/>
    <s v="overt"/>
    <s v="n/a"/>
    <n v="0"/>
    <n v="0"/>
    <s v="n/a"/>
    <s v="te"/>
    <n v="0"/>
    <n v="1"/>
    <s v="sub"/>
    <s v="lexical_honorific_verb"/>
    <n v="0"/>
    <x v="2"/>
    <x v="2"/>
    <s v="te_medial"/>
    <s v="ss"/>
    <s v="ds"/>
    <s v="topic-drop"/>
    <s v="contains_new"/>
    <m/>
    <m/>
    <n v="1"/>
    <x v="0"/>
    <s v="Yes"/>
    <n v="33"/>
    <s v="main"/>
    <n v="1"/>
    <n v="5"/>
    <x v="1"/>
    <s v="overt"/>
    <s v="n/a"/>
    <n v="0"/>
    <n v="0"/>
  </r>
  <r>
    <s v="Heike 2.125"/>
    <s v="御尋ねあり o-tazune ari"/>
    <s v=" to make examination into the affair"/>
    <s v="御尋ねあり"/>
    <s v="indicative"/>
    <s v="action"/>
    <s v="verb"/>
    <s v="intransitive"/>
    <s v="active"/>
    <s v="positive"/>
    <n v="1"/>
    <n v="1"/>
    <s v="SUB"/>
    <n v="0"/>
    <s v="overt"/>
    <n v="3"/>
    <s v="n/a"/>
    <s v="n/a"/>
    <n v="0"/>
    <n v="0"/>
    <s v="n/a"/>
    <s v="main"/>
    <n v="1"/>
    <n v="0"/>
    <s v="sub"/>
    <s v="honorific prefix"/>
    <n v="1"/>
    <x v="2"/>
    <x v="2"/>
    <m/>
    <s v="ds"/>
    <s v="ds"/>
    <s v="topic-drop"/>
    <s v="contains_new"/>
    <m/>
    <m/>
    <n v="1"/>
    <x v="0"/>
    <s v="Yes"/>
    <n v="33"/>
    <m/>
    <n v="1"/>
    <n v="1"/>
    <x v="1"/>
    <s v="zero_exalt"/>
    <s v="zero_other"/>
    <n v="1"/>
    <n v="0"/>
  </r>
  <r>
    <s v="Heike 2.126"/>
    <s v="陳じ申されけるは (chinji mōsarekeru wa)"/>
    <s v="in his reply he stated that,"/>
    <s v="申されける"/>
    <s v="indicative"/>
    <s v="action"/>
    <s v="verb"/>
    <s v="transitive"/>
    <s v="active"/>
    <s v="positive"/>
    <n v="1"/>
    <n v="0"/>
    <s v="n/a"/>
    <n v="0"/>
    <s v="zero_exalt"/>
    <n v="3"/>
    <s v="zero_other"/>
    <s v="n/a"/>
    <n v="0"/>
    <n v="0"/>
    <s v="SUB"/>
    <s v="subordinate"/>
    <n v="0"/>
    <n v="1"/>
    <s v="sub"/>
    <s v="honorific_aux+lexical_humble_verb"/>
    <n v="0"/>
    <x v="2"/>
    <x v="3"/>
    <m/>
    <s v="ds"/>
    <s v="ss"/>
    <s v="topic-drop"/>
    <s v="no_overt_NP"/>
    <s v="nominalisation"/>
    <m/>
    <n v="0"/>
    <x v="0"/>
    <s v="Yes"/>
    <n v="34"/>
    <m/>
    <n v="1"/>
    <n v="2"/>
    <x v="0"/>
    <s v="zero_exalt"/>
    <s v="overt"/>
    <n v="0"/>
    <n v="0"/>
  </r>
  <r>
    <s v="Heike 2.127"/>
    <s v="まづ郎従小庭に伺候の由全く覚悟仕らず (mazu rōjū koniwa ni shikō no yoshi mattaku kakugo tsukamatsurazu)"/>
    <s v="as to the presence of his retainer in the Palace, he certainly knew nothing about it,"/>
    <s v="覚悟仕らず"/>
    <s v="indicative"/>
    <s v="action"/>
    <s v="LVC"/>
    <s v="transitive"/>
    <s v="active"/>
    <s v="negative"/>
    <n v="1"/>
    <n v="1"/>
    <s v="OBJ"/>
    <n v="2"/>
    <s v="zero_exalt"/>
    <n v="3"/>
    <s v="overt"/>
    <s v="n/a"/>
    <n v="0"/>
    <n v="0"/>
    <s v="n/a"/>
    <s v="subordinate"/>
    <n v="0"/>
    <n v="1"/>
    <s v="sub"/>
    <s v="lexical_humble_verb"/>
    <n v="0"/>
    <x v="2"/>
    <x v="4"/>
    <m/>
    <s v="ss"/>
    <s v="ds"/>
    <s v="topic-drop"/>
    <s v="contains_new"/>
    <m/>
    <m/>
    <n v="1"/>
    <x v="1"/>
    <s v="Yes"/>
    <n v="34"/>
    <s v="relative"/>
    <n v="1"/>
    <m/>
    <x v="0"/>
    <s v="overt"/>
    <s v="zero_other"/>
    <n v="0"/>
    <n v="1"/>
  </r>
  <r>
    <s v="Heike 2.128"/>
    <s v="但し近日人々相巧まるる (tadashi kinjitsu hitobito ai-takuramaruru)"/>
    <s v=" [...]  the designs that people were plotting,"/>
    <s v="巧まるる"/>
    <s v="indicative"/>
    <s v="action"/>
    <s v="verb"/>
    <s v="transitive"/>
    <s v="active"/>
    <s v="positive"/>
    <n v="1"/>
    <n v="1"/>
    <s v="SUB"/>
    <n v="1"/>
    <s v="overt"/>
    <n v="3"/>
    <s v="zero_other"/>
    <s v="n/a"/>
    <n v="0"/>
    <n v="0"/>
    <s v="REL"/>
    <s v="relative"/>
    <n v="1"/>
    <n v="0"/>
    <s v="sub"/>
    <s v="honorific_aux"/>
    <n v="0"/>
    <x v="2"/>
    <x v="4"/>
    <m/>
    <s v="ds"/>
    <s v="ds"/>
    <s v="topic-drop"/>
    <s v="contains_new"/>
    <m/>
    <m/>
    <n v="1"/>
    <x v="0"/>
    <s v="Yes"/>
    <n v="34"/>
    <s v="subordinate"/>
    <n v="0"/>
    <n v="3"/>
    <x v="1"/>
    <s v="overt"/>
    <s v="n/a"/>
    <n v="0"/>
    <n v="0"/>
  </r>
  <r>
    <s v="Heike 2.129"/>
    <s v="旨子細あるかの間 mune shisai aru ka no aida "/>
    <s v="[…] had lately heard of"/>
    <s v="ある"/>
    <s v="indicative"/>
    <s v="stative"/>
    <s v="existential verb"/>
    <s v="intransitive"/>
    <s v="active"/>
    <s v="positive"/>
    <n v="1"/>
    <n v="1"/>
    <s v="SUB"/>
    <n v="1"/>
    <s v="overt"/>
    <n v="3"/>
    <s v="n/a"/>
    <s v="n/a"/>
    <n v="0"/>
    <n v="0"/>
    <s v="n/a"/>
    <s v="subordinate"/>
    <n v="0"/>
    <n v="0"/>
    <s v="n/a"/>
    <s v="n/a"/>
    <n v="0"/>
    <x v="0"/>
    <x v="1"/>
    <m/>
    <s v="ds"/>
    <s v="ss"/>
    <s v="topic-drop"/>
    <s v="contains_new"/>
    <m/>
    <m/>
    <n v="1"/>
    <x v="0"/>
    <s v="Yes"/>
    <n v="34"/>
    <s v="subordinate"/>
    <n v="1"/>
    <n v="4"/>
    <x v="1"/>
    <s v="overt"/>
    <s v="overt"/>
    <n v="0"/>
    <n v="0"/>
  </r>
  <r>
    <s v="Heike 2.130"/>
    <s v="年来の家人事を伝へ聞くかによつて (nenrai no kenin goto o tsutae kiku ka ni yotte)"/>
    <s v=" if his retainers"/>
    <s v="伝へ聞く"/>
    <s v="indicative"/>
    <s v="perception"/>
    <s v="compound verb"/>
    <s v="transitive"/>
    <s v="active"/>
    <s v="positive"/>
    <n v="1"/>
    <n v="2"/>
    <s v="S+O"/>
    <n v="1"/>
    <s v="overt"/>
    <n v="3"/>
    <s v="overt"/>
    <s v="n/a"/>
    <n v="0"/>
    <n v="0"/>
    <s v="n/a"/>
    <s v="subordinate"/>
    <n v="0"/>
    <n v="0"/>
    <s v="n/a"/>
    <s v="n/a"/>
    <n v="0"/>
    <x v="1"/>
    <x v="4"/>
    <m/>
    <s v="ss"/>
    <s v="ss"/>
    <s v="topic-drop"/>
    <s v="contains_new"/>
    <m/>
    <m/>
    <n v="2"/>
    <x v="0"/>
    <s v="Yes"/>
    <n v="34"/>
    <s v="subordinate"/>
    <n v="1"/>
    <n v="5"/>
    <x v="1"/>
    <s v="zero_recoverable"/>
    <s v="overt"/>
    <n v="1"/>
    <n v="0"/>
  </r>
  <r>
    <s v="Heike 2.131"/>
    <s v="その恥を助けんが為に (sono haji o tasuken ga tame ni)"/>
    <s v="and in order to help him against such dishonour,  intending to prevent dishonour,"/>
    <s v="助けん"/>
    <s v="dynamic"/>
    <s v="other"/>
    <s v="verb"/>
    <s v="transitive"/>
    <s v="active"/>
    <s v="positive"/>
    <n v="1"/>
    <n v="1"/>
    <s v="OBJ"/>
    <n v="0"/>
    <s v="zero_recoverable"/>
    <n v="3"/>
    <s v="overt"/>
    <s v="n/a"/>
    <n v="0"/>
    <n v="0"/>
    <s v="n/a"/>
    <s v="subordinate"/>
    <n v="0"/>
    <n v="0"/>
    <s v="n/a"/>
    <s v="n/a"/>
    <n v="0"/>
    <x v="7"/>
    <x v="4"/>
    <m/>
    <s v="ss"/>
    <s v="ss"/>
    <s v="topic-drop"/>
    <s v="contains_new"/>
    <m/>
    <m/>
    <n v="1"/>
    <x v="0"/>
    <s v="Yes"/>
    <n v="34"/>
    <s v="te"/>
    <n v="1"/>
    <n v="6"/>
    <x v="1"/>
    <s v="zero_recoverable"/>
    <s v="zero_recoverable"/>
    <n v="0"/>
    <n v="1"/>
  </r>
  <r>
    <s v="Heike 2.132"/>
    <s v="忠盛には知らせずして Tadamori ni wa shirasazu shite"/>
    <s v=" without informing him,  "/>
    <s v="知らせず"/>
    <s v="indicative"/>
    <s v="other"/>
    <s v="verb"/>
    <s v="ditransitive"/>
    <s v="active"/>
    <s v="negative"/>
    <n v="1"/>
    <n v="2"/>
    <s v="IO"/>
    <n v="1"/>
    <s v="zero_recoverable"/>
    <n v="3"/>
    <s v="zero_recoverable"/>
    <s v="overt"/>
    <n v="0"/>
    <n v="0"/>
    <s v="n/a"/>
    <s v="te"/>
    <n v="0"/>
    <n v="0"/>
    <s v="n/a"/>
    <s v="n/a"/>
    <n v="0"/>
    <x v="1"/>
    <x v="4"/>
    <s v="te_medial"/>
    <s v="ss"/>
    <n v="0"/>
    <s v="topic-continued"/>
    <s v="contains_new"/>
    <m/>
    <m/>
    <n v="2"/>
    <x v="0"/>
    <s v="Yes"/>
    <n v="34"/>
    <m/>
    <n v="1"/>
    <n v="7"/>
    <x v="1"/>
    <m/>
    <m/>
    <n v="0"/>
    <n v="0"/>
  </r>
  <r>
    <s v="Heike 2.133"/>
    <s v="密かに参候の条 (hisoka ni sankō no jō)"/>
    <s v="his retainers had come hither secretly"/>
    <s v="N/A (nominal clause)"/>
    <s v="indicative"/>
    <s v="other"/>
    <s v="none"/>
    <m/>
    <m/>
    <m/>
    <m/>
    <m/>
    <m/>
    <m/>
    <m/>
    <m/>
    <s v="n/a"/>
    <s v="n/a"/>
    <m/>
    <m/>
    <m/>
    <m/>
    <m/>
    <m/>
    <s v="n/a"/>
    <s v="n/a"/>
    <m/>
    <x v="5"/>
    <x v="2"/>
    <m/>
    <m/>
    <s v="ds"/>
    <m/>
    <m/>
    <s v="not sure if I should treat this as a nominal or verbal predicate or whether there is predication at all"/>
    <m/>
    <m/>
    <x v="0"/>
    <s v="Yes"/>
    <n v="34"/>
    <m/>
    <n v="1"/>
    <m/>
    <x v="1"/>
    <s v="overt"/>
    <s v="n/a"/>
    <n v="0"/>
    <n v="0"/>
  </r>
  <r>
    <s v="Heike 2.134"/>
    <s v="力及ばざる chikara oyobazaru"/>
    <s v="his retainers had come hither secretly"/>
    <s v="及ばざる"/>
    <s v="indicative"/>
    <s v="other"/>
    <s v="verb"/>
    <s v="intransitive"/>
    <s v="active"/>
    <s v="negative"/>
    <n v="1"/>
    <n v="1"/>
    <s v="SUB"/>
    <n v="0"/>
    <s v="overt"/>
    <n v="3"/>
    <s v="n/a"/>
    <s v="n/a"/>
    <n v="0"/>
    <n v="1"/>
    <s v="REL"/>
    <s v="relative"/>
    <n v="0"/>
    <n v="0"/>
    <s v="n/a"/>
    <s v="n/a"/>
    <n v="0"/>
    <x v="2"/>
    <x v="8"/>
    <m/>
    <s v="ds"/>
    <s v="ds"/>
    <s v="topic-drop"/>
    <s v="contains_new"/>
    <m/>
    <m/>
    <n v="1"/>
    <x v="0"/>
    <s v="Yes"/>
    <n v="34"/>
    <m/>
    <n v="0"/>
    <n v="8"/>
    <x v="1"/>
    <s v="zero_recoverable"/>
    <s v="n/a"/>
    <n v="1"/>
    <n v="0"/>
  </r>
  <r>
    <s v="Heike 2.135"/>
    <s v="次第なり"/>
    <s v="shidai nari"/>
    <s v="なり"/>
    <s v="indicative"/>
    <s v="stative"/>
    <s v="copula"/>
    <s v="intransitive"/>
    <s v="active"/>
    <s v="positive"/>
    <n v="1"/>
    <n v="0"/>
    <s v="n/a"/>
    <n v="0"/>
    <s v="zero_recoverable"/>
    <n v="3"/>
    <s v="n/a"/>
    <s v="n/a"/>
    <n v="0"/>
    <n v="0"/>
    <s v="n/a"/>
    <s v="main"/>
    <n v="0"/>
    <n v="0"/>
    <s v="n/a"/>
    <s v="n/a"/>
    <n v="0"/>
    <x v="2"/>
    <x v="1"/>
    <m/>
    <s v="ds"/>
    <s v="ds"/>
    <s v="topic-drop"/>
    <s v="no_overt_NP"/>
    <m/>
    <m/>
    <n v="0"/>
    <x v="0"/>
    <s v="Yes"/>
    <n v="34"/>
    <m/>
    <n v="1"/>
    <n v="1"/>
    <x v="1"/>
    <s v="overt"/>
    <s v="n/a"/>
    <n v="0"/>
    <n v="0"/>
  </r>
  <r>
    <s v="Heike 2.136"/>
    <s v="もしその咎あるべくば (moshi sono toga arubekuba)"/>
    <s v="&quot;if there be any blame, "/>
    <s v="ある"/>
    <s v="indicative"/>
    <s v="stative"/>
    <s v="existential verb"/>
    <s v="intransitive"/>
    <s v="active"/>
    <s v="positive"/>
    <n v="1"/>
    <n v="1"/>
    <s v="SUB"/>
    <n v="0"/>
    <s v="overt"/>
    <n v="3"/>
    <s v="n/a"/>
    <s v="n/a"/>
    <n v="0"/>
    <n v="0"/>
    <s v="n/a"/>
    <s v="subordinate"/>
    <n v="0"/>
    <n v="0"/>
    <s v="n/a"/>
    <s v="n/a"/>
    <n v="0"/>
    <x v="10"/>
    <x v="3"/>
    <m/>
    <s v="ds"/>
    <s v="ds"/>
    <s v="topic-shift"/>
    <s v="contains_new"/>
    <m/>
    <m/>
    <n v="1"/>
    <x v="0"/>
    <s v="Yes"/>
    <n v="35"/>
    <s v="main"/>
    <n v="1"/>
    <n v="2"/>
    <x v="0"/>
    <s v="zero_exalt"/>
    <s v="overt"/>
    <n v="1"/>
    <n v="0"/>
  </r>
  <r>
    <s v="Heike 2.137"/>
    <s v="かの身を召し進ずべきか  ka no mi o meshi shinzu beki ka"/>
    <s v="do I not yield my body herewith?&quot;"/>
    <s v="召し進ずべき"/>
    <s v="deontic"/>
    <s v="action"/>
    <s v="LVC"/>
    <m/>
    <s v="active"/>
    <s v="positive"/>
    <n v="1"/>
    <n v="1"/>
    <s v="OBJ"/>
    <n v="0"/>
    <s v="zero_exalt"/>
    <n v="1"/>
    <s v="overt"/>
    <s v="n/a"/>
    <n v="0"/>
    <n v="0"/>
    <s v="n/a"/>
    <s v="main"/>
    <n v="0"/>
    <n v="1"/>
    <s v="sub"/>
    <s v="lexical_honorific_verb"/>
    <n v="0"/>
    <x v="2"/>
    <x v="4"/>
    <m/>
    <s v="ds"/>
    <s v="ss"/>
    <s v="topic-drop"/>
    <s v="contains_new"/>
    <m/>
    <m/>
    <n v="1"/>
    <x v="1"/>
    <s v="Yes"/>
    <n v="35"/>
    <s v="main"/>
    <n v="1"/>
    <n v="1"/>
    <x v="1"/>
    <s v="zero_recoverable"/>
    <s v="overt"/>
    <n v="0"/>
    <n v="0"/>
  </r>
  <r>
    <s v="Heike 2.138"/>
    <s v="次に刀の事は主殿司に預け置き候ひ畢んぬ (tsugi ni katana no koto wa tonomotsukasa ni azukeoki soroiowannu)"/>
    <s v="as for the sword, I deposited it in the Tonomotsukasa,"/>
    <s v="預け置き / 候ひ畢んぬ"/>
    <s v="indicative"/>
    <s v="action"/>
    <s v="compound verb"/>
    <s v="transitive"/>
    <s v="active"/>
    <s v="positive"/>
    <n v="1"/>
    <n v="2"/>
    <s v="O+IO"/>
    <n v="0"/>
    <s v="zero_recoverable"/>
    <n v="1"/>
    <s v="overt"/>
    <s v="overt"/>
    <n v="0"/>
    <n v="0"/>
    <s v="n/a"/>
    <s v="main"/>
    <n v="0"/>
    <n v="0"/>
    <s v="n/a"/>
    <s v="polite_aux"/>
    <n v="0"/>
    <x v="2"/>
    <x v="3"/>
    <m/>
    <s v="ss"/>
    <s v="ds"/>
    <s v="topic-shift"/>
    <s v="contains_new"/>
    <m/>
    <m/>
    <n v="2"/>
    <x v="0"/>
    <s v="Yes"/>
    <n v="36"/>
    <m/>
    <n v="1"/>
    <n v="1"/>
    <x v="1"/>
    <s v="zero_exalt"/>
    <s v="zero_recoverable"/>
    <n v="0"/>
    <n v="1"/>
  </r>
  <r>
    <s v="Heike 2.139"/>
    <s v="召し出だされ (meshi idasare)"/>
    <s v="if it be brought out from thence,"/>
    <s v="召し出だされ "/>
    <s v="indicative"/>
    <s v="action"/>
    <s v="verb"/>
    <s v="intransitive"/>
    <s v="passive"/>
    <s v="positive"/>
    <n v="1"/>
    <n v="0"/>
    <s v="n/a"/>
    <n v="0"/>
    <s v="zero_exalt"/>
    <n v="3"/>
    <s v="zero_recoverable"/>
    <s v="zero_recoverable"/>
    <n v="0"/>
    <n v="0"/>
    <s v="n/a"/>
    <s v="main"/>
    <n v="0"/>
    <n v="1"/>
    <s v="sub"/>
    <s v="lexical_honorific_verb"/>
    <n v="0"/>
    <x v="2"/>
    <x v="3"/>
    <m/>
    <s v="ds"/>
    <s v="ss"/>
    <s v="topic-drop"/>
    <s v="no_overt_NP"/>
    <m/>
    <m/>
    <n v="0"/>
    <x v="0"/>
    <s v="Yes"/>
    <n v="37"/>
    <m/>
    <n v="1"/>
    <n v="1"/>
    <x v="1"/>
    <s v="overt"/>
    <s v="n/a"/>
    <n v="0"/>
    <n v="0"/>
  </r>
  <r>
    <s v="Heike 2.140"/>
    <s v="刀の実否に付きて咎の左右あるべきか  katana no jippi ni tsukite toga no sayū aru beki ka"/>
    <s v=" it may be seen if it be a real sword or not,"/>
    <s v="あるべき"/>
    <s v="deontic"/>
    <s v="stative"/>
    <s v="existential verb"/>
    <s v="intransitive"/>
    <s v="active"/>
    <s v="positive"/>
    <n v="1"/>
    <n v="1"/>
    <s v="SUB"/>
    <n v="1"/>
    <s v="overt"/>
    <n v="3"/>
    <s v="n/a"/>
    <s v="n/a"/>
    <n v="0"/>
    <n v="0"/>
    <s v="n/a"/>
    <s v="main"/>
    <n v="0"/>
    <n v="0"/>
    <s v="n/a"/>
    <s v="n/a"/>
    <n v="0"/>
    <x v="2"/>
    <x v="3"/>
    <m/>
    <s v="ss"/>
    <s v="ds"/>
    <s v="topic-drop"/>
    <s v="contains_new"/>
    <m/>
    <m/>
    <n v="1"/>
    <x v="0"/>
    <s v="Yes"/>
    <n v="38"/>
    <s v="subordinate"/>
    <n v="1"/>
    <n v="1"/>
    <x v="0"/>
    <s v="overt"/>
    <s v="n/a"/>
    <n v="0"/>
    <n v="0"/>
  </r>
  <r>
    <s v="Heike 2.141"/>
    <s v="この儀尤も然るべしとて (kono gi motto mo shikarubeshi tote)"/>
    <s v="&quot;This seems quite reasonable,&quot;"/>
    <s v="然るべし"/>
    <s v="deontic"/>
    <s v="stative"/>
    <s v="adjectival predicate"/>
    <s v="intransitive"/>
    <s v="active"/>
    <s v="positive"/>
    <n v="1"/>
    <n v="1"/>
    <s v="SUB"/>
    <n v="0"/>
    <s v="overt"/>
    <n v="3"/>
    <s v="n/a"/>
    <s v="n/a"/>
    <n v="0"/>
    <n v="0"/>
    <s v="n/a"/>
    <s v="subordinate"/>
    <n v="0"/>
    <n v="0"/>
    <s v="n/a"/>
    <s v="n/a"/>
    <n v="0"/>
    <x v="3"/>
    <x v="3"/>
    <m/>
    <s v="ds"/>
    <s v="ds"/>
    <s v="topic-drop"/>
    <s v="contains_new"/>
    <m/>
    <m/>
    <n v="1"/>
    <x v="0"/>
    <s v="Yes"/>
    <n v="39"/>
    <m/>
    <n v="1"/>
    <n v="2"/>
    <x v="1"/>
    <s v="zero_exalt"/>
    <s v="overt"/>
    <n v="1"/>
    <n v="0"/>
  </r>
  <r>
    <s v="Heike 2.142"/>
    <s v="かの刀を召し出でて (kano katana o meshi-idete)"/>
    <s v="and they hastened to bring forth the sword,"/>
    <s v="召し出でて"/>
    <s v="indicative"/>
    <s v="action"/>
    <s v="verb"/>
    <s v="transitive"/>
    <s v="active"/>
    <s v="positive"/>
    <n v="1"/>
    <n v="1"/>
    <s v="OBJ"/>
    <n v="1"/>
    <s v="zero_exalt"/>
    <n v="3"/>
    <s v="overt"/>
    <s v="n/a"/>
    <n v="0"/>
    <n v="0"/>
    <s v="n/a"/>
    <s v="te"/>
    <n v="0"/>
    <n v="1"/>
    <s v="sub"/>
    <s v="lexical_honorific_verb"/>
    <n v="0"/>
    <x v="1"/>
    <x v="4"/>
    <s v="te_medial"/>
    <s v="ds"/>
    <s v="ss"/>
    <s v="topic-continued"/>
    <s v="all given"/>
    <m/>
    <m/>
    <n v="1"/>
    <x v="0"/>
    <s v="Yes"/>
    <n v="39"/>
    <m/>
    <n v="1"/>
    <n v="3"/>
    <x v="1"/>
    <s v="zero_exalt"/>
    <s v="zero_recoverable"/>
    <n v="0"/>
    <n v="1"/>
  </r>
  <r>
    <s v="Heike 2.143"/>
    <s v="叡覧あるに (eiran aru ni)"/>
    <s v="and exhibit it before His Majesty,"/>
    <s v="叡覧ある"/>
    <s v="indicative"/>
    <s v="action"/>
    <s v="LVC"/>
    <s v="transitive"/>
    <s v="active"/>
    <s v="positive"/>
    <n v="1"/>
    <n v="0"/>
    <s v="n/a"/>
    <n v="0"/>
    <s v="zero_exalt"/>
    <n v="3"/>
    <s v="zero_recoverable"/>
    <s v="n/a"/>
    <n v="0"/>
    <n v="0"/>
    <s v="n/a"/>
    <s v="subordinate"/>
    <n v="0"/>
    <n v="1"/>
    <s v="sub"/>
    <s v="lexical_honorific_verb"/>
    <n v="0"/>
    <x v="0"/>
    <x v="2"/>
    <m/>
    <s v="ss"/>
    <s v="ds"/>
    <s v="topic-drop"/>
    <s v="no_overt_NP"/>
    <m/>
    <m/>
    <n v="0"/>
    <x v="1"/>
    <s v="Yes"/>
    <n v="39"/>
    <m/>
    <n v="1"/>
    <n v="4"/>
    <x v="1"/>
    <s v="overt"/>
    <s v="n/a"/>
    <n v="0"/>
    <n v="0"/>
  </r>
  <r>
    <s v="Heike 2.144"/>
    <s v="上は鞘巻の黒う塗つたりけるが (ue wa sayamaki no kuro u nuttari keru ga)"/>
    <s v="its outside was that of a dirk in a black lacquer sheath,"/>
    <s v="塗つたりける"/>
    <s v="indicative"/>
    <s v="stative"/>
    <s v="verb"/>
    <s v="intransitive"/>
    <s v="resultative"/>
    <s v="positive"/>
    <n v="1"/>
    <n v="1"/>
    <s v="SUB"/>
    <n v="0"/>
    <s v="overt"/>
    <n v="3"/>
    <s v="n/a"/>
    <s v="n/a"/>
    <n v="0"/>
    <n v="0"/>
    <s v="n/a"/>
    <s v="subordinate"/>
    <n v="0"/>
    <n v="0"/>
    <s v="n/a"/>
    <s v="n/a"/>
    <n v="0"/>
    <x v="9"/>
    <x v="4"/>
    <m/>
    <s v="ds"/>
    <s v="ds"/>
    <s v="topic-drop"/>
    <s v="contains_new"/>
    <m/>
    <m/>
    <n v="1"/>
    <x v="0"/>
    <s v="Yes"/>
    <n v="39"/>
    <s v="main"/>
    <n v="1"/>
    <n v="5"/>
    <x v="1"/>
    <s v="overt"/>
    <s v="overt"/>
    <n v="0"/>
    <n v="0"/>
  </r>
  <r>
    <s v="Heike 2.145"/>
    <s v="中は木刀に銀薄をぞ押したりける (naka wa bokutō ni gin-haku o zo oshitari keru)"/>
    <s v="but within was only a wooden blade covered with silver."/>
    <s v="押したりける"/>
    <s v="indicative"/>
    <s v="stative"/>
    <s v="verb"/>
    <s v="transitive"/>
    <s v="resultative"/>
    <s v="positive"/>
    <n v="1"/>
    <n v="3"/>
    <s v="S+O+IO"/>
    <n v="0"/>
    <s v="overt"/>
    <n v="3"/>
    <s v="overt"/>
    <s v="overt"/>
    <n v="0"/>
    <n v="0"/>
    <s v="n/a"/>
    <s v="main"/>
    <n v="0"/>
    <n v="0"/>
    <s v="n/a"/>
    <s v="n/a"/>
    <n v="0"/>
    <x v="2"/>
    <x v="4"/>
    <m/>
    <s v="ds"/>
    <s v="ds"/>
    <s v="topic-drop"/>
    <s v="contains_new"/>
    <m/>
    <m/>
    <n v="3"/>
    <x v="0"/>
    <s v="Yes"/>
    <n v="39"/>
    <s v="subordinate"/>
    <n v="1"/>
    <n v="1"/>
    <x v="1"/>
    <s v="zero_recoverable"/>
    <s v="overt"/>
    <n v="1"/>
    <n v="0"/>
  </r>
  <r>
    <s v="Heike 2.146"/>
    <s v="当座の恥辱を遁れんが為に (tōza no chijoku o nogaren ga tame ni)"/>
    <s v=" to avoid dishonour at the moment,"/>
    <s v="遁れん "/>
    <s v="dynamic"/>
    <s v="other"/>
    <s v="verb"/>
    <s v="transitive"/>
    <s v="active"/>
    <s v="positive"/>
    <n v="1"/>
    <n v="1"/>
    <s v="OBJ"/>
    <n v="0"/>
    <s v="zero_recoverable"/>
    <n v="3"/>
    <s v="overt"/>
    <s v="n/a"/>
    <n v="0"/>
    <n v="0"/>
    <s v="n/a"/>
    <s v="subordinate"/>
    <n v="0"/>
    <n v="0"/>
    <s v="n/a"/>
    <s v="n/a"/>
    <n v="0"/>
    <x v="7"/>
    <x v="3"/>
    <m/>
    <s v="ds"/>
    <s v="ss"/>
    <s v="topic-drop"/>
    <s v="contains_new"/>
    <m/>
    <m/>
    <n v="1"/>
    <x v="0"/>
    <s v="Yes"/>
    <n v="40"/>
    <m/>
    <n v="1"/>
    <m/>
    <x v="1"/>
    <s v="zero_recoverable"/>
    <s v="overt"/>
    <n v="0"/>
    <n v="0"/>
  </r>
  <r>
    <s v="Heike 2.147"/>
    <s v="刀を帯する katana o taisuru "/>
    <s v="Although he had displayed "/>
    <s v="帯する"/>
    <s v="indicative"/>
    <s v="other"/>
    <s v="LVC"/>
    <s v="transitive"/>
    <s v="active"/>
    <s v="positive"/>
    <n v="1"/>
    <n v="1"/>
    <s v="OBJ"/>
    <n v="0"/>
    <s v="zero_recoverable"/>
    <n v="3"/>
    <s v="overt"/>
    <s v="n/a"/>
    <n v="0"/>
    <n v="1"/>
    <s v="REL"/>
    <s v="relative"/>
    <n v="0"/>
    <n v="0"/>
    <s v="n/a"/>
    <s v="n/a"/>
    <n v="0"/>
    <x v="2"/>
    <x v="4"/>
    <m/>
    <s v="ss"/>
    <s v="ss"/>
    <s v="topic-drop"/>
    <s v="all given"/>
    <m/>
    <m/>
    <n v="1"/>
    <x v="1"/>
    <s v="Yes"/>
    <n v="40"/>
    <m/>
    <n v="0"/>
    <n v="2"/>
    <x v="1"/>
    <s v="zero_recoverable"/>
    <s v="overt"/>
    <n v="0"/>
    <n v="0"/>
  </r>
  <r>
    <s v="Heike 2.148"/>
    <s v="由顕すといへども yoshi arawasu to iedomo"/>
    <s v="the appearance of a sword"/>
    <s v="顕す"/>
    <s v="indicative"/>
    <s v="other"/>
    <s v="verb"/>
    <s v="transitive"/>
    <s v="active"/>
    <s v="positive"/>
    <n v="1"/>
    <n v="1"/>
    <s v="OBJ"/>
    <n v="0"/>
    <s v="zero_recoverable"/>
    <n v="3"/>
    <s v="overt"/>
    <s v="n/a"/>
    <n v="0"/>
    <n v="0"/>
    <s v="n/a"/>
    <s v="subordinate"/>
    <n v="0"/>
    <n v="0"/>
    <s v="n/a"/>
    <s v="n/a"/>
    <n v="0"/>
    <x v="9"/>
    <x v="1"/>
    <m/>
    <s v="ss"/>
    <s v="ss"/>
    <s v="topic-drop"/>
    <s v="contains_new"/>
    <m/>
    <m/>
    <n v="1"/>
    <x v="0"/>
    <s v="Yes"/>
    <n v="40"/>
    <s v="te"/>
    <n v="1"/>
    <n v="3"/>
    <x v="1"/>
    <s v="zero_exalt"/>
    <s v="overt"/>
    <n v="0"/>
    <n v="0"/>
  </r>
  <r>
    <s v="Heike 2.149"/>
    <s v="後日の訴訟を存じて (gojitsu no soshō o zonjite)"/>
    <s v="his substitution of a wooden blade as a precaution against an after accusation was exceedingly praiseworthy."/>
    <s v="存じて"/>
    <s v="indicative"/>
    <s v="perception"/>
    <s v="LVC"/>
    <s v="transitive"/>
    <s v="active"/>
    <s v="positive"/>
    <n v="1"/>
    <n v="1"/>
    <s v="OBJ"/>
    <n v="0"/>
    <s v="zero_exalt"/>
    <n v="3"/>
    <s v="overt"/>
    <s v="n/a"/>
    <n v="0"/>
    <n v="0"/>
    <s v="n/a"/>
    <s v="te"/>
    <n v="0"/>
    <n v="1"/>
    <s v="sub"/>
    <s v="lexical_humble_verb"/>
    <n v="0"/>
    <x v="2"/>
    <x v="4"/>
    <s v="te_medial"/>
    <s v="ss"/>
    <s v="ss"/>
    <s v="topic-drop"/>
    <s v="contains_new"/>
    <m/>
    <m/>
    <n v="1"/>
    <x v="1"/>
    <s v="Yes"/>
    <n v="40"/>
    <s v="relative"/>
    <n v="1"/>
    <m/>
    <x v="1"/>
    <s v="zero_recoverable"/>
    <s v="overt"/>
    <n v="0"/>
    <n v="0"/>
  </r>
  <r>
    <s v="Heike 2.150"/>
    <s v="木刀を帯したる"/>
    <s v=" bokutō o tachitaru "/>
    <s v="帯したる"/>
    <s v="indicative"/>
    <s v="action"/>
    <s v="LVC"/>
    <s v="transitive"/>
    <s v="active"/>
    <s v="positive"/>
    <n v="1"/>
    <n v="1"/>
    <s v="OBJ"/>
    <n v="0"/>
    <s v="zero_recoverable"/>
    <n v="3"/>
    <s v="overt"/>
    <s v="n/a"/>
    <n v="0"/>
    <n v="1"/>
    <s v="REL"/>
    <s v="relative"/>
    <n v="0"/>
    <n v="0"/>
    <s v="n/a"/>
    <s v="n/a"/>
    <n v="0"/>
    <x v="2"/>
    <x v="2"/>
    <m/>
    <s v="ss"/>
    <s v="ds"/>
    <s v="topic-drop"/>
    <s v="contains_new"/>
    <m/>
    <m/>
    <n v="1"/>
    <x v="1"/>
    <s v="Yes"/>
    <n v="40"/>
    <s v="main"/>
    <n v="0"/>
    <n v="4"/>
    <x v="1"/>
    <s v="overt"/>
    <s v="n/a"/>
    <n v="0"/>
    <n v="0"/>
  </r>
  <r>
    <s v="Heike 2.151"/>
    <s v="用意のほどこそ神妙なれ yōi no hodo koso shinmyō nare"/>
    <m/>
    <s v="なれ"/>
    <s v="indicative"/>
    <s v="stative"/>
    <s v="copula"/>
    <s v="intransitive"/>
    <s v="active"/>
    <s v="positive"/>
    <n v="1"/>
    <n v="1"/>
    <s v="SUB"/>
    <n v="0"/>
    <s v="overt"/>
    <n v="3"/>
    <s v="n/a"/>
    <s v="n/a"/>
    <n v="0"/>
    <n v="0"/>
    <s v="n/a"/>
    <s v="main"/>
    <n v="0"/>
    <n v="0"/>
    <s v="n/a"/>
    <s v="n/a"/>
    <n v="0"/>
    <x v="2"/>
    <x v="1"/>
    <m/>
    <s v="ds"/>
    <s v="ds"/>
    <s v="topic-drop"/>
    <s v="contains_new"/>
    <m/>
    <m/>
    <n v="1"/>
    <x v="0"/>
    <s v="Yes"/>
    <n v="40"/>
    <s v="relative"/>
    <n v="1"/>
    <m/>
    <x v="1"/>
    <s v="zero_recoverable"/>
    <s v="n/a"/>
    <n v="1"/>
    <n v="0"/>
  </r>
  <r>
    <s v="Heike 2.152"/>
    <s v="弓箭に携らん (yumiya ni tazusaran)"/>
    <s v="Such prudence is most commendable in a warrior."/>
    <s v="携らん"/>
    <s v="dynamic"/>
    <s v="action"/>
    <s v="verb"/>
    <s v="intransitive"/>
    <s v="active"/>
    <s v="positive"/>
    <n v="1"/>
    <n v="1"/>
    <s v="IO"/>
    <n v="0"/>
    <s v="zero_recoverable"/>
    <n v="3"/>
    <s v="n/a"/>
    <s v="overt"/>
    <n v="1"/>
    <n v="0"/>
    <s v="REL"/>
    <s v="relative"/>
    <n v="0"/>
    <n v="0"/>
    <s v="n/a"/>
    <s v="n/a"/>
    <n v="0"/>
    <x v="2"/>
    <x v="3"/>
    <m/>
    <s v="ds"/>
    <s v="ds"/>
    <s v="topic-shift"/>
    <s v="contains_new"/>
    <m/>
    <m/>
    <n v="1"/>
    <x v="0"/>
    <s v="Yes"/>
    <n v="41"/>
    <s v="main"/>
    <n v="0"/>
    <n v="1"/>
    <x v="0"/>
    <s v="overt"/>
    <s v="n/a"/>
    <n v="0"/>
    <n v="0"/>
  </r>
  <r>
    <s v="Heike 2.153"/>
    <s v="ほどの者の謀は尤もかうこそあらまほしけれ hodo no mono no hakarigoto wa motto mo kō koso aramahoshikere"/>
    <m/>
    <s v="あらまほしけれ"/>
    <s v="desiderative"/>
    <s v="psych-state"/>
    <s v="adjectival predicate"/>
    <s v="intransitive"/>
    <s v="active"/>
    <s v="positive"/>
    <n v="1"/>
    <n v="1"/>
    <s v="SUB"/>
    <n v="1"/>
    <s v="overt"/>
    <n v="3"/>
    <s v="n/a"/>
    <s v="n/a"/>
    <n v="0"/>
    <n v="0"/>
    <s v="n/a"/>
    <s v="main"/>
    <n v="0"/>
    <n v="0"/>
    <s v="n/a"/>
    <s v="n/a"/>
    <n v="0"/>
    <x v="2"/>
    <x v="1"/>
    <m/>
    <s v="ds"/>
    <s v="ds"/>
    <s v="topic-shift"/>
    <s v="contains_new"/>
    <m/>
    <m/>
    <n v="1"/>
    <x v="0"/>
    <s v="Yes"/>
    <n v="41"/>
    <s v="main"/>
    <n v="1"/>
    <n v="1"/>
    <x v="1"/>
    <s v="overt"/>
    <s v="n/a"/>
    <n v="0"/>
    <n v="0"/>
  </r>
  <r>
    <s v="Heike 2.154"/>
    <s v="予てはまた郎従小庭に伺候の由 (kanete wa mata rōjū koniwa ni shikō no yoshi) 且つは武士の郎等の習ひなり (katsu wa bushi no rōtō no narai nari)"/>
    <s v="As for his retainer being in the small court, that too is the custom of the retainers of the warrior class, "/>
    <s v="なり"/>
    <s v="indicative"/>
    <s v="stative"/>
    <s v="copula"/>
    <s v="intransitive"/>
    <s v="active"/>
    <s v="positive"/>
    <n v="1"/>
    <n v="1"/>
    <s v="SUB"/>
    <n v="3"/>
    <s v="overt"/>
    <n v="3"/>
    <s v="n/a"/>
    <s v="n/a"/>
    <n v="0"/>
    <n v="0"/>
    <s v="n/a"/>
    <s v="main"/>
    <n v="0"/>
    <n v="0"/>
    <s v="n/a"/>
    <s v="n/a"/>
    <n v="0"/>
    <x v="2"/>
    <x v="3"/>
    <m/>
    <s v="ds"/>
    <s v="ds"/>
    <s v="topic-shift"/>
    <s v="contains_new"/>
    <m/>
    <m/>
    <n v="1"/>
    <x v="0"/>
    <s v="Yes"/>
    <n v="42"/>
    <s v="subordinate"/>
    <n v="1"/>
    <n v="1"/>
    <x v="0"/>
    <s v="overt"/>
    <s v="n/a"/>
    <n v="0"/>
    <n v="0"/>
  </r>
  <r>
    <s v="Heike 2.155"/>
    <s v="忠盛が咎にはあらずとて (Tadamori ga toga ni wa arazu tote)"/>
    <s v="and no fault was found in Tadamori."/>
    <s v="あらず"/>
    <s v="indicative"/>
    <s v="stative"/>
    <s v="copula"/>
    <s v="intransitive"/>
    <s v="active"/>
    <s v="negative"/>
    <n v="1"/>
    <n v="1"/>
    <s v="SUB"/>
    <n v="0"/>
    <s v="overt"/>
    <n v="3"/>
    <s v="n/a"/>
    <s v="n/a"/>
    <n v="0"/>
    <n v="0"/>
    <s v="n/a"/>
    <s v="subordinate"/>
    <n v="0"/>
    <n v="0"/>
    <s v="n/a"/>
    <s v="n/a"/>
    <n v="0"/>
    <x v="3"/>
    <x v="3"/>
    <m/>
    <s v="ds"/>
    <s v="ss"/>
    <s v="topic-shift"/>
    <s v="contains_new"/>
    <m/>
    <m/>
    <n v="1"/>
    <x v="0"/>
    <s v="Yes"/>
    <n v="43"/>
    <s v="subordinate"/>
    <n v="1"/>
    <n v="2"/>
    <x v="1"/>
    <s v="zero_recoverable"/>
    <s v="n/a"/>
    <n v="1"/>
    <n v="0"/>
  </r>
  <r>
    <s v="Heike 2.156"/>
    <s v="却つて叡感に預かりし上は (kaette eikan ni azukarishi ue wa)"/>
    <s v="and on the contrary, his conduct was greatly admired,"/>
    <s v="預かりし"/>
    <s v="indicative"/>
    <s v="action"/>
    <s v="verb"/>
    <s v="intransitive"/>
    <s v="active"/>
    <s v="positive"/>
    <n v="1"/>
    <n v="1"/>
    <s v="IO"/>
    <n v="1"/>
    <s v="zero_recoverable"/>
    <n v="3"/>
    <s v="n/a"/>
    <s v="overt"/>
    <n v="0"/>
    <n v="0"/>
    <s v="REL"/>
    <s v="subordinate"/>
    <n v="0"/>
    <n v="0"/>
    <s v="n/a"/>
    <s v="n/a"/>
    <n v="1"/>
    <x v="6"/>
    <x v="4"/>
    <m/>
    <s v="ss"/>
    <s v="ds"/>
    <s v="topic-drop"/>
    <s v="contains_new"/>
    <m/>
    <m/>
    <n v="1"/>
    <x v="0"/>
    <s v="Yes"/>
    <n v="43"/>
    <s v="main"/>
    <n v="1"/>
    <n v="3"/>
    <x v="1"/>
    <s v="overt"/>
    <s v="n/a"/>
    <n v="0"/>
    <n v="0"/>
  </r>
  <r>
    <s v="Heike 2.157"/>
    <s v="敢へて罪科の沙汰はなかりけり aete tsumikado no sata wa nakarikeri"/>
    <s v="and he was pronounced guiltless."/>
    <s v="なかりけり"/>
    <s v="indicative"/>
    <s v="aux/modal"/>
    <s v="verb"/>
    <s v="intransitive"/>
    <s v="active"/>
    <s v="negative"/>
    <n v="1"/>
    <n v="1"/>
    <s v="SUB"/>
    <n v="1"/>
    <s v="overt"/>
    <n v="3"/>
    <s v="n/a"/>
    <s v="n/a"/>
    <n v="0"/>
    <n v="0"/>
    <s v="n/a"/>
    <s v="main"/>
    <n v="0"/>
    <n v="0"/>
    <s v="n/a"/>
    <s v="n/a"/>
    <n v="0"/>
    <x v="8"/>
    <x v="4"/>
    <m/>
    <s v="ds"/>
    <n v="0"/>
    <s v="topic-drop"/>
    <s v="contains_new"/>
    <m/>
    <m/>
    <n v="1"/>
    <x v="0"/>
    <s v="No"/>
    <n v="43"/>
    <m/>
    <n v="1"/>
    <m/>
    <x v="1"/>
    <m/>
    <m/>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C3A374-9DE3-0347-9947-9D70368E77DD}" name="PivotTable86"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O58:U65" firstHeaderRow="1" firstDataRow="3" firstDataCol="1"/>
  <pivotFields count="34">
    <pivotField dataField="1"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pivotField compact="0" outline="0" showAll="0"/>
    <pivotField compact="0" outline="0" showAll="0"/>
    <pivotField compact="0" outline="0" showAll="0"/>
    <pivotField compact="0" outline="0" showAll="0"/>
    <pivotField compact="0" outline="0" showAll="0">
      <items count="13">
        <item x="5"/>
        <item x="2"/>
        <item x="9"/>
        <item x="8"/>
        <item x="7"/>
        <item x="1"/>
        <item x="4"/>
        <item x="3"/>
        <item x="10"/>
        <item x="11"/>
        <item x="0"/>
        <item x="6"/>
        <item t="default"/>
      </items>
    </pivotField>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1">
        <item x="9"/>
        <item x="6"/>
        <item x="5"/>
        <item x="2"/>
        <item x="4"/>
        <item x="8"/>
        <item x="0"/>
        <item x="3"/>
        <item x="1"/>
        <item x="7"/>
        <item t="default"/>
      </items>
    </pivotField>
    <pivotField compact="0" outline="0" showAll="0">
      <items count="5">
        <item x="0"/>
        <item x="1"/>
        <item x="3"/>
        <item x="2"/>
        <item t="default"/>
      </items>
    </pivotField>
    <pivotField axis="axisCol" compact="0" outline="0" showAll="0">
      <items count="5">
        <item x="0"/>
        <item x="1"/>
        <item h="1" x="3"/>
        <item h="1" x="2"/>
        <item t="default"/>
      </items>
    </pivotField>
    <pivotField compact="0" outline="0" showAll="0">
      <items count="7">
        <item x="5"/>
        <item x="3"/>
        <item x="0"/>
        <item x="1"/>
        <item x="2"/>
        <item x="4"/>
        <item t="default"/>
      </items>
    </pivotField>
    <pivotField compact="0" outline="0" showAll="0"/>
    <pivotField compact="0" outline="0" showAll="0"/>
    <pivotField compact="0" outline="0" showAll="0"/>
    <pivotField compact="0" outline="0" showAll="0">
      <items count="6">
        <item x="2"/>
        <item x="4"/>
        <item x="0"/>
        <item x="1"/>
        <item x="3"/>
        <item t="default"/>
      </items>
    </pivotField>
    <pivotField axis="axisRow" compact="0" outline="0" showAll="0">
      <items count="6">
        <item x="3"/>
        <item x="1"/>
        <item x="0"/>
        <item x="2"/>
        <item h="1" x="4"/>
        <item t="default"/>
      </items>
    </pivotField>
    <pivotField compact="0" outline="0" showAll="0"/>
    <pivotField compact="0" outline="0" showAll="0"/>
    <pivotField compact="0" outline="0" showAll="0"/>
    <pivotField compact="0" outline="0" showAll="0"/>
  </pivotFields>
  <rowFields count="1">
    <field x="29"/>
  </rowFields>
  <rowItems count="5">
    <i>
      <x/>
    </i>
    <i>
      <x v="1"/>
    </i>
    <i>
      <x v="2"/>
    </i>
    <i>
      <x v="3"/>
    </i>
    <i t="grand">
      <x/>
    </i>
  </rowItems>
  <colFields count="2">
    <field x="23"/>
    <field x="-2"/>
  </colFields>
  <colItems count="6">
    <i>
      <x/>
      <x/>
    </i>
    <i r="1" i="1">
      <x v="1"/>
    </i>
    <i>
      <x v="1"/>
      <x/>
    </i>
    <i r="1" i="1">
      <x v="1"/>
    </i>
    <i t="grand">
      <x/>
    </i>
    <i t="grand" i="1">
      <x/>
    </i>
  </colItems>
  <dataFields count="2">
    <dataField name="Count of Clause_ID" fld="0" subtotal="count" showDataAs="percentOfRow" baseField="0" baseItem="0" numFmtId="10"/>
    <dataField name="Count of Clause_ID2" fld="0" subtotal="count" baseField="0" baseItem="0"/>
  </dataFields>
  <formats count="7">
    <format dxfId="76">
      <pivotArea outline="0" fieldPosition="0">
        <references count="2">
          <reference field="23" count="2" selected="0">
            <x v="0"/>
            <x v="1"/>
          </reference>
          <reference field="29" count="1" selected="0">
            <x v="1"/>
          </reference>
        </references>
      </pivotArea>
    </format>
    <format dxfId="65">
      <pivotArea dataOnly="0" labelOnly="1" outline="0" fieldPosition="0">
        <references count="2">
          <reference field="4294967294" count="1">
            <x v="0"/>
          </reference>
          <reference field="23" count="1" selected="0">
            <x v="0"/>
          </reference>
        </references>
      </pivotArea>
    </format>
    <format dxfId="64">
      <pivotArea outline="0" fieldPosition="0">
        <references count="1">
          <reference field="4294967294" count="1">
            <x v="0"/>
          </reference>
        </references>
      </pivotArea>
    </format>
    <format dxfId="63">
      <pivotArea outline="0" fieldPosition="0">
        <references count="2">
          <reference field="4294967294" count="1" selected="0">
            <x v="0"/>
          </reference>
          <reference field="23" count="1" selected="0">
            <x v="0"/>
          </reference>
        </references>
      </pivotArea>
    </format>
    <format dxfId="62">
      <pivotArea outline="0" fieldPosition="0">
        <references count="2">
          <reference field="4294967294" count="1" selected="0">
            <x v="0"/>
          </reference>
          <reference field="23" count="1" selected="0">
            <x v="1"/>
          </reference>
        </references>
      </pivotArea>
    </format>
    <format dxfId="61">
      <pivotArea field="23" grandCol="1" outline="0" axis="axisCol" fieldPosition="0">
        <references count="1">
          <reference field="4294967294" count="1" selected="0">
            <x v="0"/>
          </reference>
        </references>
      </pivotArea>
    </format>
    <format dxfId="56">
      <pivotArea outline="0" fieldPosition="0">
        <references count="3">
          <reference field="4294967294" count="2" selected="0">
            <x v="0"/>
            <x v="1"/>
          </reference>
          <reference field="23" count="0" selected="0"/>
          <reference field="29"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486D7FC-5D98-4547-BDAB-2CFFBCE5AAE3}" name="PivotTable30" cacheId="9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10:E122" firstHeaderRow="1" firstDataRow="2" firstDataCol="1"/>
  <pivotFields count="38">
    <pivotField dataField="1" compact="0" outline="0" showAll="0"/>
    <pivotField compact="0" outline="0" showAll="0"/>
    <pivotField compact="0" outline="0" showAll="0"/>
    <pivotField compact="0" outline="0" showAll="0"/>
    <pivotField compact="0" outline="0" showAll="0"/>
    <pivotField compact="0" outline="0" showAll="0"/>
    <pivotField compact="0" outline="0" showAll="0">
      <items count="15">
        <item x="5"/>
        <item x="12"/>
        <item x="0"/>
        <item x="7"/>
        <item x="11"/>
        <item x="3"/>
        <item x="8"/>
        <item x="9"/>
        <item x="10"/>
        <item x="1"/>
        <item x="13"/>
        <item x="2"/>
        <item x="4"/>
        <item x="6"/>
        <item t="default"/>
      </items>
    </pivotField>
    <pivotField compact="0" outline="0" showAll="0">
      <items count="6">
        <item h="1" x="3"/>
        <item x="0"/>
        <item h="1" x="4"/>
        <item x="1"/>
        <item h="1" x="2"/>
        <item t="default"/>
      </items>
    </pivotField>
    <pivotField compact="0" outline="0" showAll="0"/>
    <pivotField compact="0" outline="0" showAll="0"/>
    <pivotField compact="0" outline="0" showAll="0"/>
    <pivotField compact="0" outline="0" showAll="0"/>
    <pivotField compact="0" outline="0" showAll="0">
      <items count="14">
        <item x="5"/>
        <item x="2"/>
        <item x="9"/>
        <item x="8"/>
        <item x="7"/>
        <item x="1"/>
        <item x="4"/>
        <item x="12"/>
        <item x="3"/>
        <item x="10"/>
        <item x="11"/>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x="9"/>
        <item x="6"/>
        <item x="5"/>
        <item x="2"/>
        <item x="4"/>
        <item x="8"/>
        <item x="0"/>
        <item x="3"/>
        <item x="1"/>
        <item x="7"/>
        <item t="default"/>
      </items>
    </pivotField>
    <pivotField compact="0" outline="0" showAll="0"/>
    <pivotField compact="0" outline="0" showAll="0"/>
    <pivotField compact="0" outline="0" showAll="0"/>
    <pivotField compact="0" outline="0" showAll="0"/>
    <pivotField compact="0" outline="0" showAll="0"/>
    <pivotField compact="0" outline="0" showAll="0">
      <items count="13">
        <item x="3"/>
        <item x="9"/>
        <item x="10"/>
        <item x="6"/>
        <item x="8"/>
        <item x="2"/>
        <item x="11"/>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1"/>
        <item x="0"/>
        <item x="2"/>
        <item t="default"/>
      </items>
    </pivotField>
    <pivotField compact="0" outline="0" showAll="0"/>
  </pivotFields>
  <rowFields count="1">
    <field x="21"/>
  </rowFields>
  <rowItems count="11">
    <i>
      <x/>
    </i>
    <i>
      <x v="1"/>
    </i>
    <i>
      <x v="2"/>
    </i>
    <i>
      <x v="3"/>
    </i>
    <i>
      <x v="4"/>
    </i>
    <i>
      <x v="5"/>
    </i>
    <i>
      <x v="6"/>
    </i>
    <i>
      <x v="7"/>
    </i>
    <i>
      <x v="8"/>
    </i>
    <i>
      <x v="9"/>
    </i>
    <i t="grand">
      <x/>
    </i>
  </rowItems>
  <colFields count="1">
    <field x="36"/>
  </colFields>
  <colItems count="4">
    <i>
      <x/>
    </i>
    <i>
      <x v="1"/>
    </i>
    <i>
      <x v="2"/>
    </i>
    <i t="grand">
      <x/>
    </i>
  </colItems>
  <dataFields count="1">
    <dataField name="Count of Clause_ID" fld="0" subtotal="count" baseField="0" baseItem="0" numFmtId="1"/>
  </dataFields>
  <formats count="1">
    <format dxfId="1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99740A-D558-8B40-98E5-622341F8F6AA}" name="PivotTable16" cacheId="9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I100:L104" firstHeaderRow="1" firstDataRow="2" firstDataCol="1"/>
  <pivotFields count="3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6">
        <item h="1" x="3"/>
        <item x="0"/>
        <item h="1" x="4"/>
        <item x="1"/>
        <item h="1" x="2"/>
        <item t="default"/>
      </items>
    </pivotField>
    <pivotField compact="0" outline="0" showAll="0"/>
    <pivotField compact="0" outline="0" showAll="0"/>
    <pivotField compact="0" outline="0" showAll="0"/>
    <pivotField compact="0" outline="0" showAll="0"/>
    <pivotField compact="0" outline="0" showAll="0">
      <items count="14">
        <item x="5"/>
        <item x="2"/>
        <item x="9"/>
        <item x="8"/>
        <item x="7"/>
        <item x="1"/>
        <item x="4"/>
        <item x="12"/>
        <item x="3"/>
        <item x="10"/>
        <item x="11"/>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x="3"/>
        <item x="9"/>
        <item x="10"/>
        <item x="6"/>
        <item x="8"/>
        <item x="2"/>
        <item x="11"/>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1"/>
        <item x="0"/>
        <item x="2"/>
        <item t="default"/>
      </items>
    </pivotField>
    <pivotField compact="0" outline="0" showAll="0"/>
  </pivotFields>
  <rowFields count="1">
    <field x="7"/>
  </rowFields>
  <rowItems count="3">
    <i>
      <x v="1"/>
    </i>
    <i>
      <x v="3"/>
    </i>
    <i t="grand">
      <x/>
    </i>
  </rowItems>
  <colFields count="1">
    <field x="36"/>
  </colFields>
  <colItems count="3">
    <i>
      <x/>
    </i>
    <i>
      <x v="1"/>
    </i>
    <i t="grand">
      <x/>
    </i>
  </colItems>
  <dataFields count="1">
    <dataField name="Count of Clause_ID" fld="0" subtotal="count" baseField="0" baseItem="0" numFmtId="1"/>
  </dataFields>
  <formats count="3">
    <format dxfId="127">
      <pivotArea outline="0" collapsedLevelsAreSubtotals="1" fieldPosition="0"/>
    </format>
    <format dxfId="126">
      <pivotArea outline="0" fieldPosition="0">
        <references count="2">
          <reference field="7" count="1" selected="0">
            <x v="3"/>
          </reference>
          <reference field="36" count="1" selected="0">
            <x v="0"/>
          </reference>
        </references>
      </pivotArea>
    </format>
    <format dxfId="125">
      <pivotArea outline="0" fieldPosition="0">
        <references count="2">
          <reference field="7" count="1" selected="0">
            <x v="1"/>
          </reference>
          <reference field="36"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D362B3-599F-DD44-BF5C-6F02A3581C03}" name="PivotTable15" cacheId="9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D100:G105" firstHeaderRow="1" firstDataRow="2" firstDataCol="1"/>
  <pivotFields count="38">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6">
        <item x="3"/>
        <item x="0"/>
        <item h="1" x="4"/>
        <item x="1"/>
        <item h="1" x="2"/>
        <item t="default"/>
      </items>
    </pivotField>
    <pivotField compact="0" outline="0" showAll="0"/>
    <pivotField compact="0" outline="0" showAll="0"/>
    <pivotField compact="0" outline="0" showAll="0"/>
    <pivotField compact="0" outline="0" showAll="0"/>
    <pivotField compact="0" outline="0" showAll="0">
      <items count="14">
        <item x="5"/>
        <item x="2"/>
        <item x="9"/>
        <item x="8"/>
        <item x="7"/>
        <item x="1"/>
        <item x="4"/>
        <item x="12"/>
        <item x="3"/>
        <item x="10"/>
        <item x="11"/>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x="3"/>
        <item x="9"/>
        <item x="10"/>
        <item x="6"/>
        <item x="8"/>
        <item x="2"/>
        <item x="11"/>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axis="axisCol" compact="0" outline="0" showAll="0">
      <items count="4">
        <item x="1"/>
        <item x="0"/>
        <item x="2"/>
        <item t="default"/>
      </items>
    </pivotField>
    <pivotField compact="0" outline="0" showAll="0"/>
  </pivotFields>
  <rowFields count="1">
    <field x="7"/>
  </rowFields>
  <rowItems count="4">
    <i>
      <x/>
    </i>
    <i>
      <x v="1"/>
    </i>
    <i>
      <x v="3"/>
    </i>
    <i t="grand">
      <x/>
    </i>
  </rowItems>
  <colFields count="1">
    <field x="36"/>
  </colFields>
  <colItems count="3">
    <i>
      <x/>
    </i>
    <i>
      <x v="1"/>
    </i>
    <i t="grand">
      <x/>
    </i>
  </colItems>
  <dataFields count="1">
    <dataField name="Average of RD2" fld="35" subtotal="average" baseField="0" baseItem="0" numFmtId="2"/>
  </dataFields>
  <formats count="1">
    <format dxfId="1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3F636A3-2C1D-CE45-AE00-28B4F0A69318}" name="PivotTable6"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2:D44" firstHeaderRow="1" firstDataRow="2" firstDataCol="1"/>
  <pivotFields count="34">
    <pivotField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13">
        <item x="5"/>
        <item h="1" x="2"/>
        <item x="9"/>
        <item x="8"/>
        <item x="7"/>
        <item x="1"/>
        <item x="4"/>
        <item x="3"/>
        <item x="10"/>
        <item x="11"/>
        <item x="0"/>
        <item x="6"/>
        <item t="default"/>
      </items>
    </pivotField>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1">
        <item x="9"/>
        <item x="6"/>
        <item x="5"/>
        <item x="2"/>
        <item x="4"/>
        <item x="8"/>
        <item x="0"/>
        <item x="3"/>
        <item x="1"/>
        <item x="7"/>
        <item t="default"/>
      </items>
    </pivotField>
    <pivotField axis="axisCol" compact="0" outline="0" showAll="0">
      <items count="5">
        <item x="0"/>
        <item x="1"/>
        <item h="1" x="3"/>
        <item h="1" x="2"/>
        <item t="default"/>
      </items>
    </pivotField>
    <pivotField compact="0" outline="0" showAll="0">
      <items count="5">
        <item x="0"/>
        <item x="1"/>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12"/>
  </rowFields>
  <rowItems count="11">
    <i>
      <x/>
    </i>
    <i>
      <x v="2"/>
    </i>
    <i>
      <x v="3"/>
    </i>
    <i>
      <x v="4"/>
    </i>
    <i>
      <x v="5"/>
    </i>
    <i>
      <x v="6"/>
    </i>
    <i>
      <x v="7"/>
    </i>
    <i>
      <x v="8"/>
    </i>
    <i>
      <x v="9"/>
    </i>
    <i>
      <x v="10"/>
    </i>
    <i t="grand">
      <x/>
    </i>
  </rowItems>
  <colFields count="1">
    <field x="22"/>
  </colFields>
  <colItems count="3">
    <i>
      <x/>
    </i>
    <i>
      <x v="1"/>
    </i>
    <i t="grand">
      <x/>
    </i>
  </colItems>
  <dataFields count="1">
    <dataField name="Average of RD2" fld="33" subtotal="average" baseField="0" baseItem="0" numFmtId="164"/>
  </dataFields>
  <formats count="4">
    <format dxfId="130">
      <pivotArea outline="0" fieldPosition="0">
        <references count="2">
          <reference field="12" count="1" selected="0">
            <x v="10"/>
          </reference>
          <reference field="22" count="1" selected="0">
            <x v="1"/>
          </reference>
        </references>
      </pivotArea>
    </format>
    <format dxfId="129">
      <pivotArea outline="0" fieldPosition="0">
        <references count="2">
          <reference field="12" count="1" selected="0">
            <x v="7"/>
          </reference>
          <reference field="22" count="1" selected="0">
            <x v="1"/>
          </reference>
        </references>
      </pivotArea>
    </format>
    <format dxfId="79">
      <pivotArea field="12" grandCol="1" outline="0" axis="axisRow" fieldPosition="0">
        <references count="1">
          <reference field="12" count="1" selected="0">
            <x v="5"/>
          </reference>
        </references>
      </pivotArea>
    </format>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28A33A2-3FD0-FF41-9F44-72D94A7D12C0}" name="PivotTable21" cacheId="9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99:B102" firstHeaderRow="1" firstDataRow="1" firstDataCol="1"/>
  <pivotFields count="3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4">
        <item x="5"/>
        <item x="2"/>
        <item x="9"/>
        <item x="8"/>
        <item x="7"/>
        <item x="1"/>
        <item x="4"/>
        <item x="12"/>
        <item x="3"/>
        <item x="10"/>
        <item x="11"/>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x="3"/>
        <item x="9"/>
        <item x="10"/>
        <item x="6"/>
        <item x="8"/>
        <item x="2"/>
        <item x="11"/>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axis="axisRow" compact="0" outline="0" showAll="0">
      <items count="4">
        <item x="1"/>
        <item x="0"/>
        <item h="1" x="2"/>
        <item t="default"/>
      </items>
    </pivotField>
    <pivotField compact="0" outline="0" showAll="0"/>
  </pivotFields>
  <rowFields count="1">
    <field x="36"/>
  </rowFields>
  <rowItems count="3">
    <i>
      <x/>
    </i>
    <i>
      <x v="1"/>
    </i>
    <i t="grand">
      <x/>
    </i>
  </rowItems>
  <colItems count="1">
    <i/>
  </colItems>
  <dataFields count="1">
    <dataField name="Average of RD2" fld="35" subtotal="average" baseField="0" baseItem="0" numFmtId="2"/>
  </dataFields>
  <formats count="1">
    <format dxfId="1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D7E2E5-F5F1-654B-9CE5-B091B150BBF1}" name="PivotTable11"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O32:P37" firstHeaderRow="1" firstDataRow="1" firstDataCol="1"/>
  <pivotFields count="34">
    <pivotField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items count="5">
        <item x="3"/>
        <item x="0"/>
        <item x="1"/>
        <item x="2"/>
        <item t="default"/>
      </items>
    </pivotField>
    <pivotField compact="0" outline="0" showAll="0"/>
    <pivotField compact="0" outline="0" showAll="0"/>
    <pivotField compact="0" outline="0" showAll="0"/>
    <pivotField compact="0" outline="0" showAll="0"/>
    <pivotField compact="0" outline="0" showAll="0">
      <items count="13">
        <item x="5"/>
        <item x="2"/>
        <item x="9"/>
        <item x="8"/>
        <item x="7"/>
        <item x="1"/>
        <item x="4"/>
        <item x="3"/>
        <item x="10"/>
        <item x="11"/>
        <item x="0"/>
        <item x="6"/>
        <item t="default"/>
      </items>
    </pivotField>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1">
        <item x="9"/>
        <item x="6"/>
        <item x="5"/>
        <item x="2"/>
        <item x="4"/>
        <item x="8"/>
        <item x="0"/>
        <item x="3"/>
        <item x="1"/>
        <item x="7"/>
        <item t="default"/>
      </items>
    </pivotField>
    <pivotField compact="0" outline="0" showAll="0"/>
    <pivotField axis="axisRow" compact="0" outline="0" showAll="0">
      <items count="5">
        <item x="0"/>
        <item x="1"/>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23"/>
  </rowFields>
  <rowItems count="5">
    <i>
      <x/>
    </i>
    <i>
      <x v="1"/>
    </i>
    <i>
      <x v="2"/>
    </i>
    <i>
      <x v="3"/>
    </i>
    <i t="grand">
      <x/>
    </i>
  </rowItems>
  <colItems count="1">
    <i/>
  </colItems>
  <dataFields count="1">
    <dataField name="Average of RD2" fld="3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F62FF82-9117-FE41-864A-8CE39A63D472}"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69:G80" firstHeaderRow="1" firstDataRow="3" firstDataCol="1"/>
  <pivotFields count="36">
    <pivotField dataField="1"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h="1" x="9"/>
        <item x="6"/>
        <item x="5"/>
        <item x="2"/>
        <item x="4"/>
        <item x="8"/>
        <item x="0"/>
        <item x="3"/>
        <item x="1"/>
        <item h="1" x="7"/>
        <item t="default"/>
      </items>
    </pivotField>
    <pivotField compact="0" outline="0" showAll="0"/>
    <pivotField compact="0" outline="0" showAll="0"/>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pivotField compact="0" outline="0" showAll="0"/>
    <pivotField axis="axisCol" compact="0" outline="0" showAll="0">
      <items count="6">
        <item h="1" x="2"/>
        <item x="1"/>
        <item h="1" x="4"/>
        <item x="0"/>
        <item h="1" x="3"/>
        <item t="default"/>
      </items>
    </pivotField>
    <pivotField compact="0" outline="0" showAll="0"/>
    <pivotField compact="0" outline="0" showAll="0"/>
    <pivotField compact="0" outline="0" showAll="0"/>
    <pivotField compact="0" outline="0" showAll="0"/>
    <pivotField compact="0" outline="0" showAll="0"/>
  </pivotFields>
  <rowFields count="1">
    <field x="21"/>
  </rowFields>
  <rowItems count="9">
    <i>
      <x v="1"/>
    </i>
    <i>
      <x v="2"/>
    </i>
    <i>
      <x v="3"/>
    </i>
    <i>
      <x v="4"/>
    </i>
    <i>
      <x v="5"/>
    </i>
    <i>
      <x v="6"/>
    </i>
    <i>
      <x v="7"/>
    </i>
    <i>
      <x v="8"/>
    </i>
    <i t="grand">
      <x/>
    </i>
  </rowItems>
  <colFields count="2">
    <field x="30"/>
    <field x="-2"/>
  </colFields>
  <colItems count="6">
    <i>
      <x v="1"/>
      <x/>
    </i>
    <i r="1" i="1">
      <x v="1"/>
    </i>
    <i>
      <x v="3"/>
      <x/>
    </i>
    <i r="1" i="1">
      <x v="1"/>
    </i>
    <i t="grand">
      <x/>
    </i>
    <i t="grand" i="1">
      <x/>
    </i>
  </colItems>
  <dataFields count="2">
    <dataField name="Count of Clause_ID" fld="0" subtotal="count" showDataAs="percentOfRow" baseField="0" baseItem="0" numFmtId="10"/>
    <dataField name="Count of Clause_ID2" fld="0" subtotal="count" baseField="0" baseItem="0"/>
  </dataFields>
  <formats count="12">
    <format dxfId="137">
      <pivotArea outline="0" fieldPosition="0">
        <references count="2">
          <reference field="21" count="1" selected="0">
            <x v="2"/>
          </reference>
          <reference field="30" count="1" selected="0">
            <x v="3"/>
          </reference>
        </references>
      </pivotArea>
    </format>
    <format dxfId="136">
      <pivotArea outline="0" fieldPosition="0">
        <references count="2">
          <reference field="21" count="1" selected="0">
            <x v="8"/>
          </reference>
          <reference field="30" count="1" selected="0">
            <x v="3"/>
          </reference>
        </references>
      </pivotArea>
    </format>
    <format dxfId="135">
      <pivotArea outline="0" fieldPosition="0">
        <references count="2">
          <reference field="21" count="1" selected="0">
            <x v="8"/>
          </reference>
          <reference field="30" count="1" selected="0">
            <x v="3"/>
          </reference>
        </references>
      </pivotArea>
    </format>
    <format dxfId="134">
      <pivotArea outline="0" fieldPosition="0">
        <references count="2">
          <reference field="21" count="1" selected="0">
            <x v="2"/>
          </reference>
          <reference field="30" count="1" selected="0">
            <x v="3"/>
          </reference>
        </references>
      </pivotArea>
    </format>
    <format dxfId="133">
      <pivotArea outline="0" fieldPosition="0">
        <references count="2">
          <reference field="21" count="1" selected="0">
            <x v="7"/>
          </reference>
          <reference field="30" count="1" selected="0">
            <x v="1"/>
          </reference>
        </references>
      </pivotArea>
    </format>
    <format dxfId="132">
      <pivotArea outline="0" fieldPosition="0">
        <references count="2">
          <reference field="21" count="1" selected="0">
            <x v="3"/>
          </reference>
          <reference field="30" count="1" selected="0">
            <x v="1"/>
          </reference>
        </references>
      </pivotArea>
    </format>
    <format dxfId="30">
      <pivotArea outline="0" fieldPosition="0">
        <references count="1">
          <reference field="21" count="0" selected="0"/>
        </references>
      </pivotArea>
    </format>
    <format dxfId="29">
      <pivotArea outline="0" fieldPosition="0">
        <references count="1">
          <reference field="21" count="0" selected="0"/>
        </references>
      </pivotArea>
    </format>
    <format dxfId="28">
      <pivotArea outline="0" fieldPosition="0">
        <references count="1">
          <reference field="4294967294" count="1">
            <x v="0"/>
          </reference>
        </references>
      </pivotArea>
    </format>
    <format dxfId="27">
      <pivotArea outline="0" fieldPosition="0">
        <references count="2">
          <reference field="4294967294" count="1" selected="0">
            <x v="0"/>
          </reference>
          <reference field="30" count="1" selected="0">
            <x v="1"/>
          </reference>
        </references>
      </pivotArea>
    </format>
    <format dxfId="26">
      <pivotArea outline="0" fieldPosition="0">
        <references count="2">
          <reference field="4294967294" count="1" selected="0">
            <x v="0"/>
          </reference>
          <reference field="30" count="1" selected="0">
            <x v="3"/>
          </reference>
        </references>
      </pivotArea>
    </format>
    <format dxfId="25">
      <pivotArea field="30" grandCol="1" outline="0" axis="axisCol"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28DF3-6402-6947-AA03-486F424510CE}" name="PivotTable3"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C9" firstHeaderRow="0" firstDataRow="1" firstDataCol="1"/>
  <pivotFields count="34">
    <pivotField dataField="1"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9">
        <item x="7"/>
        <item x="6"/>
        <item x="0"/>
        <item x="2"/>
        <item x="4"/>
        <item x="1"/>
        <item x="5"/>
        <item x="3"/>
        <item t="default"/>
      </items>
    </pivotField>
    <pivotField compact="0" outline="0" showAll="0"/>
    <pivotField axis="axisRow" compact="0" outline="0" showAll="0">
      <items count="10">
        <item h="1" x="8"/>
        <item x="0"/>
        <item h="1" x="7"/>
        <item x="2"/>
        <item x="1"/>
        <item x="5"/>
        <item x="3"/>
        <item x="6"/>
        <item h="1" x="4"/>
        <item t="default"/>
      </items>
    </pivotField>
    <pivotField compact="0" outline="0" showAll="0"/>
    <pivotField compact="0" outline="0" showAll="0"/>
    <pivotField compact="0" outline="0" showAll="0"/>
    <pivotField compact="0" outline="0" showAll="0"/>
    <pivotField compact="0" outline="0" showAll="0">
      <items count="11">
        <item h="1" x="9"/>
        <item x="6"/>
        <item x="5"/>
        <item x="2"/>
        <item x="4"/>
        <item h="1" x="8"/>
        <item x="0"/>
        <item x="3"/>
        <item x="1"/>
        <item h="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16"/>
  </rowFields>
  <rowItems count="7">
    <i>
      <x v="1"/>
    </i>
    <i>
      <x v="3"/>
    </i>
    <i>
      <x v="4"/>
    </i>
    <i>
      <x v="5"/>
    </i>
    <i>
      <x v="6"/>
    </i>
    <i>
      <x v="7"/>
    </i>
    <i t="grand">
      <x/>
    </i>
  </rowItems>
  <colFields count="1">
    <field x="-2"/>
  </colFields>
  <colItems count="2">
    <i>
      <x/>
    </i>
    <i i="1">
      <x v="1"/>
    </i>
  </colItems>
  <dataFields count="2">
    <dataField name="Average of RD2" fld="33" subtotal="average" baseField="0" baseItem="0" numFmtId="164"/>
    <dataField name="Count of Clause_ID" fld="0" subtotal="count" baseField="0" baseItem="0"/>
  </dataFields>
  <formats count="8">
    <format dxfId="123">
      <pivotArea type="all" dataOnly="0" outline="0" fieldPosition="0"/>
    </format>
    <format dxfId="122">
      <pivotArea outline="0" collapsedLevelsAreSubtotals="1" fieldPosition="0"/>
    </format>
    <format dxfId="121">
      <pivotArea type="origin" dataOnly="0" labelOnly="1" outline="0" fieldPosition="0"/>
    </format>
    <format dxfId="120">
      <pivotArea field="21" type="button" dataOnly="0" labelOnly="1" outline="0"/>
    </format>
    <format dxfId="119">
      <pivotArea type="topRight" dataOnly="0" labelOnly="1" outline="0" fieldPosition="0"/>
    </format>
    <format dxfId="118">
      <pivotArea field="14" type="button" dataOnly="0" labelOnly="1" outline="0"/>
    </format>
    <format dxfId="117">
      <pivotArea dataOnly="0" labelOnly="1" grandRow="1" outline="0" fieldPosition="0"/>
    </format>
    <format dxfId="11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70B54DE-662E-C143-9F8B-9831C46EFFC7}" name="PivotTable4"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D15:E20" firstHeaderRow="1" firstDataRow="1" firstDataCol="1"/>
  <pivotFields count="34">
    <pivotField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axis="axisRow" compact="0" outline="0" showAll="0">
      <items count="5">
        <item x="3"/>
        <item x="0"/>
        <item x="1"/>
        <item x="2"/>
        <item t="default"/>
      </items>
    </pivotField>
    <pivotField compact="0" outline="0" showAll="0"/>
    <pivotField compact="0" outline="0" showAll="0"/>
    <pivotField compact="0" outline="0" showAll="0"/>
    <pivotField compact="0" outline="0" showAll="0"/>
    <pivotField compact="0" outline="0" showAll="0">
      <items count="13">
        <item x="5"/>
        <item x="2"/>
        <item x="9"/>
        <item x="8"/>
        <item x="7"/>
        <item x="1"/>
        <item x="4"/>
        <item x="3"/>
        <item x="10"/>
        <item x="11"/>
        <item x="0"/>
        <item x="6"/>
        <item t="default"/>
      </items>
    </pivotField>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1">
        <item x="9"/>
        <item x="6"/>
        <item x="5"/>
        <item x="2"/>
        <item x="4"/>
        <item x="8"/>
        <item x="0"/>
        <item x="3"/>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7"/>
  </rowFields>
  <rowItems count="5">
    <i>
      <x/>
    </i>
    <i>
      <x v="1"/>
    </i>
    <i>
      <x v="2"/>
    </i>
    <i>
      <x v="3"/>
    </i>
    <i t="grand">
      <x/>
    </i>
  </rowItems>
  <colItems count="1">
    <i/>
  </colItems>
  <dataFields count="1">
    <dataField name="Average of RD2" fld="33" subtotal="average" baseField="0" baseItem="0" numFmtId="164"/>
  </dataFields>
  <formats count="7">
    <format dxfId="138">
      <pivotArea outline="0" fieldPosition="0">
        <references count="1">
          <reference field="7" count="1" selected="0">
            <x v="2"/>
          </reference>
        </references>
      </pivotArea>
    </format>
    <format dxfId="115">
      <pivotArea type="all" dataOnly="0" outline="0" fieldPosition="0"/>
    </format>
    <format dxfId="114">
      <pivotArea outline="0" collapsedLevelsAreSubtotals="1" fieldPosition="0"/>
    </format>
    <format dxfId="113">
      <pivotArea field="7" type="button" dataOnly="0" labelOnly="1" outline="0" axis="axisRow" fieldPosition="0"/>
    </format>
    <format dxfId="112">
      <pivotArea dataOnly="0" labelOnly="1" outline="0" fieldPosition="0">
        <references count="1">
          <reference field="7" count="0"/>
        </references>
      </pivotArea>
    </format>
    <format dxfId="111">
      <pivotArea dataOnly="0" labelOnly="1" grandRow="1" outline="0" fieldPosition="0"/>
    </format>
    <format dxfId="11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BC41100-FDE1-0043-9727-2246E277CA7E}" name="PivotTable14"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H59:K64" firstHeaderRow="1" firstDataRow="2" firstDataCol="1"/>
  <pivotFields count="34">
    <pivotField dataField="1"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pivotField compact="0" outline="0" showAll="0"/>
    <pivotField compact="0" outline="0" showAll="0"/>
    <pivotField compact="0" outline="0" showAll="0"/>
    <pivotField compact="0" outline="0" showAll="0"/>
    <pivotField compact="0" outline="0" showAll="0">
      <items count="13">
        <item x="5"/>
        <item x="2"/>
        <item x="9"/>
        <item x="8"/>
        <item x="7"/>
        <item x="1"/>
        <item x="4"/>
        <item x="3"/>
        <item x="10"/>
        <item x="11"/>
        <item x="0"/>
        <item x="6"/>
        <item t="default"/>
      </items>
    </pivotField>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1">
        <item x="9"/>
        <item x="6"/>
        <item x="5"/>
        <item x="2"/>
        <item x="4"/>
        <item x="8"/>
        <item x="0"/>
        <item x="3"/>
        <item x="1"/>
        <item x="7"/>
        <item t="default"/>
      </items>
    </pivotField>
    <pivotField compact="0" outline="0" showAll="0">
      <items count="5">
        <item x="0"/>
        <item x="1"/>
        <item x="3"/>
        <item x="2"/>
        <item t="default"/>
      </items>
    </pivotField>
    <pivotField axis="axisCol" compact="0" outline="0" showAll="0">
      <items count="5">
        <item x="0"/>
        <item x="1"/>
        <item x="3"/>
        <item x="2"/>
        <item t="default"/>
      </items>
    </pivotField>
    <pivotField compact="0" outline="0" showAll="0">
      <items count="7">
        <item x="5"/>
        <item x="3"/>
        <item x="0"/>
        <item x="1"/>
        <item x="2"/>
        <item x="4"/>
        <item t="default"/>
      </items>
    </pivotField>
    <pivotField compact="0" outline="0" showAll="0"/>
    <pivotField compact="0" outline="0" showAll="0"/>
    <pivotField compact="0" outline="0" showAll="0"/>
    <pivotField compact="0" outline="0" showAll="0">
      <items count="6">
        <item x="2"/>
        <item x="4"/>
        <item x="0"/>
        <item x="1"/>
        <item x="3"/>
        <item t="default"/>
      </items>
    </pivotField>
    <pivotField compact="0" outline="0" showAll="0">
      <items count="6">
        <item x="3"/>
        <item x="1"/>
        <item x="0"/>
        <item x="2"/>
        <item x="4"/>
        <item t="default"/>
      </items>
    </pivotField>
    <pivotField axis="axisRow" compact="0" outline="0" showAll="0">
      <items count="5">
        <item x="2"/>
        <item x="0"/>
        <item x="1"/>
        <item h="1" x="3"/>
        <item t="default"/>
      </items>
    </pivotField>
    <pivotField compact="0" outline="0" showAll="0"/>
    <pivotField compact="0" outline="0" showAll="0"/>
    <pivotField compact="0" outline="0" showAll="0"/>
  </pivotFields>
  <rowFields count="1">
    <field x="30"/>
  </rowFields>
  <rowItems count="4">
    <i>
      <x/>
    </i>
    <i>
      <x v="1"/>
    </i>
    <i>
      <x v="2"/>
    </i>
    <i t="grand">
      <x/>
    </i>
  </rowItems>
  <colFields count="1">
    <field x="23"/>
  </colFields>
  <colItems count="3">
    <i>
      <x/>
    </i>
    <i>
      <x v="1"/>
    </i>
    <i t="grand">
      <x/>
    </i>
  </colItems>
  <dataFields count="1">
    <dataField name="Count of Clause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D0E769B-1228-D645-903F-9E9615932575}" name="PivotTable1"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4:B27" firstHeaderRow="1" firstDataRow="1" firstDataCol="1"/>
  <pivotFields count="34">
    <pivotField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13">
        <item x="5"/>
        <item x="2"/>
        <item x="9"/>
        <item x="8"/>
        <item x="7"/>
        <item x="1"/>
        <item x="4"/>
        <item x="3"/>
        <item x="10"/>
        <item x="11"/>
        <item x="0"/>
        <item x="6"/>
        <item t="default"/>
      </items>
    </pivotField>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1">
        <item x="9"/>
        <item x="6"/>
        <item x="5"/>
        <item x="2"/>
        <item x="4"/>
        <item x="8"/>
        <item x="0"/>
        <item x="3"/>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12"/>
  </rowFields>
  <rowItems count="13">
    <i>
      <x/>
    </i>
    <i>
      <x v="1"/>
    </i>
    <i>
      <x v="2"/>
    </i>
    <i>
      <x v="3"/>
    </i>
    <i>
      <x v="4"/>
    </i>
    <i>
      <x v="5"/>
    </i>
    <i>
      <x v="6"/>
    </i>
    <i>
      <x v="7"/>
    </i>
    <i>
      <x v="8"/>
    </i>
    <i>
      <x v="9"/>
    </i>
    <i>
      <x v="10"/>
    </i>
    <i>
      <x v="11"/>
    </i>
    <i t="grand">
      <x/>
    </i>
  </rowItems>
  <colItems count="1">
    <i/>
  </colItems>
  <dataFields count="1">
    <dataField name="Average of RD2" fld="33" subtotal="average" baseField="0" baseItem="0" numFmtId="164"/>
  </dataFields>
  <formats count="9">
    <format dxfId="141">
      <pivotArea outline="0" fieldPosition="0">
        <references count="1">
          <reference field="12" count="1" selected="0">
            <x v="10"/>
          </reference>
        </references>
      </pivotArea>
    </format>
    <format dxfId="140">
      <pivotArea outline="0" fieldPosition="0">
        <references count="1">
          <reference field="12" count="1" selected="0">
            <x v="5"/>
          </reference>
        </references>
      </pivotArea>
    </format>
    <format dxfId="139">
      <pivotArea outline="0" fieldPosition="0">
        <references count="1">
          <reference field="12" count="1" selected="0">
            <x v="7"/>
          </reference>
        </references>
      </pivotArea>
    </format>
    <format dxfId="109">
      <pivotArea type="all" dataOnly="0" outline="0" fieldPosition="0"/>
    </format>
    <format dxfId="108">
      <pivotArea outline="0" collapsedLevelsAreSubtotals="1" fieldPosition="0"/>
    </format>
    <format dxfId="107">
      <pivotArea field="12" type="button" dataOnly="0" labelOnly="1" outline="0" axis="axisRow" fieldPosition="0"/>
    </format>
    <format dxfId="106">
      <pivotArea dataOnly="0" labelOnly="1" outline="0" fieldPosition="0">
        <references count="1">
          <reference field="12" count="0"/>
        </references>
      </pivotArea>
    </format>
    <format dxfId="105">
      <pivotArea dataOnly="0" labelOnly="1" grandRow="1" outline="0" fieldPosition="0"/>
    </format>
    <format dxfId="10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ACC6073-7725-3F48-AAC6-B4FE69FF4A10}" name="PivotTable19" cacheId="1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O49:R53" firstHeaderRow="1" firstDataRow="2" firstDataCol="1"/>
  <pivotFields count="38">
    <pivotField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5">
        <item x="5"/>
        <item x="12"/>
        <item x="0"/>
        <item x="7"/>
        <item x="11"/>
        <item x="3"/>
        <item x="8"/>
        <item x="9"/>
        <item x="10"/>
        <item x="1"/>
        <item x="13"/>
        <item x="2"/>
        <item x="4"/>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5">
        <item x="0"/>
        <item x="1"/>
        <item x="3"/>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axis="axisCol" compact="0" outline="0" showAll="0">
      <items count="4">
        <item x="1"/>
        <item x="0"/>
        <item h="1" x="2"/>
        <item t="default"/>
      </items>
    </pivotField>
  </pivotFields>
  <rowFields count="1">
    <field x="23"/>
  </rowFields>
  <rowItems count="3">
    <i>
      <x/>
    </i>
    <i>
      <x v="1"/>
    </i>
    <i t="grand">
      <x/>
    </i>
  </rowItems>
  <colFields count="1">
    <field x="37"/>
  </colFields>
  <colItems count="3">
    <i>
      <x/>
    </i>
    <i>
      <x v="1"/>
    </i>
    <i t="grand">
      <x/>
    </i>
  </colItems>
  <dataFields count="1">
    <dataField name="Average of RD2" fld="35" subtotal="average" baseField="0" baseItem="0"/>
  </dataFields>
  <formats count="4">
    <format dxfId="143">
      <pivotArea outline="0" fieldPosition="0">
        <references count="2">
          <reference field="23" count="1" selected="0">
            <x v="0"/>
          </reference>
          <reference field="37" count="1" selected="0">
            <x v="1"/>
          </reference>
        </references>
      </pivotArea>
    </format>
    <format dxfId="142">
      <pivotArea outline="0" fieldPosition="0">
        <references count="2">
          <reference field="23" count="1" selected="0">
            <x v="0"/>
          </reference>
          <reference field="37" count="1" selected="0">
            <x v="1"/>
          </reference>
        </references>
      </pivotArea>
    </format>
    <format dxfId="58">
      <pivotArea field="23" grandCol="1" outline="0" axis="axisRow" fieldPosition="0">
        <references count="1">
          <reference field="23" count="2" selected="0">
            <x v="0"/>
            <x v="1"/>
          </reference>
        </references>
      </pivotArea>
    </format>
    <format dxfId="57">
      <pivotArea outline="0" fieldPosition="0">
        <references count="2">
          <reference field="23" count="2" selected="0">
            <x v="0"/>
            <x v="1"/>
          </reference>
          <reference field="37"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0000FCB-7601-2A4D-81D9-0A5CC2AA5C55}" name="PivotTable12"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O39:P44" firstHeaderRow="1" firstDataRow="1" firstDataCol="1"/>
  <pivotFields count="34">
    <pivotField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items count="5">
        <item x="3"/>
        <item x="0"/>
        <item x="1"/>
        <item x="2"/>
        <item t="default"/>
      </items>
    </pivotField>
    <pivotField compact="0" outline="0" showAll="0"/>
    <pivotField compact="0" outline="0" showAll="0"/>
    <pivotField compact="0" outline="0" showAll="0"/>
    <pivotField compact="0" outline="0" showAll="0"/>
    <pivotField compact="0" outline="0" showAll="0">
      <items count="13">
        <item x="5"/>
        <item x="2"/>
        <item x="9"/>
        <item x="8"/>
        <item x="7"/>
        <item x="1"/>
        <item x="4"/>
        <item x="3"/>
        <item x="10"/>
        <item x="11"/>
        <item x="0"/>
        <item x="6"/>
        <item t="default"/>
      </items>
    </pivotField>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1">
        <item x="9"/>
        <item x="6"/>
        <item x="5"/>
        <item x="2"/>
        <item x="4"/>
        <item x="8"/>
        <item x="0"/>
        <item x="3"/>
        <item x="1"/>
        <item x="7"/>
        <item t="default"/>
      </items>
    </pivotField>
    <pivotField axis="axisRow" compact="0" outline="0" showAll="0">
      <items count="5">
        <item x="0"/>
        <item x="1"/>
        <item x="3"/>
        <item x="2"/>
        <item t="default"/>
      </items>
    </pivotField>
    <pivotField compact="0" outline="0" showAll="0">
      <items count="5">
        <item x="0"/>
        <item x="1"/>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22"/>
  </rowFields>
  <rowItems count="5">
    <i>
      <x/>
    </i>
    <i>
      <x v="1"/>
    </i>
    <i>
      <x v="2"/>
    </i>
    <i>
      <x v="3"/>
    </i>
    <i t="grand">
      <x/>
    </i>
  </rowItems>
  <colItems count="1">
    <i/>
  </colItems>
  <dataFields count="1">
    <dataField name="Average of RD2" fld="3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F5F45F-68D4-924E-9855-18E9FE0FAA00}" name="PivotTable9"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84:M94" firstHeaderRow="1" firstDataRow="3" firstDataCol="1"/>
  <pivotFields count="36">
    <pivotField dataField="1"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9">
        <item h="1" x="7"/>
        <item h="1" x="6"/>
        <item x="0"/>
        <item x="2"/>
        <item x="4"/>
        <item x="1"/>
        <item x="5"/>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h="1" x="9"/>
        <item x="6"/>
        <item x="5"/>
        <item x="2"/>
        <item x="4"/>
        <item h="1" x="8"/>
        <item x="0"/>
        <item x="3"/>
        <item x="1"/>
        <item h="1" x="7"/>
        <item t="default"/>
      </items>
    </pivotField>
    <pivotField compact="0" outline="0" showAll="0"/>
    <pivotField compact="0" outline="0" showAll="0"/>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pivotField compact="0" outline="0" showAll="0"/>
    <pivotField compact="0" outline="0" showAll="0">
      <items count="6">
        <item x="2"/>
        <item x="1"/>
        <item x="4"/>
        <item x="0"/>
        <item x="3"/>
        <item t="default"/>
      </items>
    </pivotField>
    <pivotField compact="0" outline="0" showAll="0"/>
    <pivotField compact="0" outline="0" showAll="0"/>
    <pivotField compact="0" outline="0" showAll="0"/>
    <pivotField compact="0" outline="0" showAll="0"/>
    <pivotField compact="0" outline="0" showAll="0"/>
  </pivotFields>
  <rowFields count="1">
    <field x="21"/>
  </rowFields>
  <rowItems count="8">
    <i>
      <x v="1"/>
    </i>
    <i>
      <x v="2"/>
    </i>
    <i>
      <x v="3"/>
    </i>
    <i>
      <x v="4"/>
    </i>
    <i>
      <x v="6"/>
    </i>
    <i>
      <x v="7"/>
    </i>
    <i>
      <x v="8"/>
    </i>
    <i t="grand">
      <x/>
    </i>
  </rowItems>
  <colFields count="2">
    <field x="14"/>
    <field x="-2"/>
  </colFields>
  <colItems count="12">
    <i>
      <x v="2"/>
      <x/>
    </i>
    <i r="1" i="1">
      <x v="1"/>
    </i>
    <i>
      <x v="3"/>
      <x/>
    </i>
    <i r="1" i="1">
      <x v="1"/>
    </i>
    <i>
      <x v="4"/>
      <x/>
    </i>
    <i r="1" i="1">
      <x v="1"/>
    </i>
    <i>
      <x v="5"/>
      <x/>
    </i>
    <i r="1" i="1">
      <x v="1"/>
    </i>
    <i>
      <x v="6"/>
      <x/>
    </i>
    <i r="1" i="1">
      <x v="1"/>
    </i>
    <i t="grand">
      <x/>
    </i>
    <i t="grand" i="1">
      <x/>
    </i>
  </colItems>
  <dataFields count="2">
    <dataField name="Count of Clause_ID" fld="0" subtotal="count" showDataAs="percentOfRow" baseField="0" baseItem="0" numFmtId="10"/>
    <dataField name="Count of Clause_ID2" fld="0" subtotal="count" baseField="0" baseItem="0"/>
  </dataFields>
  <formats count="5">
    <format dxfId="147">
      <pivotArea outline="0" fieldPosition="0">
        <references count="2">
          <reference field="14" count="1" selected="0">
            <x v="2"/>
          </reference>
          <reference field="21" count="1" selected="0">
            <x v="3"/>
          </reference>
        </references>
      </pivotArea>
    </format>
    <format dxfId="146">
      <pivotArea outline="0" fieldPosition="0">
        <references count="2">
          <reference field="14" count="1" selected="0">
            <x v="2"/>
          </reference>
          <reference field="21" count="1" selected="0">
            <x v="7"/>
          </reference>
        </references>
      </pivotArea>
    </format>
    <format dxfId="145">
      <pivotArea outline="0" fieldPosition="0">
        <references count="2">
          <reference field="14" count="1" selected="0">
            <x v="5"/>
          </reference>
          <reference field="21" count="1" selected="0">
            <x v="8"/>
          </reference>
        </references>
      </pivotArea>
    </format>
    <format dxfId="144">
      <pivotArea outline="0" fieldPosition="0">
        <references count="2">
          <reference field="14" count="1" selected="0">
            <x v="2"/>
          </reference>
          <reference field="21" count="1" selected="0">
            <x v="6"/>
          </reference>
        </references>
      </pivotArea>
    </format>
    <format dxfId="24">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FAD604-DCDB-3746-8902-82C67D297A76}" name="PivotTable5"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15:K25" firstHeaderRow="1" firstDataRow="2" firstDataCol="1"/>
  <pivotFields count="34">
    <pivotField compact="0" outline="0" showAll="0"/>
    <pivotField compact="0" outline="0" showAll="0"/>
    <pivotField compact="0" outline="0" showAll="0"/>
    <pivotField compact="0" outline="0" showAll="0"/>
    <pivotField compact="0" outline="0" showAll="0"/>
    <pivotField axis="axisRow" compact="0" outline="0" showAll="0">
      <items count="10">
        <item x="2"/>
        <item x="7"/>
        <item x="5"/>
        <item x="3"/>
        <item x="1"/>
        <item x="6"/>
        <item x="4"/>
        <item x="0"/>
        <item h="1" x="8"/>
        <item t="default"/>
      </items>
    </pivotField>
    <pivotField compact="0" outline="0" showAll="0">
      <items count="14">
        <item x="5"/>
        <item x="12"/>
        <item x="0"/>
        <item x="7"/>
        <item x="11"/>
        <item x="3"/>
        <item x="8"/>
        <item x="9"/>
        <item x="10"/>
        <item x="1"/>
        <item x="2"/>
        <item x="4"/>
        <item x="6"/>
        <item t="default"/>
      </items>
    </pivotField>
    <pivotField axis="axisCol" compact="0" outline="0" showAll="0">
      <items count="5">
        <item x="3"/>
        <item x="0"/>
        <item x="1"/>
        <item h="1"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1">
        <item x="9"/>
        <item x="6"/>
        <item x="5"/>
        <item x="2"/>
        <item x="4"/>
        <item x="8"/>
        <item x="0"/>
        <item x="3"/>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5"/>
  </rowFields>
  <rowItems count="9">
    <i>
      <x/>
    </i>
    <i>
      <x v="1"/>
    </i>
    <i>
      <x v="2"/>
    </i>
    <i>
      <x v="3"/>
    </i>
    <i>
      <x v="4"/>
    </i>
    <i>
      <x v="5"/>
    </i>
    <i>
      <x v="6"/>
    </i>
    <i>
      <x v="7"/>
    </i>
    <i t="grand">
      <x/>
    </i>
  </rowItems>
  <colFields count="1">
    <field x="7"/>
  </colFields>
  <colItems count="4">
    <i>
      <x/>
    </i>
    <i>
      <x v="1"/>
    </i>
    <i>
      <x v="2"/>
    </i>
    <i t="grand">
      <x/>
    </i>
  </colItems>
  <dataFields count="1">
    <dataField name="Sum of RD2" fld="33" baseField="0" baseItem="0" numFmtId="164"/>
  </dataFields>
  <formats count="15">
    <format dxfId="152">
      <pivotArea outline="0" fieldPosition="0">
        <references count="2">
          <reference field="5" count="1" selected="0">
            <x v="0"/>
          </reference>
          <reference field="7" count="1" selected="0">
            <x v="2"/>
          </reference>
        </references>
      </pivotArea>
    </format>
    <format dxfId="151">
      <pivotArea outline="0" fieldPosition="0">
        <references count="2">
          <reference field="5" count="1" selected="0">
            <x v="4"/>
          </reference>
          <reference field="7" count="1" selected="0">
            <x v="2"/>
          </reference>
        </references>
      </pivotArea>
    </format>
    <format dxfId="150">
      <pivotArea outline="0" fieldPosition="0">
        <references count="2">
          <reference field="5" count="1" selected="0">
            <x v="7"/>
          </reference>
          <reference field="7" count="1" selected="0">
            <x v="1"/>
          </reference>
        </references>
      </pivotArea>
    </format>
    <format dxfId="149">
      <pivotArea field="5" grandCol="1" outline="0" axis="axisRow" fieldPosition="0">
        <references count="1">
          <reference field="5" count="1" selected="0">
            <x v="2"/>
          </reference>
        </references>
      </pivotArea>
    </format>
    <format dxfId="148">
      <pivotArea field="5" grandCol="1" outline="0" axis="axisRow" fieldPosition="0">
        <references count="1">
          <reference field="5" count="1" selected="0">
            <x v="2"/>
          </reference>
        </references>
      </pivotArea>
    </format>
    <format dxfId="103">
      <pivotArea type="all" dataOnly="0" outline="0" fieldPosition="0"/>
    </format>
    <format dxfId="102">
      <pivotArea outline="0" collapsedLevelsAreSubtotals="1" fieldPosition="0"/>
    </format>
    <format dxfId="101">
      <pivotArea type="origin" dataOnly="0" labelOnly="1" outline="0" fieldPosition="0"/>
    </format>
    <format dxfId="100">
      <pivotArea field="7" type="button" dataOnly="0" labelOnly="1" outline="0" axis="axisCol" fieldPosition="0"/>
    </format>
    <format dxfId="99">
      <pivotArea type="topRight" dataOnly="0" labelOnly="1" outline="0" fieldPosition="0"/>
    </format>
    <format dxfId="98">
      <pivotArea field="5" type="button" dataOnly="0" labelOnly="1" outline="0" axis="axisRow" fieldPosition="0"/>
    </format>
    <format dxfId="97">
      <pivotArea dataOnly="0" labelOnly="1" outline="0" fieldPosition="0">
        <references count="1">
          <reference field="5" count="0"/>
        </references>
      </pivotArea>
    </format>
    <format dxfId="96">
      <pivotArea dataOnly="0" labelOnly="1" grandRow="1" outline="0" fieldPosition="0"/>
    </format>
    <format dxfId="95">
      <pivotArea dataOnly="0" labelOnly="1" outline="0" fieldPosition="0">
        <references count="1">
          <reference field="7" count="0"/>
        </references>
      </pivotArea>
    </format>
    <format dxfId="9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86FCB09-7289-C54D-95CE-D10442769A5A}" name="PivotTable10"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9:G54" firstHeaderRow="1" firstDataRow="3" firstDataCol="1"/>
  <pivotFields count="34">
    <pivotField dataField="1"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pivotField compact="0" outline="0" showAll="0"/>
    <pivotField compact="0" outline="0" showAll="0"/>
    <pivotField compact="0" outline="0" showAll="0"/>
    <pivotField compact="0" outline="0" showAll="0"/>
    <pivotField compact="0" outline="0" showAll="0">
      <items count="13">
        <item x="5"/>
        <item x="2"/>
        <item x="9"/>
        <item x="8"/>
        <item x="7"/>
        <item x="1"/>
        <item x="4"/>
        <item x="3"/>
        <item x="10"/>
        <item x="11"/>
        <item x="0"/>
        <item x="6"/>
        <item t="default"/>
      </items>
    </pivotField>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1">
        <item x="9"/>
        <item x="6"/>
        <item x="5"/>
        <item x="2"/>
        <item x="4"/>
        <item x="8"/>
        <item x="0"/>
        <item x="3"/>
        <item x="1"/>
        <item x="7"/>
        <item t="default"/>
      </items>
    </pivotField>
    <pivotField compact="0" outline="0" showAll="0">
      <items count="5">
        <item x="0"/>
        <item x="1"/>
        <item x="3"/>
        <item x="2"/>
        <item t="default"/>
      </items>
    </pivotField>
    <pivotField axis="axisCol" compact="0" outline="0" showAll="0">
      <items count="5">
        <item x="0"/>
        <item x="1"/>
        <item x="3"/>
        <item x="2"/>
        <item t="default"/>
      </items>
    </pivotField>
    <pivotField compact="0" outline="0" showAll="0"/>
    <pivotField compact="0" outline="0" showAll="0"/>
    <pivotField compact="0" outline="0" showAll="0"/>
    <pivotField compact="0" outline="0" showAll="0"/>
    <pivotField axis="axisRow" compact="0" outline="0" showAll="0">
      <items count="6">
        <item x="2"/>
        <item h="1" x="4"/>
        <item h="1" x="0"/>
        <item x="1"/>
        <item h="1" x="3"/>
        <item t="default"/>
      </items>
    </pivotField>
    <pivotField compact="0" outline="0" showAll="0"/>
    <pivotField compact="0" outline="0" showAll="0"/>
    <pivotField compact="0" outline="0" showAll="0"/>
    <pivotField compact="0" outline="0" showAll="0"/>
    <pivotField compact="0" outline="0" showAll="0"/>
  </pivotFields>
  <rowFields count="1">
    <field x="28"/>
  </rowFields>
  <rowItems count="3">
    <i>
      <x/>
    </i>
    <i>
      <x v="3"/>
    </i>
    <i t="grand">
      <x/>
    </i>
  </rowItems>
  <colFields count="2">
    <field x="23"/>
    <field x="-2"/>
  </colFields>
  <colItems count="6">
    <i>
      <x/>
      <x/>
    </i>
    <i r="1" i="1">
      <x v="1"/>
    </i>
    <i>
      <x v="1"/>
      <x/>
    </i>
    <i r="1" i="1">
      <x v="1"/>
    </i>
    <i t="grand">
      <x/>
    </i>
    <i t="grand" i="1">
      <x/>
    </i>
  </colItems>
  <dataFields count="2">
    <dataField name="Count of Clause_ID" fld="0" subtotal="count" showDataAs="percentOfRow" baseField="0" baseItem="0" numFmtId="10"/>
    <dataField name="Count of Clause_ID2" fld="0" subtotal="count" baseField="0" baseItem="0"/>
  </dataFields>
  <formats count="10">
    <format dxfId="66">
      <pivotArea outline="0" fieldPosition="0">
        <references count="2">
          <reference field="23" count="1" selected="0">
            <x v="0"/>
          </reference>
          <reference field="28" count="1" selected="0">
            <x v="3"/>
          </reference>
        </references>
      </pivotArea>
    </format>
    <format dxfId="67">
      <pivotArea outline="0" fieldPosition="0">
        <references count="2">
          <reference field="23" count="1" selected="0">
            <x v="0"/>
          </reference>
          <reference field="28" count="1" selected="0">
            <x v="0"/>
          </reference>
        </references>
      </pivotArea>
    </format>
    <format dxfId="68">
      <pivotArea outline="0" fieldPosition="0">
        <references count="2">
          <reference field="23" count="1" selected="0">
            <x v="0"/>
          </reference>
          <reference field="28" count="1" selected="0">
            <x v="0"/>
          </reference>
        </references>
      </pivotArea>
    </format>
    <format dxfId="69">
      <pivotArea outline="0" fieldPosition="0">
        <references count="2">
          <reference field="23" count="1" selected="0">
            <x v="0"/>
          </reference>
          <reference field="28" count="1" selected="0">
            <x v="0"/>
          </reference>
        </references>
      </pivotArea>
    </format>
    <format dxfId="70">
      <pivotArea outline="0" fieldPosition="0">
        <references count="2">
          <reference field="23" count="1" selected="0">
            <x v="0"/>
          </reference>
          <reference field="28" count="1" selected="0">
            <x v="3"/>
          </reference>
        </references>
      </pivotArea>
    </format>
    <format dxfId="71">
      <pivotArea outline="0" fieldPosition="0">
        <references count="1">
          <reference field="4294967294" count="1">
            <x v="0"/>
          </reference>
        </references>
      </pivotArea>
    </format>
    <format dxfId="72">
      <pivotArea outline="0" fieldPosition="0">
        <references count="2">
          <reference field="4294967294" count="1" selected="0">
            <x v="0"/>
          </reference>
          <reference field="23" count="1" selected="0">
            <x v="0"/>
          </reference>
        </references>
      </pivotArea>
    </format>
    <format dxfId="73">
      <pivotArea outline="0" fieldPosition="0">
        <references count="2">
          <reference field="4294967294" count="1" selected="0">
            <x v="0"/>
          </reference>
          <reference field="23" count="1" selected="0">
            <x v="1"/>
          </reference>
        </references>
      </pivotArea>
    </format>
    <format dxfId="74">
      <pivotArea field="23" grandCol="1" outline="0" axis="axisCol" fieldPosition="0">
        <references count="1">
          <reference field="4294967294" count="1" selected="0">
            <x v="0"/>
          </reference>
        </references>
      </pivotArea>
    </format>
    <format dxfId="75">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EAAE881-841F-734A-BF55-18B908B53107}" name="PivotTable7"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H32:K44" firstHeaderRow="1" firstDataRow="2" firstDataCol="1"/>
  <pivotFields count="34">
    <pivotField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13">
        <item x="5"/>
        <item h="1" x="2"/>
        <item x="9"/>
        <item x="8"/>
        <item x="7"/>
        <item x="1"/>
        <item x="4"/>
        <item x="3"/>
        <item x="10"/>
        <item x="11"/>
        <item x="0"/>
        <item h="1" x="6"/>
        <item t="default"/>
      </items>
    </pivotField>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11">
        <item x="9"/>
        <item x="6"/>
        <item x="5"/>
        <item x="2"/>
        <item x="4"/>
        <item x="8"/>
        <item x="0"/>
        <item x="3"/>
        <item x="1"/>
        <item x="7"/>
        <item t="default"/>
      </items>
    </pivotField>
    <pivotField compact="0" outline="0" showAll="0">
      <items count="5">
        <item x="0"/>
        <item x="1"/>
        <item x="3"/>
        <item x="2"/>
        <item t="default"/>
      </items>
    </pivotField>
    <pivotField axis="axisCol" compact="0" outline="0" showAll="0">
      <items count="5">
        <item x="0"/>
        <item x="1"/>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12"/>
  </rowFields>
  <rowItems count="11">
    <i>
      <x/>
    </i>
    <i>
      <x v="2"/>
    </i>
    <i>
      <x v="3"/>
    </i>
    <i>
      <x v="4"/>
    </i>
    <i>
      <x v="5"/>
    </i>
    <i>
      <x v="6"/>
    </i>
    <i>
      <x v="7"/>
    </i>
    <i>
      <x v="8"/>
    </i>
    <i>
      <x v="9"/>
    </i>
    <i>
      <x v="10"/>
    </i>
    <i t="grand">
      <x/>
    </i>
  </rowItems>
  <colFields count="1">
    <field x="23"/>
  </colFields>
  <colItems count="3">
    <i>
      <x/>
    </i>
    <i>
      <x v="1"/>
    </i>
    <i t="grand">
      <x/>
    </i>
  </colItems>
  <dataFields count="1">
    <dataField name="Average of RD2" fld="33" subtotal="average" baseField="0" baseItem="0" numFmtId="164"/>
  </dataFields>
  <formats count="4">
    <format dxfId="155">
      <pivotArea outline="0" fieldPosition="0">
        <references count="2">
          <reference field="12" count="1" selected="0">
            <x v="10"/>
          </reference>
          <reference field="23" count="1" selected="0">
            <x v="0"/>
          </reference>
        </references>
      </pivotArea>
    </format>
    <format dxfId="154">
      <pivotArea outline="0" fieldPosition="0">
        <references count="2">
          <reference field="12" count="1" selected="0">
            <x v="7"/>
          </reference>
          <reference field="23" count="1" selected="0">
            <x v="0"/>
          </reference>
        </references>
      </pivotArea>
    </format>
    <format dxfId="153">
      <pivotArea outline="0" fieldPosition="0">
        <references count="2">
          <reference field="12" count="1" selected="0">
            <x v="5"/>
          </reference>
          <reference field="23" count="1" selected="0">
            <x v="0"/>
          </reference>
        </references>
      </pivotArea>
    </format>
    <format dxfId="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BBF5D86-0634-3A42-B229-109759CCCE93}" name="PivotTable87" cacheId="9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67:G72" firstHeaderRow="1" firstDataRow="3" firstDataCol="1" rowPageCount="1" colPageCount="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0"/>
        <item x="1"/>
        <item h="1" x="2"/>
        <item t="default"/>
      </items>
    </pivotField>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axis="axisPage" compact="0" outline="0" multipleItemSelectionAllowed="1" showAll="0">
      <items count="6">
        <item h="1" x="2"/>
        <item x="1"/>
        <item h="1" x="4"/>
        <item h="1" x="0"/>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8">
        <item x="6"/>
        <item x="2"/>
        <item x="1"/>
        <item x="4"/>
        <item x="0"/>
        <item x="5"/>
        <item x="3"/>
        <item t="default"/>
      </items>
    </pivotField>
    <pivotField compact="0" outline="0" showAll="0"/>
    <pivotField compact="0" outline="0" showAll="0">
      <items count="3">
        <item x="1"/>
        <item x="0"/>
        <item t="default"/>
      </items>
    </pivotField>
    <pivotField compact="0" outline="0" showAll="0"/>
  </pivotFields>
  <rowFields count="1">
    <field x="43"/>
  </rowFields>
  <rowItems count="3">
    <i>
      <x/>
    </i>
    <i>
      <x v="1"/>
    </i>
    <i t="grand">
      <x/>
    </i>
  </rowItems>
  <colFields count="2">
    <field x="-2"/>
    <field x="23"/>
  </colFields>
  <colItems count="6">
    <i>
      <x/>
      <x/>
    </i>
    <i r="1">
      <x v="1"/>
    </i>
    <i i="1">
      <x v="1"/>
      <x/>
    </i>
    <i r="1" i="1">
      <x v="1"/>
    </i>
    <i t="grand">
      <x/>
    </i>
    <i t="grand" i="1">
      <x/>
    </i>
  </colItems>
  <pageFields count="1">
    <pageField fld="31" hier="-1"/>
  </pageFields>
  <dataFields count="2">
    <dataField name="Count of HeikeCh2" fld="0" subtotal="count" showDataAs="percentOfRow" baseField="0" baseItem="0" numFmtId="10"/>
    <dataField name="Count of HeikeCh2_2" fld="0" subtotal="count" baseField="0" baseItem="0"/>
  </dataFields>
  <formats count="2">
    <format dxfId="60">
      <pivotArea outline="0" fieldPosition="0">
        <references count="2">
          <reference field="4294967294" count="1" selected="0">
            <x v="0"/>
          </reference>
          <reference field="23" count="0" selected="0"/>
        </references>
      </pivotArea>
    </format>
    <format dxfId="59">
      <pivotArea field="23" grandCol="1" outline="0" axis="axisCol" fieldPosition="1">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906456B-6FF0-634D-998A-B9BD06B14447}" name="PivotTable48" cacheId="3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5:M30" firstHeaderRow="1" firstDataRow="3" firstDataCol="1"/>
  <pivotFields count="44">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x="5"/>
        <item x="2"/>
        <item x="9"/>
        <item x="8"/>
        <item x="7"/>
        <item x="1"/>
        <item x="4"/>
        <item x="3"/>
        <item x="10"/>
        <item x="11"/>
        <item x="0"/>
        <item x="6"/>
        <item t="default"/>
      </items>
    </pivotField>
    <pivotField compact="0" outline="0" showAll="0"/>
    <pivotField axis="axisCol" compact="0" outline="0" showAll="0">
      <items count="8">
        <item h="1" x="6"/>
        <item x="0"/>
        <item x="2"/>
        <item x="4"/>
        <item x="1"/>
        <item x="5"/>
        <item h="1" x="3"/>
        <item t="default"/>
      </items>
    </pivotField>
    <pivotField compact="0" outline="0" showAll="0"/>
    <pivotField compact="0" outline="0" showAll="0">
      <items count="9">
        <item x="0"/>
        <item x="7"/>
        <item x="2"/>
        <item x="1"/>
        <item x="5"/>
        <item x="3"/>
        <item x="6"/>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s>
  <rowFields count="1">
    <field x="43"/>
  </rowFields>
  <rowItems count="3">
    <i>
      <x/>
    </i>
    <i>
      <x v="1"/>
    </i>
    <i t="grand">
      <x/>
    </i>
  </rowItems>
  <colFields count="2">
    <field x="14"/>
    <field x="-2"/>
  </colFields>
  <colItems count="12">
    <i>
      <x v="1"/>
      <x/>
    </i>
    <i r="1" i="1">
      <x v="1"/>
    </i>
    <i>
      <x v="2"/>
      <x/>
    </i>
    <i r="1" i="1">
      <x v="1"/>
    </i>
    <i>
      <x v="3"/>
      <x/>
    </i>
    <i r="1" i="1">
      <x v="1"/>
    </i>
    <i>
      <x v="4"/>
      <x/>
    </i>
    <i r="1" i="1">
      <x v="1"/>
    </i>
    <i>
      <x v="5"/>
      <x/>
    </i>
    <i r="1" i="1">
      <x v="1"/>
    </i>
    <i t="grand">
      <x/>
    </i>
    <i t="grand" i="1">
      <x/>
    </i>
  </colItems>
  <dataFields count="2">
    <dataField name="Count of HeikeCh2" fld="0" subtotal="count" showDataAs="percentOfRow" baseField="0" baseItem="0" numFmtId="10"/>
    <dataField name="Count of HeikeCh2_2" fld="0" subtotal="count" baseField="0" baseItem="0"/>
  </dataFields>
  <formats count="6">
    <format dxfId="85">
      <pivotArea outline="0" collapsedLevelsAreSubtotals="1" fieldPosition="0"/>
    </format>
    <format dxfId="84">
      <pivotArea dataOnly="0" labelOnly="1" outline="0" fieldPosition="0">
        <references count="1">
          <reference field="43" count="0"/>
        </references>
      </pivotArea>
    </format>
    <format dxfId="83">
      <pivotArea dataOnly="0" labelOnly="1" grandRow="1" outline="0" fieldPosition="0"/>
    </format>
    <format dxfId="82">
      <pivotArea outline="0" collapsedLevelsAreSubtotals="1" fieldPosition="0"/>
    </format>
    <format dxfId="81">
      <pivotArea dataOnly="0" labelOnly="1" outline="0" fieldPosition="0">
        <references count="1">
          <reference field="43" count="0"/>
        </references>
      </pivotArea>
    </format>
    <format dxfId="8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1FDCFD0-D2DE-6447-85A9-C545692A6D15}" name="PivotTable76" cacheId="1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Z3:AB14" firstHeaderRow="0" firstDataRow="1" firstDataCol="1"/>
  <pivotFields count="34">
    <pivotField dataField="1" compact="0" outline="0" showAll="0"/>
    <pivotField compact="0" outline="0" showAll="0"/>
    <pivotField compact="0" outline="0" showAll="0"/>
    <pivotField compact="0" outline="0" showAll="0"/>
    <pivotField compact="0" outline="0" showAll="0"/>
    <pivotField compact="0" outline="0" showAll="0">
      <items count="10">
        <item x="2"/>
        <item x="7"/>
        <item x="5"/>
        <item x="3"/>
        <item x="1"/>
        <item x="6"/>
        <item x="4"/>
        <item x="0"/>
        <item x="8"/>
        <item t="default"/>
      </items>
    </pivotField>
    <pivotField compact="0" outline="0" showAll="0">
      <items count="14">
        <item x="5"/>
        <item x="12"/>
        <item x="0"/>
        <item x="7"/>
        <item x="11"/>
        <item x="3"/>
        <item x="8"/>
        <item x="9"/>
        <item x="10"/>
        <item x="1"/>
        <item x="2"/>
        <item x="4"/>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9">
        <item x="7"/>
        <item x="6"/>
        <item x="0"/>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x="9"/>
        <item x="6"/>
        <item x="5"/>
        <item x="2"/>
        <item x="4"/>
        <item x="8"/>
        <item x="0"/>
        <item x="3"/>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1">
    <field x="21"/>
  </rowFields>
  <rowItems count="11">
    <i>
      <x/>
    </i>
    <i>
      <x v="1"/>
    </i>
    <i>
      <x v="2"/>
    </i>
    <i>
      <x v="3"/>
    </i>
    <i>
      <x v="4"/>
    </i>
    <i>
      <x v="5"/>
    </i>
    <i>
      <x v="6"/>
    </i>
    <i>
      <x v="7"/>
    </i>
    <i>
      <x v="8"/>
    </i>
    <i>
      <x v="9"/>
    </i>
    <i t="grand">
      <x/>
    </i>
  </rowItems>
  <colFields count="1">
    <field x="-2"/>
  </colFields>
  <colItems count="2">
    <i>
      <x/>
    </i>
    <i i="1">
      <x v="1"/>
    </i>
  </colItems>
  <dataFields count="2">
    <dataField name="Average of RD2" fld="33" subtotal="average" baseField="0" baseItem="0" numFmtId="164"/>
    <dataField name="Count of Clause_ID" fld="0" subtotal="count" baseField="0" baseItem="0"/>
  </dataFields>
  <formats count="8">
    <format dxfId="86">
      <pivotArea type="all" dataOnly="0" outline="0" fieldPosition="0"/>
    </format>
    <format dxfId="87">
      <pivotArea outline="0" collapsedLevelsAreSubtotals="1" fieldPosition="0"/>
    </format>
    <format dxfId="88">
      <pivotArea type="origin" dataOnly="0" labelOnly="1" outline="0" fieldPosition="0"/>
    </format>
    <format dxfId="89">
      <pivotArea field="21" type="button" dataOnly="0" labelOnly="1" outline="0" axis="axisRow" fieldPosition="0"/>
    </format>
    <format dxfId="90">
      <pivotArea type="topRight" dataOnly="0" labelOnly="1" outline="0" fieldPosition="0"/>
    </format>
    <format dxfId="91">
      <pivotArea field="14" type="button" dataOnly="0" labelOnly="1" outline="0"/>
    </format>
    <format dxfId="92">
      <pivotArea dataOnly="0" labelOnly="1" grandRow="1" outline="0" fieldPosition="0"/>
    </format>
    <format dxfId="9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22D391-1913-104F-8CA9-4477B6E9752D}" name="PivotTable61" cacheId="9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56:M61" firstHeaderRow="1" firstDataRow="3" firstDataCol="1" rowPageCount="1" colPageCount="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axis="axisPage" compact="0" outline="0" multipleItemSelectionAllowed="1" showAll="0">
      <items count="6">
        <item h="1" x="2"/>
        <item x="1"/>
        <item h="1" x="4"/>
        <item h="1" x="0"/>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axis="axisCol" compact="0" outline="0" showAll="0">
      <items count="8">
        <item x="6"/>
        <item x="2"/>
        <item x="1"/>
        <item x="4"/>
        <item x="0"/>
        <item x="5"/>
        <item x="3"/>
        <item t="default"/>
      </items>
    </pivotField>
    <pivotField compact="0" outline="0" showAll="0"/>
    <pivotField compact="0" outline="0" showAll="0">
      <items count="3">
        <item x="1"/>
        <item x="0"/>
        <item t="default"/>
      </items>
    </pivotField>
    <pivotField compact="0" outline="0" showAll="0"/>
  </pivotFields>
  <rowFields count="1">
    <field x="43"/>
  </rowFields>
  <rowItems count="3">
    <i>
      <x/>
    </i>
    <i>
      <x v="1"/>
    </i>
    <i t="grand">
      <x/>
    </i>
  </rowItems>
  <colFields count="2">
    <field x="44"/>
    <field x="-2"/>
  </colFields>
  <colItems count="12">
    <i>
      <x v="1"/>
      <x/>
    </i>
    <i r="1" i="1">
      <x v="1"/>
    </i>
    <i>
      <x v="2"/>
      <x/>
    </i>
    <i r="1" i="1">
      <x v="1"/>
    </i>
    <i>
      <x v="3"/>
      <x/>
    </i>
    <i r="1" i="1">
      <x v="1"/>
    </i>
    <i>
      <x v="4"/>
      <x/>
    </i>
    <i r="1" i="1">
      <x v="1"/>
    </i>
    <i>
      <x v="5"/>
      <x/>
    </i>
    <i r="1" i="1">
      <x v="1"/>
    </i>
    <i t="grand">
      <x/>
    </i>
    <i t="grand" i="1">
      <x/>
    </i>
  </colItems>
  <pageFields count="1">
    <pageField fld="31" hier="-1"/>
  </pageFields>
  <dataFields count="2">
    <dataField name="Count of HeikeCh2" fld="0" subtotal="count" showDataAs="percentOfRow" baseField="0" baseItem="0" numFmtId="10"/>
    <dataField name="Count of HeikeCh2_2"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2F40977-8ADC-A04D-965E-0925CA83ABE9}" name="PivotTable49" cacheId="3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1:F35" firstHeaderRow="1" firstDataRow="2" firstDataCol="1"/>
  <pivotFields count="44">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x="5"/>
        <item x="2"/>
        <item x="9"/>
        <item x="8"/>
        <item x="7"/>
        <item x="1"/>
        <item x="4"/>
        <item x="3"/>
        <item x="10"/>
        <item x="11"/>
        <item x="0"/>
        <item x="6"/>
        <item t="default"/>
      </items>
    </pivotField>
    <pivotField compact="0" outline="0" showAll="0"/>
    <pivotField compact="0" outline="0" showAll="0">
      <items count="8">
        <item x="6"/>
        <item x="0"/>
        <item x="2"/>
        <item x="4"/>
        <item x="1"/>
        <item x="5"/>
        <item x="3"/>
        <item t="default"/>
      </items>
    </pivotField>
    <pivotField compact="0" outline="0" showAll="0"/>
    <pivotField axis="axisCol" compact="0" outline="0" showAll="0">
      <items count="9">
        <item h="1" x="0"/>
        <item h="1" x="7"/>
        <item h="1" x="2"/>
        <item x="1"/>
        <item x="5"/>
        <item x="3"/>
        <item x="6"/>
        <item h="1"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s>
  <rowFields count="1">
    <field x="43"/>
  </rowFields>
  <rowItems count="3">
    <i>
      <x/>
    </i>
    <i>
      <x v="1"/>
    </i>
    <i t="grand">
      <x/>
    </i>
  </rowItems>
  <colFields count="1">
    <field x="16"/>
  </colFields>
  <colItems count="5">
    <i>
      <x v="3"/>
    </i>
    <i>
      <x v="4"/>
    </i>
    <i>
      <x v="5"/>
    </i>
    <i>
      <x v="6"/>
    </i>
    <i t="grand">
      <x/>
    </i>
  </colItems>
  <dataFields count="1">
    <dataField name="Count of HeikeCh2"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2EAE-CEC7-9248-B529-17B07100A588}" name="PivotTable99" cacheId="8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80:G92" firstHeaderRow="1" firstDataRow="3" firstDataCol="1"/>
  <pivotFields count="48">
    <pivotField dataField="1" compact="0" outline="0" showAll="0">
      <items count="159">
        <item x="0"/>
        <item x="9"/>
        <item x="100"/>
        <item x="101"/>
        <item x="102"/>
        <item x="103"/>
        <item x="104"/>
        <item x="105"/>
        <item x="106"/>
        <item x="107"/>
        <item x="108"/>
        <item x="109"/>
        <item x="10"/>
        <item x="110"/>
        <item x="111"/>
        <item x="112"/>
        <item x="113"/>
        <item x="114"/>
        <item x="115"/>
        <item x="116"/>
        <item x="117"/>
        <item x="118"/>
        <item x="119"/>
        <item x="11"/>
        <item x="120"/>
        <item x="121"/>
        <item x="122"/>
        <item x="123"/>
        <item x="124"/>
        <item x="125"/>
        <item x="126"/>
        <item x="127"/>
        <item x="128"/>
        <item x="129"/>
        <item x="12"/>
        <item x="130"/>
        <item x="131"/>
        <item x="132"/>
        <item x="133"/>
        <item x="134"/>
        <item x="135"/>
        <item x="136"/>
        <item x="137"/>
        <item x="138"/>
        <item x="139"/>
        <item x="13"/>
        <item x="140"/>
        <item x="141"/>
        <item x="142"/>
        <item x="143"/>
        <item x="144"/>
        <item x="145"/>
        <item x="146"/>
        <item x="147"/>
        <item x="148"/>
        <item x="149"/>
        <item x="14"/>
        <item x="150"/>
        <item x="151"/>
        <item x="152"/>
        <item x="153"/>
        <item x="154"/>
        <item x="155"/>
        <item x="156"/>
        <item x="157"/>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5"/>
        <item x="46"/>
        <item x="47"/>
        <item x="48"/>
        <item x="4"/>
        <item x="49"/>
        <item x="51"/>
        <item x="52"/>
        <item x="53"/>
        <item x="54"/>
        <item x="55"/>
        <item x="56"/>
        <item x="57"/>
        <item x="58"/>
        <item x="59"/>
        <item x="5"/>
        <item x="60"/>
        <item x="61"/>
        <item x="62"/>
        <item x="63"/>
        <item x="64"/>
        <item x="65"/>
        <item x="66"/>
        <item x="67"/>
        <item x="68"/>
        <item x="69"/>
        <item x="6"/>
        <item x="70"/>
        <item x="71"/>
        <item x="72"/>
        <item x="73"/>
        <item x="74"/>
        <item x="75"/>
        <item x="76"/>
        <item x="77"/>
        <item x="78"/>
        <item x="79"/>
        <item x="7"/>
        <item x="80"/>
        <item x="81"/>
        <item x="82"/>
        <item x="83"/>
        <item x="84"/>
        <item x="85"/>
        <item x="86"/>
        <item x="87"/>
        <item x="88"/>
        <item x="89"/>
        <item x="8"/>
        <item x="90"/>
        <item x="91"/>
        <item x="92"/>
        <item x="93"/>
        <item x="94"/>
        <item x="95"/>
        <item x="96"/>
        <item x="97"/>
        <item x="98"/>
        <item x="99"/>
        <item x="5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8">
        <item h="1" x="6"/>
        <item x="0"/>
        <item x="2"/>
        <item x="4"/>
        <item x="1"/>
        <item x="5"/>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0"/>
        <item x="1"/>
        <item h="1" x="2"/>
        <item t="default"/>
      </items>
    </pivotField>
    <pivotField compact="0" outline="0" showAll="0">
      <items count="6">
        <item x="3"/>
        <item h="1" x="0"/>
        <item x="1"/>
        <item x="2"/>
        <item h="1" x="4"/>
        <item t="default"/>
      </items>
    </pivotField>
    <pivotField axis="axisRow" compact="0" outline="0" showAll="0">
      <items count="12">
        <item x="10"/>
        <item x="2"/>
        <item x="8"/>
        <item x="9"/>
        <item x="4"/>
        <item x="3"/>
        <item x="5"/>
        <item h="1" x="0"/>
        <item x="1"/>
        <item x="7"/>
        <item h="1" x="6"/>
        <item t="default"/>
      </items>
    </pivotField>
    <pivotField compact="0" outline="0" showAll="0"/>
    <pivotField compact="0" outline="0" showAll="0" sortType="ascending">
      <items count="12">
        <item x="3"/>
        <item x="9"/>
        <item x="10"/>
        <item x="6"/>
        <item x="8"/>
        <item x="2"/>
        <item x="7"/>
        <item x="4"/>
        <item x="1"/>
        <item x="0"/>
        <item x="5"/>
        <item t="default"/>
      </items>
      <autoSortScope>
        <pivotArea dataOnly="0" outline="0" fieldPosition="0">
          <references count="2">
            <reference field="4294967294" count="1" selected="0">
              <x v="0"/>
            </reference>
            <reference field="23" count="1" selected="0">
              <x v="1"/>
            </reference>
          </references>
        </pivotArea>
      </autoSortScope>
    </pivotField>
    <pivotField compact="0" outline="0" showAll="0">
      <items count="11">
        <item x="8"/>
        <item x="7"/>
        <item x="6"/>
        <item x="3"/>
        <item x="5"/>
        <item x="9"/>
        <item x="1"/>
        <item x="4"/>
        <item x="2"/>
        <item x="0"/>
        <item t="default"/>
      </items>
    </pivotField>
    <pivotField compact="0" outline="0" showAll="0"/>
    <pivotField compact="0" outline="0" showAll="0"/>
    <pivotField compact="0" outline="0" showAll="0"/>
    <pivotField compact="0" outline="0" showAll="0">
      <items count="6">
        <item x="3"/>
        <item x="1"/>
        <item x="0"/>
        <item x="2"/>
        <item h="1" x="4"/>
        <item t="default"/>
      </items>
    </pivotField>
    <pivotField compact="0" outline="0" showAll="0">
      <items count="5">
        <item x="2"/>
        <item x="0"/>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5"/>
  </rowFields>
  <rowItems count="10">
    <i>
      <x/>
    </i>
    <i>
      <x v="1"/>
    </i>
    <i>
      <x v="2"/>
    </i>
    <i>
      <x v="3"/>
    </i>
    <i>
      <x v="4"/>
    </i>
    <i>
      <x v="5"/>
    </i>
    <i>
      <x v="6"/>
    </i>
    <i>
      <x v="8"/>
    </i>
    <i>
      <x v="9"/>
    </i>
    <i t="grand">
      <x/>
    </i>
  </rowItems>
  <colFields count="2">
    <field x="23"/>
    <field x="-2"/>
  </colFields>
  <colItems count="6">
    <i>
      <x/>
      <x/>
    </i>
    <i r="1" i="1">
      <x v="1"/>
    </i>
    <i>
      <x v="1"/>
      <x/>
    </i>
    <i r="1" i="1">
      <x v="1"/>
    </i>
    <i t="grand">
      <x/>
    </i>
    <i t="grand" i="1">
      <x/>
    </i>
  </colItems>
  <dataFields count="2">
    <dataField name="Count of HeikeCh2" fld="0" subtotal="count" showDataAs="percentOfRow" baseField="0" baseItem="0" numFmtId="9"/>
    <dataField name="Count of HeikeCh2_2" fld="0" subtotal="count" baseField="0" baseItem="0"/>
  </dataFields>
  <formats count="3">
    <format dxfId="42">
      <pivotArea outline="0" fieldPosition="0">
        <references count="1">
          <reference field="4294967294" count="1">
            <x v="0"/>
          </reference>
        </references>
      </pivotArea>
    </format>
    <format dxfId="43">
      <pivotArea outline="0" collapsedLevelsAreSubtotals="1" fieldPosition="0"/>
    </format>
    <format dxfId="41">
      <pivotArea dataOnly="0"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EE1E30F-F8E3-824E-917F-E296875FE93B}" name="PivotTable100" cacheId="8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96:G102" firstHeaderRow="1" firstDataRow="3" firstDataCol="1"/>
  <pivotFields count="48">
    <pivotField dataField="1" compact="0" outline="0" showAll="0">
      <items count="159">
        <item x="0"/>
        <item x="9"/>
        <item x="100"/>
        <item x="101"/>
        <item x="102"/>
        <item x="103"/>
        <item x="104"/>
        <item x="105"/>
        <item x="106"/>
        <item x="107"/>
        <item x="108"/>
        <item x="109"/>
        <item x="10"/>
        <item x="110"/>
        <item x="111"/>
        <item x="112"/>
        <item x="113"/>
        <item x="114"/>
        <item x="115"/>
        <item x="116"/>
        <item x="117"/>
        <item x="118"/>
        <item x="119"/>
        <item x="11"/>
        <item x="120"/>
        <item x="121"/>
        <item x="122"/>
        <item x="123"/>
        <item x="124"/>
        <item x="125"/>
        <item x="126"/>
        <item x="127"/>
        <item x="128"/>
        <item x="129"/>
        <item x="12"/>
        <item x="130"/>
        <item x="131"/>
        <item x="132"/>
        <item x="133"/>
        <item x="134"/>
        <item x="135"/>
        <item x="136"/>
        <item x="137"/>
        <item x="138"/>
        <item x="139"/>
        <item x="13"/>
        <item x="140"/>
        <item x="141"/>
        <item x="142"/>
        <item x="143"/>
        <item x="144"/>
        <item x="145"/>
        <item x="146"/>
        <item x="147"/>
        <item x="148"/>
        <item x="149"/>
        <item x="14"/>
        <item x="150"/>
        <item x="151"/>
        <item x="152"/>
        <item x="153"/>
        <item x="154"/>
        <item x="155"/>
        <item x="156"/>
        <item x="157"/>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5"/>
        <item x="46"/>
        <item x="47"/>
        <item x="48"/>
        <item x="4"/>
        <item x="49"/>
        <item x="51"/>
        <item x="52"/>
        <item x="53"/>
        <item x="54"/>
        <item x="55"/>
        <item x="56"/>
        <item x="57"/>
        <item x="58"/>
        <item x="59"/>
        <item x="5"/>
        <item x="60"/>
        <item x="61"/>
        <item x="62"/>
        <item x="63"/>
        <item x="64"/>
        <item x="65"/>
        <item x="66"/>
        <item x="67"/>
        <item x="68"/>
        <item x="69"/>
        <item x="6"/>
        <item x="70"/>
        <item x="71"/>
        <item x="72"/>
        <item x="73"/>
        <item x="74"/>
        <item x="75"/>
        <item x="76"/>
        <item x="77"/>
        <item x="78"/>
        <item x="79"/>
        <item x="7"/>
        <item x="80"/>
        <item x="81"/>
        <item x="82"/>
        <item x="83"/>
        <item x="84"/>
        <item x="85"/>
        <item x="86"/>
        <item x="87"/>
        <item x="88"/>
        <item x="89"/>
        <item x="8"/>
        <item x="90"/>
        <item x="91"/>
        <item x="92"/>
        <item x="93"/>
        <item x="94"/>
        <item x="95"/>
        <item x="96"/>
        <item x="97"/>
        <item x="98"/>
        <item x="99"/>
        <item x="5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8">
        <item h="1" x="6"/>
        <item x="0"/>
        <item x="2"/>
        <item x="4"/>
        <item x="1"/>
        <item x="5"/>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0"/>
        <item x="1"/>
        <item h="1" x="2"/>
        <item t="default"/>
      </items>
    </pivotField>
    <pivotField axis="axisRow" compact="0" outline="0" showAll="0">
      <items count="6">
        <item x="3"/>
        <item h="1" x="0"/>
        <item x="1"/>
        <item x="2"/>
        <item h="1" x="4"/>
        <item t="default"/>
      </items>
    </pivotField>
    <pivotField compact="0" outline="0" showAll="0">
      <items count="12">
        <item x="10"/>
        <item x="2"/>
        <item x="8"/>
        <item x="9"/>
        <item x="4"/>
        <item x="3"/>
        <item x="5"/>
        <item x="0"/>
        <item x="1"/>
        <item x="7"/>
        <item x="6"/>
        <item t="default"/>
      </items>
    </pivotField>
    <pivotField compact="0" outline="0" showAll="0"/>
    <pivotField compact="0" outline="0" showAll="0" sortType="ascending">
      <items count="12">
        <item x="3"/>
        <item x="9"/>
        <item x="10"/>
        <item x="6"/>
        <item x="8"/>
        <item x="2"/>
        <item x="7"/>
        <item x="4"/>
        <item x="1"/>
        <item x="0"/>
        <item x="5"/>
        <item t="default"/>
      </items>
      <autoSortScope>
        <pivotArea dataOnly="0" outline="0" fieldPosition="0">
          <references count="2">
            <reference field="4294967294" count="1" selected="0">
              <x v="0"/>
            </reference>
            <reference field="23" count="1" selected="0">
              <x v="1"/>
            </reference>
          </references>
        </pivotArea>
      </autoSortScope>
    </pivotField>
    <pivotField compact="0" outline="0" showAll="0">
      <items count="11">
        <item x="8"/>
        <item x="7"/>
        <item x="6"/>
        <item x="3"/>
        <item x="5"/>
        <item x="9"/>
        <item x="1"/>
        <item x="4"/>
        <item x="2"/>
        <item x="0"/>
        <item t="default"/>
      </items>
    </pivotField>
    <pivotField compact="0" outline="0" showAll="0"/>
    <pivotField compact="0" outline="0" showAll="0"/>
    <pivotField compact="0" outline="0" showAll="0"/>
    <pivotField compact="0" outline="0" showAll="0">
      <items count="6">
        <item x="3"/>
        <item x="1"/>
        <item x="0"/>
        <item x="2"/>
        <item h="1" x="4"/>
        <item t="default"/>
      </items>
    </pivotField>
    <pivotField compact="0" outline="0" showAll="0">
      <items count="5">
        <item x="2"/>
        <item x="0"/>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4"/>
  </rowFields>
  <rowItems count="4">
    <i>
      <x/>
    </i>
    <i>
      <x v="2"/>
    </i>
    <i>
      <x v="3"/>
    </i>
    <i t="grand">
      <x/>
    </i>
  </rowItems>
  <colFields count="2">
    <field x="23"/>
    <field x="-2"/>
  </colFields>
  <colItems count="6">
    <i>
      <x/>
      <x/>
    </i>
    <i r="1" i="1">
      <x v="1"/>
    </i>
    <i>
      <x v="1"/>
      <x/>
    </i>
    <i r="1" i="1">
      <x v="1"/>
    </i>
    <i t="grand">
      <x/>
    </i>
    <i t="grand" i="1">
      <x/>
    </i>
  </colItems>
  <dataFields count="2">
    <dataField name="Count of HeikeCh2" fld="0" subtotal="count" showDataAs="percentOfRow" baseField="0" baseItem="0" numFmtId="9"/>
    <dataField name="Count of HeikeCh2_2" fld="0" subtotal="count" baseField="0" baseItem="0"/>
  </dataFields>
  <formats count="5">
    <format dxfId="39">
      <pivotArea outline="0" fieldPosition="0">
        <references count="1">
          <reference field="4294967294" count="1">
            <x v="0"/>
          </reference>
        </references>
      </pivotArea>
    </format>
    <format dxfId="40">
      <pivotArea outline="0" collapsedLevelsAreSubtotals="1" fieldPosition="0"/>
    </format>
    <format dxfId="38">
      <pivotArea dataOnly="0" outline="0" fieldPosition="0">
        <references count="2">
          <reference field="4294967294" count="1">
            <x v="1"/>
          </reference>
          <reference field="23" count="1" selected="0">
            <x v="0"/>
          </reference>
        </references>
      </pivotArea>
    </format>
    <format dxfId="37">
      <pivotArea outline="0" fieldPosition="0">
        <references count="2">
          <reference field="4294967294" count="1" selected="0">
            <x v="1"/>
          </reference>
          <reference field="23" count="1" selected="0">
            <x v="1"/>
          </reference>
        </references>
      </pivotArea>
    </format>
    <format dxfId="36">
      <pivotArea field="23" grandCol="1" outline="0" axis="axisCol"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59670D-45A5-C445-A5F5-02F1B4835DC5}" name="PivotTable97" cacheId="8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64:G77" firstHeaderRow="1" firstDataRow="3" firstDataCol="1"/>
  <pivotFields count="48">
    <pivotField dataField="1" compact="0" outline="0" showAll="0">
      <items count="159">
        <item x="0"/>
        <item x="9"/>
        <item x="100"/>
        <item x="101"/>
        <item x="102"/>
        <item x="103"/>
        <item x="104"/>
        <item x="105"/>
        <item x="106"/>
        <item x="107"/>
        <item x="108"/>
        <item x="109"/>
        <item x="10"/>
        <item x="110"/>
        <item x="111"/>
        <item x="112"/>
        <item x="113"/>
        <item x="114"/>
        <item x="115"/>
        <item x="116"/>
        <item x="117"/>
        <item x="118"/>
        <item x="119"/>
        <item x="11"/>
        <item x="120"/>
        <item x="121"/>
        <item x="122"/>
        <item x="123"/>
        <item x="124"/>
        <item x="125"/>
        <item x="126"/>
        <item x="127"/>
        <item x="128"/>
        <item x="129"/>
        <item x="12"/>
        <item x="130"/>
        <item x="131"/>
        <item x="132"/>
        <item x="133"/>
        <item x="134"/>
        <item x="135"/>
        <item x="136"/>
        <item x="137"/>
        <item x="138"/>
        <item x="139"/>
        <item x="13"/>
        <item x="140"/>
        <item x="141"/>
        <item x="142"/>
        <item x="143"/>
        <item x="144"/>
        <item x="145"/>
        <item x="146"/>
        <item x="147"/>
        <item x="148"/>
        <item x="149"/>
        <item x="14"/>
        <item x="150"/>
        <item x="151"/>
        <item x="152"/>
        <item x="153"/>
        <item x="154"/>
        <item x="155"/>
        <item x="156"/>
        <item x="157"/>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5"/>
        <item x="46"/>
        <item x="47"/>
        <item x="48"/>
        <item x="4"/>
        <item x="49"/>
        <item x="51"/>
        <item x="52"/>
        <item x="53"/>
        <item x="54"/>
        <item x="55"/>
        <item x="56"/>
        <item x="57"/>
        <item x="58"/>
        <item x="59"/>
        <item x="5"/>
        <item x="60"/>
        <item x="61"/>
        <item x="62"/>
        <item x="63"/>
        <item x="64"/>
        <item x="65"/>
        <item x="66"/>
        <item x="67"/>
        <item x="68"/>
        <item x="69"/>
        <item x="6"/>
        <item x="70"/>
        <item x="71"/>
        <item x="72"/>
        <item x="73"/>
        <item x="74"/>
        <item x="75"/>
        <item x="76"/>
        <item x="77"/>
        <item x="78"/>
        <item x="79"/>
        <item x="7"/>
        <item x="80"/>
        <item x="81"/>
        <item x="82"/>
        <item x="83"/>
        <item x="84"/>
        <item x="85"/>
        <item x="86"/>
        <item x="87"/>
        <item x="88"/>
        <item x="89"/>
        <item x="8"/>
        <item x="90"/>
        <item x="91"/>
        <item x="92"/>
        <item x="93"/>
        <item x="94"/>
        <item x="95"/>
        <item x="96"/>
        <item x="97"/>
        <item x="98"/>
        <item x="99"/>
        <item x="5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8">
        <item h="1" x="6"/>
        <item x="0"/>
        <item x="2"/>
        <item x="4"/>
        <item x="1"/>
        <item x="5"/>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0"/>
        <item x="1"/>
        <item h="1" x="2"/>
        <item t="default"/>
      </items>
    </pivotField>
    <pivotField compact="0" outline="0" showAll="0"/>
    <pivotField compact="0" outline="0" showAll="0"/>
    <pivotField compact="0" outline="0" showAll="0"/>
    <pivotField axis="axisRow" compact="0" outline="0" showAll="0" sortType="ascending">
      <items count="12">
        <item x="3"/>
        <item x="9"/>
        <item x="10"/>
        <item x="6"/>
        <item x="8"/>
        <item x="2"/>
        <item x="7"/>
        <item x="4"/>
        <item x="1"/>
        <item x="0"/>
        <item x="5"/>
        <item t="default"/>
      </items>
      <autoSortScope>
        <pivotArea dataOnly="0" outline="0" fieldPosition="0">
          <references count="2">
            <reference field="4294967294" count="1" selected="0">
              <x v="0"/>
            </reference>
            <reference field="23" count="1" selected="0">
              <x v="1"/>
            </reference>
          </references>
        </pivotArea>
      </autoSortScope>
    </pivotField>
    <pivotField compact="0" outline="0" showAll="0">
      <items count="11">
        <item x="8"/>
        <item x="7"/>
        <item x="6"/>
        <item x="3"/>
        <item x="5"/>
        <item x="9"/>
        <item x="1"/>
        <item x="4"/>
        <item x="2"/>
        <item x="0"/>
        <item t="default"/>
      </items>
    </pivotField>
    <pivotField compact="0" outline="0" showAll="0"/>
    <pivotField compact="0" outline="0" showAll="0"/>
    <pivotField compact="0" outline="0" showAll="0"/>
    <pivotField compact="0" outline="0" showAll="0">
      <items count="6">
        <item x="3"/>
        <item x="1"/>
        <item x="0"/>
        <item x="2"/>
        <item h="1" x="4"/>
        <item t="default"/>
      </items>
    </pivotField>
    <pivotField compact="0" outline="0" showAll="0">
      <items count="5">
        <item x="2"/>
        <item x="0"/>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7"/>
  </rowFields>
  <rowItems count="11">
    <i>
      <x v="6"/>
    </i>
    <i>
      <x v="2"/>
    </i>
    <i>
      <x v="4"/>
    </i>
    <i>
      <x/>
    </i>
    <i>
      <x v="7"/>
    </i>
    <i>
      <x v="3"/>
    </i>
    <i>
      <x v="1"/>
    </i>
    <i>
      <x v="8"/>
    </i>
    <i>
      <x v="9"/>
    </i>
    <i>
      <x v="5"/>
    </i>
    <i t="grand">
      <x/>
    </i>
  </rowItems>
  <colFields count="2">
    <field x="23"/>
    <field x="-2"/>
  </colFields>
  <colItems count="6">
    <i>
      <x/>
      <x/>
    </i>
    <i r="1" i="1">
      <x v="1"/>
    </i>
    <i>
      <x v="1"/>
      <x/>
    </i>
    <i r="1" i="1">
      <x v="1"/>
    </i>
    <i t="grand">
      <x/>
    </i>
    <i t="grand" i="1">
      <x/>
    </i>
  </colItems>
  <dataFields count="2">
    <dataField name="Count of HeikeCh2" fld="0" subtotal="count" showDataAs="percentOfRow" baseField="0" baseItem="0" numFmtId="9"/>
    <dataField name="Count of HeikeCh2_2" fld="0" subtotal="count" baseField="0" baseItem="0"/>
  </dataFields>
  <formats count="3">
    <format dxfId="54">
      <pivotArea outline="0" fieldPosition="0">
        <references count="1">
          <reference field="4294967294" count="1">
            <x v="0"/>
          </reference>
        </references>
      </pivotArea>
    </format>
    <format dxfId="55">
      <pivotArea outline="0" collapsedLevelsAreSubtotals="1" fieldPosition="0"/>
    </format>
    <format dxfId="31">
      <pivotArea dataOnly="0"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5ECC1E4-191F-2D4C-8C42-71F9D35BCD01}" name="PivotTable96" cacheId="8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52:G62" firstHeaderRow="1" firstDataRow="3" firstDataCol="1" rowPageCount="1" colPageCount="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8">
        <item h="1" x="6"/>
        <item x="0"/>
        <item x="2"/>
        <item x="4"/>
        <item x="1"/>
        <item x="5"/>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descending">
      <items count="10">
        <item x="6"/>
        <item x="5"/>
        <item x="2"/>
        <item x="4"/>
        <item h="1" x="8"/>
        <item x="0"/>
        <item x="3"/>
        <item x="1"/>
        <item x="7"/>
        <item t="default"/>
      </items>
      <autoSortScope>
        <pivotArea dataOnly="0" outline="0" fieldPosition="0">
          <references count="2">
            <reference field="4294967294" count="1" selected="0">
              <x v="0"/>
            </reference>
            <reference field="23" count="1" selected="0">
              <x v="1"/>
            </reference>
          </references>
        </pivotArea>
      </autoSortScope>
    </pivotField>
    <pivotField compact="0" outline="0" showAll="0"/>
    <pivotField axis="axisCol" compact="0" outline="0" showAll="0">
      <items count="4">
        <item x="0"/>
        <item x="1"/>
        <item h="1" x="2"/>
        <item t="default"/>
      </items>
    </pivotField>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compact="0" outline="0" showAll="0"/>
    <pivotField axis="axisPage" compact="0" outline="0" showAll="0">
      <items count="6">
        <item x="3"/>
        <item x="1"/>
        <item x="0"/>
        <item x="2"/>
        <item x="4"/>
        <item t="default"/>
      </items>
    </pivotField>
    <pivotField compact="0" outline="0" showAll="0">
      <items count="5">
        <item x="2"/>
        <item x="0"/>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1"/>
  </rowFields>
  <rowItems count="8">
    <i>
      <x v="2"/>
    </i>
    <i>
      <x v="6"/>
    </i>
    <i>
      <x v="7"/>
    </i>
    <i>
      <x v="5"/>
    </i>
    <i>
      <x/>
    </i>
    <i>
      <x v="1"/>
    </i>
    <i>
      <x v="3"/>
    </i>
    <i t="grand">
      <x/>
    </i>
  </rowItems>
  <colFields count="2">
    <field x="23"/>
    <field x="-2"/>
  </colFields>
  <colItems count="6">
    <i>
      <x/>
      <x/>
    </i>
    <i r="1" i="1">
      <x v="1"/>
    </i>
    <i>
      <x v="1"/>
      <x/>
    </i>
    <i r="1" i="1">
      <x v="1"/>
    </i>
    <i t="grand">
      <x/>
    </i>
    <i t="grand" i="1">
      <x/>
    </i>
  </colItems>
  <pageFields count="1">
    <pageField fld="32" hier="-1"/>
  </pageFields>
  <dataFields count="2">
    <dataField name="Count of HeikeCh2" fld="0" subtotal="count" showDataAs="percentOfRow" baseField="0" baseItem="0" numFmtId="9"/>
    <dataField name="Count of HeikeCh2_2" fld="0" subtotal="count" baseField="0" baseItem="0"/>
  </dataFields>
  <formats count="3">
    <format dxfId="52">
      <pivotArea outline="0" fieldPosition="0">
        <references count="1">
          <reference field="4294967294" count="1">
            <x v="0"/>
          </reference>
        </references>
      </pivotArea>
    </format>
    <format dxfId="53">
      <pivotArea outline="0" collapsedLevelsAreSubtotals="1" fieldPosition="0"/>
    </format>
    <format dxfId="32">
      <pivotArea dataOnly="0"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1260655-A7BD-3047-A80A-7AE797BFA64A}" name="PivotTable94" cacheId="8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0:I47" firstHeaderRow="1" firstDataRow="3" firstDataCol="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8">
        <item h="1" x="6"/>
        <item x="0"/>
        <item x="2"/>
        <item x="4"/>
        <item x="1"/>
        <item x="5"/>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items count="4">
        <item x="0"/>
        <item x="1"/>
        <item h="1" x="2"/>
        <item t="default"/>
      </items>
    </pivotField>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compact="0" outline="0" showAll="0"/>
    <pivotField axis="axisRow" compact="0" outline="0" showAll="0">
      <items count="6">
        <item x="3"/>
        <item x="1"/>
        <item x="0"/>
        <item x="2"/>
        <item h="1" x="4"/>
        <item t="default"/>
      </items>
    </pivotField>
    <pivotField axis="axisCol" compact="0" outline="0" showAll="0">
      <items count="5">
        <item x="2"/>
        <item x="0"/>
        <item x="1"/>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2"/>
  </rowFields>
  <rowItems count="5">
    <i>
      <x/>
    </i>
    <i>
      <x v="1"/>
    </i>
    <i>
      <x v="2"/>
    </i>
    <i>
      <x v="3"/>
    </i>
    <i t="grand">
      <x/>
    </i>
  </rowItems>
  <colFields count="2">
    <field x="33"/>
    <field x="-2"/>
  </colFields>
  <colItems count="8">
    <i>
      <x/>
      <x/>
    </i>
    <i r="1" i="1">
      <x v="1"/>
    </i>
    <i>
      <x v="1"/>
      <x/>
    </i>
    <i r="1" i="1">
      <x v="1"/>
    </i>
    <i>
      <x v="2"/>
      <x/>
    </i>
    <i r="1" i="1">
      <x v="1"/>
    </i>
    <i t="grand">
      <x/>
    </i>
    <i t="grand" i="1">
      <x/>
    </i>
  </colItems>
  <dataFields count="2">
    <dataField name="Count of HeikeCh2" fld="0" subtotal="count" baseField="0" baseItem="0"/>
    <dataField name="Sum of V-ARG-Ø-ARG" fld="23" baseField="0" baseItem="0"/>
  </dataFields>
  <formats count="3">
    <format dxfId="35">
      <pivotArea outline="0" collapsedLevelsAreSubtotals="1" fieldPosition="0"/>
    </format>
    <format dxfId="34">
      <pivotArea dataOnly="0" outline="0" fieldPosition="0">
        <references count="1">
          <reference field="4294967294" count="1">
            <x v="0"/>
          </reference>
        </references>
      </pivotArea>
    </format>
    <format dxfId="33">
      <pivotArea dataOnly="0"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72E5E05-71F1-8744-9778-BD4F414C4D35}" name="PivotTable93" cacheId="8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2:I37" firstHeaderRow="1" firstDataRow="3" firstDataCol="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8">
        <item h="1" x="6"/>
        <item x="0"/>
        <item x="2"/>
        <item x="4"/>
        <item x="1"/>
        <item x="5"/>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0"/>
        <item x="1"/>
        <item h="1" x="2"/>
        <item t="default"/>
      </items>
    </pivotField>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compact="0" outline="0" showAll="0"/>
    <pivotField compact="0" outline="0" showAll="0"/>
    <pivotField axis="axisCol" compact="0" outline="0" showAll="0">
      <items count="5">
        <item x="2"/>
        <item x="0"/>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3"/>
  </rowFields>
  <rowItems count="3">
    <i>
      <x/>
    </i>
    <i>
      <x v="1"/>
    </i>
    <i t="grand">
      <x/>
    </i>
  </rowItems>
  <colFields count="2">
    <field x="33"/>
    <field x="-2"/>
  </colFields>
  <colItems count="8">
    <i>
      <x/>
      <x/>
    </i>
    <i r="1" i="1">
      <x v="1"/>
    </i>
    <i>
      <x v="1"/>
      <x/>
    </i>
    <i r="1" i="1">
      <x v="1"/>
    </i>
    <i>
      <x v="2"/>
      <x/>
    </i>
    <i r="1" i="1">
      <x v="1"/>
    </i>
    <i t="grand">
      <x/>
    </i>
    <i t="grand" i="1">
      <x/>
    </i>
  </colItems>
  <dataFields count="2">
    <dataField name="Count of HeikeCh2" fld="0" subtotal="count" showDataAs="percentOfRow" baseField="0" baseItem="0" numFmtId="10"/>
    <dataField name="Count of HeikeCh2_2" fld="0" subtotal="count" baseField="0" baseItem="0"/>
  </dataFields>
  <formats count="4">
    <format dxfId="48">
      <pivotArea outline="0" fieldPosition="0">
        <references count="2">
          <reference field="4294967294" count="1" selected="0">
            <x v="0"/>
          </reference>
          <reference field="33" count="1" selected="0">
            <x v="0"/>
          </reference>
        </references>
      </pivotArea>
    </format>
    <format dxfId="49">
      <pivotArea outline="0" fieldPosition="0">
        <references count="2">
          <reference field="4294967294" count="1" selected="0">
            <x v="0"/>
          </reference>
          <reference field="33" count="1" selected="0">
            <x v="1"/>
          </reference>
        </references>
      </pivotArea>
    </format>
    <format dxfId="50">
      <pivotArea outline="0" fieldPosition="0">
        <references count="2">
          <reference field="4294967294" count="1" selected="0">
            <x v="0"/>
          </reference>
          <reference field="33" count="1" selected="0">
            <x v="2"/>
          </reference>
        </references>
      </pivotArea>
    </format>
    <format dxfId="51">
      <pivotArea field="33" grandCol="1" outline="0" axis="axisCol"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3788D89-A5C8-1545-A065-2E8490199697}" name="PivotTable92" cacheId="8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2:K27" firstHeaderRow="1" firstDataRow="3" firstDataCol="1" rowPageCount="1" colPageCount="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8">
        <item h="1" x="6"/>
        <item x="0"/>
        <item x="2"/>
        <item x="4"/>
        <item x="1"/>
        <item x="5"/>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0"/>
        <item x="1"/>
        <item h="1" x="2"/>
        <item t="default"/>
      </items>
    </pivotField>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axis="axisPage" compact="0" outline="0" multipleItemSelectionAllowed="1" showAll="0">
      <items count="6">
        <item h="1" x="2"/>
        <item h="1" x="1"/>
        <item h="1" x="4"/>
        <item x="0"/>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9">
        <item x="6"/>
        <item x="5"/>
        <item x="2"/>
        <item x="7"/>
        <item x="1"/>
        <item x="3"/>
        <item x="0"/>
        <item x="4"/>
        <item t="default"/>
      </items>
    </pivotField>
    <pivotField compact="0" outline="0" showAll="0"/>
    <pivotField compact="0" outline="0" showAll="0"/>
    <pivotField compact="0" outline="0" showAll="0"/>
    <pivotField axis="axisCol" compact="0" outline="0" showAll="0">
      <items count="8">
        <item x="6"/>
        <item x="2"/>
        <item x="1"/>
        <item x="4"/>
        <item x="0"/>
        <item x="5"/>
        <item x="3"/>
        <item t="default"/>
      </items>
    </pivotField>
    <pivotField compact="0" outline="0" showAll="0"/>
    <pivotField compact="0" outline="0" showAll="0">
      <items count="3">
        <item x="1"/>
        <item x="0"/>
        <item t="default"/>
      </items>
    </pivotField>
    <pivotField compact="0" outline="0" showAll="0"/>
  </pivotFields>
  <rowFields count="1">
    <field x="23"/>
  </rowFields>
  <rowItems count="3">
    <i>
      <x/>
    </i>
    <i>
      <x v="1"/>
    </i>
    <i t="grand">
      <x/>
    </i>
  </rowItems>
  <colFields count="2">
    <field x="-2"/>
    <field x="44"/>
  </colFields>
  <colItems count="10">
    <i>
      <x/>
      <x v="1"/>
    </i>
    <i r="1">
      <x v="2"/>
    </i>
    <i r="1">
      <x v="3"/>
    </i>
    <i r="1">
      <x v="4"/>
    </i>
    <i i="1">
      <x v="1"/>
      <x v="1"/>
    </i>
    <i r="1" i="1">
      <x v="2"/>
    </i>
    <i r="1" i="1">
      <x v="3"/>
    </i>
    <i r="1" i="1">
      <x v="4"/>
    </i>
    <i t="grand">
      <x/>
    </i>
    <i t="grand" i="1">
      <x/>
    </i>
  </colItems>
  <pageFields count="1">
    <pageField fld="31" hier="-1"/>
  </pageFields>
  <dataFields count="2">
    <dataField name="Count of HeikeCh2" fld="0" subtotal="count" showDataAs="percentOfRow" baseField="0" baseItem="0" numFmtId="10"/>
    <dataField name="Count of HeikeCh2_2" fld="0" subtotal="count" baseField="0" baseItem="0"/>
  </dataFields>
  <formats count="1">
    <format dxfId="47">
      <pivotArea field="46" outline="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9E79883-8A69-F041-B327-C99E27F11E0D}" name="PivotTable90" cacheId="8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2:G17" firstHeaderRow="1" firstDataRow="3" firstDataCol="1" rowPageCount="1" colPageCount="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8">
        <item h="1" x="6"/>
        <item x="0"/>
        <item x="2"/>
        <item x="4"/>
        <item x="1"/>
        <item x="5"/>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0"/>
        <item x="1"/>
        <item h="1" x="2"/>
        <item t="default"/>
      </items>
    </pivotField>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axis="axisPage" compact="0" outline="0" multipleItemSelectionAllowed="1" showAll="0">
      <items count="6">
        <item h="1" x="2"/>
        <item h="1" x="1"/>
        <item h="1" x="4"/>
        <item x="0"/>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9">
        <item x="6"/>
        <item x="5"/>
        <item x="2"/>
        <item x="7"/>
        <item x="1"/>
        <item x="3"/>
        <item x="0"/>
        <item x="4"/>
        <item t="default"/>
      </items>
    </pivotField>
    <pivotField compact="0" outline="0" showAll="0"/>
    <pivotField compact="0" outline="0" showAll="0"/>
    <pivotField compact="0" outline="0" showAll="0"/>
    <pivotField compact="0" outline="0" showAll="0">
      <items count="8">
        <item x="6"/>
        <item x="2"/>
        <item x="1"/>
        <item x="4"/>
        <item x="0"/>
        <item x="5"/>
        <item x="3"/>
        <item t="default"/>
      </items>
    </pivotField>
    <pivotField compact="0" outline="0" showAll="0"/>
    <pivotField axis="axisCol" compact="0" outline="0" showAll="0">
      <items count="3">
        <item x="1"/>
        <item x="0"/>
        <item t="default"/>
      </items>
    </pivotField>
    <pivotField compact="0" outline="0" showAll="0"/>
  </pivotFields>
  <rowFields count="1">
    <field x="23"/>
  </rowFields>
  <rowItems count="3">
    <i>
      <x/>
    </i>
    <i>
      <x v="1"/>
    </i>
    <i t="grand">
      <x/>
    </i>
  </rowItems>
  <colFields count="2">
    <field x="46"/>
    <field x="-2"/>
  </colFields>
  <colItems count="6">
    <i>
      <x/>
      <x/>
    </i>
    <i r="1" i="1">
      <x v="1"/>
    </i>
    <i>
      <x v="1"/>
      <x/>
    </i>
    <i r="1" i="1">
      <x v="1"/>
    </i>
    <i t="grand">
      <x/>
    </i>
    <i t="grand" i="1">
      <x/>
    </i>
  </colItems>
  <pageFields count="1">
    <pageField fld="31" hier="-1"/>
  </pageFields>
  <dataFields count="2">
    <dataField name="Count of HeikeCh2" fld="0" subtotal="count" showDataAs="percentOfRow" baseField="0" baseItem="0" numFmtId="10"/>
    <dataField name="Count of HeikeCh2_2" fld="0" subtotal="count" baseField="0" baseItem="0"/>
  </dataFields>
  <formats count="3">
    <format dxfId="44">
      <pivotArea outline="0" fieldPosition="0">
        <references count="2">
          <reference field="4294967294" count="1" selected="0">
            <x v="0"/>
          </reference>
          <reference field="46" count="1" selected="0">
            <x v="0"/>
          </reference>
        </references>
      </pivotArea>
    </format>
    <format dxfId="45">
      <pivotArea outline="0" fieldPosition="0">
        <references count="2">
          <reference field="4294967294" count="1" selected="0">
            <x v="0"/>
          </reference>
          <reference field="46" count="1" selected="0">
            <x v="1"/>
          </reference>
        </references>
      </pivotArea>
    </format>
    <format dxfId="46">
      <pivotArea field="46" grandCol="1" outline="0" axis="axisCol"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F8CBDC3-AEBB-C24F-B069-22F366A1D53F}" name="PivotTable88" cacheId="8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G8" firstHeaderRow="1" firstDataRow="3" firstDataCol="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items count="8">
        <item h="1" x="6"/>
        <item h="1" x="0"/>
        <item x="2"/>
        <item x="4"/>
        <item x="1"/>
        <item x="5"/>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0"/>
        <item x="1"/>
        <item h="1" x="2"/>
        <item t="default"/>
      </items>
    </pivotField>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axis="axisCol" compact="0" outline="0" multipleItemSelectionAllowed="1" showAll="0">
      <items count="6">
        <item h="1" x="2"/>
        <item x="1"/>
        <item h="1" x="4"/>
        <item x="0"/>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8">
        <item h="1" x="6"/>
        <item x="2"/>
        <item x="1"/>
        <item x="4"/>
        <item x="0"/>
        <item x="5"/>
        <item h="1" x="3"/>
        <item t="default"/>
      </items>
    </pivotField>
    <pivotField compact="0" outline="0" showAll="0"/>
    <pivotField compact="0" outline="0" showAll="0"/>
    <pivotField compact="0" outline="0" showAll="0"/>
  </pivotFields>
  <rowFields count="1">
    <field x="23"/>
  </rowFields>
  <rowItems count="3">
    <i>
      <x/>
    </i>
    <i>
      <x v="1"/>
    </i>
    <i t="grand">
      <x/>
    </i>
  </rowItems>
  <colFields count="2">
    <field x="31"/>
    <field x="-2"/>
  </colFields>
  <colItems count="6">
    <i>
      <x v="1"/>
      <x/>
    </i>
    <i r="1" i="1">
      <x v="1"/>
    </i>
    <i>
      <x v="3"/>
      <x/>
    </i>
    <i r="1" i="1">
      <x v="1"/>
    </i>
    <i t="grand">
      <x/>
    </i>
    <i t="grand" i="1">
      <x/>
    </i>
  </colItems>
  <dataFields count="2">
    <dataField name="Count of HeikeCh2" fld="0" subtotal="count" showDataAs="percentOfRow" baseField="0" baseItem="0" numFmtId="10"/>
    <dataField name="Count of HeikeCh2_2"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4766EF-761E-DB48-A8E2-9F7E35C26F38}" name="PivotTable120" cacheId="9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J25:T30" firstHeaderRow="1" firstDataRow="3" firstDataCol="1" rowPageCount="1" colPageCount="1"/>
  <pivotFields count="3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6">
        <item h="1" x="3"/>
        <item h="1" x="0"/>
        <item h="1" x="4"/>
        <item x="1"/>
        <item h="1" x="2"/>
        <item t="default"/>
      </items>
    </pivotField>
    <pivotField compact="0" outline="0" showAll="0"/>
    <pivotField compact="0" outline="0" showAll="0"/>
    <pivotField compact="0" outline="0" showAll="0"/>
    <pivotField compact="0" outline="0" showAll="0"/>
    <pivotField compact="0" outline="0" showAll="0">
      <items count="14">
        <item x="5"/>
        <item x="2"/>
        <item x="9"/>
        <item x="8"/>
        <item x="7"/>
        <item x="1"/>
        <item x="4"/>
        <item x="12"/>
        <item x="3"/>
        <item x="10"/>
        <item x="11"/>
        <item x="0"/>
        <item x="6"/>
        <item t="default"/>
      </items>
    </pivotField>
    <pivotField compact="0" outline="0" showAll="0"/>
    <pivotField compact="0" outline="0" showAll="0">
      <items count="10">
        <item x="7"/>
        <item x="6"/>
        <item x="0"/>
        <item x="8"/>
        <item x="2"/>
        <item x="4"/>
        <item x="1"/>
        <item x="5"/>
        <item x="3"/>
        <item t="default"/>
      </items>
    </pivotField>
    <pivotField compact="0" outline="0" showAll="0"/>
    <pivotField axis="axisCol" compact="0" outline="0" showAll="0">
      <items count="11">
        <item x="8"/>
        <item x="0"/>
        <item x="7"/>
        <item x="2"/>
        <item x="1"/>
        <item x="9"/>
        <item x="5"/>
        <item x="3"/>
        <item x="6"/>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x="3"/>
        <item x="9"/>
        <item x="10"/>
        <item x="6"/>
        <item x="8"/>
        <item x="2"/>
        <item x="11"/>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1"/>
        <item x="0"/>
        <item x="2"/>
        <item t="default"/>
      </items>
    </pivotField>
    <pivotField compact="0" outline="0" showAll="0"/>
  </pivotFields>
  <rowFields count="1">
    <field x="36"/>
  </rowFields>
  <rowItems count="3">
    <i>
      <x/>
    </i>
    <i>
      <x v="1"/>
    </i>
    <i t="grand">
      <x/>
    </i>
  </rowItems>
  <colFields count="2">
    <field x="-2"/>
    <field x="16"/>
  </colFields>
  <colItems count="10">
    <i>
      <x/>
      <x v="1"/>
    </i>
    <i r="1">
      <x v="4"/>
    </i>
    <i r="1">
      <x v="6"/>
    </i>
    <i r="1">
      <x v="7"/>
    </i>
    <i i="1">
      <x v="1"/>
      <x v="1"/>
    </i>
    <i r="1" i="1">
      <x v="4"/>
    </i>
    <i r="1" i="1">
      <x v="6"/>
    </i>
    <i r="1" i="1">
      <x v="7"/>
    </i>
    <i t="grand">
      <x/>
    </i>
    <i t="grand" i="1">
      <x/>
    </i>
  </colItems>
  <pageFields count="1">
    <pageField fld="7" hier="-1"/>
  </pageFields>
  <dataFields count="2">
    <dataField name="Count of Clause_ID" fld="0" subtotal="count" showDataAs="percentOfRow" baseField="0" baseItem="0" numFmtId="10"/>
    <dataField name="Count of Clause_ID2" fld="0" subtotal="count" baseField="0" baseItem="0"/>
  </dataFields>
  <formats count="3">
    <format dxfId="0">
      <pivotArea outline="0" collapsedLevelsAreSubtotals="1" fieldPosition="0"/>
    </format>
    <format dxfId="1">
      <pivotArea outline="0" fieldPosition="0">
        <references count="1">
          <reference field="4294967294" count="1">
            <x v="0"/>
          </reference>
        </references>
      </pivotArea>
    </format>
    <format dxfId="2">
      <pivotArea field="14" outline="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C8DB6DE-8D20-1842-8176-9345AC31E6D4}" name="PivotTable119" cacheId="9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J16:T21" firstHeaderRow="1" firstDataRow="3" firstDataCol="1" rowPageCount="1" colPageCount="1"/>
  <pivotFields count="3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6">
        <item h="1" x="3"/>
        <item h="1" x="0"/>
        <item h="1" x="4"/>
        <item x="1"/>
        <item h="1" x="2"/>
        <item t="default"/>
      </items>
    </pivotField>
    <pivotField compact="0" outline="0" showAll="0"/>
    <pivotField compact="0" outline="0" showAll="0"/>
    <pivotField compact="0" outline="0" showAll="0"/>
    <pivotField compact="0" outline="0" showAll="0"/>
    <pivotField compact="0" outline="0" showAll="0">
      <items count="14">
        <item x="5"/>
        <item x="2"/>
        <item x="9"/>
        <item x="8"/>
        <item x="7"/>
        <item x="1"/>
        <item x="4"/>
        <item x="12"/>
        <item x="3"/>
        <item x="10"/>
        <item x="11"/>
        <item x="0"/>
        <item x="6"/>
        <item t="default"/>
      </items>
    </pivotField>
    <pivotField compact="0" outline="0" showAll="0"/>
    <pivotField axis="axisCol" compact="0" outline="0" showAll="0">
      <items count="10">
        <item x="7"/>
        <item x="6"/>
        <item x="0"/>
        <item x="8"/>
        <item x="2"/>
        <item x="4"/>
        <item x="1"/>
        <item x="5"/>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x="3"/>
        <item x="9"/>
        <item x="10"/>
        <item x="6"/>
        <item x="8"/>
        <item x="2"/>
        <item x="11"/>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4">
        <item x="1"/>
        <item x="0"/>
        <item x="2"/>
        <item t="default"/>
      </items>
    </pivotField>
    <pivotField compact="0" outline="0" showAll="0"/>
  </pivotFields>
  <rowFields count="1">
    <field x="36"/>
  </rowFields>
  <rowItems count="3">
    <i>
      <x/>
    </i>
    <i>
      <x v="1"/>
    </i>
    <i t="grand">
      <x/>
    </i>
  </rowItems>
  <colFields count="2">
    <field x="14"/>
    <field x="-2"/>
  </colFields>
  <colItems count="10">
    <i>
      <x v="2"/>
      <x/>
    </i>
    <i r="1" i="1">
      <x v="1"/>
    </i>
    <i>
      <x v="4"/>
      <x/>
    </i>
    <i r="1" i="1">
      <x v="1"/>
    </i>
    <i>
      <x v="5"/>
      <x/>
    </i>
    <i r="1" i="1">
      <x v="1"/>
    </i>
    <i>
      <x v="6"/>
      <x/>
    </i>
    <i r="1" i="1">
      <x v="1"/>
    </i>
    <i t="grand">
      <x/>
    </i>
    <i t="grand" i="1">
      <x/>
    </i>
  </colItems>
  <pageFields count="1">
    <pageField fld="7" hier="-1"/>
  </pageFields>
  <dataFields count="2">
    <dataField name="Count of Clause_ID" fld="0" subtotal="count" showDataAs="percentOfRow" baseField="0" baseItem="0" numFmtId="10"/>
    <dataField name="Count of Clause_ID2" fld="0" subtotal="count" baseField="0" baseItem="0"/>
  </dataFields>
  <formats count="9">
    <format dxfId="11">
      <pivotArea outline="0" collapsedLevelsAreSubtotals="1" fieldPosition="0"/>
    </format>
    <format dxfId="10">
      <pivotArea outline="0" fieldPosition="0">
        <references count="1">
          <reference field="4294967294" count="1">
            <x v="0"/>
          </reference>
        </references>
      </pivotArea>
    </format>
    <format dxfId="9">
      <pivotArea outline="0" fieldPosition="0">
        <references count="3">
          <reference field="4294967294" count="1" selected="0">
            <x v="0"/>
          </reference>
          <reference field="14" count="1" selected="0">
            <x v="2"/>
          </reference>
          <reference field="36" count="1" selected="0">
            <x v="0"/>
          </reference>
        </references>
      </pivotArea>
    </format>
    <format dxfId="8">
      <pivotArea outline="0" fieldPosition="0">
        <references count="3">
          <reference field="4294967294" count="1" selected="0">
            <x v="0"/>
          </reference>
          <reference field="14" count="1" selected="0">
            <x v="2"/>
          </reference>
          <reference field="36" count="1" selected="0">
            <x v="1"/>
          </reference>
        </references>
      </pivotArea>
    </format>
    <format dxfId="7">
      <pivotArea field="14" grandRow="1" outline="0" axis="axisCol" fieldPosition="0">
        <references count="2">
          <reference field="4294967294" count="1" selected="0">
            <x v="0"/>
          </reference>
          <reference field="14" count="1" selected="0">
            <x v="2"/>
          </reference>
        </references>
      </pivotArea>
    </format>
    <format dxfId="6">
      <pivotArea outline="0" fieldPosition="0">
        <references count="2">
          <reference field="4294967294" count="1" selected="0">
            <x v="0"/>
          </reference>
          <reference field="14" count="1" selected="0">
            <x v="4"/>
          </reference>
        </references>
      </pivotArea>
    </format>
    <format dxfId="5">
      <pivotArea outline="0" fieldPosition="0">
        <references count="2">
          <reference field="4294967294" count="1" selected="0">
            <x v="0"/>
          </reference>
          <reference field="14" count="1" selected="0">
            <x v="5"/>
          </reference>
        </references>
      </pivotArea>
    </format>
    <format dxfId="4">
      <pivotArea outline="0" fieldPosition="0">
        <references count="2">
          <reference field="4294967294" count="1" selected="0">
            <x v="0"/>
          </reference>
          <reference field="14" count="1" selected="0">
            <x v="6"/>
          </reference>
        </references>
      </pivotArea>
    </format>
    <format dxfId="3">
      <pivotArea field="14" grandCol="1" outline="0" axis="axisCol"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B33A3DE-E725-5641-AF35-BC5C4D8540EF}" name="PivotTable108" cacheId="9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5:M10" firstHeaderRow="1" firstDataRow="3" firstDataCol="1" rowPageCount="1" colPageCount="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axis="axisPage" compact="0" outline="0" multipleItemSelectionAllowed="1" showAll="0">
      <items count="6">
        <item h="1" x="2"/>
        <item x="1"/>
        <item h="1" x="4"/>
        <item h="1" x="0"/>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axis="axisCol" compact="0" outline="0" showAll="0">
      <items count="8">
        <item x="6"/>
        <item x="2"/>
        <item x="1"/>
        <item x="4"/>
        <item x="0"/>
        <item x="5"/>
        <item x="3"/>
        <item t="default"/>
      </items>
    </pivotField>
    <pivotField compact="0" outline="0" showAll="0"/>
    <pivotField compact="0" outline="0" showAll="0">
      <items count="3">
        <item x="1"/>
        <item x="0"/>
        <item t="default"/>
      </items>
    </pivotField>
    <pivotField compact="0" outline="0" showAll="0"/>
  </pivotFields>
  <rowFields count="1">
    <field x="43"/>
  </rowFields>
  <rowItems count="3">
    <i>
      <x/>
    </i>
    <i>
      <x v="1"/>
    </i>
    <i t="grand">
      <x/>
    </i>
  </rowItems>
  <colFields count="2">
    <field x="44"/>
    <field x="-2"/>
  </colFields>
  <colItems count="12">
    <i>
      <x v="1"/>
      <x/>
    </i>
    <i r="1" i="1">
      <x v="1"/>
    </i>
    <i>
      <x v="2"/>
      <x/>
    </i>
    <i r="1" i="1">
      <x v="1"/>
    </i>
    <i>
      <x v="3"/>
      <x/>
    </i>
    <i r="1" i="1">
      <x v="1"/>
    </i>
    <i>
      <x v="4"/>
      <x/>
    </i>
    <i r="1" i="1">
      <x v="1"/>
    </i>
    <i>
      <x v="5"/>
      <x/>
    </i>
    <i r="1" i="1">
      <x v="1"/>
    </i>
    <i t="grand">
      <x/>
    </i>
    <i t="grand" i="1">
      <x/>
    </i>
  </colItems>
  <pageFields count="1">
    <pageField fld="31" hier="-1"/>
  </pageFields>
  <dataFields count="2">
    <dataField name="Count of HeikeCh2" fld="0" subtotal="count" showDataAs="percentOfRow" baseField="0" baseItem="0" numFmtId="10"/>
    <dataField name="Count of HeikeCh2_2"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6B563E0-B792-FB43-BD01-1639F8000986}" name="PivotTable118" cacheId="1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0:G45" firstHeaderRow="1" firstDataRow="3" firstDataCol="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3">
        <item x="1"/>
        <item x="0"/>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pivotField compact="0" outline="0" showAll="0"/>
    <pivotField compact="0" outline="0" showAll="0"/>
    <pivotField compact="0" outline="0" showAll="0"/>
  </pivotFields>
  <rowFields count="1">
    <field x="43"/>
  </rowFields>
  <rowItems count="3">
    <i>
      <x/>
    </i>
    <i>
      <x v="1"/>
    </i>
    <i t="grand">
      <x/>
    </i>
  </rowItems>
  <colFields count="2">
    <field x="37"/>
    <field x="-2"/>
  </colFields>
  <colItems count="6">
    <i>
      <x/>
      <x/>
    </i>
    <i r="1" i="1">
      <x v="1"/>
    </i>
    <i>
      <x v="1"/>
      <x/>
    </i>
    <i r="1" i="1">
      <x v="1"/>
    </i>
    <i t="grand">
      <x/>
    </i>
    <i t="grand" i="1">
      <x/>
    </i>
  </colItems>
  <dataFields count="2">
    <dataField name="Count of HeikeCh2" fld="0" subtotal="count" showDataAs="percentOfCol" baseField="0" baseItem="0" numFmtId="10"/>
    <dataField name="Count of HeikeCh2_2"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BAEA0C6-79F6-BC4C-90BA-7BA3C40BC86D}" name="PivotTable116" cacheId="9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5:G35" firstHeaderRow="1" firstDataRow="3" firstDataCol="1"/>
  <pivotFields count="38">
    <pivotField dataField="1" compact="0" outline="0" showAll="0"/>
    <pivotField compact="0" outline="0" showAll="0"/>
    <pivotField compact="0" outline="0" showAll="0"/>
    <pivotField compact="0" outline="0" showAll="0"/>
    <pivotField compact="0" outline="0" showAll="0"/>
    <pivotField compact="0" outline="0" showAll="0"/>
    <pivotField compact="0" outline="0" showAll="0">
      <items count="15">
        <item x="5"/>
        <item x="12"/>
        <item x="0"/>
        <item x="7"/>
        <item x="11"/>
        <item x="3"/>
        <item x="8"/>
        <item x="9"/>
        <item x="10"/>
        <item x="1"/>
        <item x="13"/>
        <item x="2"/>
        <item x="4"/>
        <item x="6"/>
        <item t="default"/>
      </items>
    </pivotField>
    <pivotField compact="0" outline="0" showAll="0">
      <items count="6">
        <item h="1" x="3"/>
        <item x="0"/>
        <item h="1" x="4"/>
        <item x="1"/>
        <item h="1" x="2"/>
        <item t="default"/>
      </items>
    </pivotField>
    <pivotField compact="0" outline="0" showAll="0"/>
    <pivotField compact="0" outline="0" showAll="0"/>
    <pivotField compact="0" outline="0" showAll="0"/>
    <pivotField compact="0" outline="0" showAll="0"/>
    <pivotField compact="0" outline="0" showAll="0">
      <items count="14">
        <item x="5"/>
        <item x="2"/>
        <item x="9"/>
        <item x="8"/>
        <item x="7"/>
        <item x="1"/>
        <item x="4"/>
        <item x="12"/>
        <item x="3"/>
        <item x="10"/>
        <item x="11"/>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h="1" x="9"/>
        <item x="6"/>
        <item x="5"/>
        <item x="2"/>
        <item x="4"/>
        <item h="1" x="8"/>
        <item x="0"/>
        <item x="3"/>
        <item x="1"/>
        <item h="1" x="7"/>
        <item t="default"/>
      </items>
    </pivotField>
    <pivotField compact="0" outline="0" showAll="0"/>
    <pivotField compact="0" outline="0" showAll="0"/>
    <pivotField compact="0" outline="0" showAll="0"/>
    <pivotField compact="0" outline="0" showAll="0"/>
    <pivotField compact="0" outline="0" showAll="0"/>
    <pivotField compact="0" outline="0" showAll="0">
      <items count="13">
        <item x="3"/>
        <item x="9"/>
        <item x="10"/>
        <item x="6"/>
        <item x="8"/>
        <item x="2"/>
        <item x="11"/>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1"/>
        <item x="0"/>
        <item h="1" x="2"/>
        <item t="default"/>
      </items>
    </pivotField>
    <pivotField compact="0" outline="0" showAll="0"/>
  </pivotFields>
  <rowFields count="1">
    <field x="21"/>
  </rowFields>
  <rowItems count="8">
    <i>
      <x v="1"/>
    </i>
    <i>
      <x v="2"/>
    </i>
    <i>
      <x v="3"/>
    </i>
    <i>
      <x v="4"/>
    </i>
    <i>
      <x v="6"/>
    </i>
    <i>
      <x v="7"/>
    </i>
    <i>
      <x v="8"/>
    </i>
    <i t="grand">
      <x/>
    </i>
  </rowItems>
  <colFields count="2">
    <field x="36"/>
    <field x="-2"/>
  </colFields>
  <colItems count="6">
    <i>
      <x/>
      <x/>
    </i>
    <i r="1" i="1">
      <x v="1"/>
    </i>
    <i>
      <x v="1"/>
      <x/>
    </i>
    <i r="1" i="1">
      <x v="1"/>
    </i>
    <i t="grand">
      <x/>
    </i>
    <i t="grand" i="1">
      <x/>
    </i>
  </colItems>
  <dataFields count="2">
    <dataField name="Count of Clause_ID" fld="0" subtotal="count" showDataAs="percentOfCol" baseField="0" baseItem="0" numFmtId="10"/>
    <dataField name="Count of Clause_ID2" fld="0" subtotal="count" baseField="0" baseItem="0"/>
  </dataFields>
  <formats count="6">
    <format dxfId="17">
      <pivotArea outline="0" collapsedLevelsAreSubtotals="1" fieldPosition="0"/>
    </format>
    <format dxfId="16">
      <pivotArea outline="0" fieldPosition="0">
        <references count="1">
          <reference field="4294967294" count="1">
            <x v="0"/>
          </reference>
        </references>
      </pivotArea>
    </format>
    <format dxfId="15">
      <pivotArea outline="0" fieldPosition="0">
        <references count="3">
          <reference field="4294967294" count="1" selected="0">
            <x v="0"/>
          </reference>
          <reference field="21" count="1" selected="0">
            <x v="8"/>
          </reference>
          <reference field="36" count="1" selected="0">
            <x v="0"/>
          </reference>
        </references>
      </pivotArea>
    </format>
    <format dxfId="14">
      <pivotArea outline="0" fieldPosition="0">
        <references count="3">
          <reference field="4294967294" count="1" selected="0">
            <x v="0"/>
          </reference>
          <reference field="21" count="1" selected="0">
            <x v="8"/>
          </reference>
          <reference field="36" count="1" selected="0">
            <x v="0"/>
          </reference>
        </references>
      </pivotArea>
    </format>
    <format dxfId="13">
      <pivotArea outline="0" fieldPosition="0">
        <references count="3">
          <reference field="4294967294" count="1" selected="0">
            <x v="0"/>
          </reference>
          <reference field="21" count="1" selected="0">
            <x v="3"/>
          </reference>
          <reference field="36" count="1" selected="0">
            <x v="1"/>
          </reference>
        </references>
      </pivotArea>
    </format>
    <format dxfId="12">
      <pivotArea outline="0" fieldPosition="0">
        <references count="3">
          <reference field="4294967294" count="1" selected="0">
            <x v="0"/>
          </reference>
          <reference field="21" count="1" selected="0">
            <x v="7"/>
          </reference>
          <reference field="36"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6608680-C127-BC4A-A0B6-BD1863D2C50B}" name="PivotTable112" cacheId="9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Q2:R5" firstHeaderRow="1" firstDataRow="1" firstDataCol="1"/>
  <pivotFields count="3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4">
        <item x="5"/>
        <item x="2"/>
        <item x="9"/>
        <item x="8"/>
        <item x="7"/>
        <item x="1"/>
        <item x="4"/>
        <item x="12"/>
        <item x="3"/>
        <item x="10"/>
        <item x="11"/>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x="3"/>
        <item x="9"/>
        <item x="10"/>
        <item x="6"/>
        <item x="8"/>
        <item x="2"/>
        <item x="11"/>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axis="axisRow" compact="0" outline="0" showAll="0">
      <items count="4">
        <item x="1"/>
        <item x="0"/>
        <item h="1" x="2"/>
        <item t="default"/>
      </items>
    </pivotField>
    <pivotField compact="0" outline="0" showAll="0"/>
  </pivotFields>
  <rowFields count="1">
    <field x="36"/>
  </rowFields>
  <rowItems count="3">
    <i>
      <x/>
    </i>
    <i>
      <x v="1"/>
    </i>
    <i t="grand">
      <x/>
    </i>
  </rowItems>
  <colItems count="1">
    <i/>
  </colItems>
  <dataFields count="1">
    <dataField name="Average of RD2" fld="35" subtotal="average" baseField="0" baseItem="0" numFmtId="2"/>
  </dataFields>
  <formats count="1">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14829C-FA51-CC40-8CD1-2736BE18D449}" name="PivotTable110" cacheId="9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Y3:AB7" firstHeaderRow="1" firstDataRow="2" firstDataCol="1"/>
  <pivotFields count="3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6">
        <item h="1" x="3"/>
        <item x="0"/>
        <item h="1" x="4"/>
        <item x="1"/>
        <item h="1" x="2"/>
        <item t="default"/>
      </items>
    </pivotField>
    <pivotField compact="0" outline="0" showAll="0"/>
    <pivotField compact="0" outline="0" showAll="0"/>
    <pivotField compact="0" outline="0" showAll="0"/>
    <pivotField compact="0" outline="0" showAll="0"/>
    <pivotField compact="0" outline="0" showAll="0">
      <items count="14">
        <item x="5"/>
        <item x="2"/>
        <item x="9"/>
        <item x="8"/>
        <item x="7"/>
        <item x="1"/>
        <item x="4"/>
        <item x="12"/>
        <item x="3"/>
        <item x="10"/>
        <item x="11"/>
        <item x="0"/>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x="3"/>
        <item x="9"/>
        <item x="10"/>
        <item x="6"/>
        <item x="8"/>
        <item x="2"/>
        <item x="11"/>
        <item x="7"/>
        <item x="4"/>
        <item x="1"/>
        <item x="0"/>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1"/>
        <item x="0"/>
        <item x="2"/>
        <item t="default"/>
      </items>
    </pivotField>
    <pivotField compact="0" outline="0" showAll="0"/>
  </pivotFields>
  <rowFields count="1">
    <field x="7"/>
  </rowFields>
  <rowItems count="3">
    <i>
      <x v="1"/>
    </i>
    <i>
      <x v="3"/>
    </i>
    <i t="grand">
      <x/>
    </i>
  </rowItems>
  <colFields count="1">
    <field x="36"/>
  </colFields>
  <colItems count="3">
    <i>
      <x/>
    </i>
    <i>
      <x v="1"/>
    </i>
    <i t="grand">
      <x/>
    </i>
  </colItems>
  <dataFields count="1">
    <dataField name="Count of Clause_ID" fld="0" subtotal="count" baseField="0" baseItem="0" numFmtId="1"/>
  </dataFields>
  <formats count="3">
    <format dxfId="19">
      <pivotArea outline="0" collapsedLevelsAreSubtotals="1" fieldPosition="0"/>
    </format>
    <format dxfId="20">
      <pivotArea outline="0" fieldPosition="0">
        <references count="2">
          <reference field="7" count="1" selected="0">
            <x v="3"/>
          </reference>
          <reference field="36" count="1" selected="0">
            <x v="0"/>
          </reference>
        </references>
      </pivotArea>
    </format>
    <format dxfId="21">
      <pivotArea outline="0" fieldPosition="0">
        <references count="2">
          <reference field="7" count="1" selected="0">
            <x v="1"/>
          </reference>
          <reference field="36"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0F7EDEE-D547-D84B-A057-3523528363E5}" name="PivotTable106" cacheId="9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6:G21" firstHeaderRow="1" firstDataRow="3" firstDataCol="1" rowPageCount="1" colPageCount="1"/>
  <pivotFields count="48">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4">
        <item x="0"/>
        <item x="1"/>
        <item h="1" x="2"/>
        <item t="default"/>
      </items>
    </pivotField>
    <pivotField compact="0" outline="0" showAll="0"/>
    <pivotField compact="0" outline="0" showAll="0"/>
    <pivotField compact="0" outline="0" showAll="0"/>
    <pivotField compact="0" outline="0" showAll="0">
      <items count="12">
        <item x="3"/>
        <item x="9"/>
        <item x="10"/>
        <item x="6"/>
        <item x="8"/>
        <item x="2"/>
        <item x="7"/>
        <item x="4"/>
        <item x="1"/>
        <item x="0"/>
        <item x="5"/>
        <item t="default"/>
      </items>
    </pivotField>
    <pivotField compact="0" outline="0" showAll="0">
      <items count="11">
        <item x="8"/>
        <item x="7"/>
        <item x="6"/>
        <item x="3"/>
        <item x="5"/>
        <item x="9"/>
        <item x="1"/>
        <item x="4"/>
        <item x="2"/>
        <item x="0"/>
        <item t="default"/>
      </items>
    </pivotField>
    <pivotField compact="0" outline="0" showAll="0"/>
    <pivotField compact="0" outline="0" showAll="0"/>
    <pivotField axis="axisPage" compact="0" outline="0" multipleItemSelectionAllowed="1" showAll="0">
      <items count="6">
        <item h="1" x="2"/>
        <item x="1"/>
        <item h="1" x="4"/>
        <item h="1" x="0"/>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8">
        <item x="6"/>
        <item x="2"/>
        <item x="1"/>
        <item x="4"/>
        <item x="0"/>
        <item x="5"/>
        <item x="3"/>
        <item t="default"/>
      </items>
    </pivotField>
    <pivotField compact="0" outline="0" showAll="0"/>
    <pivotField compact="0" outline="0" showAll="0">
      <items count="3">
        <item x="1"/>
        <item x="0"/>
        <item t="default"/>
      </items>
    </pivotField>
    <pivotField compact="0" outline="0" showAll="0"/>
  </pivotFields>
  <rowFields count="1">
    <field x="43"/>
  </rowFields>
  <rowItems count="3">
    <i>
      <x/>
    </i>
    <i>
      <x v="1"/>
    </i>
    <i t="grand">
      <x/>
    </i>
  </rowItems>
  <colFields count="2">
    <field x="-2"/>
    <field x="23"/>
  </colFields>
  <colItems count="6">
    <i>
      <x/>
      <x/>
    </i>
    <i r="1">
      <x v="1"/>
    </i>
    <i i="1">
      <x v="1"/>
      <x/>
    </i>
    <i r="1" i="1">
      <x v="1"/>
    </i>
    <i t="grand">
      <x/>
    </i>
    <i t="grand" i="1">
      <x/>
    </i>
  </colItems>
  <pageFields count="1">
    <pageField fld="31" hier="-1"/>
  </pageFields>
  <dataFields count="2">
    <dataField name="Count of HeikeCh2" fld="0" subtotal="count" showDataAs="percentOfRow" baseField="0" baseItem="0" numFmtId="10"/>
    <dataField name="Count of HeikeCh2_2" fld="0" subtotal="count" baseField="0" baseItem="0"/>
  </dataFields>
  <formats count="2">
    <format dxfId="22">
      <pivotArea outline="0" fieldPosition="0">
        <references count="2">
          <reference field="4294967294" count="1" selected="0">
            <x v="0"/>
          </reference>
          <reference field="23" count="0" selected="0"/>
        </references>
      </pivotArea>
    </format>
    <format dxfId="23">
      <pivotArea field="23" grandCol="1" outline="0" axis="axisCol" fieldPosition="1">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2CDBE3B-FB0C-D74A-BCE7-FCD4450347A8}" name="Table58" displayName="Table58" ref="O99:AZ106" totalsRowShown="0">
  <autoFilter ref="O99:AZ106" xr:uid="{22CDBE3B-FB0C-D74A-BCE7-FCD4450347A8}"/>
  <tableColumns count="38">
    <tableColumn id="1" xr3:uid="{F2A04497-D49C-7843-B9BA-2F6A9E164FBA}" name="Clause_ID"/>
    <tableColumn id="2" xr3:uid="{F6B8135A-251C-CD4C-9090-C7025AFCED62}" name="Clause"/>
    <tableColumn id="3" xr3:uid="{71263199-C35E-F140-8448-16C9FC5E5206}" name="Translation"/>
    <tableColumn id="4" xr3:uid="{40D8B01B-38DB-4A40-9864-DA5797182E7D}" name="Predicate"/>
    <tableColumn id="5" xr3:uid="{F12275CB-84D4-2A4B-A4BE-77A4E49D6366}" name="Modality"/>
    <tableColumn id="6" xr3:uid="{9747745D-ED6B-0F47-A33E-DC2B46EB8995}" name="Verb_Semantic_Class"/>
    <tableColumn id="7" xr3:uid="{CADEE159-E8E9-114D-8C20-73F8E4A0EFA5}" name="Pred_Type"/>
    <tableColumn id="8" xr3:uid="{2FE35614-0D15-9448-9701-0C2BA0E7960E}" name="Predicate_Transitivity"/>
    <tableColumn id="9" xr3:uid="{D1408B16-C177-5E48-B373-E8BCC8FC9651}" name="Voice_Type"/>
    <tableColumn id="10" xr3:uid="{55C2EE0A-E19C-924E-9DDB-A9E11BE15DCA}" name="Clause_Polarity"/>
    <tableColumn id="11" xr3:uid="{ACD3D836-BC0E-B744-87E0-D69672DEA284}" name="~Ø-Verbal"/>
    <tableColumn id="12" xr3:uid="{0D7FEB26-08C2-DE4D-8120-F4E9BAF1B99A}" name="ACT-ARG"/>
    <tableColumn id="13" xr3:uid="{B76C0BF4-40F7-7A48-8086-CFCCDF801790}" name="Arg Type"/>
    <tableColumn id="14" xr3:uid="{B2DEB17D-701A-634B-9096-D419AF0F04B1}" name="NON-ARG"/>
    <tableColumn id="15" xr3:uid="{C1B33245-6906-964D-930D-9C799F25066F}" name="Subject_Class"/>
    <tableColumn id="16" xr3:uid="{3F68F61B-7DD1-1840-9E2F-46CDD51A165C}" name="Subject_Person"/>
    <tableColumn id="17" xr3:uid="{DEE91F44-F6FE-D049-B2CD-293AC1DE4BDD}" name="Object_Class"/>
    <tableColumn id="18" xr3:uid="{E885CFC4-CB27-2548-80F2-6A84FE06DD38}" name="Indirect_Object_Class"/>
    <tableColumn id="19" xr3:uid="{A6478F27-7025-C447-B8C4-3361D6AA5B2A}" name="GAP-ACT-ARG"/>
    <tableColumn id="20" xr3:uid="{D88B7382-AF87-D340-9488-6ACCDA64EB65}" name="GAP-NON-ARG"/>
    <tableColumn id="21" xr3:uid="{FAD85141-4260-5B4B-ACBD-AC17B89ECC22}" name="Adnominal_Function"/>
    <tableColumn id="22" xr3:uid="{E317FBF2-FF42-864C-B21A-032F8F3B7A65}" name="Clause_Type"/>
    <tableColumn id="23" xr3:uid="{B75D01EF-8E88-6243-B379-01B78A195BE4}" name="EXALT INSIG"/>
    <tableColumn id="24" xr3:uid="{ABC09F95-762A-0040-A635-7DA163D753ED}" name="V-ARG-Ø-ARG"/>
    <tableColumn id="25" xr3:uid="{B9E1007B-AD06-4C46-8DCF-AEBDF0A85598}" name="Exaltation_Referential_Target"/>
    <tableColumn id="26" xr3:uid="{9E3070AE-F03F-774E-9175-3550F436BE84}" name="Exaltation_Form_Type"/>
    <tableColumn id="27" xr3:uid="{8152C3A4-52BF-4E4B-A251-188A7B9E252E}" name="NOM EXH MORPH"/>
    <tableColumn id="28" xr3:uid="{8B1D6DDE-E10A-DA44-A3E9-CB51FF5EF909}" name="Connective_Type"/>
    <tableColumn id="29" xr3:uid="{2C406B4B-1FF9-D241-BF4A-123EF51BC0AA}" name="Prev_Clause_Type"/>
    <tableColumn id="30" xr3:uid="{04675C7D-29C6-FE47-8F18-F869AC3F8AE1}" name="Switch_Ref"/>
    <tableColumn id="31" xr3:uid="{099834C5-763B-6E47-878D-0166894487BE}" name="Next_Switch_Ref"/>
    <tableColumn id="32" xr3:uid="{34AE44AA-F2CB-D24A-9CE5-D2D35E40FEF8}" name="Topic_Status"/>
    <tableColumn id="33" xr3:uid="{D66A2600-E310-234D-A9DD-028D3AF30C71}" name="Information_Status"/>
    <tableColumn id="34" xr3:uid="{30126BC6-2F00-714F-BED0-02B03CDC3CA1}" name="Сomment"/>
    <tableColumn id="35" xr3:uid="{0464ED82-E882-0940-9F65-D61ECACF7D18}" name="Field35"/>
    <tableColumn id="36" xr3:uid="{5CE49CEB-749F-9649-A35B-8E18031714E1}" name="RD2"/>
    <tableColumn id="37" xr3:uid="{FEA14BA0-7E82-3246-BE8A-631D610C91E5}" name="LVC"/>
    <tableColumn id="38" xr3:uid="{D1FDF3BB-180D-3943-B9E7-288C0AEBB37A}" name="Subject_Zero"/>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table" Target="../tables/table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21.xml"/><Relationship Id="rId2" Type="http://schemas.openxmlformats.org/officeDocument/2006/relationships/pivotTable" Target="../pivotTables/pivotTable20.xml"/><Relationship Id="rId1" Type="http://schemas.openxmlformats.org/officeDocument/2006/relationships/pivotTable" Target="../pivotTables/pivotTable19.xml"/><Relationship Id="rId5" Type="http://schemas.openxmlformats.org/officeDocument/2006/relationships/pivotTable" Target="../pivotTables/pivotTable23.xml"/><Relationship Id="rId4" Type="http://schemas.openxmlformats.org/officeDocument/2006/relationships/pivotTable" Target="../pivotTables/pivotTable2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31.xml"/><Relationship Id="rId3" Type="http://schemas.openxmlformats.org/officeDocument/2006/relationships/pivotTable" Target="../pivotTables/pivotTable26.xml"/><Relationship Id="rId7" Type="http://schemas.openxmlformats.org/officeDocument/2006/relationships/pivotTable" Target="../pivotTables/pivotTable30.xml"/><Relationship Id="rId2" Type="http://schemas.openxmlformats.org/officeDocument/2006/relationships/pivotTable" Target="../pivotTables/pivotTable25.xml"/><Relationship Id="rId1" Type="http://schemas.openxmlformats.org/officeDocument/2006/relationships/pivotTable" Target="../pivotTables/pivotTable24.xml"/><Relationship Id="rId6" Type="http://schemas.openxmlformats.org/officeDocument/2006/relationships/pivotTable" Target="../pivotTables/pivotTable29.xml"/><Relationship Id="rId5" Type="http://schemas.openxmlformats.org/officeDocument/2006/relationships/pivotTable" Target="../pivotTables/pivotTable28.xml"/><Relationship Id="rId4" Type="http://schemas.openxmlformats.org/officeDocument/2006/relationships/pivotTable" Target="../pivotTables/pivotTable27.xml"/><Relationship Id="rId9" Type="http://schemas.openxmlformats.org/officeDocument/2006/relationships/pivotTable" Target="../pivotTables/pivotTable32.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40.xml"/><Relationship Id="rId3" Type="http://schemas.openxmlformats.org/officeDocument/2006/relationships/pivotTable" Target="../pivotTables/pivotTable35.xml"/><Relationship Id="rId7" Type="http://schemas.openxmlformats.org/officeDocument/2006/relationships/pivotTable" Target="../pivotTables/pivotTable39.xml"/><Relationship Id="rId2" Type="http://schemas.openxmlformats.org/officeDocument/2006/relationships/pivotTable" Target="../pivotTables/pivotTable34.xml"/><Relationship Id="rId1" Type="http://schemas.openxmlformats.org/officeDocument/2006/relationships/pivotTable" Target="../pivotTables/pivotTable33.xml"/><Relationship Id="rId6" Type="http://schemas.openxmlformats.org/officeDocument/2006/relationships/pivotTable" Target="../pivotTables/pivotTable38.xml"/><Relationship Id="rId5" Type="http://schemas.openxmlformats.org/officeDocument/2006/relationships/pivotTable" Target="../pivotTables/pivotTable37.xml"/><Relationship Id="rId4" Type="http://schemas.openxmlformats.org/officeDocument/2006/relationships/pivotTable" Target="../pivotTables/pivot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A9C18-B398-F342-A2A0-6CFE04E8C357}">
  <sheetPr>
    <tabColor theme="5"/>
  </sheetPr>
  <dimension ref="A1:N131"/>
  <sheetViews>
    <sheetView topLeftCell="A78" workbookViewId="0">
      <selection activeCell="C97" sqref="C97"/>
    </sheetView>
  </sheetViews>
  <sheetFormatPr baseColWidth="10" defaultRowHeight="16"/>
  <cols>
    <col min="1" max="1" width="30.33203125" style="79" customWidth="1"/>
    <col min="2" max="2" width="23.83203125" style="79" customWidth="1"/>
    <col min="3" max="16384" width="10.83203125" style="79"/>
  </cols>
  <sheetData>
    <row r="1" spans="1:14">
      <c r="A1" s="79" t="s">
        <v>1</v>
      </c>
      <c r="B1" s="79" t="s">
        <v>2</v>
      </c>
      <c r="C1" s="79" t="s">
        <v>3</v>
      </c>
      <c r="D1" s="79" t="s">
        <v>1025</v>
      </c>
      <c r="E1" s="79" t="s">
        <v>9</v>
      </c>
      <c r="F1" s="79" t="s">
        <v>10</v>
      </c>
      <c r="G1" s="79" t="s">
        <v>12</v>
      </c>
      <c r="H1" s="79" t="s">
        <v>20</v>
      </c>
      <c r="I1" s="79" t="s">
        <v>21</v>
      </c>
      <c r="J1" s="79" t="s">
        <v>17</v>
      </c>
      <c r="K1" s="79" t="s">
        <v>16</v>
      </c>
      <c r="L1" s="79" t="s">
        <v>18</v>
      </c>
      <c r="M1" s="79" t="s">
        <v>22</v>
      </c>
      <c r="N1" s="79" t="s">
        <v>27</v>
      </c>
    </row>
    <row r="2" spans="1:14">
      <c r="A2" s="79" t="s">
        <v>1024</v>
      </c>
      <c r="B2" s="80" t="s">
        <v>1023</v>
      </c>
      <c r="C2" s="79" t="s">
        <v>1022</v>
      </c>
      <c r="D2" s="79" t="s">
        <v>734</v>
      </c>
      <c r="E2" s="79">
        <v>1</v>
      </c>
      <c r="F2" s="79">
        <v>1</v>
      </c>
      <c r="G2" s="79">
        <v>1</v>
      </c>
      <c r="H2" s="79">
        <v>0</v>
      </c>
      <c r="I2" s="79">
        <v>0</v>
      </c>
      <c r="J2" s="79">
        <v>0</v>
      </c>
      <c r="K2" s="79">
        <v>0</v>
      </c>
      <c r="L2" s="79">
        <v>0</v>
      </c>
      <c r="M2" s="79">
        <v>0</v>
      </c>
    </row>
    <row r="3" spans="1:14">
      <c r="A3" s="79" t="s">
        <v>1021</v>
      </c>
      <c r="B3" s="80" t="s">
        <v>1020</v>
      </c>
      <c r="C3" s="79" t="s">
        <v>1019</v>
      </c>
      <c r="D3" s="79" t="s">
        <v>734</v>
      </c>
      <c r="E3" s="79">
        <v>1</v>
      </c>
      <c r="F3" s="79">
        <v>1</v>
      </c>
      <c r="G3" s="79">
        <v>0</v>
      </c>
      <c r="H3" s="79">
        <v>0</v>
      </c>
      <c r="I3" s="79">
        <v>0</v>
      </c>
      <c r="J3" s="79">
        <v>0</v>
      </c>
      <c r="K3" s="79">
        <v>0</v>
      </c>
      <c r="L3" s="79">
        <v>0</v>
      </c>
      <c r="M3" s="79">
        <v>0</v>
      </c>
    </row>
    <row r="4" spans="1:14">
      <c r="A4" s="79" t="s">
        <v>1018</v>
      </c>
      <c r="B4" s="80" t="s">
        <v>1017</v>
      </c>
      <c r="C4" s="79" t="s">
        <v>1016</v>
      </c>
      <c r="D4" s="79" t="s">
        <v>734</v>
      </c>
      <c r="E4" s="79">
        <v>1</v>
      </c>
      <c r="F4" s="79">
        <v>1</v>
      </c>
      <c r="G4" s="79">
        <v>1</v>
      </c>
      <c r="H4" s="79">
        <v>0</v>
      </c>
      <c r="I4" s="79">
        <v>0</v>
      </c>
      <c r="J4" s="79">
        <v>0</v>
      </c>
      <c r="K4" s="79">
        <v>0</v>
      </c>
      <c r="L4" s="79">
        <v>0</v>
      </c>
      <c r="M4" s="79">
        <v>0</v>
      </c>
    </row>
    <row r="5" spans="1:14">
      <c r="A5" s="79" t="s">
        <v>1015</v>
      </c>
      <c r="B5" s="80" t="s">
        <v>1014</v>
      </c>
      <c r="C5" s="79" t="s">
        <v>1013</v>
      </c>
      <c r="D5" s="79" t="s">
        <v>734</v>
      </c>
      <c r="E5" s="79">
        <v>1</v>
      </c>
      <c r="F5" s="79">
        <v>1</v>
      </c>
      <c r="G5" s="79">
        <v>0</v>
      </c>
      <c r="H5" s="79">
        <v>0</v>
      </c>
      <c r="I5" s="79">
        <v>0</v>
      </c>
      <c r="J5" s="79">
        <v>0</v>
      </c>
      <c r="K5" s="79">
        <v>0</v>
      </c>
      <c r="L5" s="79">
        <v>0</v>
      </c>
      <c r="M5" s="79">
        <v>0</v>
      </c>
    </row>
    <row r="6" spans="1:14">
      <c r="A6" s="79" t="s">
        <v>1012</v>
      </c>
      <c r="B6" s="80" t="s">
        <v>1011</v>
      </c>
      <c r="C6" s="79" t="s">
        <v>1010</v>
      </c>
      <c r="D6" s="79" t="s">
        <v>734</v>
      </c>
      <c r="E6" s="79">
        <v>1</v>
      </c>
      <c r="F6" s="79">
        <v>2</v>
      </c>
      <c r="G6" s="79">
        <v>1</v>
      </c>
      <c r="H6" s="79">
        <v>0</v>
      </c>
      <c r="I6" s="79">
        <v>0</v>
      </c>
      <c r="J6" s="79">
        <v>0</v>
      </c>
      <c r="K6" s="79">
        <v>0</v>
      </c>
      <c r="L6" s="79">
        <v>0</v>
      </c>
      <c r="M6" s="79">
        <v>0</v>
      </c>
      <c r="N6" s="79" t="s">
        <v>1009</v>
      </c>
    </row>
    <row r="7" spans="1:14">
      <c r="A7" s="79" t="s">
        <v>1008</v>
      </c>
      <c r="B7" s="80" t="s">
        <v>1007</v>
      </c>
      <c r="C7" s="79" t="s">
        <v>1006</v>
      </c>
      <c r="D7" s="79" t="s">
        <v>734</v>
      </c>
      <c r="E7" s="79">
        <v>1</v>
      </c>
      <c r="F7" s="79">
        <v>1</v>
      </c>
      <c r="G7" s="79">
        <v>0</v>
      </c>
      <c r="H7" s="79">
        <v>0</v>
      </c>
      <c r="I7" s="79">
        <v>0</v>
      </c>
      <c r="J7" s="79">
        <v>0</v>
      </c>
      <c r="K7" s="79">
        <v>0</v>
      </c>
      <c r="L7" s="79">
        <v>0</v>
      </c>
      <c r="M7" s="79">
        <v>0</v>
      </c>
    </row>
    <row r="8" spans="1:14">
      <c r="A8" s="79" t="s">
        <v>1005</v>
      </c>
      <c r="B8" s="79" t="s">
        <v>1004</v>
      </c>
      <c r="C8" s="79" t="s">
        <v>1003</v>
      </c>
      <c r="D8" s="79" t="s">
        <v>734</v>
      </c>
      <c r="E8" s="79">
        <v>1</v>
      </c>
      <c r="F8" s="79">
        <v>1</v>
      </c>
      <c r="G8" s="79">
        <v>0</v>
      </c>
      <c r="H8" s="79">
        <v>0</v>
      </c>
      <c r="I8" s="79">
        <v>0</v>
      </c>
      <c r="J8" s="79">
        <v>0</v>
      </c>
      <c r="K8" s="79">
        <v>0</v>
      </c>
      <c r="L8" s="79">
        <v>0</v>
      </c>
      <c r="M8" s="79">
        <v>0</v>
      </c>
    </row>
    <row r="9" spans="1:14">
      <c r="A9" s="79" t="s">
        <v>1002</v>
      </c>
      <c r="B9" s="80" t="s">
        <v>1001</v>
      </c>
      <c r="C9" s="79" t="s">
        <v>1000</v>
      </c>
      <c r="D9" s="79" t="s">
        <v>734</v>
      </c>
      <c r="E9" s="79">
        <v>1</v>
      </c>
      <c r="F9" s="79">
        <v>1</v>
      </c>
      <c r="G9" s="79">
        <v>0</v>
      </c>
      <c r="H9" s="79">
        <v>0</v>
      </c>
      <c r="I9" s="79">
        <v>0</v>
      </c>
      <c r="J9" s="79">
        <v>0</v>
      </c>
      <c r="K9" s="79">
        <v>0</v>
      </c>
      <c r="L9" s="79">
        <v>0</v>
      </c>
      <c r="M9" s="79">
        <v>0</v>
      </c>
    </row>
    <row r="10" spans="1:14">
      <c r="A10" s="79" t="s">
        <v>999</v>
      </c>
      <c r="B10" s="80" t="s">
        <v>998</v>
      </c>
      <c r="C10" s="79" t="s">
        <v>997</v>
      </c>
      <c r="D10" s="79" t="s">
        <v>754</v>
      </c>
      <c r="E10" s="79">
        <v>1</v>
      </c>
      <c r="F10" s="79">
        <v>1</v>
      </c>
      <c r="G10" s="79">
        <f>-H98</f>
        <v>0</v>
      </c>
      <c r="H10" s="79">
        <v>0</v>
      </c>
      <c r="I10" s="79">
        <v>0</v>
      </c>
      <c r="J10" s="79">
        <v>0</v>
      </c>
      <c r="K10" s="79">
        <v>0</v>
      </c>
      <c r="L10" s="79">
        <v>0</v>
      </c>
      <c r="M10" s="79">
        <v>0</v>
      </c>
    </row>
    <row r="11" spans="1:14">
      <c r="A11" s="79" t="s">
        <v>996</v>
      </c>
      <c r="B11" s="80" t="s">
        <v>995</v>
      </c>
      <c r="C11" s="79" t="s">
        <v>994</v>
      </c>
      <c r="D11" s="79" t="s">
        <v>734</v>
      </c>
      <c r="E11" s="79">
        <v>1</v>
      </c>
      <c r="F11" s="79">
        <v>1</v>
      </c>
      <c r="G11" s="79">
        <v>0</v>
      </c>
      <c r="H11" s="79">
        <v>0</v>
      </c>
      <c r="I11" s="79">
        <v>0</v>
      </c>
      <c r="J11" s="79">
        <v>0</v>
      </c>
      <c r="K11" s="79">
        <v>0</v>
      </c>
      <c r="L11" s="79">
        <v>0</v>
      </c>
      <c r="M11" s="79">
        <v>0</v>
      </c>
    </row>
    <row r="12" spans="1:14">
      <c r="A12" s="79" t="s">
        <v>993</v>
      </c>
      <c r="B12" s="80" t="s">
        <v>992</v>
      </c>
      <c r="C12" s="79" t="s">
        <v>991</v>
      </c>
      <c r="D12" s="79" t="s">
        <v>734</v>
      </c>
      <c r="E12" s="79">
        <v>1</v>
      </c>
      <c r="F12" s="79">
        <v>1</v>
      </c>
      <c r="G12" s="79">
        <v>0</v>
      </c>
      <c r="H12" s="79">
        <v>0</v>
      </c>
      <c r="I12" s="79">
        <v>0</v>
      </c>
      <c r="J12" s="79">
        <v>0</v>
      </c>
      <c r="K12" s="79">
        <v>0</v>
      </c>
      <c r="L12" s="79">
        <v>0</v>
      </c>
      <c r="M12" s="79">
        <v>0</v>
      </c>
    </row>
    <row r="13" spans="1:14">
      <c r="A13" s="79" t="s">
        <v>990</v>
      </c>
      <c r="B13" s="80" t="s">
        <v>989</v>
      </c>
      <c r="C13" s="79" t="s">
        <v>988</v>
      </c>
      <c r="D13" s="79" t="s">
        <v>734</v>
      </c>
      <c r="E13" s="79">
        <v>1</v>
      </c>
      <c r="F13" s="79">
        <v>1</v>
      </c>
      <c r="G13" s="79">
        <v>0</v>
      </c>
      <c r="H13" s="79">
        <v>0</v>
      </c>
      <c r="I13" s="79">
        <v>0</v>
      </c>
      <c r="J13" s="79">
        <v>0</v>
      </c>
      <c r="K13" s="79">
        <v>0</v>
      </c>
      <c r="L13" s="79">
        <v>0</v>
      </c>
      <c r="M13" s="79">
        <v>0</v>
      </c>
    </row>
    <row r="14" spans="1:14">
      <c r="A14" s="79" t="s">
        <v>987</v>
      </c>
      <c r="B14" s="80" t="s">
        <v>986</v>
      </c>
      <c r="C14" s="79" t="s">
        <v>985</v>
      </c>
      <c r="D14" s="79" t="s">
        <v>734</v>
      </c>
      <c r="E14" s="79">
        <v>1</v>
      </c>
      <c r="F14" s="79">
        <v>1</v>
      </c>
      <c r="G14" s="79">
        <v>0</v>
      </c>
      <c r="H14" s="79">
        <v>0</v>
      </c>
      <c r="I14" s="79">
        <v>0</v>
      </c>
      <c r="J14" s="79">
        <v>0</v>
      </c>
      <c r="K14" s="79">
        <v>0</v>
      </c>
      <c r="L14" s="79">
        <v>0</v>
      </c>
      <c r="M14" s="79">
        <v>0</v>
      </c>
    </row>
    <row r="15" spans="1:14">
      <c r="A15" s="79" t="s">
        <v>984</v>
      </c>
      <c r="B15" s="80" t="s">
        <v>983</v>
      </c>
      <c r="C15" s="79" t="s">
        <v>982</v>
      </c>
      <c r="D15" s="79" t="s">
        <v>734</v>
      </c>
      <c r="E15" s="79">
        <v>1</v>
      </c>
      <c r="F15" s="79">
        <v>1</v>
      </c>
      <c r="G15" s="79">
        <v>0</v>
      </c>
      <c r="H15" s="79">
        <v>0</v>
      </c>
      <c r="I15" s="79">
        <v>0</v>
      </c>
      <c r="J15" s="79">
        <v>0</v>
      </c>
      <c r="K15" s="79">
        <v>0</v>
      </c>
      <c r="L15" s="79">
        <v>0</v>
      </c>
      <c r="M15" s="79">
        <v>0</v>
      </c>
    </row>
    <row r="16" spans="1:14">
      <c r="A16" s="79" t="s">
        <v>980</v>
      </c>
      <c r="B16" s="80" t="s">
        <v>981</v>
      </c>
      <c r="C16" s="79" t="s">
        <v>980</v>
      </c>
      <c r="D16" s="79" t="s">
        <v>734</v>
      </c>
      <c r="E16" s="79">
        <v>1</v>
      </c>
      <c r="F16" s="79">
        <v>0</v>
      </c>
      <c r="G16" s="79">
        <v>0</v>
      </c>
      <c r="H16" s="79">
        <v>0</v>
      </c>
      <c r="I16" s="79">
        <v>0</v>
      </c>
      <c r="J16" s="79">
        <v>0</v>
      </c>
      <c r="K16" s="79">
        <v>0</v>
      </c>
      <c r="L16" s="79">
        <v>0</v>
      </c>
      <c r="M16" s="79">
        <v>0</v>
      </c>
    </row>
    <row r="17" spans="1:14">
      <c r="A17" s="79" t="s">
        <v>979</v>
      </c>
      <c r="B17" s="80" t="s">
        <v>978</v>
      </c>
      <c r="C17" s="79" t="s">
        <v>977</v>
      </c>
      <c r="D17" s="79" t="s">
        <v>754</v>
      </c>
      <c r="E17" s="79">
        <v>1</v>
      </c>
      <c r="F17" s="79">
        <v>1</v>
      </c>
      <c r="G17" s="79">
        <v>0</v>
      </c>
      <c r="H17" s="79">
        <v>0</v>
      </c>
      <c r="I17" s="79">
        <v>0</v>
      </c>
      <c r="J17" s="79">
        <v>0</v>
      </c>
      <c r="K17" s="79">
        <v>0</v>
      </c>
      <c r="L17" s="79">
        <v>0</v>
      </c>
      <c r="M17" s="79">
        <v>0</v>
      </c>
    </row>
    <row r="18" spans="1:14">
      <c r="A18" s="79" t="s">
        <v>976</v>
      </c>
      <c r="B18" s="80" t="s">
        <v>975</v>
      </c>
      <c r="C18" s="79" t="s">
        <v>974</v>
      </c>
      <c r="D18" s="79" t="s">
        <v>734</v>
      </c>
      <c r="E18" s="79">
        <v>1</v>
      </c>
      <c r="F18" s="79">
        <v>1</v>
      </c>
      <c r="G18" s="79">
        <v>0</v>
      </c>
      <c r="H18" s="79">
        <v>0</v>
      </c>
      <c r="I18" s="79">
        <v>0</v>
      </c>
      <c r="J18" s="79">
        <v>0</v>
      </c>
      <c r="K18" s="79">
        <v>0</v>
      </c>
      <c r="L18" s="79">
        <v>0</v>
      </c>
      <c r="M18" s="79">
        <v>0</v>
      </c>
    </row>
    <row r="19" spans="1:14">
      <c r="A19" s="79" t="s">
        <v>973</v>
      </c>
      <c r="B19" s="80" t="s">
        <v>972</v>
      </c>
      <c r="C19" s="79" t="s">
        <v>971</v>
      </c>
      <c r="D19" s="79" t="s">
        <v>754</v>
      </c>
      <c r="E19" s="79">
        <v>1</v>
      </c>
      <c r="F19" s="79">
        <v>1</v>
      </c>
      <c r="G19" s="79">
        <v>1</v>
      </c>
      <c r="H19" s="79">
        <v>0</v>
      </c>
      <c r="I19" s="79">
        <v>0</v>
      </c>
      <c r="J19" s="79">
        <v>0</v>
      </c>
      <c r="K19" s="79">
        <v>0</v>
      </c>
      <c r="L19" s="79">
        <v>0</v>
      </c>
      <c r="M19" s="79">
        <v>0</v>
      </c>
    </row>
    <row r="20" spans="1:14">
      <c r="A20" s="79" t="s">
        <v>970</v>
      </c>
      <c r="B20" s="80" t="s">
        <v>969</v>
      </c>
      <c r="C20" s="79" t="s">
        <v>941</v>
      </c>
      <c r="D20" s="79" t="s">
        <v>734</v>
      </c>
      <c r="E20" s="79">
        <v>1</v>
      </c>
      <c r="F20" s="79">
        <v>1</v>
      </c>
      <c r="G20" s="79">
        <v>1</v>
      </c>
      <c r="H20" s="79">
        <v>0</v>
      </c>
      <c r="I20" s="79">
        <v>0</v>
      </c>
      <c r="J20" s="79">
        <v>0</v>
      </c>
      <c r="K20" s="79">
        <v>0</v>
      </c>
      <c r="L20" s="79">
        <v>0</v>
      </c>
      <c r="M20" s="79">
        <v>0</v>
      </c>
    </row>
    <row r="21" spans="1:14">
      <c r="A21" s="79" t="s">
        <v>968</v>
      </c>
      <c r="B21" s="80" t="s">
        <v>967</v>
      </c>
      <c r="C21" s="79" t="s">
        <v>966</v>
      </c>
      <c r="D21" s="79" t="s">
        <v>734</v>
      </c>
      <c r="E21" s="79">
        <v>1</v>
      </c>
      <c r="F21" s="79">
        <v>2</v>
      </c>
      <c r="G21" s="79">
        <v>0</v>
      </c>
      <c r="H21" s="79">
        <v>0</v>
      </c>
      <c r="I21" s="79">
        <v>0</v>
      </c>
      <c r="J21" s="79">
        <v>1</v>
      </c>
      <c r="K21" s="79">
        <v>0</v>
      </c>
      <c r="L21" s="79">
        <v>0</v>
      </c>
      <c r="M21" s="79">
        <v>0</v>
      </c>
    </row>
    <row r="22" spans="1:14">
      <c r="A22" s="79" t="s">
        <v>965</v>
      </c>
      <c r="B22" s="80" t="s">
        <v>964</v>
      </c>
      <c r="C22" s="79" t="s">
        <v>963</v>
      </c>
      <c r="D22" s="79" t="s">
        <v>734</v>
      </c>
      <c r="E22" s="79">
        <v>1</v>
      </c>
      <c r="F22" s="79">
        <v>1</v>
      </c>
      <c r="G22" s="79">
        <v>0</v>
      </c>
      <c r="H22" s="79">
        <v>0</v>
      </c>
      <c r="I22" s="79">
        <v>0</v>
      </c>
      <c r="J22" s="79">
        <v>0</v>
      </c>
      <c r="K22" s="79">
        <v>0</v>
      </c>
      <c r="L22" s="79">
        <v>0</v>
      </c>
      <c r="M22" s="79">
        <v>0</v>
      </c>
    </row>
    <row r="23" spans="1:14">
      <c r="A23" s="79" t="s">
        <v>962</v>
      </c>
      <c r="B23" s="80" t="s">
        <v>961</v>
      </c>
      <c r="C23" s="92" t="s">
        <v>960</v>
      </c>
      <c r="D23" s="92" t="s">
        <v>734</v>
      </c>
      <c r="E23" s="79">
        <v>1</v>
      </c>
      <c r="F23" s="79">
        <v>2</v>
      </c>
      <c r="G23" s="79">
        <v>1</v>
      </c>
      <c r="H23" s="79">
        <v>1</v>
      </c>
      <c r="I23" s="79">
        <v>0</v>
      </c>
      <c r="J23" s="79">
        <v>1</v>
      </c>
      <c r="K23" s="79">
        <v>0</v>
      </c>
      <c r="L23" s="79">
        <v>0</v>
      </c>
      <c r="M23" s="79">
        <v>0</v>
      </c>
    </row>
    <row r="24" spans="1:14">
      <c r="A24" s="79" t="s">
        <v>959</v>
      </c>
      <c r="B24" s="80" t="s">
        <v>958</v>
      </c>
      <c r="C24" s="92" t="s">
        <v>957</v>
      </c>
      <c r="D24" s="92" t="s">
        <v>734</v>
      </c>
      <c r="E24" s="79">
        <v>1</v>
      </c>
      <c r="F24" s="79">
        <v>1</v>
      </c>
      <c r="G24" s="79">
        <v>1</v>
      </c>
      <c r="H24" s="79">
        <v>0</v>
      </c>
      <c r="I24" s="79">
        <v>0</v>
      </c>
      <c r="J24" s="79">
        <v>0</v>
      </c>
      <c r="K24" s="79">
        <v>0</v>
      </c>
      <c r="L24" s="79">
        <v>0</v>
      </c>
      <c r="M24" s="79">
        <v>0</v>
      </c>
    </row>
    <row r="25" spans="1:14">
      <c r="A25" s="79" t="s">
        <v>956</v>
      </c>
      <c r="B25" s="80" t="s">
        <v>955</v>
      </c>
      <c r="C25" s="79" t="s">
        <v>954</v>
      </c>
      <c r="D25" s="79" t="s">
        <v>734</v>
      </c>
      <c r="E25" s="79">
        <v>1</v>
      </c>
      <c r="F25" s="91">
        <v>1</v>
      </c>
      <c r="G25" s="79">
        <v>0</v>
      </c>
      <c r="H25" s="79">
        <v>0</v>
      </c>
      <c r="I25" s="79">
        <v>0</v>
      </c>
      <c r="J25" s="79">
        <v>0</v>
      </c>
      <c r="K25" s="79">
        <v>0</v>
      </c>
      <c r="L25" s="79">
        <v>0</v>
      </c>
      <c r="M25" s="79">
        <v>0</v>
      </c>
      <c r="N25" s="79" t="s">
        <v>953</v>
      </c>
    </row>
    <row r="26" spans="1:14">
      <c r="A26" s="79" t="s">
        <v>952</v>
      </c>
      <c r="B26" s="80" t="s">
        <v>951</v>
      </c>
      <c r="C26" s="95" t="s">
        <v>950</v>
      </c>
      <c r="D26" s="95" t="s">
        <v>734</v>
      </c>
      <c r="E26" s="79">
        <v>1</v>
      </c>
      <c r="F26" s="79">
        <v>1</v>
      </c>
      <c r="G26" s="79">
        <v>0</v>
      </c>
      <c r="H26" s="79">
        <v>0</v>
      </c>
      <c r="I26" s="79">
        <v>0</v>
      </c>
      <c r="J26" s="79">
        <v>0</v>
      </c>
      <c r="K26" s="79">
        <v>0</v>
      </c>
      <c r="L26" s="79">
        <v>0</v>
      </c>
      <c r="M26" s="79">
        <v>0</v>
      </c>
    </row>
    <row r="27" spans="1:14">
      <c r="A27" s="79" t="s">
        <v>949</v>
      </c>
      <c r="B27" s="80" t="s">
        <v>948</v>
      </c>
      <c r="C27" s="79" t="s">
        <v>947</v>
      </c>
      <c r="D27" s="79" t="s">
        <v>734</v>
      </c>
      <c r="E27" s="79">
        <v>1</v>
      </c>
      <c r="F27" s="94">
        <v>1</v>
      </c>
      <c r="G27" s="79">
        <v>0</v>
      </c>
      <c r="H27" s="79">
        <v>0</v>
      </c>
      <c r="I27" s="79">
        <v>0</v>
      </c>
      <c r="J27" s="79">
        <v>0</v>
      </c>
      <c r="K27" s="79">
        <v>0</v>
      </c>
      <c r="L27" s="79">
        <v>0</v>
      </c>
      <c r="M27" s="79">
        <v>0</v>
      </c>
      <c r="N27" s="79" t="s">
        <v>477</v>
      </c>
    </row>
    <row r="28" spans="1:14">
      <c r="A28" s="79" t="s">
        <v>946</v>
      </c>
      <c r="B28" s="80" t="s">
        <v>945</v>
      </c>
      <c r="C28" s="79" t="s">
        <v>944</v>
      </c>
      <c r="D28" s="79" t="s">
        <v>734</v>
      </c>
      <c r="E28" s="79">
        <v>1</v>
      </c>
      <c r="F28" s="79">
        <v>1</v>
      </c>
      <c r="G28" s="79">
        <v>0</v>
      </c>
      <c r="H28" s="79">
        <v>0</v>
      </c>
      <c r="I28" s="79">
        <v>0</v>
      </c>
      <c r="J28" s="79">
        <v>0</v>
      </c>
      <c r="K28" s="79">
        <v>0</v>
      </c>
      <c r="L28" s="79">
        <v>0</v>
      </c>
      <c r="M28" s="79">
        <v>0</v>
      </c>
    </row>
    <row r="29" spans="1:14">
      <c r="A29" s="79" t="s">
        <v>943</v>
      </c>
      <c r="B29" s="80" t="s">
        <v>942</v>
      </c>
      <c r="C29" s="79" t="s">
        <v>941</v>
      </c>
      <c r="D29" s="79" t="s">
        <v>734</v>
      </c>
      <c r="E29" s="79">
        <v>1</v>
      </c>
      <c r="F29" s="79">
        <v>1</v>
      </c>
      <c r="G29" s="79">
        <v>0</v>
      </c>
      <c r="H29" s="79">
        <v>0</v>
      </c>
      <c r="I29" s="79">
        <v>1</v>
      </c>
      <c r="J29" s="79">
        <v>0</v>
      </c>
      <c r="K29" s="79">
        <v>0</v>
      </c>
      <c r="L29" s="79">
        <v>0</v>
      </c>
      <c r="M29" s="79">
        <v>0</v>
      </c>
    </row>
    <row r="30" spans="1:14">
      <c r="A30" s="79" t="s">
        <v>940</v>
      </c>
      <c r="B30" s="80" t="s">
        <v>939</v>
      </c>
      <c r="C30" s="79" t="s">
        <v>938</v>
      </c>
      <c r="D30" s="79" t="s">
        <v>734</v>
      </c>
      <c r="E30" s="79">
        <v>1</v>
      </c>
      <c r="F30" s="79">
        <v>2</v>
      </c>
      <c r="G30" s="79">
        <v>0</v>
      </c>
      <c r="H30" s="79">
        <v>0</v>
      </c>
      <c r="I30" s="79">
        <v>0</v>
      </c>
      <c r="J30" s="79">
        <v>0</v>
      </c>
      <c r="K30" s="79">
        <v>0</v>
      </c>
      <c r="L30" s="79">
        <v>0</v>
      </c>
      <c r="M30" s="79">
        <v>0</v>
      </c>
    </row>
    <row r="31" spans="1:14">
      <c r="A31" s="79" t="s">
        <v>937</v>
      </c>
      <c r="B31" s="80" t="s">
        <v>936</v>
      </c>
      <c r="C31" s="79" t="s">
        <v>935</v>
      </c>
      <c r="D31" s="79" t="s">
        <v>734</v>
      </c>
      <c r="E31" s="79">
        <v>1</v>
      </c>
      <c r="F31" s="79">
        <v>2</v>
      </c>
      <c r="G31" s="79">
        <v>0</v>
      </c>
      <c r="H31" s="79">
        <v>1</v>
      </c>
      <c r="I31" s="79">
        <v>0</v>
      </c>
      <c r="J31" s="79">
        <v>0</v>
      </c>
      <c r="K31" s="79">
        <v>0</v>
      </c>
      <c r="L31" s="79">
        <v>0</v>
      </c>
      <c r="M31" s="79">
        <v>0</v>
      </c>
    </row>
    <row r="32" spans="1:14">
      <c r="A32" s="79" t="s">
        <v>934</v>
      </c>
      <c r="B32" s="80" t="s">
        <v>933</v>
      </c>
      <c r="C32" s="79" t="s">
        <v>932</v>
      </c>
      <c r="D32" s="79" t="s">
        <v>734</v>
      </c>
      <c r="E32" s="79">
        <v>1</v>
      </c>
      <c r="F32" s="79">
        <v>2</v>
      </c>
      <c r="G32" s="79">
        <v>0</v>
      </c>
      <c r="H32" s="79">
        <v>0</v>
      </c>
      <c r="I32" s="79">
        <v>0</v>
      </c>
      <c r="J32" s="79">
        <v>0</v>
      </c>
      <c r="K32" s="79">
        <v>0</v>
      </c>
      <c r="L32" s="79">
        <v>0</v>
      </c>
      <c r="M32" s="79">
        <v>0</v>
      </c>
    </row>
    <row r="33" spans="1:13">
      <c r="A33" s="79" t="s">
        <v>931</v>
      </c>
      <c r="B33" s="80" t="s">
        <v>930</v>
      </c>
      <c r="C33" s="79" t="s">
        <v>929</v>
      </c>
      <c r="D33" s="79" t="s">
        <v>734</v>
      </c>
      <c r="E33" s="79">
        <v>1</v>
      </c>
      <c r="F33" s="79">
        <v>1</v>
      </c>
      <c r="G33" s="79">
        <v>0</v>
      </c>
      <c r="H33" s="79">
        <v>0</v>
      </c>
      <c r="I33" s="79">
        <v>1</v>
      </c>
      <c r="J33" s="79">
        <v>0</v>
      </c>
      <c r="K33" s="79">
        <v>0</v>
      </c>
      <c r="L33" s="79">
        <v>0</v>
      </c>
      <c r="M33" s="79">
        <v>0</v>
      </c>
    </row>
    <row r="34" spans="1:13">
      <c r="A34" s="79" t="s">
        <v>928</v>
      </c>
      <c r="B34" s="80" t="s">
        <v>927</v>
      </c>
      <c r="C34" s="79" t="s">
        <v>926</v>
      </c>
      <c r="D34" s="79" t="s">
        <v>734</v>
      </c>
      <c r="E34" s="79">
        <v>1</v>
      </c>
      <c r="F34" s="79">
        <v>1</v>
      </c>
      <c r="G34" s="79">
        <v>0</v>
      </c>
      <c r="H34" s="79">
        <v>0</v>
      </c>
      <c r="I34" s="79">
        <v>0</v>
      </c>
      <c r="J34" s="79">
        <v>0</v>
      </c>
      <c r="K34" s="79">
        <v>0</v>
      </c>
      <c r="L34" s="79">
        <v>0</v>
      </c>
      <c r="M34" s="79">
        <v>0</v>
      </c>
    </row>
    <row r="35" spans="1:13">
      <c r="A35" s="79" t="s">
        <v>925</v>
      </c>
      <c r="B35" s="80" t="s">
        <v>924</v>
      </c>
      <c r="C35" s="79" t="s">
        <v>923</v>
      </c>
      <c r="D35" s="79" t="s">
        <v>754</v>
      </c>
      <c r="E35" s="79">
        <v>1</v>
      </c>
      <c r="F35" s="79">
        <v>0</v>
      </c>
      <c r="G35" s="79">
        <v>0</v>
      </c>
      <c r="H35" s="79">
        <v>0</v>
      </c>
      <c r="I35" s="79">
        <v>0</v>
      </c>
      <c r="J35" s="79">
        <v>0</v>
      </c>
      <c r="K35" s="79">
        <v>0</v>
      </c>
      <c r="L35" s="79">
        <v>0</v>
      </c>
      <c r="M35" s="79">
        <v>0</v>
      </c>
    </row>
    <row r="36" spans="1:13">
      <c r="A36" s="79" t="s">
        <v>922</v>
      </c>
      <c r="B36" s="80" t="s">
        <v>921</v>
      </c>
      <c r="C36" s="79" t="s">
        <v>920</v>
      </c>
      <c r="D36" s="79" t="s">
        <v>734</v>
      </c>
      <c r="E36" s="79">
        <v>1</v>
      </c>
      <c r="F36" s="79">
        <v>0</v>
      </c>
      <c r="G36" s="79">
        <v>1</v>
      </c>
      <c r="H36" s="79">
        <v>0</v>
      </c>
      <c r="I36" s="79">
        <v>0</v>
      </c>
      <c r="J36" s="79">
        <v>0</v>
      </c>
      <c r="K36" s="79">
        <v>0</v>
      </c>
      <c r="L36" s="79">
        <v>0</v>
      </c>
      <c r="M36" s="79">
        <v>0</v>
      </c>
    </row>
    <row r="37" spans="1:13">
      <c r="A37" s="79" t="s">
        <v>919</v>
      </c>
      <c r="B37" s="80" t="s">
        <v>918</v>
      </c>
      <c r="C37" s="79" t="s">
        <v>917</v>
      </c>
      <c r="D37" s="79" t="s">
        <v>754</v>
      </c>
      <c r="E37" s="79">
        <v>1</v>
      </c>
      <c r="F37" s="79">
        <v>0</v>
      </c>
      <c r="G37" s="79">
        <v>0</v>
      </c>
      <c r="H37" s="79">
        <v>0</v>
      </c>
      <c r="I37" s="79">
        <v>0</v>
      </c>
      <c r="J37" s="79">
        <v>0</v>
      </c>
      <c r="K37" s="79">
        <v>0</v>
      </c>
      <c r="L37" s="79">
        <v>0</v>
      </c>
      <c r="M37" s="79">
        <v>0</v>
      </c>
    </row>
    <row r="38" spans="1:13">
      <c r="A38" s="79" t="s">
        <v>916</v>
      </c>
      <c r="B38" s="80" t="s">
        <v>915</v>
      </c>
      <c r="C38" s="79" t="s">
        <v>914</v>
      </c>
      <c r="D38" s="79" t="s">
        <v>738</v>
      </c>
      <c r="E38" s="79">
        <v>1</v>
      </c>
      <c r="F38" s="79">
        <v>0</v>
      </c>
      <c r="G38" s="79">
        <v>1</v>
      </c>
      <c r="H38" s="79">
        <v>0</v>
      </c>
      <c r="I38" s="79">
        <v>0</v>
      </c>
      <c r="J38" s="79">
        <v>0</v>
      </c>
      <c r="K38" s="79">
        <v>0</v>
      </c>
      <c r="L38" s="79">
        <v>0</v>
      </c>
      <c r="M38" s="79">
        <v>0</v>
      </c>
    </row>
    <row r="39" spans="1:13">
      <c r="A39" s="79" t="s">
        <v>913</v>
      </c>
      <c r="B39" s="80" t="s">
        <v>912</v>
      </c>
      <c r="C39" s="79" t="s">
        <v>911</v>
      </c>
      <c r="D39" s="79" t="s">
        <v>734</v>
      </c>
      <c r="E39" s="79">
        <v>1</v>
      </c>
      <c r="F39" s="79">
        <v>1</v>
      </c>
      <c r="G39" s="79">
        <v>0</v>
      </c>
      <c r="H39" s="79">
        <v>0</v>
      </c>
      <c r="I39" s="79">
        <v>0</v>
      </c>
      <c r="J39" s="79">
        <v>0</v>
      </c>
      <c r="K39" s="79">
        <v>0</v>
      </c>
      <c r="L39" s="79">
        <v>0</v>
      </c>
      <c r="M39" s="79">
        <v>0</v>
      </c>
    </row>
    <row r="40" spans="1:13">
      <c r="A40" s="79" t="s">
        <v>910</v>
      </c>
      <c r="B40" s="80" t="s">
        <v>909</v>
      </c>
      <c r="C40" s="79" t="s">
        <v>908</v>
      </c>
      <c r="D40" s="79" t="s">
        <v>734</v>
      </c>
      <c r="E40" s="79">
        <v>1</v>
      </c>
      <c r="F40" s="79">
        <v>0</v>
      </c>
      <c r="G40" s="79">
        <v>1</v>
      </c>
      <c r="H40" s="79">
        <v>0</v>
      </c>
      <c r="I40" s="79">
        <v>0</v>
      </c>
      <c r="J40" s="79">
        <v>0</v>
      </c>
      <c r="K40" s="79">
        <v>0</v>
      </c>
      <c r="L40" s="79">
        <v>0</v>
      </c>
      <c r="M40" s="79">
        <v>0</v>
      </c>
    </row>
    <row r="41" spans="1:13">
      <c r="A41" s="79" t="s">
        <v>906</v>
      </c>
      <c r="B41" s="80" t="s">
        <v>907</v>
      </c>
      <c r="C41" s="79" t="s">
        <v>906</v>
      </c>
      <c r="D41" s="79" t="s">
        <v>734</v>
      </c>
      <c r="E41" s="79">
        <v>1</v>
      </c>
      <c r="F41" s="79">
        <v>0</v>
      </c>
      <c r="G41" s="79">
        <v>0</v>
      </c>
      <c r="H41" s="79">
        <v>0</v>
      </c>
      <c r="I41" s="79">
        <v>0</v>
      </c>
      <c r="J41" s="79">
        <v>0</v>
      </c>
      <c r="K41" s="79">
        <v>0</v>
      </c>
      <c r="L41" s="79">
        <v>0</v>
      </c>
      <c r="M41" s="79">
        <v>0</v>
      </c>
    </row>
    <row r="42" spans="1:13" ht="17" customHeight="1">
      <c r="A42" s="79" t="s">
        <v>905</v>
      </c>
      <c r="B42" s="80" t="s">
        <v>904</v>
      </c>
      <c r="C42" s="79" t="s">
        <v>903</v>
      </c>
      <c r="D42" s="79" t="s">
        <v>734</v>
      </c>
      <c r="E42" s="79">
        <v>1</v>
      </c>
      <c r="F42" s="79">
        <v>0</v>
      </c>
      <c r="G42" s="79">
        <v>1</v>
      </c>
      <c r="H42" s="79">
        <v>0</v>
      </c>
      <c r="I42" s="79">
        <v>1</v>
      </c>
      <c r="J42" s="79">
        <v>0</v>
      </c>
      <c r="K42" s="79">
        <v>1</v>
      </c>
      <c r="L42" s="79">
        <v>0</v>
      </c>
      <c r="M42" s="79">
        <v>0</v>
      </c>
    </row>
    <row r="43" spans="1:13">
      <c r="A43" s="79" t="s">
        <v>902</v>
      </c>
      <c r="B43" s="80" t="s">
        <v>901</v>
      </c>
      <c r="C43" s="79" t="s">
        <v>900</v>
      </c>
      <c r="D43" s="79" t="s">
        <v>734</v>
      </c>
      <c r="E43" s="79">
        <v>1</v>
      </c>
      <c r="F43" s="79">
        <v>1</v>
      </c>
      <c r="G43" s="79">
        <v>0</v>
      </c>
      <c r="H43" s="79">
        <v>0</v>
      </c>
      <c r="I43" s="79">
        <v>1</v>
      </c>
      <c r="J43" s="79">
        <v>0</v>
      </c>
      <c r="K43" s="79">
        <v>0</v>
      </c>
      <c r="L43" s="79">
        <v>0</v>
      </c>
      <c r="M43" s="79">
        <v>0</v>
      </c>
    </row>
    <row r="44" spans="1:13">
      <c r="A44" s="79" t="s">
        <v>899</v>
      </c>
      <c r="B44" s="80" t="s">
        <v>898</v>
      </c>
      <c r="C44" s="79" t="s">
        <v>897</v>
      </c>
      <c r="D44" s="79" t="s">
        <v>734</v>
      </c>
      <c r="E44" s="79">
        <v>1</v>
      </c>
      <c r="F44" s="79">
        <v>2</v>
      </c>
      <c r="G44" s="79">
        <v>0</v>
      </c>
      <c r="H44" s="79">
        <v>1</v>
      </c>
      <c r="I44" s="79">
        <v>0</v>
      </c>
      <c r="J44" s="79">
        <v>0</v>
      </c>
      <c r="K44" s="79">
        <v>0</v>
      </c>
      <c r="L44" s="79">
        <v>0</v>
      </c>
      <c r="M44" s="79">
        <v>0</v>
      </c>
    </row>
    <row r="45" spans="1:13">
      <c r="A45" s="79" t="s">
        <v>896</v>
      </c>
      <c r="B45" s="80" t="s">
        <v>895</v>
      </c>
      <c r="C45" s="79" t="s">
        <v>894</v>
      </c>
      <c r="D45" s="79" t="s">
        <v>734</v>
      </c>
      <c r="E45" s="79">
        <v>1</v>
      </c>
      <c r="F45" s="79">
        <v>2</v>
      </c>
      <c r="G45" s="79">
        <v>0</v>
      </c>
      <c r="H45" s="79">
        <v>0</v>
      </c>
      <c r="I45" s="79">
        <v>0</v>
      </c>
      <c r="J45" s="79">
        <v>0</v>
      </c>
      <c r="K45" s="79">
        <v>0</v>
      </c>
      <c r="L45" s="79">
        <v>0</v>
      </c>
      <c r="M45" s="79">
        <v>0</v>
      </c>
    </row>
    <row r="46" spans="1:13">
      <c r="A46" s="79" t="s">
        <v>893</v>
      </c>
      <c r="B46" s="80" t="s">
        <v>892</v>
      </c>
      <c r="C46" s="79" t="s">
        <v>891</v>
      </c>
      <c r="D46" s="79" t="s">
        <v>734</v>
      </c>
      <c r="E46" s="79">
        <v>1</v>
      </c>
      <c r="F46" s="79">
        <v>1</v>
      </c>
      <c r="G46" s="79">
        <v>0</v>
      </c>
      <c r="H46" s="79">
        <v>0</v>
      </c>
      <c r="I46" s="79">
        <v>0</v>
      </c>
      <c r="J46" s="79">
        <v>0</v>
      </c>
      <c r="K46" s="79">
        <v>1</v>
      </c>
      <c r="L46" s="79">
        <v>0</v>
      </c>
      <c r="M46" s="79">
        <v>0</v>
      </c>
    </row>
    <row r="47" spans="1:13">
      <c r="A47" s="79" t="s">
        <v>890</v>
      </c>
      <c r="B47" s="80" t="s">
        <v>889</v>
      </c>
      <c r="C47" s="79" t="s">
        <v>888</v>
      </c>
      <c r="D47" s="79" t="s">
        <v>734</v>
      </c>
      <c r="E47" s="79">
        <v>1</v>
      </c>
      <c r="F47" s="79">
        <v>1</v>
      </c>
      <c r="G47" s="79">
        <v>0</v>
      </c>
      <c r="H47" s="79">
        <v>0</v>
      </c>
      <c r="I47" s="79">
        <v>0</v>
      </c>
      <c r="J47" s="79">
        <v>1</v>
      </c>
      <c r="K47" s="79">
        <v>0</v>
      </c>
      <c r="L47" s="79">
        <v>0</v>
      </c>
      <c r="M47" s="79">
        <v>0</v>
      </c>
    </row>
    <row r="48" spans="1:13">
      <c r="A48" s="79" t="s">
        <v>887</v>
      </c>
      <c r="B48" s="80" t="s">
        <v>886</v>
      </c>
      <c r="C48" s="79" t="s">
        <v>885</v>
      </c>
      <c r="D48" s="79" t="s">
        <v>754</v>
      </c>
      <c r="E48" s="79">
        <v>1</v>
      </c>
      <c r="F48" s="79">
        <v>1</v>
      </c>
      <c r="G48" s="79">
        <v>1</v>
      </c>
      <c r="H48" s="79">
        <v>0</v>
      </c>
      <c r="I48" s="79">
        <v>0</v>
      </c>
      <c r="J48" s="79">
        <v>0</v>
      </c>
      <c r="K48" s="79">
        <v>0</v>
      </c>
      <c r="L48" s="79">
        <v>0</v>
      </c>
      <c r="M48" s="79">
        <v>0</v>
      </c>
    </row>
    <row r="49" spans="1:13" ht="18">
      <c r="A49" s="79" t="s">
        <v>884</v>
      </c>
      <c r="B49" s="93" t="s">
        <v>883</v>
      </c>
      <c r="C49" s="79" t="s">
        <v>882</v>
      </c>
      <c r="D49" s="79" t="s">
        <v>734</v>
      </c>
      <c r="E49" s="79">
        <v>1</v>
      </c>
      <c r="F49" s="79">
        <v>1</v>
      </c>
      <c r="G49" s="79">
        <v>1</v>
      </c>
      <c r="H49" s="79">
        <v>0</v>
      </c>
      <c r="I49" s="79">
        <v>0</v>
      </c>
      <c r="J49" s="79">
        <v>0</v>
      </c>
      <c r="K49" s="79">
        <v>0</v>
      </c>
      <c r="L49" s="79">
        <v>0</v>
      </c>
      <c r="M49" s="79">
        <v>0</v>
      </c>
    </row>
    <row r="50" spans="1:13">
      <c r="A50" s="79" t="s">
        <v>881</v>
      </c>
      <c r="B50" s="80" t="s">
        <v>880</v>
      </c>
      <c r="C50" s="79" t="s">
        <v>879</v>
      </c>
      <c r="D50" s="79" t="s">
        <v>734</v>
      </c>
      <c r="E50" s="79">
        <v>1</v>
      </c>
      <c r="F50" s="79">
        <v>1</v>
      </c>
      <c r="G50" s="79">
        <v>0</v>
      </c>
      <c r="H50" s="79">
        <v>0</v>
      </c>
      <c r="I50" s="79">
        <v>0</v>
      </c>
      <c r="J50" s="79">
        <v>1</v>
      </c>
      <c r="K50" s="79">
        <v>0</v>
      </c>
      <c r="L50" s="79">
        <v>0</v>
      </c>
      <c r="M50" s="79">
        <v>0</v>
      </c>
    </row>
    <row r="51" spans="1:13">
      <c r="A51" s="79" t="s">
        <v>878</v>
      </c>
      <c r="B51" s="80" t="s">
        <v>877</v>
      </c>
      <c r="C51" s="79" t="s">
        <v>876</v>
      </c>
      <c r="D51" s="79" t="s">
        <v>734</v>
      </c>
      <c r="E51" s="79">
        <v>1</v>
      </c>
      <c r="F51" s="79">
        <v>1</v>
      </c>
      <c r="G51" s="79">
        <v>1</v>
      </c>
      <c r="H51" s="79">
        <v>0</v>
      </c>
      <c r="I51" s="79">
        <v>0</v>
      </c>
      <c r="J51" s="79">
        <v>0</v>
      </c>
      <c r="K51" s="79">
        <v>0</v>
      </c>
      <c r="L51" s="79">
        <v>0</v>
      </c>
      <c r="M51" s="79">
        <v>0</v>
      </c>
    </row>
    <row r="52" spans="1:13">
      <c r="A52" s="79" t="s">
        <v>875</v>
      </c>
      <c r="B52" s="80" t="s">
        <v>874</v>
      </c>
      <c r="C52" s="79" t="s">
        <v>873</v>
      </c>
      <c r="D52" s="79" t="s">
        <v>734</v>
      </c>
      <c r="E52" s="79">
        <v>1</v>
      </c>
      <c r="F52" s="79">
        <v>2</v>
      </c>
      <c r="G52" s="79">
        <v>0</v>
      </c>
      <c r="H52" s="79">
        <v>0</v>
      </c>
      <c r="I52" s="79">
        <v>0</v>
      </c>
      <c r="J52" s="79">
        <v>0</v>
      </c>
      <c r="K52" s="79">
        <v>0</v>
      </c>
      <c r="L52" s="79">
        <v>0</v>
      </c>
      <c r="M52" s="79">
        <v>0</v>
      </c>
    </row>
    <row r="53" spans="1:13">
      <c r="A53" s="79" t="s">
        <v>872</v>
      </c>
      <c r="B53" s="80" t="s">
        <v>871</v>
      </c>
      <c r="C53" s="79" t="s">
        <v>870</v>
      </c>
      <c r="D53" s="79" t="s">
        <v>734</v>
      </c>
      <c r="E53" s="79">
        <v>1</v>
      </c>
      <c r="F53" s="79">
        <v>1</v>
      </c>
      <c r="G53" s="79">
        <v>0</v>
      </c>
      <c r="H53" s="79">
        <v>0</v>
      </c>
      <c r="I53" s="79">
        <v>0</v>
      </c>
      <c r="J53" s="79">
        <v>0</v>
      </c>
      <c r="K53" s="79">
        <v>0</v>
      </c>
      <c r="L53" s="79">
        <v>0</v>
      </c>
      <c r="M53" s="79">
        <v>0</v>
      </c>
    </row>
    <row r="54" spans="1:13">
      <c r="A54" s="79" t="s">
        <v>869</v>
      </c>
      <c r="B54" s="80" t="s">
        <v>868</v>
      </c>
      <c r="C54" s="79" t="s">
        <v>867</v>
      </c>
      <c r="D54" s="79" t="s">
        <v>734</v>
      </c>
      <c r="E54" s="79">
        <v>1</v>
      </c>
      <c r="F54" s="79">
        <v>2</v>
      </c>
      <c r="G54" s="79">
        <v>0</v>
      </c>
      <c r="H54" s="79">
        <v>0</v>
      </c>
      <c r="I54" s="79">
        <v>0</v>
      </c>
      <c r="J54" s="79">
        <v>0</v>
      </c>
      <c r="K54" s="79">
        <v>0</v>
      </c>
      <c r="L54" s="79">
        <v>0</v>
      </c>
      <c r="M54" s="79">
        <v>0</v>
      </c>
    </row>
    <row r="55" spans="1:13">
      <c r="A55" s="79" t="s">
        <v>865</v>
      </c>
      <c r="B55" s="80" t="s">
        <v>866</v>
      </c>
      <c r="C55" s="79" t="s">
        <v>865</v>
      </c>
      <c r="D55" s="79" t="s">
        <v>734</v>
      </c>
      <c r="E55" s="79">
        <v>1</v>
      </c>
      <c r="F55" s="79">
        <v>0</v>
      </c>
      <c r="G55" s="79">
        <v>0</v>
      </c>
      <c r="H55" s="79">
        <v>0</v>
      </c>
      <c r="I55" s="79">
        <v>0</v>
      </c>
      <c r="J55" s="79">
        <v>0</v>
      </c>
      <c r="K55" s="79">
        <v>0</v>
      </c>
      <c r="L55" s="79">
        <v>0</v>
      </c>
      <c r="M55" s="79">
        <v>0</v>
      </c>
    </row>
    <row r="56" spans="1:13">
      <c r="A56" s="79" t="s">
        <v>864</v>
      </c>
      <c r="B56" s="80" t="s">
        <v>863</v>
      </c>
      <c r="C56" s="92" t="s">
        <v>862</v>
      </c>
      <c r="D56" s="92" t="s">
        <v>734</v>
      </c>
      <c r="E56" s="79">
        <v>1</v>
      </c>
      <c r="F56" s="79">
        <v>1</v>
      </c>
      <c r="G56" s="79">
        <v>0</v>
      </c>
      <c r="H56" s="79">
        <v>0</v>
      </c>
      <c r="I56" s="79">
        <v>0</v>
      </c>
      <c r="J56" s="79">
        <v>0</v>
      </c>
      <c r="K56" s="79">
        <v>0</v>
      </c>
      <c r="L56" s="79">
        <v>0</v>
      </c>
      <c r="M56" s="79">
        <v>0</v>
      </c>
    </row>
    <row r="57" spans="1:13">
      <c r="A57" s="79" t="s">
        <v>860</v>
      </c>
      <c r="B57" s="80" t="s">
        <v>861</v>
      </c>
      <c r="C57" s="92" t="s">
        <v>860</v>
      </c>
      <c r="D57" s="92" t="s">
        <v>738</v>
      </c>
      <c r="E57" s="79">
        <v>1</v>
      </c>
      <c r="F57" s="79">
        <v>0</v>
      </c>
      <c r="G57" s="79">
        <v>1</v>
      </c>
      <c r="H57" s="79">
        <v>0</v>
      </c>
      <c r="I57" s="79">
        <v>0</v>
      </c>
      <c r="J57" s="79">
        <v>0</v>
      </c>
      <c r="K57" s="79">
        <v>0</v>
      </c>
      <c r="L57" s="79">
        <v>0</v>
      </c>
      <c r="M57" s="79">
        <v>0</v>
      </c>
    </row>
    <row r="58" spans="1:13">
      <c r="A58" s="79" t="s">
        <v>802</v>
      </c>
      <c r="B58" s="80" t="s">
        <v>859</v>
      </c>
      <c r="C58" s="79" t="s">
        <v>802</v>
      </c>
      <c r="D58" s="79" t="s">
        <v>734</v>
      </c>
      <c r="E58" s="79">
        <v>1</v>
      </c>
      <c r="F58" s="79">
        <v>0</v>
      </c>
      <c r="G58" s="79">
        <v>0</v>
      </c>
      <c r="H58" s="79">
        <v>0</v>
      </c>
      <c r="I58" s="79">
        <v>0</v>
      </c>
      <c r="J58" s="79">
        <v>0</v>
      </c>
      <c r="K58" s="79">
        <v>0</v>
      </c>
      <c r="L58" s="79">
        <v>0</v>
      </c>
      <c r="M58" s="79">
        <v>0</v>
      </c>
    </row>
    <row r="59" spans="1:13">
      <c r="A59" s="79" t="s">
        <v>857</v>
      </c>
      <c r="B59" s="80" t="s">
        <v>858</v>
      </c>
      <c r="C59" s="79" t="s">
        <v>857</v>
      </c>
      <c r="D59" s="79" t="s">
        <v>734</v>
      </c>
      <c r="E59" s="79">
        <v>1</v>
      </c>
      <c r="F59" s="79">
        <v>0</v>
      </c>
      <c r="G59" s="79">
        <v>0</v>
      </c>
      <c r="H59" s="79">
        <v>0</v>
      </c>
      <c r="I59" s="79">
        <v>0</v>
      </c>
      <c r="J59" s="79">
        <v>0</v>
      </c>
      <c r="K59" s="79">
        <v>0</v>
      </c>
      <c r="L59" s="79">
        <v>0</v>
      </c>
      <c r="M59" s="79">
        <v>0</v>
      </c>
    </row>
    <row r="60" spans="1:13">
      <c r="A60" s="79" t="s">
        <v>855</v>
      </c>
      <c r="B60" s="80" t="s">
        <v>856</v>
      </c>
      <c r="C60" s="79" t="s">
        <v>855</v>
      </c>
      <c r="D60" s="79" t="s">
        <v>738</v>
      </c>
      <c r="E60" s="79">
        <v>1</v>
      </c>
      <c r="F60" s="79">
        <v>0</v>
      </c>
      <c r="G60" s="79">
        <v>0</v>
      </c>
      <c r="H60" s="79">
        <v>0</v>
      </c>
      <c r="I60" s="79">
        <v>0</v>
      </c>
      <c r="J60" s="79">
        <v>0</v>
      </c>
      <c r="K60" s="79">
        <v>0</v>
      </c>
      <c r="L60" s="79">
        <v>0</v>
      </c>
      <c r="M60" s="79">
        <v>0</v>
      </c>
    </row>
    <row r="61" spans="1:13">
      <c r="A61" s="79" t="s">
        <v>854</v>
      </c>
      <c r="B61" s="80" t="s">
        <v>853</v>
      </c>
      <c r="C61" s="79" t="s">
        <v>852</v>
      </c>
      <c r="D61" s="79" t="s">
        <v>851</v>
      </c>
      <c r="E61" s="79">
        <v>1</v>
      </c>
      <c r="F61" s="79">
        <v>0</v>
      </c>
      <c r="G61" s="79">
        <v>0</v>
      </c>
      <c r="H61" s="79">
        <v>0</v>
      </c>
      <c r="I61" s="79">
        <v>0</v>
      </c>
      <c r="J61" s="79">
        <v>0</v>
      </c>
      <c r="K61" s="79">
        <v>0</v>
      </c>
      <c r="L61" s="79">
        <v>0</v>
      </c>
      <c r="M61" s="79">
        <v>0</v>
      </c>
    </row>
    <row r="62" spans="1:13">
      <c r="A62" s="79" t="s">
        <v>849</v>
      </c>
      <c r="B62" s="80" t="s">
        <v>850</v>
      </c>
      <c r="C62" s="79" t="s">
        <v>849</v>
      </c>
      <c r="D62" s="79" t="s">
        <v>734</v>
      </c>
      <c r="E62" s="79">
        <v>1</v>
      </c>
      <c r="F62" s="79">
        <v>0</v>
      </c>
      <c r="G62" s="79">
        <v>0</v>
      </c>
      <c r="H62" s="79">
        <v>0</v>
      </c>
      <c r="I62" s="79">
        <v>0</v>
      </c>
      <c r="J62" s="79">
        <v>1</v>
      </c>
      <c r="K62" s="79">
        <v>0</v>
      </c>
      <c r="L62" s="79">
        <v>0</v>
      </c>
      <c r="M62" s="79">
        <v>0</v>
      </c>
    </row>
    <row r="63" spans="1:13">
      <c r="A63" s="79" t="s">
        <v>848</v>
      </c>
      <c r="B63" s="80" t="s">
        <v>847</v>
      </c>
      <c r="C63" s="79" t="s">
        <v>483</v>
      </c>
      <c r="D63" s="79" t="s">
        <v>483</v>
      </c>
      <c r="E63" s="79">
        <v>0</v>
      </c>
      <c r="F63" s="79">
        <v>1</v>
      </c>
      <c r="G63" s="79">
        <v>0</v>
      </c>
      <c r="H63" s="79">
        <v>0</v>
      </c>
      <c r="I63" s="79">
        <v>0</v>
      </c>
      <c r="J63" s="79">
        <v>0</v>
      </c>
      <c r="K63" s="79">
        <v>0</v>
      </c>
      <c r="L63" s="79">
        <v>0</v>
      </c>
      <c r="M63" s="79">
        <v>0</v>
      </c>
    </row>
    <row r="64" spans="1:13">
      <c r="A64" s="79" t="s">
        <v>846</v>
      </c>
      <c r="B64" s="80" t="s">
        <v>845</v>
      </c>
      <c r="C64" s="79" t="s">
        <v>844</v>
      </c>
      <c r="D64" s="79" t="s">
        <v>734</v>
      </c>
      <c r="E64" s="79">
        <v>1</v>
      </c>
      <c r="F64" s="79">
        <v>1</v>
      </c>
      <c r="G64" s="79">
        <v>0</v>
      </c>
      <c r="H64" s="79">
        <v>0</v>
      </c>
      <c r="I64" s="79">
        <v>0</v>
      </c>
      <c r="J64" s="79">
        <v>0</v>
      </c>
      <c r="K64" s="79">
        <v>0</v>
      </c>
      <c r="L64" s="79">
        <v>0</v>
      </c>
      <c r="M64" s="79">
        <v>0</v>
      </c>
    </row>
    <row r="65" spans="1:14">
      <c r="A65" s="79" t="s">
        <v>843</v>
      </c>
      <c r="B65" s="80" t="s">
        <v>842</v>
      </c>
      <c r="C65" s="79" t="s">
        <v>841</v>
      </c>
      <c r="D65" s="79" t="s">
        <v>734</v>
      </c>
      <c r="E65" s="79">
        <v>1</v>
      </c>
      <c r="F65" s="79">
        <v>1</v>
      </c>
      <c r="G65" s="79">
        <v>0</v>
      </c>
      <c r="H65" s="79">
        <v>0</v>
      </c>
      <c r="I65" s="79">
        <v>0</v>
      </c>
      <c r="J65" s="79">
        <v>0</v>
      </c>
      <c r="K65" s="79">
        <v>0</v>
      </c>
      <c r="L65" s="79">
        <v>0</v>
      </c>
      <c r="M65" s="79">
        <v>0</v>
      </c>
      <c r="N65" s="79" t="s">
        <v>840</v>
      </c>
    </row>
    <row r="66" spans="1:14" ht="16" customHeight="1">
      <c r="A66" s="79" t="s">
        <v>839</v>
      </c>
      <c r="B66" s="80" t="s">
        <v>838</v>
      </c>
      <c r="C66" s="79" t="s">
        <v>837</v>
      </c>
      <c r="D66" s="79" t="s">
        <v>734</v>
      </c>
      <c r="E66" s="79">
        <v>1</v>
      </c>
      <c r="F66" s="79">
        <v>2</v>
      </c>
      <c r="G66" s="79">
        <v>0</v>
      </c>
      <c r="H66" s="79">
        <v>0</v>
      </c>
      <c r="I66" s="79">
        <v>0</v>
      </c>
      <c r="J66" s="79">
        <v>0</v>
      </c>
      <c r="K66" s="79">
        <v>0</v>
      </c>
      <c r="L66" s="79">
        <v>0</v>
      </c>
      <c r="M66" s="79">
        <v>0</v>
      </c>
    </row>
    <row r="67" spans="1:14">
      <c r="A67" s="79" t="s">
        <v>836</v>
      </c>
      <c r="B67" s="80" t="s">
        <v>835</v>
      </c>
      <c r="C67" s="79" t="s">
        <v>834</v>
      </c>
      <c r="D67" s="79" t="s">
        <v>734</v>
      </c>
      <c r="E67" s="79">
        <v>1</v>
      </c>
      <c r="F67" s="91">
        <v>2</v>
      </c>
      <c r="G67" s="79">
        <v>0</v>
      </c>
      <c r="H67" s="79">
        <v>0</v>
      </c>
      <c r="I67" s="79">
        <v>0</v>
      </c>
      <c r="J67" s="79">
        <v>0</v>
      </c>
      <c r="K67" s="79">
        <v>0</v>
      </c>
      <c r="L67" s="79">
        <v>0</v>
      </c>
      <c r="M67" s="79">
        <v>0</v>
      </c>
      <c r="N67" s="79" t="s">
        <v>833</v>
      </c>
    </row>
    <row r="68" spans="1:14">
      <c r="A68" s="79" t="s">
        <v>832</v>
      </c>
      <c r="B68" s="80" t="s">
        <v>831</v>
      </c>
      <c r="C68" s="79" t="s">
        <v>830</v>
      </c>
      <c r="D68" s="79" t="s">
        <v>734</v>
      </c>
      <c r="E68" s="79">
        <v>1</v>
      </c>
      <c r="F68" s="79">
        <v>1</v>
      </c>
      <c r="G68" s="79">
        <v>0</v>
      </c>
      <c r="H68" s="79">
        <v>0</v>
      </c>
      <c r="I68" s="79">
        <v>1</v>
      </c>
      <c r="J68" s="79">
        <v>0</v>
      </c>
      <c r="K68" s="79">
        <v>0</v>
      </c>
      <c r="L68" s="79">
        <v>0</v>
      </c>
      <c r="M68" s="79">
        <v>0</v>
      </c>
    </row>
    <row r="69" spans="1:14">
      <c r="A69" s="79" t="s">
        <v>829</v>
      </c>
      <c r="B69" s="80" t="s">
        <v>828</v>
      </c>
      <c r="C69" s="79" t="s">
        <v>827</v>
      </c>
      <c r="D69" s="79" t="s">
        <v>734</v>
      </c>
      <c r="E69" s="79">
        <v>1</v>
      </c>
      <c r="F69" s="79">
        <v>1</v>
      </c>
      <c r="G69" s="79">
        <v>0</v>
      </c>
      <c r="H69" s="79">
        <v>0</v>
      </c>
      <c r="I69" s="79">
        <v>0</v>
      </c>
      <c r="J69" s="79">
        <v>1</v>
      </c>
      <c r="K69" s="79">
        <v>0</v>
      </c>
      <c r="L69" s="79">
        <v>0</v>
      </c>
      <c r="M69" s="79">
        <v>0</v>
      </c>
    </row>
    <row r="70" spans="1:14">
      <c r="A70" s="79" t="s">
        <v>826</v>
      </c>
      <c r="B70" s="80" t="s">
        <v>825</v>
      </c>
      <c r="C70" s="79" t="s">
        <v>824</v>
      </c>
      <c r="D70" s="79" t="s">
        <v>734</v>
      </c>
      <c r="E70" s="79">
        <v>1</v>
      </c>
      <c r="F70" s="79">
        <v>0</v>
      </c>
      <c r="G70" s="79">
        <v>1</v>
      </c>
      <c r="H70" s="79">
        <v>0</v>
      </c>
      <c r="I70" s="79">
        <v>1</v>
      </c>
      <c r="J70" s="79">
        <v>0</v>
      </c>
      <c r="K70" s="79">
        <v>0</v>
      </c>
      <c r="L70" s="79">
        <v>1</v>
      </c>
      <c r="M70" s="79">
        <v>0</v>
      </c>
    </row>
    <row r="71" spans="1:14">
      <c r="A71" s="79" t="s">
        <v>823</v>
      </c>
      <c r="B71" s="80" t="s">
        <v>822</v>
      </c>
      <c r="C71" s="79" t="s">
        <v>821</v>
      </c>
      <c r="D71" s="79" t="s">
        <v>734</v>
      </c>
      <c r="E71" s="79">
        <v>1</v>
      </c>
      <c r="F71" s="79">
        <v>2</v>
      </c>
      <c r="G71" s="79">
        <v>0</v>
      </c>
      <c r="H71" s="79">
        <v>0</v>
      </c>
      <c r="I71" s="79">
        <v>0</v>
      </c>
      <c r="J71" s="79">
        <v>0</v>
      </c>
      <c r="K71" s="79">
        <v>0</v>
      </c>
      <c r="L71" s="79">
        <v>0</v>
      </c>
      <c r="M71" s="79">
        <v>0</v>
      </c>
    </row>
    <row r="72" spans="1:14">
      <c r="A72" s="79" t="s">
        <v>819</v>
      </c>
      <c r="B72" s="80" t="s">
        <v>820</v>
      </c>
      <c r="C72" s="79" t="s">
        <v>819</v>
      </c>
      <c r="D72" s="79" t="s">
        <v>734</v>
      </c>
      <c r="E72" s="79">
        <v>1</v>
      </c>
      <c r="F72" s="79">
        <v>0</v>
      </c>
      <c r="G72" s="79">
        <v>0</v>
      </c>
      <c r="H72" s="79">
        <v>0</v>
      </c>
      <c r="I72" s="79">
        <v>1</v>
      </c>
      <c r="J72" s="79">
        <v>0</v>
      </c>
      <c r="K72" s="79">
        <v>0</v>
      </c>
      <c r="L72" s="79">
        <v>0</v>
      </c>
      <c r="M72" s="79">
        <v>0</v>
      </c>
    </row>
    <row r="73" spans="1:14">
      <c r="A73" s="79" t="s">
        <v>818</v>
      </c>
      <c r="B73" s="80" t="s">
        <v>817</v>
      </c>
      <c r="C73" s="79" t="s">
        <v>816</v>
      </c>
      <c r="D73" s="79" t="s">
        <v>734</v>
      </c>
      <c r="E73" s="79">
        <v>1</v>
      </c>
      <c r="F73" s="79">
        <v>2</v>
      </c>
      <c r="G73" s="79">
        <v>1</v>
      </c>
      <c r="H73" s="79">
        <v>0</v>
      </c>
      <c r="I73" s="79">
        <v>0</v>
      </c>
      <c r="J73" s="79">
        <v>0</v>
      </c>
      <c r="K73" s="79">
        <v>0</v>
      </c>
      <c r="L73" s="79">
        <v>0</v>
      </c>
      <c r="M73" s="79">
        <v>0</v>
      </c>
    </row>
    <row r="74" spans="1:14">
      <c r="A74" s="79" t="s">
        <v>815</v>
      </c>
      <c r="B74" s="80" t="s">
        <v>814</v>
      </c>
      <c r="C74" s="79" t="s">
        <v>813</v>
      </c>
      <c r="D74" s="79" t="s">
        <v>734</v>
      </c>
      <c r="E74" s="79">
        <v>1</v>
      </c>
      <c r="F74" s="79">
        <v>1</v>
      </c>
      <c r="G74" s="79">
        <v>0</v>
      </c>
      <c r="H74" s="79">
        <v>0</v>
      </c>
      <c r="I74" s="79">
        <v>1</v>
      </c>
      <c r="J74" s="79">
        <v>0</v>
      </c>
      <c r="K74" s="79">
        <v>0</v>
      </c>
      <c r="L74" s="79">
        <v>0</v>
      </c>
      <c r="M74" s="79">
        <v>0</v>
      </c>
    </row>
    <row r="75" spans="1:14">
      <c r="A75" s="79" t="s">
        <v>811</v>
      </c>
      <c r="B75" s="80" t="s">
        <v>812</v>
      </c>
      <c r="C75" s="79" t="s">
        <v>811</v>
      </c>
      <c r="D75" s="79" t="s">
        <v>734</v>
      </c>
      <c r="E75" s="79">
        <v>1</v>
      </c>
      <c r="F75" s="79">
        <v>0</v>
      </c>
      <c r="G75" s="79">
        <v>0</v>
      </c>
      <c r="H75" s="79">
        <v>0</v>
      </c>
      <c r="I75" s="79">
        <v>1</v>
      </c>
      <c r="J75" s="79">
        <v>0</v>
      </c>
      <c r="K75" s="79">
        <v>0</v>
      </c>
      <c r="L75" s="79">
        <v>0</v>
      </c>
      <c r="M75" s="79">
        <v>0</v>
      </c>
    </row>
    <row r="76" spans="1:14">
      <c r="A76" s="79" t="s">
        <v>810</v>
      </c>
      <c r="B76" s="80" t="s">
        <v>809</v>
      </c>
      <c r="C76" s="79" t="s">
        <v>808</v>
      </c>
      <c r="D76" s="79" t="s">
        <v>738</v>
      </c>
      <c r="E76" s="79">
        <v>1</v>
      </c>
      <c r="F76" s="79">
        <v>1</v>
      </c>
      <c r="G76" s="79">
        <v>0</v>
      </c>
      <c r="H76" s="79">
        <v>0</v>
      </c>
      <c r="I76" s="79">
        <v>0</v>
      </c>
      <c r="J76" s="79">
        <v>0</v>
      </c>
      <c r="K76" s="90">
        <v>1</v>
      </c>
      <c r="L76" s="79">
        <v>0</v>
      </c>
      <c r="M76" s="79">
        <v>0</v>
      </c>
    </row>
    <row r="77" spans="1:14">
      <c r="A77" s="79" t="s">
        <v>807</v>
      </c>
      <c r="B77" s="80" t="s">
        <v>806</v>
      </c>
      <c r="C77" s="79" t="s">
        <v>805</v>
      </c>
      <c r="D77" s="79" t="s">
        <v>734</v>
      </c>
      <c r="E77" s="79">
        <v>1</v>
      </c>
      <c r="F77" s="79">
        <v>1</v>
      </c>
      <c r="G77" s="79">
        <v>0</v>
      </c>
      <c r="H77" s="79">
        <v>0</v>
      </c>
      <c r="I77" s="79">
        <v>0</v>
      </c>
      <c r="J77" s="79">
        <v>0</v>
      </c>
      <c r="K77" s="79">
        <v>0</v>
      </c>
      <c r="L77" s="79">
        <v>0</v>
      </c>
      <c r="M77" s="79">
        <v>0</v>
      </c>
    </row>
    <row r="78" spans="1:14" ht="18" customHeight="1">
      <c r="A78" s="79" t="s">
        <v>804</v>
      </c>
      <c r="B78" s="80" t="s">
        <v>803</v>
      </c>
      <c r="C78" s="79" t="s">
        <v>802</v>
      </c>
      <c r="D78" s="79" t="s">
        <v>734</v>
      </c>
      <c r="E78" s="79">
        <v>1</v>
      </c>
      <c r="F78" s="79">
        <v>1</v>
      </c>
      <c r="G78" s="79">
        <v>0</v>
      </c>
      <c r="H78" s="79">
        <v>0</v>
      </c>
      <c r="I78" s="79">
        <v>0</v>
      </c>
      <c r="J78" s="79">
        <v>0</v>
      </c>
      <c r="K78" s="79">
        <v>0</v>
      </c>
      <c r="L78" s="79">
        <v>0</v>
      </c>
      <c r="M78" s="79">
        <v>0</v>
      </c>
    </row>
    <row r="79" spans="1:14">
      <c r="A79" s="79" t="s">
        <v>801</v>
      </c>
      <c r="B79" s="80" t="s">
        <v>800</v>
      </c>
      <c r="C79" s="79" t="s">
        <v>799</v>
      </c>
      <c r="D79" s="79" t="s">
        <v>734</v>
      </c>
      <c r="E79" s="79">
        <v>1</v>
      </c>
      <c r="F79" s="79">
        <v>0</v>
      </c>
      <c r="G79" s="79">
        <v>0</v>
      </c>
      <c r="H79" s="79">
        <v>0</v>
      </c>
      <c r="I79" s="79">
        <v>0</v>
      </c>
      <c r="J79" s="79">
        <v>0</v>
      </c>
      <c r="K79" s="79">
        <v>0</v>
      </c>
      <c r="L79" s="79">
        <v>0</v>
      </c>
      <c r="M79" s="79">
        <v>0</v>
      </c>
    </row>
    <row r="80" spans="1:14">
      <c r="A80" s="79" t="s">
        <v>797</v>
      </c>
      <c r="B80" s="80" t="s">
        <v>798</v>
      </c>
      <c r="C80" s="79" t="s">
        <v>797</v>
      </c>
      <c r="D80" s="79" t="s">
        <v>734</v>
      </c>
      <c r="E80" s="79">
        <v>1</v>
      </c>
      <c r="F80" s="79">
        <v>0</v>
      </c>
      <c r="G80" s="79">
        <v>0</v>
      </c>
      <c r="H80" s="79">
        <v>0</v>
      </c>
      <c r="I80" s="79">
        <v>0</v>
      </c>
      <c r="J80" s="79">
        <v>0</v>
      </c>
      <c r="K80" s="79">
        <v>0</v>
      </c>
      <c r="L80" s="79">
        <v>0</v>
      </c>
      <c r="M80" s="79">
        <v>0</v>
      </c>
    </row>
    <row r="81" spans="1:13">
      <c r="A81" s="79" t="s">
        <v>796</v>
      </c>
      <c r="B81" s="80" t="s">
        <v>795</v>
      </c>
      <c r="C81" s="79" t="s">
        <v>794</v>
      </c>
      <c r="D81" s="79" t="s">
        <v>734</v>
      </c>
      <c r="E81" s="79">
        <v>1</v>
      </c>
      <c r="F81" s="79">
        <v>1</v>
      </c>
      <c r="G81" s="79">
        <v>0</v>
      </c>
      <c r="H81" s="79">
        <v>0</v>
      </c>
      <c r="I81" s="79">
        <v>0</v>
      </c>
      <c r="J81" s="79">
        <v>0</v>
      </c>
      <c r="K81" s="79">
        <v>0</v>
      </c>
      <c r="L81" s="79">
        <v>0</v>
      </c>
      <c r="M81" s="79">
        <v>0</v>
      </c>
    </row>
    <row r="82" spans="1:13">
      <c r="A82" s="79" t="s">
        <v>792</v>
      </c>
      <c r="B82" s="80" t="s">
        <v>793</v>
      </c>
      <c r="C82" s="79" t="s">
        <v>792</v>
      </c>
      <c r="D82" s="79" t="s">
        <v>734</v>
      </c>
      <c r="E82" s="79">
        <v>1</v>
      </c>
      <c r="F82" s="79">
        <v>0</v>
      </c>
      <c r="G82" s="79">
        <v>0</v>
      </c>
      <c r="H82" s="79">
        <v>0</v>
      </c>
      <c r="I82" s="79">
        <v>1</v>
      </c>
      <c r="J82" s="79">
        <v>0</v>
      </c>
      <c r="K82" s="79">
        <v>0</v>
      </c>
      <c r="L82" s="79">
        <v>0</v>
      </c>
      <c r="M82" s="79">
        <v>0</v>
      </c>
    </row>
    <row r="83" spans="1:13">
      <c r="A83" s="79" t="s">
        <v>791</v>
      </c>
      <c r="B83" s="80" t="s">
        <v>790</v>
      </c>
      <c r="C83" s="79" t="s">
        <v>789</v>
      </c>
      <c r="D83" s="79" t="s">
        <v>734</v>
      </c>
      <c r="E83" s="79">
        <v>1</v>
      </c>
      <c r="F83" s="79">
        <v>2</v>
      </c>
      <c r="G83" s="79">
        <v>1</v>
      </c>
      <c r="H83" s="79">
        <v>0</v>
      </c>
      <c r="I83" s="79">
        <v>0</v>
      </c>
      <c r="J83" s="79">
        <v>0</v>
      </c>
      <c r="K83" s="79">
        <v>0</v>
      </c>
      <c r="L83" s="79">
        <v>0</v>
      </c>
      <c r="M83" s="79">
        <v>0</v>
      </c>
    </row>
    <row r="84" spans="1:13">
      <c r="A84" s="79" t="s">
        <v>788</v>
      </c>
      <c r="B84" s="80" t="s">
        <v>787</v>
      </c>
      <c r="C84" s="79" t="s">
        <v>786</v>
      </c>
      <c r="D84" s="79" t="s">
        <v>785</v>
      </c>
      <c r="E84" s="79">
        <v>1</v>
      </c>
      <c r="F84" s="79">
        <v>0</v>
      </c>
      <c r="G84" s="79">
        <v>0</v>
      </c>
      <c r="H84" s="79">
        <v>0</v>
      </c>
      <c r="I84" s="79">
        <v>0</v>
      </c>
      <c r="J84" s="79">
        <v>0</v>
      </c>
      <c r="K84" s="79">
        <v>0</v>
      </c>
      <c r="L84" s="79">
        <v>0</v>
      </c>
      <c r="M84" s="79">
        <v>0</v>
      </c>
    </row>
    <row r="85" spans="1:13">
      <c r="A85" s="79" t="s">
        <v>784</v>
      </c>
      <c r="B85" s="80" t="s">
        <v>783</v>
      </c>
      <c r="C85" s="79" t="s">
        <v>782</v>
      </c>
      <c r="D85" s="79" t="s">
        <v>754</v>
      </c>
      <c r="E85" s="79">
        <v>1</v>
      </c>
      <c r="F85" s="79">
        <v>0</v>
      </c>
      <c r="G85" s="79">
        <v>0</v>
      </c>
      <c r="H85" s="79">
        <v>0</v>
      </c>
      <c r="I85" s="79">
        <v>0</v>
      </c>
      <c r="J85" s="79">
        <v>0</v>
      </c>
      <c r="K85" s="79">
        <v>0</v>
      </c>
      <c r="L85" s="79">
        <v>0</v>
      </c>
      <c r="M85" s="79">
        <v>0</v>
      </c>
    </row>
    <row r="86" spans="1:13">
      <c r="A86" s="79" t="s">
        <v>781</v>
      </c>
      <c r="B86" s="80" t="s">
        <v>780</v>
      </c>
      <c r="C86" s="79" t="s">
        <v>779</v>
      </c>
      <c r="D86" s="79" t="s">
        <v>734</v>
      </c>
      <c r="E86" s="79">
        <v>1</v>
      </c>
      <c r="F86" s="79">
        <v>0</v>
      </c>
      <c r="G86" s="79">
        <v>1</v>
      </c>
      <c r="H86" s="79">
        <v>0</v>
      </c>
      <c r="I86" s="79">
        <v>0</v>
      </c>
      <c r="J86" s="79">
        <v>0</v>
      </c>
      <c r="K86" s="79">
        <v>0</v>
      </c>
      <c r="L86" s="79">
        <v>1</v>
      </c>
      <c r="M86" s="79">
        <v>0</v>
      </c>
    </row>
    <row r="87" spans="1:13">
      <c r="A87" s="79" t="s">
        <v>778</v>
      </c>
      <c r="B87" s="89" t="s">
        <v>777</v>
      </c>
      <c r="C87" s="79" t="s">
        <v>776</v>
      </c>
      <c r="D87" s="79" t="s">
        <v>734</v>
      </c>
      <c r="E87" s="79">
        <v>1</v>
      </c>
      <c r="F87" s="79">
        <v>1</v>
      </c>
      <c r="G87" s="79">
        <v>1</v>
      </c>
      <c r="H87" s="79">
        <v>0</v>
      </c>
      <c r="I87" s="79">
        <v>0</v>
      </c>
      <c r="J87" s="79">
        <v>0</v>
      </c>
      <c r="K87" s="79">
        <v>0</v>
      </c>
      <c r="L87" s="79">
        <v>0</v>
      </c>
      <c r="M87" s="79">
        <v>0</v>
      </c>
    </row>
    <row r="88" spans="1:13">
      <c r="A88" s="79" t="s">
        <v>774</v>
      </c>
      <c r="B88" s="80" t="s">
        <v>775</v>
      </c>
      <c r="C88" s="79" t="s">
        <v>774</v>
      </c>
      <c r="D88" s="79" t="s">
        <v>734</v>
      </c>
      <c r="E88" s="79">
        <v>1</v>
      </c>
      <c r="F88" s="79">
        <v>1</v>
      </c>
      <c r="G88" s="79">
        <v>0</v>
      </c>
      <c r="H88" s="79">
        <v>0</v>
      </c>
      <c r="I88" s="79">
        <v>0</v>
      </c>
      <c r="J88" s="79">
        <v>1</v>
      </c>
      <c r="K88" s="79">
        <v>0</v>
      </c>
      <c r="L88" s="79">
        <v>0</v>
      </c>
      <c r="M88" s="79">
        <v>0</v>
      </c>
    </row>
    <row r="89" spans="1:13">
      <c r="A89" s="79" t="s">
        <v>773</v>
      </c>
      <c r="B89" s="80" t="s">
        <v>772</v>
      </c>
      <c r="C89" s="79" t="s">
        <v>771</v>
      </c>
      <c r="D89" s="79" t="s">
        <v>734</v>
      </c>
      <c r="E89" s="79">
        <v>1</v>
      </c>
      <c r="F89" s="79">
        <v>1</v>
      </c>
      <c r="G89" s="79">
        <v>0</v>
      </c>
      <c r="H89" s="79">
        <v>0</v>
      </c>
      <c r="I89" s="79">
        <v>0</v>
      </c>
      <c r="J89" s="79">
        <v>0</v>
      </c>
      <c r="K89" s="79">
        <v>0</v>
      </c>
      <c r="L89" s="79">
        <v>0</v>
      </c>
      <c r="M89" s="79">
        <v>0</v>
      </c>
    </row>
    <row r="90" spans="1:13">
      <c r="A90" s="79" t="s">
        <v>770</v>
      </c>
      <c r="B90" s="80" t="s">
        <v>769</v>
      </c>
      <c r="C90" s="79" t="s">
        <v>768</v>
      </c>
      <c r="D90" s="79" t="s">
        <v>734</v>
      </c>
      <c r="E90" s="79">
        <v>1</v>
      </c>
      <c r="F90" s="79">
        <v>1</v>
      </c>
      <c r="G90" s="79">
        <v>0</v>
      </c>
      <c r="H90" s="79">
        <v>0</v>
      </c>
      <c r="I90" s="79">
        <v>0</v>
      </c>
      <c r="J90" s="79">
        <v>0</v>
      </c>
      <c r="K90" s="79">
        <v>0</v>
      </c>
      <c r="L90" s="79">
        <v>0</v>
      </c>
      <c r="M90" s="79">
        <v>0</v>
      </c>
    </row>
    <row r="91" spans="1:13">
      <c r="A91" s="79" t="s">
        <v>766</v>
      </c>
      <c r="B91" s="80" t="s">
        <v>767</v>
      </c>
      <c r="C91" s="79" t="s">
        <v>766</v>
      </c>
      <c r="D91" s="79" t="s">
        <v>734</v>
      </c>
      <c r="E91" s="79">
        <v>1</v>
      </c>
      <c r="F91" s="79">
        <v>0</v>
      </c>
      <c r="G91" s="79">
        <v>0</v>
      </c>
      <c r="H91" s="79">
        <v>0</v>
      </c>
      <c r="I91" s="79">
        <v>0</v>
      </c>
      <c r="J91" s="79">
        <v>0</v>
      </c>
      <c r="K91" s="79">
        <v>0</v>
      </c>
      <c r="L91" s="79">
        <v>0</v>
      </c>
      <c r="M91" s="79">
        <v>0</v>
      </c>
    </row>
    <row r="92" spans="1:13">
      <c r="A92" s="79" t="s">
        <v>765</v>
      </c>
      <c r="B92" s="80" t="s">
        <v>764</v>
      </c>
      <c r="C92" s="79" t="s">
        <v>763</v>
      </c>
      <c r="D92" s="79" t="s">
        <v>734</v>
      </c>
      <c r="E92" s="79">
        <v>1</v>
      </c>
      <c r="F92" s="79">
        <v>1</v>
      </c>
      <c r="G92" s="79">
        <v>1</v>
      </c>
      <c r="H92" s="79">
        <v>0</v>
      </c>
      <c r="I92" s="79">
        <v>0</v>
      </c>
      <c r="J92" s="79">
        <v>0</v>
      </c>
      <c r="K92" s="79">
        <v>0</v>
      </c>
      <c r="L92" s="79">
        <v>0</v>
      </c>
      <c r="M92" s="79">
        <v>0</v>
      </c>
    </row>
    <row r="93" spans="1:13">
      <c r="A93" s="79" t="s">
        <v>762</v>
      </c>
      <c r="B93" s="80" t="s">
        <v>761</v>
      </c>
      <c r="C93" s="79" t="s">
        <v>760</v>
      </c>
      <c r="D93" s="79" t="s">
        <v>734</v>
      </c>
      <c r="E93" s="79">
        <v>1</v>
      </c>
      <c r="F93" s="79">
        <v>1</v>
      </c>
      <c r="G93" s="79">
        <v>0</v>
      </c>
      <c r="H93" s="79">
        <v>0</v>
      </c>
      <c r="I93" s="79">
        <v>0</v>
      </c>
      <c r="J93" s="79">
        <v>0</v>
      </c>
      <c r="K93" s="79">
        <v>0</v>
      </c>
      <c r="L93" s="79">
        <v>0</v>
      </c>
      <c r="M93" s="79">
        <v>0</v>
      </c>
    </row>
    <row r="94" spans="1:13">
      <c r="A94" s="79" t="s">
        <v>758</v>
      </c>
      <c r="B94" s="80" t="s">
        <v>759</v>
      </c>
      <c r="C94" s="79" t="s">
        <v>758</v>
      </c>
      <c r="D94" s="79" t="s">
        <v>734</v>
      </c>
      <c r="E94" s="79">
        <v>1</v>
      </c>
      <c r="F94" s="79">
        <v>0</v>
      </c>
      <c r="G94" s="79">
        <v>0</v>
      </c>
      <c r="H94" s="79">
        <v>0</v>
      </c>
      <c r="I94" s="79">
        <v>0</v>
      </c>
      <c r="J94" s="79">
        <v>0</v>
      </c>
      <c r="K94" s="79">
        <v>1</v>
      </c>
      <c r="L94" s="79">
        <v>0</v>
      </c>
      <c r="M94" s="79">
        <v>0</v>
      </c>
    </row>
    <row r="95" spans="1:13">
      <c r="A95" s="79" t="s">
        <v>757</v>
      </c>
      <c r="B95" s="80" t="s">
        <v>756</v>
      </c>
      <c r="C95" s="79" t="s">
        <v>755</v>
      </c>
      <c r="D95" s="79" t="s">
        <v>754</v>
      </c>
      <c r="E95" s="79">
        <v>1</v>
      </c>
      <c r="F95" s="79">
        <v>1</v>
      </c>
      <c r="G95" s="79">
        <v>0</v>
      </c>
      <c r="H95" s="79">
        <v>0</v>
      </c>
      <c r="I95" s="79">
        <v>0</v>
      </c>
      <c r="J95" s="79">
        <v>0</v>
      </c>
      <c r="K95" s="79">
        <v>0</v>
      </c>
      <c r="L95" s="79">
        <v>0</v>
      </c>
      <c r="M95" s="79">
        <v>0</v>
      </c>
    </row>
    <row r="96" spans="1:13">
      <c r="A96" s="79" t="s">
        <v>753</v>
      </c>
      <c r="B96" s="80" t="s">
        <v>752</v>
      </c>
      <c r="C96" s="79" t="s">
        <v>751</v>
      </c>
      <c r="D96" s="79" t="s">
        <v>738</v>
      </c>
      <c r="E96" s="79">
        <v>1</v>
      </c>
      <c r="F96" s="79">
        <v>1</v>
      </c>
      <c r="G96" s="79">
        <v>0</v>
      </c>
      <c r="H96" s="79">
        <v>0</v>
      </c>
      <c r="I96" s="79">
        <v>0</v>
      </c>
      <c r="J96" s="79">
        <v>0</v>
      </c>
      <c r="K96" s="79">
        <v>0</v>
      </c>
      <c r="L96" s="79">
        <v>0</v>
      </c>
      <c r="M96" s="79">
        <v>0</v>
      </c>
    </row>
    <row r="97" spans="1:13">
      <c r="A97" s="79" t="s">
        <v>750</v>
      </c>
      <c r="B97" s="80" t="s">
        <v>749</v>
      </c>
      <c r="C97" s="79" t="s">
        <v>748</v>
      </c>
      <c r="D97" s="79" t="s">
        <v>734</v>
      </c>
      <c r="E97" s="79">
        <v>1</v>
      </c>
      <c r="F97" s="79">
        <v>2</v>
      </c>
      <c r="G97" s="79">
        <v>0</v>
      </c>
      <c r="H97" s="79">
        <v>1</v>
      </c>
      <c r="I97" s="79">
        <v>0</v>
      </c>
      <c r="J97" s="79">
        <v>0</v>
      </c>
      <c r="K97" s="79">
        <v>0</v>
      </c>
      <c r="L97" s="79">
        <v>0</v>
      </c>
      <c r="M97" s="79">
        <v>0</v>
      </c>
    </row>
    <row r="98" spans="1:13">
      <c r="A98" s="79" t="s">
        <v>747</v>
      </c>
      <c r="B98" s="79" t="s">
        <v>746</v>
      </c>
      <c r="C98" s="79" t="s">
        <v>745</v>
      </c>
      <c r="D98" s="79" t="s">
        <v>734</v>
      </c>
      <c r="E98" s="79">
        <v>1</v>
      </c>
      <c r="F98" s="79">
        <v>1</v>
      </c>
      <c r="G98" s="79">
        <v>0</v>
      </c>
      <c r="H98" s="79">
        <v>0</v>
      </c>
      <c r="I98" s="79">
        <v>0</v>
      </c>
      <c r="J98" s="79">
        <v>0</v>
      </c>
      <c r="K98" s="79">
        <v>0</v>
      </c>
      <c r="L98" s="79">
        <v>0</v>
      </c>
      <c r="M98" s="79">
        <v>0</v>
      </c>
    </row>
    <row r="99" spans="1:13">
      <c r="A99" s="79" t="s">
        <v>744</v>
      </c>
      <c r="B99" s="80" t="s">
        <v>743</v>
      </c>
      <c r="C99" s="79" t="s">
        <v>742</v>
      </c>
      <c r="D99" s="79" t="s">
        <v>734</v>
      </c>
      <c r="E99" s="79">
        <v>1</v>
      </c>
      <c r="F99" s="79">
        <v>1</v>
      </c>
      <c r="G99" s="79">
        <v>0</v>
      </c>
      <c r="H99" s="79">
        <v>0</v>
      </c>
      <c r="I99" s="79">
        <v>0</v>
      </c>
      <c r="J99" s="79">
        <v>0</v>
      </c>
      <c r="K99" s="79">
        <v>0</v>
      </c>
      <c r="L99" s="79">
        <v>0</v>
      </c>
      <c r="M99" s="79">
        <v>0</v>
      </c>
    </row>
    <row r="100" spans="1:13">
      <c r="A100" s="79" t="s">
        <v>741</v>
      </c>
      <c r="B100" s="79" t="s">
        <v>740</v>
      </c>
      <c r="C100" s="79" t="s">
        <v>739</v>
      </c>
      <c r="D100" s="79" t="s">
        <v>738</v>
      </c>
      <c r="E100" s="79">
        <v>1</v>
      </c>
      <c r="F100" s="79">
        <v>0</v>
      </c>
      <c r="G100" s="79">
        <v>0</v>
      </c>
      <c r="H100" s="79">
        <v>0</v>
      </c>
      <c r="I100" s="79">
        <v>0</v>
      </c>
      <c r="J100" s="79">
        <v>0</v>
      </c>
      <c r="K100" s="79">
        <v>0</v>
      </c>
      <c r="L100" s="79">
        <v>0</v>
      </c>
      <c r="M100" s="79">
        <v>0</v>
      </c>
    </row>
    <row r="101" spans="1:13">
      <c r="A101" s="79" t="s">
        <v>737</v>
      </c>
      <c r="B101" s="79" t="s">
        <v>736</v>
      </c>
      <c r="C101" s="79" t="s">
        <v>735</v>
      </c>
      <c r="D101" s="79" t="s">
        <v>734</v>
      </c>
      <c r="E101" s="79">
        <v>1</v>
      </c>
      <c r="F101" s="79">
        <v>1</v>
      </c>
      <c r="G101" s="79">
        <v>1</v>
      </c>
      <c r="H101" s="79">
        <v>0</v>
      </c>
      <c r="I101" s="79">
        <v>0</v>
      </c>
      <c r="J101" s="79">
        <v>0</v>
      </c>
      <c r="K101" s="79">
        <v>0</v>
      </c>
      <c r="L101" s="79">
        <v>0</v>
      </c>
      <c r="M101" s="79">
        <v>0</v>
      </c>
    </row>
    <row r="102" spans="1:13" ht="17" thickBot="1">
      <c r="A102" s="88" t="s">
        <v>733</v>
      </c>
      <c r="B102" s="87"/>
      <c r="C102" s="87"/>
      <c r="D102" s="87"/>
      <c r="E102" s="87">
        <f t="shared" ref="E102:M102" si="0">SUM(E2:E101)</f>
        <v>99</v>
      </c>
      <c r="F102" s="87">
        <f t="shared" si="0"/>
        <v>89</v>
      </c>
      <c r="G102" s="87">
        <f t="shared" si="0"/>
        <v>22</v>
      </c>
      <c r="H102" s="87">
        <f t="shared" si="0"/>
        <v>4</v>
      </c>
      <c r="I102" s="87">
        <f t="shared" si="0"/>
        <v>10</v>
      </c>
      <c r="J102" s="87">
        <f t="shared" si="0"/>
        <v>7</v>
      </c>
      <c r="K102" s="87">
        <f t="shared" si="0"/>
        <v>4</v>
      </c>
      <c r="L102" s="87">
        <f t="shared" si="0"/>
        <v>2</v>
      </c>
      <c r="M102" s="87">
        <f t="shared" si="0"/>
        <v>0</v>
      </c>
    </row>
    <row r="103" spans="1:13" ht="15" customHeight="1">
      <c r="A103" s="86" t="s">
        <v>723</v>
      </c>
      <c r="B103" s="81">
        <f>F102/E102</f>
        <v>0.89898989898989901</v>
      </c>
      <c r="C103" s="79" t="s">
        <v>728</v>
      </c>
    </row>
    <row r="104" spans="1:13">
      <c r="A104" s="85" t="s">
        <v>724</v>
      </c>
      <c r="B104" s="82">
        <f>(F102+I102)/E102</f>
        <v>1</v>
      </c>
      <c r="C104" s="79" t="s">
        <v>729</v>
      </c>
    </row>
    <row r="105" spans="1:13">
      <c r="A105" s="84" t="s">
        <v>725</v>
      </c>
      <c r="B105" s="82">
        <f>(F102+K102)/E102</f>
        <v>0.93939393939393945</v>
      </c>
      <c r="C105" s="79" t="s">
        <v>730</v>
      </c>
    </row>
    <row r="106" spans="1:13">
      <c r="A106" s="83" t="s">
        <v>726</v>
      </c>
      <c r="B106" s="82">
        <f>(F102+K102+I102)/E102</f>
        <v>1.0404040404040404</v>
      </c>
      <c r="C106" s="79" t="s">
        <v>731</v>
      </c>
    </row>
    <row r="107" spans="1:13">
      <c r="A107" s="79" t="s">
        <v>727</v>
      </c>
      <c r="B107" s="81">
        <f>I102/E102</f>
        <v>0.10101010101010101</v>
      </c>
      <c r="C107" s="79" t="s">
        <v>732</v>
      </c>
    </row>
    <row r="108" spans="1:13">
      <c r="B108" s="80"/>
    </row>
    <row r="109" spans="1:13">
      <c r="B109" s="80"/>
    </row>
    <row r="110" spans="1:13">
      <c r="B110" s="80"/>
    </row>
    <row r="111" spans="1:13">
      <c r="B111" s="80"/>
    </row>
    <row r="112" spans="1:13">
      <c r="B112" s="80"/>
    </row>
    <row r="113" spans="2:2">
      <c r="B113" s="80"/>
    </row>
    <row r="116" spans="2:2">
      <c r="B116" s="80"/>
    </row>
    <row r="118" spans="2:2">
      <c r="B118" s="80"/>
    </row>
    <row r="119" spans="2:2">
      <c r="B119" s="80"/>
    </row>
    <row r="120" spans="2:2">
      <c r="B120" s="80"/>
    </row>
    <row r="121" spans="2:2">
      <c r="B121" s="80"/>
    </row>
    <row r="122" spans="2:2">
      <c r="B122" s="80"/>
    </row>
    <row r="123" spans="2:2">
      <c r="B123" s="80"/>
    </row>
    <row r="124" spans="2:2">
      <c r="B124" s="80"/>
    </row>
    <row r="125" spans="2:2">
      <c r="B125" s="80"/>
    </row>
    <row r="126" spans="2:2">
      <c r="B126" s="80"/>
    </row>
    <row r="127" spans="2:2">
      <c r="B127" s="80"/>
    </row>
    <row r="128" spans="2:2">
      <c r="B128" s="80"/>
    </row>
    <row r="129" spans="2:2">
      <c r="B129" s="80"/>
    </row>
    <row r="130" spans="2:2">
      <c r="B130" s="80"/>
    </row>
    <row r="131" spans="2:2">
      <c r="B131" s="80"/>
    </row>
  </sheetData>
  <autoFilter ref="D1:D131" xr:uid="{A792680C-E4D7-0446-A46E-1A9724A28577}"/>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sheetPr>
  <dimension ref="A1:AV178"/>
  <sheetViews>
    <sheetView tabSelected="1" workbookViewId="0">
      <selection activeCell="P119" sqref="P119"/>
    </sheetView>
  </sheetViews>
  <sheetFormatPr baseColWidth="10" defaultColWidth="8.83203125" defaultRowHeight="15"/>
  <cols>
    <col min="1" max="1" width="8.83203125" style="1"/>
    <col min="2" max="2" width="51.33203125" style="1" customWidth="1"/>
    <col min="3" max="3" width="7.6640625" style="1" customWidth="1"/>
    <col min="4" max="4" width="9.83203125" style="12" customWidth="1"/>
    <col min="5" max="6" width="8.83203125" style="12" customWidth="1"/>
    <col min="7" max="11" width="8.83203125" style="5" customWidth="1"/>
    <col min="12" max="14" width="8.83203125" style="2" customWidth="1"/>
    <col min="15" max="18" width="8.83203125" style="3" customWidth="1"/>
    <col min="19" max="20" width="8.83203125" style="4" customWidth="1"/>
    <col min="21" max="21" width="0.1640625" style="6" customWidth="1"/>
    <col min="22" max="22" width="8.83203125" style="6" customWidth="1"/>
    <col min="23" max="26" width="8.83203125" style="7" customWidth="1"/>
    <col min="27" max="27" width="8.83203125" style="32" customWidth="1"/>
    <col min="28" max="28" width="8.83203125" style="8" customWidth="1"/>
    <col min="29" max="29" width="8.83203125" style="126" customWidth="1"/>
    <col min="30" max="30" width="8.83203125" style="125" customWidth="1"/>
    <col min="31" max="31" width="8.83203125" style="8" customWidth="1"/>
    <col min="32" max="32" width="8.83203125" customWidth="1"/>
    <col min="33" max="33" width="8.83203125" style="8" customWidth="1"/>
    <col min="34" max="34" width="12.5" style="8" customWidth="1"/>
    <col min="35" max="35" width="8.83203125" style="9" customWidth="1"/>
    <col min="36" max="36" width="3.33203125" style="136" customWidth="1"/>
    <col min="37" max="37" width="8.83203125" style="77" customWidth="1"/>
    <col min="38" max="38" width="8.83203125" customWidth="1"/>
    <col min="39" max="39" width="8.83203125" style="3" customWidth="1"/>
    <col min="40" max="43" width="8.83203125" customWidth="1"/>
  </cols>
  <sheetData>
    <row r="1" spans="1:48" s="118" customFormat="1" ht="20" thickBot="1">
      <c r="A1" s="19" t="s">
        <v>1135</v>
      </c>
      <c r="B1" s="20"/>
      <c r="C1" s="108" t="s">
        <v>2</v>
      </c>
      <c r="D1" s="117" t="s">
        <v>3</v>
      </c>
      <c r="E1" s="117" t="s">
        <v>712</v>
      </c>
      <c r="F1" s="117" t="s">
        <v>6</v>
      </c>
      <c r="G1" s="73" t="s">
        <v>4</v>
      </c>
      <c r="H1" s="21" t="s">
        <v>5</v>
      </c>
      <c r="I1" s="21" t="s">
        <v>7</v>
      </c>
      <c r="J1" s="21" t="s">
        <v>8</v>
      </c>
      <c r="K1" s="21" t="s">
        <v>9</v>
      </c>
      <c r="L1" s="22" t="s">
        <v>10</v>
      </c>
      <c r="M1" s="22" t="s">
        <v>11</v>
      </c>
      <c r="N1" s="22" t="s">
        <v>12</v>
      </c>
      <c r="O1" s="23" t="s">
        <v>13</v>
      </c>
      <c r="P1" s="23" t="s">
        <v>504</v>
      </c>
      <c r="Q1" s="23" t="s">
        <v>14</v>
      </c>
      <c r="R1" s="23" t="s">
        <v>15</v>
      </c>
      <c r="S1" s="24" t="s">
        <v>16</v>
      </c>
      <c r="T1" s="24" t="s">
        <v>17</v>
      </c>
      <c r="U1" s="25" t="s">
        <v>1062</v>
      </c>
      <c r="V1" s="25" t="s">
        <v>19</v>
      </c>
      <c r="W1" s="26" t="s">
        <v>20</v>
      </c>
      <c r="X1" s="26" t="s">
        <v>21</v>
      </c>
      <c r="Y1" s="26" t="s">
        <v>510</v>
      </c>
      <c r="Z1" s="26" t="s">
        <v>509</v>
      </c>
      <c r="AA1" s="30" t="s">
        <v>22</v>
      </c>
      <c r="AB1" s="27" t="s">
        <v>23</v>
      </c>
      <c r="AC1" s="155" t="s">
        <v>1115</v>
      </c>
      <c r="AD1" s="163" t="s">
        <v>1133</v>
      </c>
      <c r="AE1" s="158" t="s">
        <v>24</v>
      </c>
      <c r="AF1" s="118" t="s">
        <v>1116</v>
      </c>
      <c r="AG1" s="27" t="s">
        <v>25</v>
      </c>
      <c r="AH1" s="27" t="s">
        <v>26</v>
      </c>
      <c r="AI1" s="128" t="s">
        <v>27</v>
      </c>
      <c r="AJ1" s="135"/>
      <c r="AK1" s="122" t="s">
        <v>723</v>
      </c>
      <c r="AL1" t="s">
        <v>435</v>
      </c>
      <c r="AM1" s="127" t="s">
        <v>1121</v>
      </c>
      <c r="AN1" s="154" t="s">
        <v>1136</v>
      </c>
      <c r="AO1" s="123" t="s">
        <v>1137</v>
      </c>
      <c r="AP1" s="118" t="s">
        <v>1138</v>
      </c>
      <c r="AQ1" s="118" t="s">
        <v>1139</v>
      </c>
      <c r="AR1" s="123" t="s">
        <v>1140</v>
      </c>
      <c r="AS1" s="154" t="s">
        <v>1151</v>
      </c>
      <c r="AT1" s="118" t="s">
        <v>1150</v>
      </c>
      <c r="AU1" s="169" t="s">
        <v>1152</v>
      </c>
      <c r="AV1" s="123" t="s">
        <v>1153</v>
      </c>
    </row>
    <row r="2" spans="1:48">
      <c r="A2" s="103" t="s">
        <v>28</v>
      </c>
      <c r="B2" s="102" t="s">
        <v>157</v>
      </c>
      <c r="C2" s="109" t="s">
        <v>236</v>
      </c>
      <c r="D2" s="72" t="s">
        <v>334</v>
      </c>
      <c r="E2" s="72" t="s">
        <v>1056</v>
      </c>
      <c r="F2" s="72" t="s">
        <v>445</v>
      </c>
      <c r="G2" s="113" t="s">
        <v>436</v>
      </c>
      <c r="H2" s="72" t="s">
        <v>442</v>
      </c>
      <c r="I2" s="72" t="s">
        <v>452</v>
      </c>
      <c r="J2" s="72" t="s">
        <v>454</v>
      </c>
      <c r="K2" s="72">
        <v>1</v>
      </c>
      <c r="L2" s="104">
        <v>1</v>
      </c>
      <c r="M2" s="104" t="s">
        <v>457</v>
      </c>
      <c r="N2" s="104">
        <v>0</v>
      </c>
      <c r="O2" s="105" t="s">
        <v>462</v>
      </c>
      <c r="P2" s="105">
        <v>3</v>
      </c>
      <c r="Q2" s="105" t="s">
        <v>484</v>
      </c>
      <c r="R2" s="105" t="s">
        <v>484</v>
      </c>
      <c r="S2" s="106">
        <v>0</v>
      </c>
      <c r="T2" s="106">
        <v>1</v>
      </c>
      <c r="U2" s="107" t="s">
        <v>464</v>
      </c>
      <c r="V2" s="107" t="s">
        <v>466</v>
      </c>
      <c r="W2" s="69">
        <v>0</v>
      </c>
      <c r="X2" s="69">
        <v>0</v>
      </c>
      <c r="Y2" s="65" t="s">
        <v>484</v>
      </c>
      <c r="Z2" s="65" t="s">
        <v>484</v>
      </c>
      <c r="AA2" s="66">
        <v>0</v>
      </c>
      <c r="AB2" s="67" t="s">
        <v>469</v>
      </c>
      <c r="AC2" s="156" t="s">
        <v>1117</v>
      </c>
      <c r="AD2" s="125" t="str">
        <f>IF(V2&lt;&gt;"te","",
   IF(OR(AC2="",AC2&lt;&gt;"te"),
      "te_initial",
      "te_medial"))</f>
        <v/>
      </c>
      <c r="AE2" s="159" t="s">
        <v>1071</v>
      </c>
      <c r="AF2" t="s">
        <v>505</v>
      </c>
      <c r="AG2" s="67" t="s">
        <v>486</v>
      </c>
      <c r="AH2" s="67" t="s">
        <v>485</v>
      </c>
      <c r="AI2" s="129"/>
      <c r="AK2" s="77">
        <f t="shared" ref="AK2:AK65" si="0">L2/K2</f>
        <v>1</v>
      </c>
      <c r="AL2" t="str">
        <f>IF(OR(G2="LVC",
 G2="LVC (j)",
  G2="LVC (inf)"),
   "LVC","non-LVC")</f>
        <v>non-LVC</v>
      </c>
      <c r="AM2" s="105" t="str" cm="1">
        <f t="array" ref="AM2">IF(OR(O2:O159="zero_recoverable", "zero_exalt", "zero_other", "zero_uncertain"),
   "Yes","No")</f>
        <v>Yes</v>
      </c>
      <c r="AN2">
        <f>1 + COUNTIF($V1:V$2,"main")</f>
        <v>1</v>
      </c>
      <c r="AO2" t="str">
        <f>IF($A2="","",IF($AH2=$AH3,$V3,""))</f>
        <v>te</v>
      </c>
      <c r="AP2">
        <f>IF(OR($V2="relative",$V2="nominalised"),0,1)</f>
        <v>0</v>
      </c>
      <c r="AQ2">
        <f>IF(AP3=0,"",COUNTIFS($AN$2:$AN3,$AN3,$AP$2:$AP3,1))</f>
        <v>1</v>
      </c>
      <c r="AR2">
        <f>IF(AQ2=1,1,0)</f>
        <v>1</v>
      </c>
      <c r="AS2" t="s">
        <v>526</v>
      </c>
      <c r="AT2" t="s">
        <v>462</v>
      </c>
      <c r="AU2">
        <f>IF(AND($O2="overt",LEFT($AS2,5)="zero_"),1,0)</f>
        <v>1</v>
      </c>
      <c r="AV2">
        <f>IF(AND($Q2="overt",LEFT($AT2,5)="zero_"),1,0)</f>
        <v>0</v>
      </c>
    </row>
    <row r="3" spans="1:48">
      <c r="A3" s="28" t="s">
        <v>29</v>
      </c>
      <c r="B3" s="11" t="s">
        <v>158</v>
      </c>
      <c r="C3" s="110" t="s">
        <v>494</v>
      </c>
      <c r="D3" s="12" t="s">
        <v>335</v>
      </c>
      <c r="E3" s="12" t="s">
        <v>1056</v>
      </c>
      <c r="F3" s="12" t="s">
        <v>446</v>
      </c>
      <c r="G3" s="74" t="s">
        <v>434</v>
      </c>
      <c r="H3" s="12" t="s">
        <v>441</v>
      </c>
      <c r="I3" s="12" t="s">
        <v>452</v>
      </c>
      <c r="J3" s="12" t="s">
        <v>454</v>
      </c>
      <c r="K3" s="12">
        <v>1</v>
      </c>
      <c r="L3" s="13">
        <v>1</v>
      </c>
      <c r="M3" s="13" t="s">
        <v>465</v>
      </c>
      <c r="N3" s="13">
        <v>1</v>
      </c>
      <c r="O3" s="14" t="s">
        <v>526</v>
      </c>
      <c r="P3" s="14">
        <v>3</v>
      </c>
      <c r="Q3" s="14" t="s">
        <v>462</v>
      </c>
      <c r="R3" s="14" t="s">
        <v>484</v>
      </c>
      <c r="S3" s="15">
        <v>0</v>
      </c>
      <c r="T3" s="15">
        <v>0</v>
      </c>
      <c r="U3" s="16" t="s">
        <v>484</v>
      </c>
      <c r="V3" s="16" t="s">
        <v>537</v>
      </c>
      <c r="W3" s="17">
        <v>0</v>
      </c>
      <c r="X3" s="68">
        <v>0</v>
      </c>
      <c r="Y3" s="17" t="s">
        <v>520</v>
      </c>
      <c r="Z3" s="17" t="s">
        <v>518</v>
      </c>
      <c r="AA3" s="31">
        <v>1</v>
      </c>
      <c r="AB3" s="18" t="s">
        <v>470</v>
      </c>
      <c r="AC3" s="156" t="s">
        <v>466</v>
      </c>
      <c r="AD3" s="125" t="s">
        <v>1134</v>
      </c>
      <c r="AE3" s="160" t="s">
        <v>505</v>
      </c>
      <c r="AF3" t="s">
        <v>505</v>
      </c>
      <c r="AG3" s="18" t="s">
        <v>525</v>
      </c>
      <c r="AH3" s="18" t="s">
        <v>485</v>
      </c>
      <c r="AI3" s="130" t="s">
        <v>475</v>
      </c>
      <c r="AK3" s="77">
        <f t="shared" si="0"/>
        <v>1</v>
      </c>
      <c r="AL3" t="str">
        <f t="shared" ref="AL3:AL66" si="1">IF(OR(G3="LVC",
 G3="LVC (j)",
  G3="LVC (inf)"),
   "LVC","non-LVC")</f>
        <v>non-LVC</v>
      </c>
      <c r="AM3" s="105" t="str" cm="1">
        <f t="array" ref="AM3">IF(OR(O3:O160="zero_recoverable", "zero_exalt", "zero_other", "zero_uncertain"),
   "Yes","No")</f>
        <v>Yes</v>
      </c>
      <c r="AN3">
        <f>1 + COUNTIF($V2:V$2,"main")</f>
        <v>1</v>
      </c>
      <c r="AO3" t="str">
        <f t="shared" ref="AO3:AO66" si="2">IF($A3="","",IF($AH3=$AH4,$V4,""))</f>
        <v>te</v>
      </c>
      <c r="AP3">
        <f t="shared" ref="AP3:AP66" si="3">IF(OR($V3="relative",$V3="nominalised"),0,1)</f>
        <v>1</v>
      </c>
      <c r="AQ3">
        <f>IF(AP4=0,"",COUNTIFS($AN$2:$AN4,$AN4,$AP$2:$AP4,1))</f>
        <v>2</v>
      </c>
      <c r="AR3">
        <f t="shared" ref="AR3:AR66" si="4">IF(AQ3=1,1,0)</f>
        <v>0</v>
      </c>
      <c r="AS3" t="s">
        <v>526</v>
      </c>
      <c r="AT3" t="s">
        <v>462</v>
      </c>
      <c r="AU3">
        <f t="shared" ref="AU3:AU66" si="5">IF(AND($O3="overt",LEFT($AS3,5)="zero_"),1,0)</f>
        <v>0</v>
      </c>
      <c r="AV3">
        <f t="shared" ref="AV3:AV66" si="6">IF(AND($Q3="overt",LEFT($AT3,5)="zero_"),1,0)</f>
        <v>0</v>
      </c>
    </row>
    <row r="4" spans="1:48">
      <c r="A4" s="28" t="s">
        <v>30</v>
      </c>
      <c r="B4" s="11" t="s">
        <v>159</v>
      </c>
      <c r="C4" s="110" t="s">
        <v>495</v>
      </c>
      <c r="D4" s="12" t="s">
        <v>336</v>
      </c>
      <c r="E4" s="12" t="s">
        <v>1056</v>
      </c>
      <c r="F4" s="12" t="s">
        <v>446</v>
      </c>
      <c r="G4" s="74" t="s">
        <v>434</v>
      </c>
      <c r="H4" s="12" t="s">
        <v>441</v>
      </c>
      <c r="I4" s="12" t="s">
        <v>452</v>
      </c>
      <c r="J4" s="12" t="s">
        <v>454</v>
      </c>
      <c r="K4" s="12">
        <v>1</v>
      </c>
      <c r="L4" s="13">
        <v>1</v>
      </c>
      <c r="M4" s="13" t="s">
        <v>465</v>
      </c>
      <c r="N4" s="13">
        <v>0</v>
      </c>
      <c r="O4" s="14" t="s">
        <v>526</v>
      </c>
      <c r="P4" s="14">
        <v>3</v>
      </c>
      <c r="Q4" s="14" t="s">
        <v>462</v>
      </c>
      <c r="R4" s="14" t="s">
        <v>484</v>
      </c>
      <c r="S4" s="15">
        <v>0</v>
      </c>
      <c r="T4" s="15">
        <v>0</v>
      </c>
      <c r="U4" s="16" t="s">
        <v>484</v>
      </c>
      <c r="V4" s="16" t="s">
        <v>537</v>
      </c>
      <c r="W4" s="17">
        <v>0</v>
      </c>
      <c r="X4" s="68">
        <v>0</v>
      </c>
      <c r="Y4" s="17" t="s">
        <v>520</v>
      </c>
      <c r="Z4" s="17" t="s">
        <v>518</v>
      </c>
      <c r="AA4" s="31">
        <v>1</v>
      </c>
      <c r="AB4" s="18" t="s">
        <v>470</v>
      </c>
      <c r="AC4" s="156" t="s">
        <v>537</v>
      </c>
      <c r="AD4" s="125" t="str">
        <f t="shared" ref="AD3:AD66" si="7">IF(V4&lt;&gt;"te","",
   IF(OR(AC4="",AC4&lt;&gt;"te"),
      "te_initial",
      "te_medial"))</f>
        <v>te_medial</v>
      </c>
      <c r="AE4" s="160" t="s">
        <v>505</v>
      </c>
      <c r="AF4" t="s">
        <v>505</v>
      </c>
      <c r="AG4" s="18" t="s">
        <v>525</v>
      </c>
      <c r="AH4" s="18" t="s">
        <v>485</v>
      </c>
      <c r="AI4" s="130"/>
      <c r="AK4" s="77">
        <f t="shared" si="0"/>
        <v>1</v>
      </c>
      <c r="AL4" t="str">
        <f t="shared" si="1"/>
        <v>non-LVC</v>
      </c>
      <c r="AM4" s="105" t="str" cm="1">
        <f t="array" ref="AM4">IF(OR(O4:O161="zero_recoverable", "zero_exalt", "zero_other", "zero_uncertain"),
   "Yes","No")</f>
        <v>Yes</v>
      </c>
      <c r="AN4">
        <f>1 + COUNTIF($V$2:V3,"main")</f>
        <v>1</v>
      </c>
      <c r="AO4" t="str">
        <f t="shared" si="2"/>
        <v>relative</v>
      </c>
      <c r="AP4">
        <f t="shared" si="3"/>
        <v>1</v>
      </c>
      <c r="AQ4" t="str">
        <f>IF(AP5=0,"",COUNTIFS($AN$2:$AN5,$AN5,$AP$2:$AP5,1))</f>
        <v/>
      </c>
      <c r="AR4">
        <f t="shared" si="4"/>
        <v>0</v>
      </c>
      <c r="AS4" t="s">
        <v>461</v>
      </c>
      <c r="AT4" t="s">
        <v>462</v>
      </c>
      <c r="AU4">
        <f t="shared" si="5"/>
        <v>0</v>
      </c>
      <c r="AV4">
        <f t="shared" si="6"/>
        <v>0</v>
      </c>
    </row>
    <row r="5" spans="1:48">
      <c r="A5" s="28" t="s">
        <v>31</v>
      </c>
      <c r="B5" s="11" t="s">
        <v>160</v>
      </c>
      <c r="C5" s="110" t="s">
        <v>237</v>
      </c>
      <c r="D5" s="12" t="s">
        <v>337</v>
      </c>
      <c r="E5" s="12" t="s">
        <v>1056</v>
      </c>
      <c r="F5" s="12" t="s">
        <v>550</v>
      </c>
      <c r="G5" s="74" t="s">
        <v>434</v>
      </c>
      <c r="H5" s="12" t="s">
        <v>441</v>
      </c>
      <c r="I5" s="12" t="s">
        <v>452</v>
      </c>
      <c r="J5" s="12" t="s">
        <v>454</v>
      </c>
      <c r="K5" s="12">
        <v>1</v>
      </c>
      <c r="L5" s="13">
        <v>1</v>
      </c>
      <c r="M5" s="13" t="s">
        <v>465</v>
      </c>
      <c r="N5" s="13">
        <v>0</v>
      </c>
      <c r="O5" s="14" t="s">
        <v>461</v>
      </c>
      <c r="P5" s="14">
        <v>3</v>
      </c>
      <c r="Q5" s="14" t="s">
        <v>462</v>
      </c>
      <c r="R5" s="14" t="s">
        <v>484</v>
      </c>
      <c r="S5" s="15">
        <v>0</v>
      </c>
      <c r="T5" s="15">
        <v>1</v>
      </c>
      <c r="U5" s="16" t="s">
        <v>464</v>
      </c>
      <c r="V5" s="16" t="s">
        <v>466</v>
      </c>
      <c r="W5" s="17">
        <v>1</v>
      </c>
      <c r="X5" s="17">
        <v>1</v>
      </c>
      <c r="Y5" s="69" t="s">
        <v>521</v>
      </c>
      <c r="Z5" s="69" t="s">
        <v>514</v>
      </c>
      <c r="AA5" s="70">
        <v>1</v>
      </c>
      <c r="AB5" s="71" t="s">
        <v>439</v>
      </c>
      <c r="AC5" s="156" t="s">
        <v>537</v>
      </c>
      <c r="AD5" s="125" t="str">
        <f t="shared" si="7"/>
        <v/>
      </c>
      <c r="AE5" s="161" t="s">
        <v>505</v>
      </c>
      <c r="AF5" t="s">
        <v>507</v>
      </c>
      <c r="AG5" s="71" t="s">
        <v>525</v>
      </c>
      <c r="AH5" s="71" t="s">
        <v>485</v>
      </c>
      <c r="AI5" s="131" t="s">
        <v>522</v>
      </c>
      <c r="AK5" s="77">
        <f t="shared" si="0"/>
        <v>1</v>
      </c>
      <c r="AL5" t="str">
        <f t="shared" si="1"/>
        <v>non-LVC</v>
      </c>
      <c r="AM5" s="105" t="str" cm="1">
        <f t="array" ref="AM5">IF(OR(O5:O162="zero_recoverable", "zero_exalt", "zero_other", "zero_uncertain"),
   "Yes","No")</f>
        <v>Yes</v>
      </c>
      <c r="AN5">
        <f>1 + COUNTIF($V$2:V4,"main")</f>
        <v>1</v>
      </c>
      <c r="AO5" t="str">
        <f t="shared" si="2"/>
        <v>main</v>
      </c>
      <c r="AP5">
        <f t="shared" si="3"/>
        <v>0</v>
      </c>
      <c r="AQ5">
        <f>IF(AP6=0,"",COUNTIFS($AN$2:$AN6,$AN6,$AP$2:$AP6,1))</f>
        <v>3</v>
      </c>
      <c r="AR5">
        <f t="shared" si="4"/>
        <v>0</v>
      </c>
      <c r="AS5" t="s">
        <v>462</v>
      </c>
      <c r="AT5" t="s">
        <v>484</v>
      </c>
      <c r="AU5">
        <f t="shared" si="5"/>
        <v>0</v>
      </c>
      <c r="AV5">
        <f t="shared" si="6"/>
        <v>0</v>
      </c>
    </row>
    <row r="6" spans="1:48">
      <c r="A6" s="28" t="s">
        <v>32</v>
      </c>
      <c r="B6" s="11" t="s">
        <v>161</v>
      </c>
      <c r="C6" s="110" t="s">
        <v>238</v>
      </c>
      <c r="D6" s="12" t="s">
        <v>338</v>
      </c>
      <c r="E6" s="12" t="s">
        <v>1056</v>
      </c>
      <c r="F6" s="12" t="s">
        <v>445</v>
      </c>
      <c r="G6" s="74" t="s">
        <v>436</v>
      </c>
      <c r="H6" s="12" t="s">
        <v>442</v>
      </c>
      <c r="I6" s="12" t="s">
        <v>452</v>
      </c>
      <c r="J6" s="12" t="s">
        <v>454</v>
      </c>
      <c r="K6" s="12">
        <v>1</v>
      </c>
      <c r="L6" s="13">
        <v>1</v>
      </c>
      <c r="M6" s="13" t="s">
        <v>457</v>
      </c>
      <c r="N6" s="13">
        <v>0</v>
      </c>
      <c r="O6" s="14" t="s">
        <v>462</v>
      </c>
      <c r="P6" s="14">
        <v>3</v>
      </c>
      <c r="Q6" s="14" t="s">
        <v>484</v>
      </c>
      <c r="R6" s="14" t="s">
        <v>484</v>
      </c>
      <c r="S6" s="15">
        <v>0</v>
      </c>
      <c r="T6" s="15">
        <v>0</v>
      </c>
      <c r="U6" s="16" t="s">
        <v>484</v>
      </c>
      <c r="V6" s="16" t="s">
        <v>467</v>
      </c>
      <c r="W6" s="17">
        <v>0</v>
      </c>
      <c r="X6" s="17">
        <v>0</v>
      </c>
      <c r="Y6" s="17" t="s">
        <v>484</v>
      </c>
      <c r="Z6" s="17" t="s">
        <v>484</v>
      </c>
      <c r="AA6" s="31">
        <v>0</v>
      </c>
      <c r="AB6" s="18" t="s">
        <v>439</v>
      </c>
      <c r="AC6" s="156" t="s">
        <v>466</v>
      </c>
      <c r="AD6" s="125" t="str">
        <f t="shared" si="7"/>
        <v/>
      </c>
      <c r="AE6" s="160" t="s">
        <v>507</v>
      </c>
      <c r="AF6" t="s">
        <v>507</v>
      </c>
      <c r="AG6" s="18" t="s">
        <v>486</v>
      </c>
      <c r="AH6" s="18" t="s">
        <v>485</v>
      </c>
      <c r="AI6" s="132"/>
      <c r="AK6" s="77">
        <f t="shared" si="0"/>
        <v>1</v>
      </c>
      <c r="AL6" t="str">
        <f t="shared" si="1"/>
        <v>non-LVC</v>
      </c>
      <c r="AM6" s="105" t="str" cm="1">
        <f t="array" ref="AM6">IF(OR(O6:O163="zero_recoverable", "zero_exalt", "zero_other", "zero_uncertain"),
   "Yes","No")</f>
        <v>Yes</v>
      </c>
      <c r="AN6">
        <f>1 + COUNTIF($V$2:V5,"main")</f>
        <v>1</v>
      </c>
      <c r="AO6" t="str">
        <f t="shared" si="2"/>
        <v>subordinate</v>
      </c>
      <c r="AP6">
        <f t="shared" si="3"/>
        <v>1</v>
      </c>
      <c r="AQ6">
        <f>IF(AP7=0,"",COUNTIFS($AN$2:$AN7,$AN7,$AP$2:$AP7,1))</f>
        <v>1</v>
      </c>
      <c r="AR6">
        <v>0</v>
      </c>
      <c r="AS6" t="s">
        <v>461</v>
      </c>
      <c r="AT6" t="s">
        <v>462</v>
      </c>
      <c r="AU6">
        <f t="shared" si="5"/>
        <v>1</v>
      </c>
      <c r="AV6">
        <f t="shared" si="6"/>
        <v>0</v>
      </c>
    </row>
    <row r="7" spans="1:48">
      <c r="A7" s="28" t="s">
        <v>33</v>
      </c>
      <c r="B7" s="11" t="s">
        <v>162</v>
      </c>
      <c r="C7" s="110" t="s">
        <v>239</v>
      </c>
      <c r="D7" s="12" t="s">
        <v>339</v>
      </c>
      <c r="E7" s="12" t="s">
        <v>713</v>
      </c>
      <c r="F7" s="12" t="s">
        <v>550</v>
      </c>
      <c r="G7" s="74" t="s">
        <v>434</v>
      </c>
      <c r="H7" s="12" t="s">
        <v>441</v>
      </c>
      <c r="I7" s="12" t="s">
        <v>452</v>
      </c>
      <c r="J7" s="12" t="s">
        <v>454</v>
      </c>
      <c r="K7" s="12">
        <v>1</v>
      </c>
      <c r="L7" s="13">
        <v>1</v>
      </c>
      <c r="M7" s="13" t="s">
        <v>465</v>
      </c>
      <c r="N7" s="13">
        <v>1</v>
      </c>
      <c r="O7" s="14" t="s">
        <v>461</v>
      </c>
      <c r="P7" s="14">
        <v>3</v>
      </c>
      <c r="Q7" s="14" t="s">
        <v>462</v>
      </c>
      <c r="R7" s="14" t="s">
        <v>484</v>
      </c>
      <c r="S7" s="15">
        <v>0</v>
      </c>
      <c r="T7" s="15">
        <v>1</v>
      </c>
      <c r="U7" s="16" t="s">
        <v>484</v>
      </c>
      <c r="V7" s="16" t="s">
        <v>493</v>
      </c>
      <c r="W7" s="17">
        <v>0</v>
      </c>
      <c r="X7" s="17">
        <v>1</v>
      </c>
      <c r="Y7" s="17" t="s">
        <v>521</v>
      </c>
      <c r="Z7" s="17" t="s">
        <v>512</v>
      </c>
      <c r="AA7" s="31">
        <v>0</v>
      </c>
      <c r="AB7" s="18" t="s">
        <v>508</v>
      </c>
      <c r="AC7" s="156" t="s">
        <v>467</v>
      </c>
      <c r="AD7" s="125" t="str">
        <f t="shared" si="7"/>
        <v/>
      </c>
      <c r="AE7" s="160" t="s">
        <v>507</v>
      </c>
      <c r="AF7" t="s">
        <v>507</v>
      </c>
      <c r="AG7" s="18" t="s">
        <v>506</v>
      </c>
      <c r="AH7" s="18" t="s">
        <v>485</v>
      </c>
      <c r="AI7" s="132"/>
      <c r="AK7" s="77">
        <f t="shared" si="0"/>
        <v>1</v>
      </c>
      <c r="AL7" t="str">
        <f t="shared" si="1"/>
        <v>non-LVC</v>
      </c>
      <c r="AM7" s="105" t="str" cm="1">
        <f t="array" ref="AM7">IF(OR(O7:O164="zero_recoverable", "zero_exalt", "zero_other", "zero_uncertain"),
   "Yes","No")</f>
        <v>Yes</v>
      </c>
      <c r="AN7">
        <f>1 + COUNTIF($V$2:V6,"main")</f>
        <v>2</v>
      </c>
      <c r="AO7" t="str">
        <f t="shared" si="2"/>
        <v/>
      </c>
      <c r="AP7">
        <f t="shared" si="3"/>
        <v>1</v>
      </c>
      <c r="AQ7" t="str">
        <f>IF(AP8=0,"",COUNTIFS($AN$2:$AN8,$AN8,$AP$2:$AP8,1))</f>
        <v/>
      </c>
      <c r="AR7">
        <v>1</v>
      </c>
      <c r="AS7" t="s">
        <v>461</v>
      </c>
      <c r="AT7" t="s">
        <v>463</v>
      </c>
      <c r="AU7">
        <f t="shared" si="5"/>
        <v>0</v>
      </c>
      <c r="AV7">
        <f t="shared" si="6"/>
        <v>0</v>
      </c>
    </row>
    <row r="8" spans="1:48">
      <c r="A8" s="28" t="s">
        <v>34</v>
      </c>
      <c r="B8" s="11" t="s">
        <v>163</v>
      </c>
      <c r="C8" s="110" t="s">
        <v>240</v>
      </c>
      <c r="D8" s="12" t="s">
        <v>340</v>
      </c>
      <c r="E8" s="12" t="s">
        <v>1056</v>
      </c>
      <c r="F8" s="12" t="s">
        <v>550</v>
      </c>
      <c r="G8" s="74" t="s">
        <v>1068</v>
      </c>
      <c r="H8" s="12" t="s">
        <v>442</v>
      </c>
      <c r="I8" s="29" t="s">
        <v>453</v>
      </c>
      <c r="J8" s="12" t="s">
        <v>454</v>
      </c>
      <c r="K8" s="12">
        <v>1</v>
      </c>
      <c r="L8" s="13">
        <v>0</v>
      </c>
      <c r="M8" s="13" t="s">
        <v>484</v>
      </c>
      <c r="N8" s="13">
        <v>0</v>
      </c>
      <c r="O8" s="14" t="s">
        <v>461</v>
      </c>
      <c r="P8" s="14">
        <v>3</v>
      </c>
      <c r="Q8" s="14" t="s">
        <v>484</v>
      </c>
      <c r="R8" s="14" t="s">
        <v>484</v>
      </c>
      <c r="S8" s="15">
        <v>1</v>
      </c>
      <c r="T8" s="15">
        <v>0</v>
      </c>
      <c r="U8" s="16" t="s">
        <v>464</v>
      </c>
      <c r="V8" s="16" t="s">
        <v>466</v>
      </c>
      <c r="W8" s="17">
        <v>0</v>
      </c>
      <c r="X8" s="17">
        <v>1</v>
      </c>
      <c r="Y8" s="17" t="s">
        <v>524</v>
      </c>
      <c r="Z8" s="17" t="s">
        <v>523</v>
      </c>
      <c r="AA8" s="31">
        <v>0</v>
      </c>
      <c r="AB8" s="18" t="s">
        <v>439</v>
      </c>
      <c r="AC8" s="156" t="s">
        <v>493</v>
      </c>
      <c r="AD8" s="125" t="str">
        <f t="shared" si="7"/>
        <v/>
      </c>
      <c r="AE8" s="8" t="s">
        <v>507</v>
      </c>
      <c r="AF8" t="s">
        <v>505</v>
      </c>
      <c r="AG8" s="18" t="s">
        <v>525</v>
      </c>
      <c r="AH8" s="18" t="s">
        <v>474</v>
      </c>
      <c r="AI8" s="132"/>
      <c r="AK8" s="77">
        <f t="shared" si="0"/>
        <v>0</v>
      </c>
      <c r="AL8" t="str">
        <f t="shared" si="1"/>
        <v>non-LVC</v>
      </c>
      <c r="AM8" s="105" t="str" cm="1">
        <f t="array" ref="AM8">IF(OR(O8:O165="zero_recoverable", "zero_exalt", "zero_other", "zero_uncertain"),
   "Yes","No")</f>
        <v>Yes</v>
      </c>
      <c r="AN8">
        <f>1 + COUNTIF($V$2:V7,"main")</f>
        <v>2</v>
      </c>
      <c r="AO8" t="str">
        <f t="shared" si="2"/>
        <v/>
      </c>
      <c r="AP8">
        <f t="shared" si="3"/>
        <v>0</v>
      </c>
      <c r="AQ8" t="str">
        <f>IF(AP9=0,"",COUNTIFS($AN$2:$AN9,$AN9,$AP$2:$AP9,1))</f>
        <v/>
      </c>
      <c r="AR8">
        <f t="shared" si="4"/>
        <v>0</v>
      </c>
      <c r="AS8" t="s">
        <v>462</v>
      </c>
      <c r="AT8" t="s">
        <v>484</v>
      </c>
      <c r="AU8">
        <f t="shared" si="5"/>
        <v>0</v>
      </c>
      <c r="AV8">
        <f t="shared" si="6"/>
        <v>0</v>
      </c>
    </row>
    <row r="9" spans="1:48">
      <c r="A9" s="28" t="s">
        <v>35</v>
      </c>
      <c r="B9" s="11" t="s">
        <v>164</v>
      </c>
      <c r="C9" s="110" t="s">
        <v>241</v>
      </c>
      <c r="D9" s="12" t="s">
        <v>341</v>
      </c>
      <c r="E9" s="12" t="s">
        <v>1056</v>
      </c>
      <c r="F9" s="12" t="s">
        <v>445</v>
      </c>
      <c r="G9" s="74" t="s">
        <v>434</v>
      </c>
      <c r="H9" s="12" t="s">
        <v>442</v>
      </c>
      <c r="I9" s="12" t="s">
        <v>710</v>
      </c>
      <c r="J9" s="12" t="s">
        <v>454</v>
      </c>
      <c r="K9" s="12">
        <v>1</v>
      </c>
      <c r="L9" s="13">
        <v>1</v>
      </c>
      <c r="M9" s="13" t="s">
        <v>457</v>
      </c>
      <c r="N9" s="13">
        <v>1</v>
      </c>
      <c r="O9" s="14" t="s">
        <v>462</v>
      </c>
      <c r="P9" s="14">
        <v>3</v>
      </c>
      <c r="Q9" s="14" t="s">
        <v>484</v>
      </c>
      <c r="R9" s="14" t="s">
        <v>484</v>
      </c>
      <c r="S9" s="15">
        <v>0</v>
      </c>
      <c r="T9" s="15">
        <v>0</v>
      </c>
      <c r="U9" s="16" t="s">
        <v>465</v>
      </c>
      <c r="V9" s="16" t="s">
        <v>468</v>
      </c>
      <c r="W9" s="17">
        <v>0</v>
      </c>
      <c r="X9" s="17">
        <v>0</v>
      </c>
      <c r="Y9" s="17" t="s">
        <v>484</v>
      </c>
      <c r="Z9" s="17" t="s">
        <v>484</v>
      </c>
      <c r="AA9" s="31">
        <v>0</v>
      </c>
      <c r="AB9" s="18" t="s">
        <v>439</v>
      </c>
      <c r="AC9" s="156" t="s">
        <v>466</v>
      </c>
      <c r="AD9" s="125" t="str">
        <f t="shared" si="7"/>
        <v/>
      </c>
      <c r="AE9" s="160" t="s">
        <v>505</v>
      </c>
      <c r="AF9" t="s">
        <v>507</v>
      </c>
      <c r="AG9" s="18" t="s">
        <v>525</v>
      </c>
      <c r="AH9" s="18" t="s">
        <v>485</v>
      </c>
      <c r="AI9" s="132" t="s">
        <v>1061</v>
      </c>
      <c r="AK9" s="77">
        <f t="shared" si="0"/>
        <v>1</v>
      </c>
      <c r="AL9" t="str">
        <f t="shared" si="1"/>
        <v>non-LVC</v>
      </c>
      <c r="AM9" s="105" t="str" cm="1">
        <f t="array" ref="AM9">IF(OR(O9:O166="zero_recoverable", "zero_exalt", "zero_other", "zero_uncertain"),
   "Yes","No")</f>
        <v>Yes</v>
      </c>
      <c r="AN9">
        <f>1 + COUNTIF($V$2:V8,"main")</f>
        <v>2</v>
      </c>
      <c r="AO9" t="str">
        <f t="shared" si="2"/>
        <v/>
      </c>
      <c r="AP9">
        <f t="shared" si="3"/>
        <v>0</v>
      </c>
      <c r="AQ9">
        <f>IF(AP10=0,"",COUNTIFS($AN$2:$AN10,$AN10,$AP$2:$AP10,1))</f>
        <v>2</v>
      </c>
      <c r="AR9">
        <f t="shared" si="4"/>
        <v>0</v>
      </c>
      <c r="AS9" t="s">
        <v>461</v>
      </c>
      <c r="AT9" t="s">
        <v>526</v>
      </c>
      <c r="AU9">
        <f t="shared" si="5"/>
        <v>1</v>
      </c>
      <c r="AV9">
        <f t="shared" si="6"/>
        <v>0</v>
      </c>
    </row>
    <row r="10" spans="1:48">
      <c r="A10" s="28" t="s">
        <v>36</v>
      </c>
      <c r="B10" s="11" t="s">
        <v>165</v>
      </c>
      <c r="C10" s="110" t="s">
        <v>242</v>
      </c>
      <c r="D10" s="12" t="s">
        <v>342</v>
      </c>
      <c r="E10" s="12" t="s">
        <v>1056</v>
      </c>
      <c r="F10" s="12" t="s">
        <v>550</v>
      </c>
      <c r="G10" s="74" t="s">
        <v>434</v>
      </c>
      <c r="H10" s="12" t="s">
        <v>441</v>
      </c>
      <c r="I10" s="12" t="s">
        <v>452</v>
      </c>
      <c r="J10" s="12" t="s">
        <v>454</v>
      </c>
      <c r="K10" s="12">
        <v>1</v>
      </c>
      <c r="L10" s="13">
        <v>1</v>
      </c>
      <c r="M10" s="13" t="s">
        <v>465</v>
      </c>
      <c r="N10" s="13">
        <v>0</v>
      </c>
      <c r="O10" s="14" t="s">
        <v>461</v>
      </c>
      <c r="P10" s="14">
        <v>3</v>
      </c>
      <c r="Q10" s="14" t="s">
        <v>526</v>
      </c>
      <c r="R10" s="14" t="s">
        <v>526</v>
      </c>
      <c r="S10" s="15">
        <v>0</v>
      </c>
      <c r="T10" s="15">
        <v>0</v>
      </c>
      <c r="U10" s="16" t="s">
        <v>484</v>
      </c>
      <c r="V10" s="16" t="s">
        <v>467</v>
      </c>
      <c r="W10" s="17">
        <v>0</v>
      </c>
      <c r="X10" s="17">
        <v>1</v>
      </c>
      <c r="Y10" s="17" t="s">
        <v>521</v>
      </c>
      <c r="Z10" s="17" t="s">
        <v>513</v>
      </c>
      <c r="AA10" s="31">
        <v>0</v>
      </c>
      <c r="AB10" s="18" t="s">
        <v>439</v>
      </c>
      <c r="AC10" s="156" t="s">
        <v>468</v>
      </c>
      <c r="AD10" s="125" t="str">
        <f t="shared" si="7"/>
        <v/>
      </c>
      <c r="AE10" s="160" t="s">
        <v>507</v>
      </c>
      <c r="AF10" t="s">
        <v>507</v>
      </c>
      <c r="AG10" s="18" t="s">
        <v>525</v>
      </c>
      <c r="AH10" s="18" t="s">
        <v>474</v>
      </c>
      <c r="AI10" s="132"/>
      <c r="AK10" s="77">
        <f t="shared" si="0"/>
        <v>1</v>
      </c>
      <c r="AL10" t="str">
        <f t="shared" si="1"/>
        <v>non-LVC</v>
      </c>
      <c r="AM10" s="105" t="str" cm="1">
        <f t="array" ref="AM10">IF(OR(O10:O167="zero_recoverable", "zero_exalt", "zero_other", "zero_uncertain"),
   "Yes","No")</f>
        <v>Yes</v>
      </c>
      <c r="AN10">
        <f>1 + COUNTIF($V$2:V9,"main")</f>
        <v>2</v>
      </c>
      <c r="AO10" t="str">
        <f t="shared" si="2"/>
        <v/>
      </c>
      <c r="AP10">
        <f t="shared" si="3"/>
        <v>1</v>
      </c>
      <c r="AQ10" t="str">
        <f>IF(AP11=0,"",COUNTIFS($AN$2:$AN11,$AN11,$AP$2:$AP11,1))</f>
        <v/>
      </c>
      <c r="AR10">
        <f t="shared" si="4"/>
        <v>0</v>
      </c>
      <c r="AS10" t="s">
        <v>462</v>
      </c>
      <c r="AT10" t="s">
        <v>462</v>
      </c>
      <c r="AU10">
        <f t="shared" si="5"/>
        <v>0</v>
      </c>
      <c r="AV10">
        <f t="shared" si="6"/>
        <v>0</v>
      </c>
    </row>
    <row r="11" spans="1:48">
      <c r="A11" s="28" t="s">
        <v>37</v>
      </c>
      <c r="B11" s="11" t="s">
        <v>166</v>
      </c>
      <c r="C11" s="110" t="s">
        <v>243</v>
      </c>
      <c r="D11" s="12" t="s">
        <v>343</v>
      </c>
      <c r="E11" s="12" t="s">
        <v>1056</v>
      </c>
      <c r="F11" s="12" t="s">
        <v>550</v>
      </c>
      <c r="G11" s="74" t="s">
        <v>434</v>
      </c>
      <c r="H11" s="12" t="s">
        <v>441</v>
      </c>
      <c r="I11" s="12" t="s">
        <v>452</v>
      </c>
      <c r="J11" s="12" t="s">
        <v>454</v>
      </c>
      <c r="K11" s="12">
        <v>1</v>
      </c>
      <c r="L11" s="13">
        <v>2</v>
      </c>
      <c r="M11" s="13" t="s">
        <v>459</v>
      </c>
      <c r="N11" s="13">
        <v>1</v>
      </c>
      <c r="O11" s="14" t="s">
        <v>462</v>
      </c>
      <c r="P11" s="14">
        <v>3</v>
      </c>
      <c r="Q11" s="14" t="s">
        <v>462</v>
      </c>
      <c r="R11" s="14" t="s">
        <v>526</v>
      </c>
      <c r="S11" s="15">
        <v>1</v>
      </c>
      <c r="T11" s="15">
        <v>0</v>
      </c>
      <c r="U11" s="16" t="s">
        <v>464</v>
      </c>
      <c r="V11" s="16" t="s">
        <v>466</v>
      </c>
      <c r="W11" s="17">
        <v>1</v>
      </c>
      <c r="X11" s="17">
        <v>0</v>
      </c>
      <c r="Y11" s="17" t="s">
        <v>521</v>
      </c>
      <c r="Z11" s="17" t="s">
        <v>514</v>
      </c>
      <c r="AA11" s="31">
        <v>1</v>
      </c>
      <c r="AB11" s="18" t="s">
        <v>439</v>
      </c>
      <c r="AC11" s="156" t="s">
        <v>467</v>
      </c>
      <c r="AD11" s="125" t="str">
        <f t="shared" si="7"/>
        <v/>
      </c>
      <c r="AE11" s="160" t="s">
        <v>507</v>
      </c>
      <c r="AF11" t="s">
        <v>507</v>
      </c>
      <c r="AG11" s="18" t="s">
        <v>525</v>
      </c>
      <c r="AH11" s="18" t="s">
        <v>485</v>
      </c>
      <c r="AI11" s="131" t="s">
        <v>527</v>
      </c>
      <c r="AK11" s="77">
        <f t="shared" si="0"/>
        <v>2</v>
      </c>
      <c r="AL11" t="str">
        <f t="shared" si="1"/>
        <v>non-LVC</v>
      </c>
      <c r="AM11" s="105" t="str" cm="1">
        <f t="array" ref="AM11">IF(OR(O11:O168="zero_recoverable", "zero_exalt", "zero_other", "zero_uncertain"),
   "Yes","No")</f>
        <v>Yes</v>
      </c>
      <c r="AN11">
        <f>1 + COUNTIF($V$2:V10,"main")</f>
        <v>3</v>
      </c>
      <c r="AO11" t="str">
        <f t="shared" si="2"/>
        <v>main</v>
      </c>
      <c r="AP11">
        <f t="shared" si="3"/>
        <v>0</v>
      </c>
      <c r="AQ11">
        <f>IF(AP12=0,"",COUNTIFS($AN$2:$AN12,$AN12,$AP$2:$AP12,1))</f>
        <v>1</v>
      </c>
      <c r="AR11">
        <v>0</v>
      </c>
      <c r="AS11" t="s">
        <v>462</v>
      </c>
      <c r="AT11" t="s">
        <v>462</v>
      </c>
      <c r="AU11">
        <f t="shared" si="5"/>
        <v>0</v>
      </c>
      <c r="AV11">
        <f t="shared" si="6"/>
        <v>0</v>
      </c>
    </row>
    <row r="12" spans="1:48">
      <c r="A12" s="28" t="s">
        <v>38</v>
      </c>
      <c r="B12" s="11" t="s">
        <v>167</v>
      </c>
      <c r="C12" s="110" t="s">
        <v>244</v>
      </c>
      <c r="D12" s="12" t="s">
        <v>344</v>
      </c>
      <c r="E12" s="12" t="s">
        <v>1056</v>
      </c>
      <c r="F12" s="12" t="s">
        <v>447</v>
      </c>
      <c r="G12" s="74" t="s">
        <v>435</v>
      </c>
      <c r="H12" s="12" t="s">
        <v>442</v>
      </c>
      <c r="I12" s="12" t="s">
        <v>452</v>
      </c>
      <c r="J12" s="12" t="s">
        <v>454</v>
      </c>
      <c r="K12" s="12">
        <v>1</v>
      </c>
      <c r="L12" s="13">
        <v>1</v>
      </c>
      <c r="M12" s="13" t="s">
        <v>457</v>
      </c>
      <c r="N12" s="13">
        <v>2</v>
      </c>
      <c r="O12" s="14" t="s">
        <v>462</v>
      </c>
      <c r="P12" s="14">
        <v>3</v>
      </c>
      <c r="Q12" s="14" t="s">
        <v>462</v>
      </c>
      <c r="R12" s="14" t="s">
        <v>484</v>
      </c>
      <c r="S12" s="15">
        <v>0</v>
      </c>
      <c r="T12" s="15">
        <v>0</v>
      </c>
      <c r="U12" s="16" t="s">
        <v>484</v>
      </c>
      <c r="V12" s="16" t="s">
        <v>467</v>
      </c>
      <c r="W12" s="17">
        <v>0</v>
      </c>
      <c r="X12" s="17">
        <v>0</v>
      </c>
      <c r="Y12" s="17" t="s">
        <v>484</v>
      </c>
      <c r="Z12" s="17" t="s">
        <v>484</v>
      </c>
      <c r="AA12" s="31">
        <v>0</v>
      </c>
      <c r="AB12" s="18" t="s">
        <v>439</v>
      </c>
      <c r="AC12" s="156" t="s">
        <v>466</v>
      </c>
      <c r="AD12" s="125" t="str">
        <f t="shared" si="7"/>
        <v/>
      </c>
      <c r="AE12" s="160" t="s">
        <v>507</v>
      </c>
      <c r="AF12" t="s">
        <v>507</v>
      </c>
      <c r="AG12" s="18" t="s">
        <v>487</v>
      </c>
      <c r="AH12" s="18" t="s">
        <v>485</v>
      </c>
      <c r="AI12" s="132"/>
      <c r="AK12" s="77">
        <f t="shared" si="0"/>
        <v>1</v>
      </c>
      <c r="AL12" t="str">
        <f t="shared" si="1"/>
        <v>LVC</v>
      </c>
      <c r="AM12" s="105" t="str" cm="1">
        <f t="array" ref="AM12">IF(OR(O12:O169="zero_recoverable", "zero_exalt", "zero_other", "zero_uncertain"),
   "Yes","No")</f>
        <v>Yes</v>
      </c>
      <c r="AN12">
        <f>1 + COUNTIF($V$2:V11,"main")</f>
        <v>3</v>
      </c>
      <c r="AO12" t="str">
        <f t="shared" si="2"/>
        <v>inf</v>
      </c>
      <c r="AP12">
        <f t="shared" si="3"/>
        <v>1</v>
      </c>
      <c r="AQ12">
        <f>IF(AP13=0,"",COUNTIFS($AN$2:$AN13,$AN13,$AP$2:$AP13,1))</f>
        <v>1</v>
      </c>
      <c r="AR12">
        <f t="shared" si="4"/>
        <v>1</v>
      </c>
      <c r="AS12" t="s">
        <v>462</v>
      </c>
      <c r="AT12" t="s">
        <v>462</v>
      </c>
      <c r="AU12">
        <f t="shared" si="5"/>
        <v>0</v>
      </c>
      <c r="AV12">
        <f t="shared" si="6"/>
        <v>0</v>
      </c>
    </row>
    <row r="13" spans="1:48">
      <c r="A13" s="28" t="s">
        <v>39</v>
      </c>
      <c r="B13" s="11" t="s">
        <v>168</v>
      </c>
      <c r="C13" s="110" t="s">
        <v>245</v>
      </c>
      <c r="D13" s="12" t="s">
        <v>345</v>
      </c>
      <c r="E13" s="12" t="s">
        <v>1056</v>
      </c>
      <c r="F13" s="12" t="s">
        <v>448</v>
      </c>
      <c r="G13" s="74" t="s">
        <v>1069</v>
      </c>
      <c r="H13" s="12" t="s">
        <v>441</v>
      </c>
      <c r="I13" s="12" t="s">
        <v>452</v>
      </c>
      <c r="J13" s="12" t="s">
        <v>454</v>
      </c>
      <c r="K13" s="12">
        <v>1</v>
      </c>
      <c r="L13" s="13">
        <v>2</v>
      </c>
      <c r="M13" s="13" t="s">
        <v>459</v>
      </c>
      <c r="N13" s="13">
        <v>0</v>
      </c>
      <c r="O13" s="14" t="s">
        <v>462</v>
      </c>
      <c r="P13" s="14">
        <v>3</v>
      </c>
      <c r="Q13" s="14" t="s">
        <v>462</v>
      </c>
      <c r="R13" s="14" t="s">
        <v>484</v>
      </c>
      <c r="S13" s="15">
        <v>0</v>
      </c>
      <c r="T13" s="15">
        <v>0</v>
      </c>
      <c r="U13" s="16" t="s">
        <v>484</v>
      </c>
      <c r="V13" s="16" t="s">
        <v>539</v>
      </c>
      <c r="W13" s="17">
        <v>0</v>
      </c>
      <c r="X13" s="17">
        <v>0</v>
      </c>
      <c r="Y13" s="17" t="s">
        <v>484</v>
      </c>
      <c r="Z13" s="17" t="s">
        <v>484</v>
      </c>
      <c r="AA13" s="31">
        <v>0</v>
      </c>
      <c r="AB13" s="18" t="s">
        <v>439</v>
      </c>
      <c r="AC13" s="156" t="s">
        <v>467</v>
      </c>
      <c r="AD13" s="125" t="str">
        <f t="shared" si="7"/>
        <v/>
      </c>
      <c r="AE13" s="160" t="s">
        <v>507</v>
      </c>
      <c r="AF13" t="s">
        <v>505</v>
      </c>
      <c r="AG13" s="18" t="s">
        <v>486</v>
      </c>
      <c r="AH13" s="18" t="s">
        <v>485</v>
      </c>
      <c r="AI13" s="132"/>
      <c r="AK13" s="77">
        <f t="shared" si="0"/>
        <v>2</v>
      </c>
      <c r="AL13" t="str">
        <f t="shared" si="1"/>
        <v>non-LVC</v>
      </c>
      <c r="AM13" s="105" t="str" cm="1">
        <f t="array" ref="AM13">IF(OR(O13:O170="zero_recoverable", "zero_exalt", "zero_other", "zero_uncertain"),
   "Yes","No")</f>
        <v>Yes</v>
      </c>
      <c r="AN13">
        <f>1 + COUNTIF($V$2:V12,"main")</f>
        <v>4</v>
      </c>
      <c r="AO13" t="str">
        <f t="shared" si="2"/>
        <v>complement</v>
      </c>
      <c r="AP13">
        <f t="shared" si="3"/>
        <v>1</v>
      </c>
      <c r="AQ13">
        <f>IF(AP14=0,"",COUNTIFS($AN$2:$AN14,$AN14,$AP$2:$AP14,1))</f>
        <v>2</v>
      </c>
      <c r="AR13">
        <f t="shared" si="4"/>
        <v>0</v>
      </c>
      <c r="AS13" t="s">
        <v>526</v>
      </c>
      <c r="AT13" t="s">
        <v>462</v>
      </c>
      <c r="AU13">
        <f t="shared" si="5"/>
        <v>1</v>
      </c>
      <c r="AV13">
        <f t="shared" si="6"/>
        <v>0</v>
      </c>
    </row>
    <row r="14" spans="1:48">
      <c r="A14" s="28" t="s">
        <v>40</v>
      </c>
      <c r="B14" s="11" t="s">
        <v>169</v>
      </c>
      <c r="C14" s="110" t="s">
        <v>246</v>
      </c>
      <c r="D14" s="12" t="s">
        <v>346</v>
      </c>
      <c r="E14" s="12" t="s">
        <v>715</v>
      </c>
      <c r="F14" s="12" t="s">
        <v>446</v>
      </c>
      <c r="G14" s="74" t="s">
        <v>435</v>
      </c>
      <c r="H14" s="12" t="s">
        <v>441</v>
      </c>
      <c r="I14" s="12" t="s">
        <v>452</v>
      </c>
      <c r="J14" s="12" t="s">
        <v>454</v>
      </c>
      <c r="K14" s="12">
        <v>1</v>
      </c>
      <c r="L14" s="13">
        <v>1</v>
      </c>
      <c r="M14" s="13" t="s">
        <v>465</v>
      </c>
      <c r="N14" s="13">
        <v>1</v>
      </c>
      <c r="O14" s="14" t="s">
        <v>526</v>
      </c>
      <c r="P14" s="14">
        <v>3</v>
      </c>
      <c r="Q14" s="14" t="s">
        <v>462</v>
      </c>
      <c r="R14" s="14" t="s">
        <v>484</v>
      </c>
      <c r="S14" s="15">
        <v>0</v>
      </c>
      <c r="T14" s="15">
        <v>0</v>
      </c>
      <c r="U14" s="16" t="s">
        <v>484</v>
      </c>
      <c r="V14" s="16" t="s">
        <v>1064</v>
      </c>
      <c r="W14" s="17">
        <v>0</v>
      </c>
      <c r="X14" s="17">
        <v>0</v>
      </c>
      <c r="Y14" s="17" t="s">
        <v>484</v>
      </c>
      <c r="Z14" s="17" t="s">
        <v>484</v>
      </c>
      <c r="AA14" s="31">
        <v>0</v>
      </c>
      <c r="AB14" s="18" t="s">
        <v>471</v>
      </c>
      <c r="AC14" s="156" t="s">
        <v>539</v>
      </c>
      <c r="AD14" s="125" t="str">
        <f t="shared" si="7"/>
        <v/>
      </c>
      <c r="AE14" s="160" t="s">
        <v>505</v>
      </c>
      <c r="AF14" t="s">
        <v>507</v>
      </c>
      <c r="AG14" s="18" t="s">
        <v>487</v>
      </c>
      <c r="AH14" s="18" t="s">
        <v>485</v>
      </c>
      <c r="AI14" s="131"/>
      <c r="AK14" s="77">
        <f t="shared" si="0"/>
        <v>1</v>
      </c>
      <c r="AL14" t="str">
        <f t="shared" si="1"/>
        <v>LVC</v>
      </c>
      <c r="AM14" s="105" t="str" cm="1">
        <f t="array" ref="AM14">IF(OR(O14:O171="zero_recoverable", "zero_exalt", "zero_other", "zero_uncertain"),
   "Yes","No")</f>
        <v>Yes</v>
      </c>
      <c r="AN14">
        <f>1 + COUNTIF($V$2:V13,"main")</f>
        <v>4</v>
      </c>
      <c r="AO14" t="str">
        <f t="shared" si="2"/>
        <v/>
      </c>
      <c r="AP14">
        <f t="shared" si="3"/>
        <v>1</v>
      </c>
      <c r="AQ14">
        <f>IF(AP15=0,"",COUNTIFS($AN$2:$AN15,$AN15,$AP$2:$AP15,1))</f>
        <v>3</v>
      </c>
      <c r="AR14">
        <f t="shared" si="4"/>
        <v>0</v>
      </c>
      <c r="AS14" t="s">
        <v>462</v>
      </c>
      <c r="AT14" t="s">
        <v>484</v>
      </c>
      <c r="AU14">
        <f t="shared" si="5"/>
        <v>0</v>
      </c>
      <c r="AV14">
        <f t="shared" si="6"/>
        <v>0</v>
      </c>
    </row>
    <row r="15" spans="1:48">
      <c r="A15" s="28" t="s">
        <v>41</v>
      </c>
      <c r="B15" s="11" t="s">
        <v>170</v>
      </c>
      <c r="C15" s="110" t="s">
        <v>247</v>
      </c>
      <c r="D15" s="12" t="s">
        <v>347</v>
      </c>
      <c r="E15" s="12" t="s">
        <v>1056</v>
      </c>
      <c r="F15" s="12" t="s">
        <v>449</v>
      </c>
      <c r="G15" s="74" t="s">
        <v>435</v>
      </c>
      <c r="H15" s="12" t="s">
        <v>442</v>
      </c>
      <c r="I15" s="29" t="s">
        <v>453</v>
      </c>
      <c r="J15" s="12" t="s">
        <v>454</v>
      </c>
      <c r="K15" s="12">
        <v>1</v>
      </c>
      <c r="L15" s="13">
        <v>1</v>
      </c>
      <c r="M15" s="13" t="s">
        <v>532</v>
      </c>
      <c r="N15" s="13">
        <v>0</v>
      </c>
      <c r="O15" s="14" t="s">
        <v>462</v>
      </c>
      <c r="P15" s="14" t="s">
        <v>484</v>
      </c>
      <c r="Q15" s="14" t="s">
        <v>484</v>
      </c>
      <c r="R15" s="14" t="s">
        <v>484</v>
      </c>
      <c r="S15" s="15">
        <v>0</v>
      </c>
      <c r="T15" s="15">
        <v>0</v>
      </c>
      <c r="U15" s="16" t="s">
        <v>484</v>
      </c>
      <c r="V15" s="16" t="s">
        <v>467</v>
      </c>
      <c r="W15" s="17">
        <v>0</v>
      </c>
      <c r="X15" s="17">
        <v>0</v>
      </c>
      <c r="Y15" s="17" t="s">
        <v>484</v>
      </c>
      <c r="Z15" s="17" t="s">
        <v>484</v>
      </c>
      <c r="AA15" s="31">
        <v>0</v>
      </c>
      <c r="AB15" s="18" t="s">
        <v>439</v>
      </c>
      <c r="AC15" s="156" t="s">
        <v>1064</v>
      </c>
      <c r="AD15" s="125" t="str">
        <f t="shared" si="7"/>
        <v/>
      </c>
      <c r="AE15" s="160" t="s">
        <v>507</v>
      </c>
      <c r="AF15" t="s">
        <v>507</v>
      </c>
      <c r="AG15" s="18" t="s">
        <v>525</v>
      </c>
      <c r="AH15" s="36" t="s">
        <v>533</v>
      </c>
      <c r="AI15" s="131"/>
      <c r="AK15" s="77">
        <f t="shared" si="0"/>
        <v>1</v>
      </c>
      <c r="AL15" t="str">
        <f t="shared" si="1"/>
        <v>LVC</v>
      </c>
      <c r="AM15" s="105" t="str" cm="1">
        <f t="array" ref="AM15">IF(OR(O15:O172="zero_recoverable", "zero_exalt", "zero_other", "zero_uncertain"),
   "Yes","No")</f>
        <v>Yes</v>
      </c>
      <c r="AN15">
        <f>1 + COUNTIF($V$2:V14,"main")</f>
        <v>4</v>
      </c>
      <c r="AO15" t="str">
        <f t="shared" si="2"/>
        <v>te</v>
      </c>
      <c r="AP15">
        <f t="shared" si="3"/>
        <v>1</v>
      </c>
      <c r="AQ15">
        <f>IF(AP16=0,"",COUNTIFS($AN$2:$AN16,$AN16,$AP$2:$AP16,1))</f>
        <v>1</v>
      </c>
      <c r="AR15">
        <v>0</v>
      </c>
      <c r="AS15" t="s">
        <v>462</v>
      </c>
      <c r="AT15" t="s">
        <v>462</v>
      </c>
      <c r="AU15">
        <f t="shared" si="5"/>
        <v>0</v>
      </c>
      <c r="AV15">
        <f t="shared" si="6"/>
        <v>0</v>
      </c>
    </row>
    <row r="16" spans="1:48">
      <c r="A16" s="28" t="s">
        <v>42</v>
      </c>
      <c r="B16" s="11" t="s">
        <v>171</v>
      </c>
      <c r="C16" s="110" t="s">
        <v>248</v>
      </c>
      <c r="D16" s="12" t="s">
        <v>348</v>
      </c>
      <c r="E16" s="12" t="s">
        <v>1056</v>
      </c>
      <c r="F16" s="12" t="s">
        <v>450</v>
      </c>
      <c r="G16" s="74" t="s">
        <v>1069</v>
      </c>
      <c r="H16" s="12" t="s">
        <v>441</v>
      </c>
      <c r="I16" s="12" t="s">
        <v>452</v>
      </c>
      <c r="J16" s="12" t="s">
        <v>454</v>
      </c>
      <c r="K16" s="12">
        <v>1</v>
      </c>
      <c r="L16" s="13">
        <v>2</v>
      </c>
      <c r="M16" s="13" t="s">
        <v>465</v>
      </c>
      <c r="N16" s="13">
        <v>0</v>
      </c>
      <c r="O16" s="14" t="s">
        <v>462</v>
      </c>
      <c r="P16" s="14">
        <v>3</v>
      </c>
      <c r="Q16" s="14" t="s">
        <v>462</v>
      </c>
      <c r="R16" s="14" t="s">
        <v>484</v>
      </c>
      <c r="S16" s="15">
        <v>0</v>
      </c>
      <c r="T16" s="15">
        <v>0</v>
      </c>
      <c r="U16" s="16" t="s">
        <v>484</v>
      </c>
      <c r="V16" s="16" t="s">
        <v>537</v>
      </c>
      <c r="W16" s="17">
        <v>0</v>
      </c>
      <c r="X16" s="17">
        <v>0</v>
      </c>
      <c r="Y16" s="17" t="s">
        <v>484</v>
      </c>
      <c r="Z16" s="17" t="s">
        <v>484</v>
      </c>
      <c r="AA16" s="31">
        <v>0</v>
      </c>
      <c r="AB16" s="18" t="s">
        <v>470</v>
      </c>
      <c r="AC16" s="156" t="s">
        <v>467</v>
      </c>
      <c r="AD16" s="125" t="str">
        <f t="shared" si="7"/>
        <v>te_initial</v>
      </c>
      <c r="AE16" s="160" t="s">
        <v>507</v>
      </c>
      <c r="AF16" t="s">
        <v>507</v>
      </c>
      <c r="AG16" s="18" t="s">
        <v>506</v>
      </c>
      <c r="AH16" s="18" t="s">
        <v>533</v>
      </c>
      <c r="AI16" s="131"/>
      <c r="AK16" s="77">
        <f t="shared" si="0"/>
        <v>2</v>
      </c>
      <c r="AL16" t="str">
        <f t="shared" si="1"/>
        <v>non-LVC</v>
      </c>
      <c r="AM16" s="105" t="str" cm="1">
        <f t="array" ref="AM16">IF(OR(O16:O173="zero_recoverable", "zero_exalt", "zero_other", "zero_uncertain"),
   "Yes","No")</f>
        <v>Yes</v>
      </c>
      <c r="AN16">
        <f>1 + COUNTIF($V$2:V15,"main")</f>
        <v>5</v>
      </c>
      <c r="AO16" t="str">
        <f t="shared" si="2"/>
        <v/>
      </c>
      <c r="AP16">
        <f t="shared" si="3"/>
        <v>1</v>
      </c>
      <c r="AQ16">
        <f>IF(AP17=0,"",COUNTIFS($AN$2:$AN17,$AN17,$AP$2:$AP17,1))</f>
        <v>2</v>
      </c>
      <c r="AR16">
        <v>1</v>
      </c>
      <c r="AS16" t="s">
        <v>462</v>
      </c>
      <c r="AT16" t="s">
        <v>484</v>
      </c>
      <c r="AU16">
        <f t="shared" si="5"/>
        <v>0</v>
      </c>
      <c r="AV16">
        <f t="shared" si="6"/>
        <v>0</v>
      </c>
    </row>
    <row r="17" spans="1:48">
      <c r="A17" s="28" t="s">
        <v>43</v>
      </c>
      <c r="B17" s="11" t="s">
        <v>172</v>
      </c>
      <c r="C17" s="110" t="s">
        <v>249</v>
      </c>
      <c r="D17" s="12" t="s">
        <v>349</v>
      </c>
      <c r="E17" s="12" t="s">
        <v>1056</v>
      </c>
      <c r="F17" s="12" t="s">
        <v>446</v>
      </c>
      <c r="G17" s="74" t="s">
        <v>436</v>
      </c>
      <c r="H17" s="12" t="s">
        <v>442</v>
      </c>
      <c r="I17" s="12" t="s">
        <v>452</v>
      </c>
      <c r="J17" s="12" t="s">
        <v>455</v>
      </c>
      <c r="K17" s="12">
        <v>1</v>
      </c>
      <c r="L17" s="13">
        <v>1</v>
      </c>
      <c r="M17" s="13" t="s">
        <v>457</v>
      </c>
      <c r="N17" s="13">
        <v>0</v>
      </c>
      <c r="O17" s="14" t="s">
        <v>462</v>
      </c>
      <c r="P17" s="14">
        <v>1</v>
      </c>
      <c r="Q17" s="14" t="s">
        <v>484</v>
      </c>
      <c r="R17" s="14" t="s">
        <v>484</v>
      </c>
      <c r="S17" s="15">
        <v>0</v>
      </c>
      <c r="T17" s="15">
        <v>0</v>
      </c>
      <c r="U17" s="16" t="s">
        <v>484</v>
      </c>
      <c r="V17" s="16" t="s">
        <v>493</v>
      </c>
      <c r="W17" s="17">
        <v>0</v>
      </c>
      <c r="X17" s="17">
        <v>0</v>
      </c>
      <c r="Y17" s="17" t="s">
        <v>484</v>
      </c>
      <c r="Z17" s="17" t="s">
        <v>484</v>
      </c>
      <c r="AA17" s="31">
        <v>0</v>
      </c>
      <c r="AB17" s="18" t="s">
        <v>470</v>
      </c>
      <c r="AC17" s="156" t="s">
        <v>537</v>
      </c>
      <c r="AD17" s="125" t="str">
        <f t="shared" si="7"/>
        <v/>
      </c>
      <c r="AE17" s="160" t="s">
        <v>507</v>
      </c>
      <c r="AF17" t="s">
        <v>505</v>
      </c>
      <c r="AG17" s="18" t="s">
        <v>506</v>
      </c>
      <c r="AH17" s="18" t="s">
        <v>485</v>
      </c>
      <c r="AI17" s="131"/>
      <c r="AK17" s="77">
        <f t="shared" si="0"/>
        <v>1</v>
      </c>
      <c r="AL17" t="str">
        <f t="shared" si="1"/>
        <v>non-LVC</v>
      </c>
      <c r="AM17" s="105" t="str" cm="1">
        <f t="array" ref="AM17">IF(OR(O17:O174="zero_recoverable", "zero_exalt", "zero_other", "zero_uncertain"),
   "Yes","No")</f>
        <v>Yes</v>
      </c>
      <c r="AN17">
        <f>1 + COUNTIF($V$2:V16,"main")</f>
        <v>5</v>
      </c>
      <c r="AO17" t="str">
        <f t="shared" si="2"/>
        <v>te</v>
      </c>
      <c r="AP17">
        <f t="shared" si="3"/>
        <v>1</v>
      </c>
      <c r="AQ17">
        <f>IF(AP18=0,"",COUNTIFS($AN$2:$AN18,$AN18,$AP$2:$AP18,1))</f>
        <v>3</v>
      </c>
      <c r="AR17">
        <f t="shared" si="4"/>
        <v>0</v>
      </c>
      <c r="AS17" t="s">
        <v>526</v>
      </c>
      <c r="AT17" t="s">
        <v>484</v>
      </c>
      <c r="AU17">
        <f t="shared" si="5"/>
        <v>1</v>
      </c>
      <c r="AV17">
        <f t="shared" si="6"/>
        <v>0</v>
      </c>
    </row>
    <row r="18" spans="1:48">
      <c r="A18" s="28" t="s">
        <v>44</v>
      </c>
      <c r="B18" s="11" t="s">
        <v>173</v>
      </c>
      <c r="C18" s="110" t="s">
        <v>250</v>
      </c>
      <c r="D18" s="12" t="s">
        <v>350</v>
      </c>
      <c r="E18" s="12" t="s">
        <v>1056</v>
      </c>
      <c r="F18" s="12" t="s">
        <v>446</v>
      </c>
      <c r="G18" s="74" t="s">
        <v>434</v>
      </c>
      <c r="H18" s="12" t="s">
        <v>442</v>
      </c>
      <c r="I18" s="29" t="s">
        <v>452</v>
      </c>
      <c r="J18" s="12" t="s">
        <v>454</v>
      </c>
      <c r="K18" s="12">
        <v>1</v>
      </c>
      <c r="L18" s="13">
        <v>1</v>
      </c>
      <c r="M18" s="13" t="s">
        <v>457</v>
      </c>
      <c r="N18" s="13">
        <v>1</v>
      </c>
      <c r="O18" s="14" t="s">
        <v>526</v>
      </c>
      <c r="P18" s="14">
        <v>1</v>
      </c>
      <c r="Q18" s="14" t="s">
        <v>484</v>
      </c>
      <c r="R18" s="14" t="s">
        <v>484</v>
      </c>
      <c r="S18" s="15">
        <v>0</v>
      </c>
      <c r="T18" s="15">
        <v>0</v>
      </c>
      <c r="U18" s="16" t="s">
        <v>484</v>
      </c>
      <c r="V18" s="16" t="s">
        <v>537</v>
      </c>
      <c r="W18" s="17">
        <v>0</v>
      </c>
      <c r="X18" s="17">
        <v>0</v>
      </c>
      <c r="Y18" s="17" t="s">
        <v>484</v>
      </c>
      <c r="Z18" s="17" t="s">
        <v>484</v>
      </c>
      <c r="AA18" s="31">
        <v>0</v>
      </c>
      <c r="AB18" s="18" t="s">
        <v>470</v>
      </c>
      <c r="AC18" s="156" t="s">
        <v>493</v>
      </c>
      <c r="AD18" s="125" t="s">
        <v>1134</v>
      </c>
      <c r="AE18" s="160" t="s">
        <v>505</v>
      </c>
      <c r="AF18" t="s">
        <v>505</v>
      </c>
      <c r="AG18" s="18" t="s">
        <v>525</v>
      </c>
      <c r="AH18" s="18" t="s">
        <v>485</v>
      </c>
      <c r="AI18" s="131"/>
      <c r="AK18" s="77">
        <f t="shared" si="0"/>
        <v>1</v>
      </c>
      <c r="AL18" t="str">
        <f t="shared" si="1"/>
        <v>non-LVC</v>
      </c>
      <c r="AM18" s="105" t="str" cm="1">
        <f t="array" ref="AM18">IF(OR(O18:O175="zero_recoverable", "zero_exalt", "zero_other", "zero_uncertain"),
   "Yes","No")</f>
        <v>Yes</v>
      </c>
      <c r="AN18">
        <f>1 + COUNTIF($V$2:V17,"main")</f>
        <v>5</v>
      </c>
      <c r="AO18" t="str">
        <f t="shared" si="2"/>
        <v>relative</v>
      </c>
      <c r="AP18">
        <f t="shared" si="3"/>
        <v>1</v>
      </c>
      <c r="AQ18" t="str">
        <f>IF(AP19=0,"",COUNTIFS($AN$2:$AN19,$AN19,$AP$2:$AP19,1))</f>
        <v/>
      </c>
      <c r="AR18">
        <f t="shared" si="4"/>
        <v>0</v>
      </c>
      <c r="AS18" t="s">
        <v>526</v>
      </c>
      <c r="AT18" t="s">
        <v>484</v>
      </c>
      <c r="AU18">
        <f t="shared" si="5"/>
        <v>0</v>
      </c>
      <c r="AV18">
        <f t="shared" si="6"/>
        <v>0</v>
      </c>
    </row>
    <row r="19" spans="1:48">
      <c r="A19" s="28" t="s">
        <v>45</v>
      </c>
      <c r="B19" s="11" t="s">
        <v>174</v>
      </c>
      <c r="C19" s="110" t="s">
        <v>251</v>
      </c>
      <c r="D19" s="12" t="s">
        <v>351</v>
      </c>
      <c r="E19" s="12" t="s">
        <v>1057</v>
      </c>
      <c r="F19" s="12" t="s">
        <v>446</v>
      </c>
      <c r="G19" s="74" t="s">
        <v>434</v>
      </c>
      <c r="H19" s="12" t="s">
        <v>442</v>
      </c>
      <c r="I19" s="12" t="s">
        <v>452</v>
      </c>
      <c r="J19" s="12" t="s">
        <v>454</v>
      </c>
      <c r="K19" s="12">
        <v>1</v>
      </c>
      <c r="L19" s="13">
        <v>1</v>
      </c>
      <c r="M19" s="13" t="s">
        <v>456</v>
      </c>
      <c r="N19" s="13">
        <v>1</v>
      </c>
      <c r="O19" s="14" t="s">
        <v>526</v>
      </c>
      <c r="P19" s="14" t="s">
        <v>484</v>
      </c>
      <c r="Q19" s="14" t="s">
        <v>484</v>
      </c>
      <c r="R19" s="14" t="s">
        <v>462</v>
      </c>
      <c r="S19" s="15">
        <v>0</v>
      </c>
      <c r="T19" s="15">
        <v>1</v>
      </c>
      <c r="U19" s="16" t="s">
        <v>484</v>
      </c>
      <c r="V19" s="16" t="s">
        <v>466</v>
      </c>
      <c r="W19" s="17">
        <v>0</v>
      </c>
      <c r="X19" s="17">
        <v>0</v>
      </c>
      <c r="Y19" s="17" t="s">
        <v>484</v>
      </c>
      <c r="Z19" s="17" t="s">
        <v>484</v>
      </c>
      <c r="AA19" s="31">
        <v>0</v>
      </c>
      <c r="AB19" s="18" t="s">
        <v>439</v>
      </c>
      <c r="AC19" s="156" t="s">
        <v>537</v>
      </c>
      <c r="AD19" s="125" t="str">
        <f t="shared" si="7"/>
        <v/>
      </c>
      <c r="AE19" s="160" t="s">
        <v>505</v>
      </c>
      <c r="AF19" t="s">
        <v>507</v>
      </c>
      <c r="AG19" s="18" t="s">
        <v>525</v>
      </c>
      <c r="AH19" s="18" t="s">
        <v>485</v>
      </c>
      <c r="AI19" s="131"/>
      <c r="AK19" s="77">
        <f t="shared" si="0"/>
        <v>1</v>
      </c>
      <c r="AL19" t="str">
        <f t="shared" si="1"/>
        <v>non-LVC</v>
      </c>
      <c r="AM19" s="105" t="str" cm="1">
        <f t="array" ref="AM19">IF(OR(O19:O176="zero_recoverable", "zero_exalt", "zero_other", "zero_uncertain"),
   "Yes","No")</f>
        <v>Yes</v>
      </c>
      <c r="AN19">
        <f>1 + COUNTIF($V$2:V18,"main")</f>
        <v>5</v>
      </c>
      <c r="AO19" t="str">
        <f t="shared" si="2"/>
        <v>main</v>
      </c>
      <c r="AP19">
        <f t="shared" si="3"/>
        <v>0</v>
      </c>
      <c r="AQ19">
        <f>IF(AP20=0,"",COUNTIFS($AN$2:$AN20,$AN20,$AP$2:$AP20,1))</f>
        <v>4</v>
      </c>
      <c r="AR19">
        <f t="shared" si="4"/>
        <v>0</v>
      </c>
      <c r="AS19" t="s">
        <v>462</v>
      </c>
      <c r="AT19" t="s">
        <v>484</v>
      </c>
      <c r="AU19">
        <f t="shared" si="5"/>
        <v>0</v>
      </c>
      <c r="AV19">
        <f t="shared" si="6"/>
        <v>0</v>
      </c>
    </row>
    <row r="20" spans="1:48">
      <c r="A20" s="28" t="s">
        <v>46</v>
      </c>
      <c r="B20" s="11" t="s">
        <v>175</v>
      </c>
      <c r="C20" s="110" t="s">
        <v>252</v>
      </c>
      <c r="D20" s="12" t="s">
        <v>536</v>
      </c>
      <c r="E20" s="12" t="s">
        <v>1057</v>
      </c>
      <c r="F20" s="12" t="s">
        <v>448</v>
      </c>
      <c r="G20" s="74" t="s">
        <v>438</v>
      </c>
      <c r="H20" s="12" t="s">
        <v>442</v>
      </c>
      <c r="I20" s="12" t="s">
        <v>452</v>
      </c>
      <c r="J20" s="12" t="s">
        <v>454</v>
      </c>
      <c r="K20" s="12">
        <v>1</v>
      </c>
      <c r="L20" s="13">
        <v>1</v>
      </c>
      <c r="M20" s="13" t="s">
        <v>457</v>
      </c>
      <c r="N20" s="13">
        <v>1</v>
      </c>
      <c r="O20" s="14" t="s">
        <v>462</v>
      </c>
      <c r="P20" s="14">
        <v>3</v>
      </c>
      <c r="Q20" s="14" t="s">
        <v>484</v>
      </c>
      <c r="R20" s="14" t="s">
        <v>484</v>
      </c>
      <c r="S20" s="15">
        <v>0</v>
      </c>
      <c r="T20" s="15">
        <v>0</v>
      </c>
      <c r="U20" s="16" t="s">
        <v>484</v>
      </c>
      <c r="V20" s="16" t="s">
        <v>467</v>
      </c>
      <c r="W20" s="17">
        <v>0</v>
      </c>
      <c r="X20" s="17">
        <v>0</v>
      </c>
      <c r="Y20" s="17" t="s">
        <v>484</v>
      </c>
      <c r="Z20" s="17" t="s">
        <v>484</v>
      </c>
      <c r="AA20" s="31">
        <v>0</v>
      </c>
      <c r="AB20" s="18" t="s">
        <v>439</v>
      </c>
      <c r="AC20" s="156" t="s">
        <v>466</v>
      </c>
      <c r="AD20" s="125" t="str">
        <f t="shared" si="7"/>
        <v/>
      </c>
      <c r="AE20" s="160" t="s">
        <v>507</v>
      </c>
      <c r="AF20">
        <v>0</v>
      </c>
      <c r="AG20" s="18" t="s">
        <v>525</v>
      </c>
      <c r="AH20" s="18" t="s">
        <v>485</v>
      </c>
      <c r="AI20" s="131"/>
      <c r="AK20" s="77">
        <f t="shared" si="0"/>
        <v>1</v>
      </c>
      <c r="AL20" t="str">
        <f t="shared" si="1"/>
        <v>non-LVC</v>
      </c>
      <c r="AM20" s="105" t="str" cm="1">
        <f t="array" ref="AM20">IF(OR(O20:O177="zero_recoverable", "zero_exalt", "zero_other", "zero_uncertain"),
   "Yes","No")</f>
        <v>Yes</v>
      </c>
      <c r="AN20">
        <f>1 + COUNTIF($V$2:V19,"main")</f>
        <v>5</v>
      </c>
      <c r="AO20" t="str">
        <f t="shared" si="2"/>
        <v/>
      </c>
      <c r="AP20">
        <f t="shared" si="3"/>
        <v>1</v>
      </c>
      <c r="AQ20">
        <f>IF(AP21=0,"",COUNTIFS($AN$2:$AN21,$AN21,$AP$2:$AP21,1))</f>
        <v>1</v>
      </c>
      <c r="AR20">
        <v>0</v>
      </c>
      <c r="AU20">
        <f t="shared" si="5"/>
        <v>0</v>
      </c>
      <c r="AV20">
        <f t="shared" si="6"/>
        <v>0</v>
      </c>
    </row>
    <row r="21" spans="1:48">
      <c r="A21" s="28" t="s">
        <v>47</v>
      </c>
      <c r="B21" s="11" t="s">
        <v>176</v>
      </c>
      <c r="C21" s="110" t="s">
        <v>253</v>
      </c>
      <c r="D21" s="12" t="s">
        <v>352</v>
      </c>
      <c r="E21" s="12" t="s">
        <v>1056</v>
      </c>
      <c r="F21" s="12" t="s">
        <v>446</v>
      </c>
      <c r="G21" s="74"/>
      <c r="H21" s="12"/>
      <c r="I21" s="12"/>
      <c r="J21" s="12"/>
      <c r="K21" s="12"/>
      <c r="L21" s="13"/>
      <c r="M21" s="13"/>
      <c r="N21" s="13"/>
      <c r="O21" s="14"/>
      <c r="P21" s="14"/>
      <c r="Q21" s="14" t="s">
        <v>484</v>
      </c>
      <c r="R21" s="14" t="s">
        <v>484</v>
      </c>
      <c r="S21" s="15"/>
      <c r="T21" s="15"/>
      <c r="U21" s="16"/>
      <c r="V21" s="16"/>
      <c r="W21" s="17"/>
      <c r="X21" s="17"/>
      <c r="Y21" s="17"/>
      <c r="Z21" s="17"/>
      <c r="AA21" s="31"/>
      <c r="AB21" s="18"/>
      <c r="AC21" s="156" t="s">
        <v>467</v>
      </c>
      <c r="AD21" s="125" t="str">
        <f t="shared" si="7"/>
        <v/>
      </c>
      <c r="AE21" s="160"/>
      <c r="AF21" t="s">
        <v>505</v>
      </c>
      <c r="AG21" s="18"/>
      <c r="AH21" s="18"/>
      <c r="AI21" s="131"/>
      <c r="AL21" t="str">
        <f t="shared" si="1"/>
        <v>non-LVC</v>
      </c>
      <c r="AM21" s="105" t="str" cm="1">
        <f t="array" ref="AM21">IF(OR(O21:O178="zero_recoverable", "zero_exalt", "zero_other", "zero_uncertain"),
   "Yes","No")</f>
        <v>Yes</v>
      </c>
      <c r="AN21">
        <f>1 + COUNTIF($V$2:V20,"main")</f>
        <v>6</v>
      </c>
      <c r="AO21" t="str">
        <f t="shared" si="2"/>
        <v/>
      </c>
      <c r="AP21">
        <f t="shared" si="3"/>
        <v>1</v>
      </c>
      <c r="AQ21">
        <f>IF(AP22=0,"",COUNTIFS($AN$2:$AN22,$AN22,$AP$2:$AP22,1))</f>
        <v>2</v>
      </c>
      <c r="AR21">
        <f t="shared" si="4"/>
        <v>0</v>
      </c>
      <c r="AS21" t="s">
        <v>526</v>
      </c>
      <c r="AT21" t="s">
        <v>462</v>
      </c>
      <c r="AU21">
        <f t="shared" si="5"/>
        <v>0</v>
      </c>
      <c r="AV21">
        <f t="shared" si="6"/>
        <v>0</v>
      </c>
    </row>
    <row r="22" spans="1:48">
      <c r="A22" s="28" t="s">
        <v>48</v>
      </c>
      <c r="B22" s="11" t="s">
        <v>177</v>
      </c>
      <c r="C22" s="110" t="s">
        <v>254</v>
      </c>
      <c r="D22" s="12" t="s">
        <v>353</v>
      </c>
      <c r="E22" s="12" t="s">
        <v>1056</v>
      </c>
      <c r="F22" s="12" t="s">
        <v>446</v>
      </c>
      <c r="G22" s="74" t="s">
        <v>435</v>
      </c>
      <c r="H22" s="12" t="s">
        <v>441</v>
      </c>
      <c r="I22" s="12" t="s">
        <v>452</v>
      </c>
      <c r="J22" s="12" t="s">
        <v>454</v>
      </c>
      <c r="K22" s="12">
        <v>1</v>
      </c>
      <c r="L22" s="13">
        <v>1</v>
      </c>
      <c r="M22" s="13" t="s">
        <v>465</v>
      </c>
      <c r="N22" s="13">
        <v>0</v>
      </c>
      <c r="O22" s="14" t="s">
        <v>526</v>
      </c>
      <c r="P22" s="14">
        <v>1</v>
      </c>
      <c r="Q22" s="14" t="s">
        <v>462</v>
      </c>
      <c r="R22" s="14" t="s">
        <v>484</v>
      </c>
      <c r="S22" s="15">
        <v>0</v>
      </c>
      <c r="T22" s="15">
        <v>0</v>
      </c>
      <c r="U22" s="16" t="s">
        <v>484</v>
      </c>
      <c r="V22" s="16" t="s">
        <v>537</v>
      </c>
      <c r="W22" s="17">
        <v>0</v>
      </c>
      <c r="X22" s="17">
        <v>0</v>
      </c>
      <c r="Y22" s="17" t="s">
        <v>484</v>
      </c>
      <c r="Z22" s="17" t="s">
        <v>484</v>
      </c>
      <c r="AA22" s="31">
        <v>0</v>
      </c>
      <c r="AB22" s="18" t="s">
        <v>470</v>
      </c>
      <c r="AC22" s="156">
        <v>0</v>
      </c>
      <c r="AD22" s="125" t="s">
        <v>1134</v>
      </c>
      <c r="AE22" s="160" t="s">
        <v>505</v>
      </c>
      <c r="AF22" t="s">
        <v>505</v>
      </c>
      <c r="AG22" s="18" t="s">
        <v>525</v>
      </c>
      <c r="AH22" s="18" t="s">
        <v>485</v>
      </c>
      <c r="AI22" s="131"/>
      <c r="AK22" s="77">
        <f t="shared" si="0"/>
        <v>1</v>
      </c>
      <c r="AL22" t="str">
        <f t="shared" si="1"/>
        <v>LVC</v>
      </c>
      <c r="AM22" s="105" t="str" cm="1">
        <f t="array" ref="AM22">IF(OR(O22:O179="zero_recoverable", "zero_exalt", "zero_other", "zero_uncertain"),
   "Yes","No")</f>
        <v>Yes</v>
      </c>
      <c r="AN22">
        <f>1 + COUNTIF($V$2:V21,"main")</f>
        <v>6</v>
      </c>
      <c r="AO22" t="str">
        <f t="shared" si="2"/>
        <v>complement</v>
      </c>
      <c r="AP22">
        <f t="shared" si="3"/>
        <v>1</v>
      </c>
      <c r="AQ22">
        <f>IF(AP23=0,"",COUNTIFS($AN$2:$AN23,$AN23,$AP$2:$AP23,1))</f>
        <v>3</v>
      </c>
      <c r="AR22">
        <f t="shared" si="4"/>
        <v>0</v>
      </c>
      <c r="AS22" t="s">
        <v>461</v>
      </c>
      <c r="AT22" t="s">
        <v>484</v>
      </c>
      <c r="AU22">
        <f t="shared" si="5"/>
        <v>0</v>
      </c>
      <c r="AV22">
        <f t="shared" si="6"/>
        <v>0</v>
      </c>
    </row>
    <row r="23" spans="1:48">
      <c r="A23" s="28" t="s">
        <v>49</v>
      </c>
      <c r="B23" s="11" t="s">
        <v>178</v>
      </c>
      <c r="C23" s="110" t="s">
        <v>538</v>
      </c>
      <c r="D23" s="12" t="s">
        <v>354</v>
      </c>
      <c r="E23" s="12" t="s">
        <v>714</v>
      </c>
      <c r="F23" s="12" t="s">
        <v>550</v>
      </c>
      <c r="G23" s="74" t="s">
        <v>434</v>
      </c>
      <c r="H23" s="12" t="s">
        <v>442</v>
      </c>
      <c r="I23" s="12" t="s">
        <v>452</v>
      </c>
      <c r="J23" s="12" t="s">
        <v>454</v>
      </c>
      <c r="K23" s="12">
        <v>1</v>
      </c>
      <c r="L23" s="13">
        <v>1</v>
      </c>
      <c r="M23" s="13" t="s">
        <v>456</v>
      </c>
      <c r="N23" s="13">
        <v>0</v>
      </c>
      <c r="O23" s="14" t="s">
        <v>461</v>
      </c>
      <c r="P23" s="14">
        <v>1</v>
      </c>
      <c r="Q23" s="14" t="s">
        <v>484</v>
      </c>
      <c r="R23" s="14" t="s">
        <v>462</v>
      </c>
      <c r="S23" s="15">
        <v>0</v>
      </c>
      <c r="T23" s="15">
        <v>0</v>
      </c>
      <c r="U23" s="16" t="s">
        <v>484</v>
      </c>
      <c r="V23" s="16" t="s">
        <v>1064</v>
      </c>
      <c r="W23" s="17">
        <v>1</v>
      </c>
      <c r="X23" s="17">
        <v>1</v>
      </c>
      <c r="Y23" s="17" t="s">
        <v>521</v>
      </c>
      <c r="Z23" s="17" t="s">
        <v>513</v>
      </c>
      <c r="AA23" s="31">
        <v>0</v>
      </c>
      <c r="AB23" s="18" t="s">
        <v>439</v>
      </c>
      <c r="AC23" s="156" t="s">
        <v>537</v>
      </c>
      <c r="AD23" s="125" t="str">
        <f t="shared" si="7"/>
        <v/>
      </c>
      <c r="AE23" s="160" t="s">
        <v>505</v>
      </c>
      <c r="AF23" t="s">
        <v>507</v>
      </c>
      <c r="AG23" s="18" t="s">
        <v>525</v>
      </c>
      <c r="AH23" s="18" t="s">
        <v>485</v>
      </c>
      <c r="AI23" s="131"/>
      <c r="AK23" s="77">
        <f t="shared" si="0"/>
        <v>1</v>
      </c>
      <c r="AL23" t="str">
        <f t="shared" si="1"/>
        <v>non-LVC</v>
      </c>
      <c r="AM23" s="105" t="str" cm="1">
        <f t="array" ref="AM23">IF(OR(O23:O180="zero_recoverable", "zero_exalt", "zero_other", "zero_uncertain"),
   "Yes","No")</f>
        <v>Yes</v>
      </c>
      <c r="AN23">
        <f>1 + COUNTIF($V$2:V22,"main")</f>
        <v>6</v>
      </c>
      <c r="AO23" t="str">
        <f t="shared" si="2"/>
        <v>main</v>
      </c>
      <c r="AP23">
        <f t="shared" si="3"/>
        <v>1</v>
      </c>
      <c r="AQ23">
        <f>IF(AP24=0,"",COUNTIFS($AN$2:$AN24,$AN24,$AP$2:$AP24,1))</f>
        <v>4</v>
      </c>
      <c r="AR23">
        <f t="shared" si="4"/>
        <v>0</v>
      </c>
      <c r="AS23" t="s">
        <v>462</v>
      </c>
      <c r="AT23" t="s">
        <v>484</v>
      </c>
      <c r="AU23">
        <f t="shared" si="5"/>
        <v>0</v>
      </c>
      <c r="AV23">
        <f t="shared" si="6"/>
        <v>0</v>
      </c>
    </row>
    <row r="24" spans="1:48">
      <c r="A24" s="28" t="s">
        <v>50</v>
      </c>
      <c r="B24" s="11" t="s">
        <v>179</v>
      </c>
      <c r="C24" s="110" t="s">
        <v>255</v>
      </c>
      <c r="D24" s="12" t="s">
        <v>355</v>
      </c>
      <c r="E24" s="12" t="s">
        <v>1056</v>
      </c>
      <c r="F24" s="12" t="s">
        <v>445</v>
      </c>
      <c r="G24" s="74" t="s">
        <v>437</v>
      </c>
      <c r="H24" s="12" t="s">
        <v>442</v>
      </c>
      <c r="I24" s="12" t="s">
        <v>452</v>
      </c>
      <c r="J24" s="12" t="s">
        <v>454</v>
      </c>
      <c r="K24" s="12">
        <v>1</v>
      </c>
      <c r="L24" s="13">
        <v>1</v>
      </c>
      <c r="M24" s="13" t="s">
        <v>457</v>
      </c>
      <c r="N24" s="13">
        <v>1</v>
      </c>
      <c r="O24" s="14" t="s">
        <v>462</v>
      </c>
      <c r="P24" s="14">
        <v>3</v>
      </c>
      <c r="Q24" s="14" t="s">
        <v>484</v>
      </c>
      <c r="R24" s="14" t="s">
        <v>484</v>
      </c>
      <c r="S24" s="15">
        <v>0</v>
      </c>
      <c r="T24" s="15">
        <v>0</v>
      </c>
      <c r="U24" s="16" t="s">
        <v>484</v>
      </c>
      <c r="V24" s="16" t="s">
        <v>467</v>
      </c>
      <c r="W24" s="17">
        <v>0</v>
      </c>
      <c r="X24" s="17">
        <v>0</v>
      </c>
      <c r="Y24" s="17" t="s">
        <v>484</v>
      </c>
      <c r="Z24" s="17" t="s">
        <v>484</v>
      </c>
      <c r="AA24" s="31">
        <v>0</v>
      </c>
      <c r="AB24" s="18" t="s">
        <v>439</v>
      </c>
      <c r="AC24" s="156" t="s">
        <v>1064</v>
      </c>
      <c r="AD24" s="125" t="str">
        <f t="shared" si="7"/>
        <v/>
      </c>
      <c r="AE24" s="160" t="s">
        <v>507</v>
      </c>
      <c r="AF24" t="s">
        <v>505</v>
      </c>
      <c r="AG24" s="18" t="s">
        <v>525</v>
      </c>
      <c r="AH24" s="18" t="s">
        <v>485</v>
      </c>
      <c r="AI24" s="132" t="s">
        <v>1074</v>
      </c>
      <c r="AK24" s="77">
        <f t="shared" si="0"/>
        <v>1</v>
      </c>
      <c r="AL24" t="str">
        <f t="shared" si="1"/>
        <v>non-LVC</v>
      </c>
      <c r="AM24" s="105" t="str" cm="1">
        <f t="array" ref="AM24">IF(OR(O24:O181="zero_recoverable", "zero_exalt", "zero_other", "zero_uncertain"),
   "Yes","No")</f>
        <v>Yes</v>
      </c>
      <c r="AN24">
        <f>1 + COUNTIF($V$2:V23,"main")</f>
        <v>6</v>
      </c>
      <c r="AO24" t="str">
        <f t="shared" si="2"/>
        <v>inf</v>
      </c>
      <c r="AP24">
        <f t="shared" si="3"/>
        <v>1</v>
      </c>
      <c r="AQ24">
        <f>IF(AP25=0,"",COUNTIFS($AN$2:$AN25,$AN25,$AP$2:$AP25,1))</f>
        <v>1</v>
      </c>
      <c r="AR24">
        <v>0</v>
      </c>
      <c r="AS24" t="s">
        <v>526</v>
      </c>
      <c r="AT24" t="s">
        <v>462</v>
      </c>
      <c r="AU24">
        <f t="shared" si="5"/>
        <v>1</v>
      </c>
      <c r="AV24">
        <f t="shared" si="6"/>
        <v>0</v>
      </c>
    </row>
    <row r="25" spans="1:48">
      <c r="A25" s="28" t="s">
        <v>51</v>
      </c>
      <c r="B25" s="11" t="s">
        <v>180</v>
      </c>
      <c r="C25" s="110" t="s">
        <v>256</v>
      </c>
      <c r="D25" s="12" t="s">
        <v>356</v>
      </c>
      <c r="E25" s="12" t="s">
        <v>1056</v>
      </c>
      <c r="F25" s="12" t="s">
        <v>446</v>
      </c>
      <c r="G25" s="74" t="s">
        <v>435</v>
      </c>
      <c r="H25" s="12" t="s">
        <v>441</v>
      </c>
      <c r="I25" s="12" t="s">
        <v>452</v>
      </c>
      <c r="J25" s="12" t="s">
        <v>454</v>
      </c>
      <c r="K25" s="12">
        <v>1</v>
      </c>
      <c r="L25" s="13">
        <v>1</v>
      </c>
      <c r="M25" s="13" t="s">
        <v>465</v>
      </c>
      <c r="N25" s="13">
        <v>1</v>
      </c>
      <c r="O25" s="14" t="s">
        <v>526</v>
      </c>
      <c r="P25" s="14">
        <v>3</v>
      </c>
      <c r="Q25" s="14" t="s">
        <v>462</v>
      </c>
      <c r="R25" s="14" t="s">
        <v>484</v>
      </c>
      <c r="S25" s="15">
        <v>0</v>
      </c>
      <c r="T25" s="15">
        <v>0</v>
      </c>
      <c r="U25" s="16" t="s">
        <v>484</v>
      </c>
      <c r="V25" s="16" t="s">
        <v>539</v>
      </c>
      <c r="W25" s="17">
        <v>0</v>
      </c>
      <c r="X25" s="17">
        <v>0</v>
      </c>
      <c r="Y25" s="17" t="s">
        <v>484</v>
      </c>
      <c r="Z25" s="17" t="s">
        <v>484</v>
      </c>
      <c r="AA25" s="31">
        <v>0</v>
      </c>
      <c r="AB25" s="18" t="s">
        <v>439</v>
      </c>
      <c r="AC25" s="156" t="s">
        <v>467</v>
      </c>
      <c r="AD25" s="125" t="str">
        <f t="shared" si="7"/>
        <v/>
      </c>
      <c r="AE25" s="160" t="s">
        <v>505</v>
      </c>
      <c r="AF25" t="s">
        <v>505</v>
      </c>
      <c r="AG25" s="18" t="s">
        <v>525</v>
      </c>
      <c r="AH25" s="18" t="s">
        <v>485</v>
      </c>
      <c r="AI25" s="132"/>
      <c r="AK25" s="77">
        <f t="shared" si="0"/>
        <v>1</v>
      </c>
      <c r="AL25" t="str">
        <f t="shared" si="1"/>
        <v>LVC</v>
      </c>
      <c r="AM25" s="105" t="str" cm="1">
        <f t="array" ref="AM25">IF(OR(O25:O182="zero_recoverable", "zero_exalt", "zero_other", "zero_uncertain"),
   "Yes","No")</f>
        <v>Yes</v>
      </c>
      <c r="AN25">
        <f>1 + COUNTIF($V$2:V24,"main")</f>
        <v>7</v>
      </c>
      <c r="AO25" t="str">
        <f t="shared" si="2"/>
        <v>inf</v>
      </c>
      <c r="AP25">
        <f t="shared" si="3"/>
        <v>1</v>
      </c>
      <c r="AQ25">
        <f>IF(AP26=0,"",COUNTIFS($AN$2:$AN26,$AN26,$AP$2:$AP26,1))</f>
        <v>2</v>
      </c>
      <c r="AR25">
        <v>1</v>
      </c>
      <c r="AS25" t="s">
        <v>526</v>
      </c>
      <c r="AT25" t="s">
        <v>526</v>
      </c>
      <c r="AU25">
        <f t="shared" si="5"/>
        <v>0</v>
      </c>
      <c r="AV25">
        <f t="shared" si="6"/>
        <v>1</v>
      </c>
    </row>
    <row r="26" spans="1:48">
      <c r="A26" s="28" t="s">
        <v>52</v>
      </c>
      <c r="B26" s="11" t="s">
        <v>181</v>
      </c>
      <c r="C26" s="110" t="s">
        <v>257</v>
      </c>
      <c r="D26" s="12" t="s">
        <v>357</v>
      </c>
      <c r="E26" s="12" t="s">
        <v>1056</v>
      </c>
      <c r="F26" s="12" t="s">
        <v>446</v>
      </c>
      <c r="G26" s="74" t="s">
        <v>434</v>
      </c>
      <c r="H26" s="12" t="s">
        <v>441</v>
      </c>
      <c r="I26" s="12" t="s">
        <v>452</v>
      </c>
      <c r="J26" s="12" t="s">
        <v>454</v>
      </c>
      <c r="K26" s="12">
        <v>1</v>
      </c>
      <c r="L26" s="13">
        <v>1</v>
      </c>
      <c r="M26" s="13" t="s">
        <v>456</v>
      </c>
      <c r="N26" s="13">
        <v>1</v>
      </c>
      <c r="O26" s="14" t="s">
        <v>526</v>
      </c>
      <c r="P26" s="14">
        <v>3</v>
      </c>
      <c r="Q26" s="14" t="s">
        <v>526</v>
      </c>
      <c r="R26" s="14" t="s">
        <v>462</v>
      </c>
      <c r="S26" s="15">
        <v>0</v>
      </c>
      <c r="T26" s="15">
        <v>0</v>
      </c>
      <c r="U26" s="16" t="s">
        <v>484</v>
      </c>
      <c r="V26" s="16" t="s">
        <v>539</v>
      </c>
      <c r="W26" s="17">
        <v>0</v>
      </c>
      <c r="X26" s="17">
        <v>0</v>
      </c>
      <c r="Y26" s="17" t="s">
        <v>484</v>
      </c>
      <c r="Z26" s="17" t="s">
        <v>484</v>
      </c>
      <c r="AA26" s="31">
        <v>0</v>
      </c>
      <c r="AB26" s="18" t="s">
        <v>439</v>
      </c>
      <c r="AC26" s="156" t="s">
        <v>539</v>
      </c>
      <c r="AD26" s="125" t="str">
        <f t="shared" si="7"/>
        <v/>
      </c>
      <c r="AE26" s="160" t="s">
        <v>505</v>
      </c>
      <c r="AF26" t="s">
        <v>505</v>
      </c>
      <c r="AG26" s="18" t="s">
        <v>525</v>
      </c>
      <c r="AH26" s="18" t="s">
        <v>485</v>
      </c>
      <c r="AI26" s="132"/>
      <c r="AK26" s="77">
        <f t="shared" si="0"/>
        <v>1</v>
      </c>
      <c r="AL26" t="str">
        <f t="shared" si="1"/>
        <v>non-LVC</v>
      </c>
      <c r="AM26" s="105" t="str" cm="1">
        <f t="array" ref="AM26">IF(OR(O26:O183="zero_recoverable", "zero_exalt", "zero_other", "zero_uncertain"),
   "Yes","No")</f>
        <v>Yes</v>
      </c>
      <c r="AN26">
        <f>1 + COUNTIF($V$2:V25,"main")</f>
        <v>7</v>
      </c>
      <c r="AO26" t="str">
        <f t="shared" si="2"/>
        <v>te</v>
      </c>
      <c r="AP26">
        <f t="shared" si="3"/>
        <v>1</v>
      </c>
      <c r="AQ26">
        <f>IF(AP27=0,"",COUNTIFS($AN$2:$AN27,$AN27,$AP$2:$AP27,1))</f>
        <v>3</v>
      </c>
      <c r="AR26">
        <f t="shared" si="4"/>
        <v>0</v>
      </c>
      <c r="AS26" t="s">
        <v>526</v>
      </c>
      <c r="AT26" t="s">
        <v>484</v>
      </c>
      <c r="AU26">
        <f t="shared" si="5"/>
        <v>0</v>
      </c>
      <c r="AV26">
        <f t="shared" si="6"/>
        <v>0</v>
      </c>
    </row>
    <row r="27" spans="1:48">
      <c r="A27" s="28" t="s">
        <v>53</v>
      </c>
      <c r="B27" s="11" t="s">
        <v>182</v>
      </c>
      <c r="C27" s="110" t="s">
        <v>258</v>
      </c>
      <c r="D27" s="12" t="s">
        <v>358</v>
      </c>
      <c r="E27" s="12" t="s">
        <v>1056</v>
      </c>
      <c r="F27" s="12" t="s">
        <v>446</v>
      </c>
      <c r="G27" s="74" t="s">
        <v>434</v>
      </c>
      <c r="H27" s="12" t="s">
        <v>442</v>
      </c>
      <c r="I27" s="12" t="s">
        <v>452</v>
      </c>
      <c r="J27" s="12" t="s">
        <v>454</v>
      </c>
      <c r="K27" s="12">
        <v>1</v>
      </c>
      <c r="L27" s="13">
        <v>1</v>
      </c>
      <c r="M27" s="13" t="s">
        <v>456</v>
      </c>
      <c r="N27" s="13">
        <v>1</v>
      </c>
      <c r="O27" s="14" t="s">
        <v>526</v>
      </c>
      <c r="P27" s="14">
        <v>3</v>
      </c>
      <c r="Q27" s="14" t="s">
        <v>484</v>
      </c>
      <c r="R27" s="14" t="s">
        <v>462</v>
      </c>
      <c r="S27" s="15">
        <v>0</v>
      </c>
      <c r="T27" s="15">
        <v>0</v>
      </c>
      <c r="U27" s="16" t="s">
        <v>484</v>
      </c>
      <c r="V27" s="16" t="s">
        <v>537</v>
      </c>
      <c r="W27" s="17">
        <v>0</v>
      </c>
      <c r="X27" s="17">
        <v>0</v>
      </c>
      <c r="Y27" s="17" t="s">
        <v>484</v>
      </c>
      <c r="Z27" s="17" t="s">
        <v>484</v>
      </c>
      <c r="AA27" s="31">
        <v>0</v>
      </c>
      <c r="AB27" s="18" t="s">
        <v>470</v>
      </c>
      <c r="AC27" s="156" t="s">
        <v>539</v>
      </c>
      <c r="AD27" s="125" t="s">
        <v>1134</v>
      </c>
      <c r="AE27" s="160" t="s">
        <v>505</v>
      </c>
      <c r="AF27" t="s">
        <v>505</v>
      </c>
      <c r="AG27" s="18" t="s">
        <v>525</v>
      </c>
      <c r="AH27" s="18" t="s">
        <v>485</v>
      </c>
      <c r="AI27" s="132"/>
      <c r="AK27" s="77">
        <f t="shared" si="0"/>
        <v>1</v>
      </c>
      <c r="AL27" t="str">
        <f t="shared" si="1"/>
        <v>non-LVC</v>
      </c>
      <c r="AM27" s="105" t="str" cm="1">
        <f t="array" ref="AM27">IF(OR(O27:O184="zero_recoverable", "zero_exalt", "zero_other", "zero_uncertain"),
   "Yes","No")</f>
        <v>Yes</v>
      </c>
      <c r="AN27">
        <f>1 + COUNTIF($V$2:V26,"main")</f>
        <v>7</v>
      </c>
      <c r="AO27" t="str">
        <f t="shared" si="2"/>
        <v/>
      </c>
      <c r="AP27">
        <f t="shared" si="3"/>
        <v>1</v>
      </c>
      <c r="AQ27">
        <f>IF(AP28=0,"",COUNTIFS($AN$2:$AN28,$AN28,$AP$2:$AP28,1))</f>
        <v>4</v>
      </c>
      <c r="AR27">
        <f t="shared" si="4"/>
        <v>0</v>
      </c>
      <c r="AS27" t="s">
        <v>526</v>
      </c>
      <c r="AT27" t="s">
        <v>462</v>
      </c>
      <c r="AU27">
        <f t="shared" si="5"/>
        <v>0</v>
      </c>
      <c r="AV27">
        <f t="shared" si="6"/>
        <v>0</v>
      </c>
    </row>
    <row r="28" spans="1:48">
      <c r="A28" s="28" t="s">
        <v>54</v>
      </c>
      <c r="B28" s="11" t="s">
        <v>540</v>
      </c>
      <c r="C28" s="110" t="s">
        <v>259</v>
      </c>
      <c r="D28" s="12" t="s">
        <v>359</v>
      </c>
      <c r="E28" s="12" t="s">
        <v>1056</v>
      </c>
      <c r="F28" s="12" t="s">
        <v>447</v>
      </c>
      <c r="G28" s="74" t="s">
        <v>1069</v>
      </c>
      <c r="H28" s="12" t="s">
        <v>441</v>
      </c>
      <c r="I28" s="12" t="s">
        <v>452</v>
      </c>
      <c r="J28" s="12" t="s">
        <v>454</v>
      </c>
      <c r="K28" s="12">
        <v>1</v>
      </c>
      <c r="L28" s="13">
        <v>1</v>
      </c>
      <c r="M28" s="13" t="s">
        <v>465</v>
      </c>
      <c r="N28" s="13">
        <v>0</v>
      </c>
      <c r="O28" s="14" t="s">
        <v>526</v>
      </c>
      <c r="P28" s="14">
        <v>3</v>
      </c>
      <c r="Q28" s="14" t="s">
        <v>462</v>
      </c>
      <c r="R28" s="14" t="s">
        <v>484</v>
      </c>
      <c r="S28" s="15">
        <v>0</v>
      </c>
      <c r="T28" s="15">
        <v>0</v>
      </c>
      <c r="U28" s="16" t="s">
        <v>484</v>
      </c>
      <c r="V28" s="16" t="s">
        <v>537</v>
      </c>
      <c r="W28" s="17">
        <v>0</v>
      </c>
      <c r="X28" s="17">
        <v>0</v>
      </c>
      <c r="Y28" s="17" t="s">
        <v>484</v>
      </c>
      <c r="Z28" s="17" t="s">
        <v>484</v>
      </c>
      <c r="AA28" s="31">
        <v>0</v>
      </c>
      <c r="AB28" s="18" t="s">
        <v>470</v>
      </c>
      <c r="AC28" s="156" t="s">
        <v>537</v>
      </c>
      <c r="AD28" s="125" t="str">
        <f t="shared" si="7"/>
        <v>te_medial</v>
      </c>
      <c r="AE28" s="160" t="s">
        <v>505</v>
      </c>
      <c r="AF28" t="s">
        <v>505</v>
      </c>
      <c r="AG28" s="18" t="s">
        <v>525</v>
      </c>
      <c r="AH28" s="36" t="s">
        <v>533</v>
      </c>
      <c r="AI28" s="132" t="s">
        <v>541</v>
      </c>
      <c r="AK28" s="77">
        <f t="shared" si="0"/>
        <v>1</v>
      </c>
      <c r="AL28" t="str">
        <f t="shared" si="1"/>
        <v>non-LVC</v>
      </c>
      <c r="AM28" s="105" t="str" cm="1">
        <f t="array" ref="AM28">IF(OR(O28:O185="zero_recoverable", "zero_exalt", "zero_other", "zero_uncertain"),
   "Yes","No")</f>
        <v>Yes</v>
      </c>
      <c r="AN28">
        <f>1 + COUNTIF($V$2:V27,"main")</f>
        <v>7</v>
      </c>
      <c r="AO28" t="str">
        <f t="shared" si="2"/>
        <v/>
      </c>
      <c r="AP28">
        <f t="shared" si="3"/>
        <v>1</v>
      </c>
      <c r="AQ28">
        <f>IF(AP29=0,"",COUNTIFS($AN$2:$AN29,$AN29,$AP$2:$AP29,1))</f>
        <v>5</v>
      </c>
      <c r="AR28">
        <f t="shared" si="4"/>
        <v>0</v>
      </c>
      <c r="AS28" t="s">
        <v>461</v>
      </c>
      <c r="AT28" t="s">
        <v>526</v>
      </c>
      <c r="AU28">
        <f t="shared" si="5"/>
        <v>0</v>
      </c>
      <c r="AV28">
        <f t="shared" si="6"/>
        <v>1</v>
      </c>
    </row>
    <row r="29" spans="1:48">
      <c r="A29" s="28" t="s">
        <v>55</v>
      </c>
      <c r="B29" s="11" t="s">
        <v>183</v>
      </c>
      <c r="C29" s="110" t="s">
        <v>260</v>
      </c>
      <c r="D29" s="12" t="s">
        <v>360</v>
      </c>
      <c r="E29" s="12" t="s">
        <v>1056</v>
      </c>
      <c r="F29" s="12" t="s">
        <v>447</v>
      </c>
      <c r="G29" s="74" t="s">
        <v>434</v>
      </c>
      <c r="H29" s="12" t="s">
        <v>441</v>
      </c>
      <c r="I29" s="12" t="s">
        <v>452</v>
      </c>
      <c r="J29" s="12" t="s">
        <v>454</v>
      </c>
      <c r="K29" s="12">
        <v>1</v>
      </c>
      <c r="L29" s="13">
        <v>1</v>
      </c>
      <c r="M29" s="13" t="s">
        <v>456</v>
      </c>
      <c r="N29" s="13">
        <v>0</v>
      </c>
      <c r="O29" s="14" t="s">
        <v>461</v>
      </c>
      <c r="P29" s="14">
        <v>3</v>
      </c>
      <c r="Q29" s="14" t="s">
        <v>526</v>
      </c>
      <c r="R29" s="14" t="s">
        <v>462</v>
      </c>
      <c r="S29" s="15">
        <v>0</v>
      </c>
      <c r="T29" s="15">
        <v>0</v>
      </c>
      <c r="U29" s="16" t="s">
        <v>484</v>
      </c>
      <c r="V29" s="16" t="s">
        <v>493</v>
      </c>
      <c r="W29" s="17">
        <v>0</v>
      </c>
      <c r="X29" s="17">
        <v>1</v>
      </c>
      <c r="Y29" s="17" t="s">
        <v>521</v>
      </c>
      <c r="Z29" s="17" t="s">
        <v>514</v>
      </c>
      <c r="AA29" s="31">
        <v>0</v>
      </c>
      <c r="AB29" s="18" t="s">
        <v>1075</v>
      </c>
      <c r="AC29" s="156" t="s">
        <v>537</v>
      </c>
      <c r="AD29" s="125" t="str">
        <f t="shared" si="7"/>
        <v/>
      </c>
      <c r="AE29" s="160" t="s">
        <v>505</v>
      </c>
      <c r="AF29" t="s">
        <v>507</v>
      </c>
      <c r="AG29" s="18" t="s">
        <v>525</v>
      </c>
      <c r="AH29" s="18" t="s">
        <v>485</v>
      </c>
      <c r="AI29" s="132" t="s">
        <v>477</v>
      </c>
      <c r="AK29" s="77">
        <f t="shared" si="0"/>
        <v>1</v>
      </c>
      <c r="AL29" t="str">
        <f t="shared" si="1"/>
        <v>non-LVC</v>
      </c>
      <c r="AM29" s="105" t="str" cm="1">
        <f t="array" ref="AM29">IF(OR(O29:O186="zero_recoverable", "zero_exalt", "zero_other", "zero_uncertain"),
   "Yes","No")</f>
        <v>Yes</v>
      </c>
      <c r="AN29">
        <f>1 + COUNTIF($V$2:V28,"main")</f>
        <v>7</v>
      </c>
      <c r="AO29" t="str">
        <f t="shared" si="2"/>
        <v/>
      </c>
      <c r="AP29">
        <f t="shared" si="3"/>
        <v>1</v>
      </c>
      <c r="AQ29" t="str">
        <f>IF(AP30=0,"",COUNTIFS($AN$2:$AN30,$AN30,$AP$2:$AP30,1))</f>
        <v/>
      </c>
      <c r="AR29">
        <f t="shared" si="4"/>
        <v>0</v>
      </c>
      <c r="AS29" t="s">
        <v>526</v>
      </c>
      <c r="AT29" t="s">
        <v>484</v>
      </c>
      <c r="AU29">
        <f t="shared" si="5"/>
        <v>0</v>
      </c>
      <c r="AV29">
        <f t="shared" si="6"/>
        <v>0</v>
      </c>
    </row>
    <row r="30" spans="1:48">
      <c r="A30" s="28" t="s">
        <v>56</v>
      </c>
      <c r="B30" s="11" t="s">
        <v>184</v>
      </c>
      <c r="C30" s="110" t="s">
        <v>261</v>
      </c>
      <c r="D30" s="12" t="s">
        <v>361</v>
      </c>
      <c r="E30" s="12" t="s">
        <v>1056</v>
      </c>
      <c r="F30" s="12" t="s">
        <v>450</v>
      </c>
      <c r="G30" s="74" t="s">
        <v>434</v>
      </c>
      <c r="H30" s="12" t="s">
        <v>442</v>
      </c>
      <c r="I30" s="12" t="s">
        <v>710</v>
      </c>
      <c r="J30" s="12" t="s">
        <v>454</v>
      </c>
      <c r="K30" s="12">
        <v>1</v>
      </c>
      <c r="L30" s="13">
        <v>0</v>
      </c>
      <c r="M30" s="13" t="s">
        <v>484</v>
      </c>
      <c r="N30" s="13">
        <v>2</v>
      </c>
      <c r="O30" s="14" t="s">
        <v>526</v>
      </c>
      <c r="P30" s="14">
        <v>3</v>
      </c>
      <c r="Q30" s="14" t="s">
        <v>484</v>
      </c>
      <c r="R30" s="14" t="s">
        <v>484</v>
      </c>
      <c r="S30" s="15">
        <v>0</v>
      </c>
      <c r="T30" s="15">
        <v>0</v>
      </c>
      <c r="U30" s="16" t="s">
        <v>484</v>
      </c>
      <c r="V30" s="16" t="s">
        <v>466</v>
      </c>
      <c r="W30" s="17">
        <v>0</v>
      </c>
      <c r="X30" s="17">
        <v>0</v>
      </c>
      <c r="Y30" s="17" t="s">
        <v>484</v>
      </c>
      <c r="Z30" s="17" t="s">
        <v>484</v>
      </c>
      <c r="AA30" s="31">
        <v>0</v>
      </c>
      <c r="AB30" s="18" t="s">
        <v>439</v>
      </c>
      <c r="AC30" s="156" t="s">
        <v>493</v>
      </c>
      <c r="AD30" s="125" t="str">
        <f t="shared" si="7"/>
        <v/>
      </c>
      <c r="AE30" s="160" t="s">
        <v>507</v>
      </c>
      <c r="AF30" t="s">
        <v>505</v>
      </c>
      <c r="AG30" s="18" t="s">
        <v>525</v>
      </c>
      <c r="AH30" s="18" t="s">
        <v>474</v>
      </c>
      <c r="AI30" s="132"/>
      <c r="AK30" s="77">
        <f t="shared" si="0"/>
        <v>0</v>
      </c>
      <c r="AL30" t="str">
        <f t="shared" si="1"/>
        <v>non-LVC</v>
      </c>
      <c r="AM30" s="105" t="str" cm="1">
        <f t="array" ref="AM30">IF(OR(O30:O187="zero_recoverable", "zero_exalt", "zero_other", "zero_uncertain"),
   "Yes","No")</f>
        <v>Yes</v>
      </c>
      <c r="AN30">
        <f>1 + COUNTIF($V$2:V29,"main")</f>
        <v>7</v>
      </c>
      <c r="AO30" t="str">
        <f t="shared" si="2"/>
        <v/>
      </c>
      <c r="AP30">
        <f t="shared" si="3"/>
        <v>0</v>
      </c>
      <c r="AQ30">
        <f>IF(AP31=0,"",COUNTIFS($AN$2:$AN31,$AN31,$AP$2:$AP31,1))</f>
        <v>6</v>
      </c>
      <c r="AR30">
        <f t="shared" si="4"/>
        <v>0</v>
      </c>
      <c r="AS30" t="s">
        <v>526</v>
      </c>
      <c r="AT30" t="s">
        <v>462</v>
      </c>
      <c r="AU30">
        <f t="shared" si="5"/>
        <v>0</v>
      </c>
      <c r="AV30">
        <f t="shared" si="6"/>
        <v>0</v>
      </c>
    </row>
    <row r="31" spans="1:48">
      <c r="A31" s="28" t="s">
        <v>57</v>
      </c>
      <c r="B31" s="11" t="s">
        <v>185</v>
      </c>
      <c r="C31" s="110" t="s">
        <v>262</v>
      </c>
      <c r="D31" s="12" t="s">
        <v>362</v>
      </c>
      <c r="E31" s="12" t="s">
        <v>1056</v>
      </c>
      <c r="F31" s="12" t="s">
        <v>446</v>
      </c>
      <c r="G31" s="74" t="s">
        <v>434</v>
      </c>
      <c r="H31" s="12" t="s">
        <v>441</v>
      </c>
      <c r="I31" s="12" t="s">
        <v>452</v>
      </c>
      <c r="J31" s="12" t="s">
        <v>454</v>
      </c>
      <c r="K31" s="12">
        <v>1</v>
      </c>
      <c r="L31" s="13">
        <v>2</v>
      </c>
      <c r="M31" s="37" t="s">
        <v>542</v>
      </c>
      <c r="N31" s="13">
        <v>0</v>
      </c>
      <c r="O31" s="14" t="s">
        <v>526</v>
      </c>
      <c r="P31" s="14">
        <v>3</v>
      </c>
      <c r="Q31" s="14" t="s">
        <v>462</v>
      </c>
      <c r="R31" s="14" t="s">
        <v>462</v>
      </c>
      <c r="S31" s="15">
        <v>0</v>
      </c>
      <c r="T31" s="15">
        <v>0</v>
      </c>
      <c r="U31" s="16" t="s">
        <v>484</v>
      </c>
      <c r="V31" s="16" t="s">
        <v>467</v>
      </c>
      <c r="W31" s="17">
        <v>0</v>
      </c>
      <c r="X31" s="17">
        <v>0</v>
      </c>
      <c r="Y31" s="17" t="s">
        <v>484</v>
      </c>
      <c r="Z31" s="17" t="s">
        <v>484</v>
      </c>
      <c r="AA31" s="31">
        <v>0</v>
      </c>
      <c r="AB31" s="18" t="s">
        <v>439</v>
      </c>
      <c r="AC31" s="156" t="s">
        <v>466</v>
      </c>
      <c r="AD31" s="125" t="str">
        <f t="shared" si="7"/>
        <v/>
      </c>
      <c r="AE31" s="160" t="s">
        <v>505</v>
      </c>
      <c r="AF31" t="s">
        <v>507</v>
      </c>
      <c r="AG31" s="18" t="s">
        <v>525</v>
      </c>
      <c r="AH31" s="18" t="s">
        <v>485</v>
      </c>
      <c r="AI31" s="132"/>
      <c r="AK31" s="77">
        <f t="shared" si="0"/>
        <v>2</v>
      </c>
      <c r="AL31" t="str">
        <f t="shared" si="1"/>
        <v>non-LVC</v>
      </c>
      <c r="AM31" s="105" t="str" cm="1">
        <f t="array" ref="AM31">IF(OR(O31:O188="zero_recoverable", "zero_exalt", "zero_other", "zero_uncertain"),
   "Yes","No")</f>
        <v>Yes</v>
      </c>
      <c r="AN31">
        <f>1 + COUNTIF($V$2:V30,"main")</f>
        <v>7</v>
      </c>
      <c r="AO31" t="str">
        <f t="shared" si="2"/>
        <v>relative</v>
      </c>
      <c r="AP31">
        <f t="shared" si="3"/>
        <v>1</v>
      </c>
      <c r="AQ31" t="str">
        <f>IF(AP32=0,"",COUNTIFS($AN$2:$AN32,$AN32,$AP$2:$AP32,1))</f>
        <v/>
      </c>
      <c r="AR31">
        <v>1</v>
      </c>
      <c r="AS31" t="s">
        <v>462</v>
      </c>
      <c r="AT31" t="s">
        <v>484</v>
      </c>
      <c r="AU31">
        <f t="shared" si="5"/>
        <v>0</v>
      </c>
      <c r="AV31">
        <f t="shared" si="6"/>
        <v>0</v>
      </c>
    </row>
    <row r="32" spans="1:48">
      <c r="A32" s="28" t="s">
        <v>58</v>
      </c>
      <c r="B32" s="11" t="s">
        <v>186</v>
      </c>
      <c r="C32" s="110" t="s">
        <v>263</v>
      </c>
      <c r="D32" s="12" t="s">
        <v>334</v>
      </c>
      <c r="E32" s="12" t="s">
        <v>1056</v>
      </c>
      <c r="F32" s="12" t="s">
        <v>446</v>
      </c>
      <c r="G32" s="74" t="s">
        <v>436</v>
      </c>
      <c r="H32" s="12" t="s">
        <v>442</v>
      </c>
      <c r="I32" s="12" t="s">
        <v>452</v>
      </c>
      <c r="J32" s="12" t="s">
        <v>454</v>
      </c>
      <c r="K32" s="12">
        <v>1</v>
      </c>
      <c r="L32" s="13">
        <v>1</v>
      </c>
      <c r="M32" s="13" t="s">
        <v>457</v>
      </c>
      <c r="N32" s="13">
        <v>1</v>
      </c>
      <c r="O32" s="14" t="s">
        <v>462</v>
      </c>
      <c r="P32" s="14">
        <v>3</v>
      </c>
      <c r="Q32" s="14" t="s">
        <v>484</v>
      </c>
      <c r="R32" s="14" t="s">
        <v>484</v>
      </c>
      <c r="S32" s="15">
        <v>0</v>
      </c>
      <c r="T32" s="15">
        <v>0</v>
      </c>
      <c r="U32" s="16" t="s">
        <v>464</v>
      </c>
      <c r="V32" s="16" t="s">
        <v>466</v>
      </c>
      <c r="W32" s="17">
        <v>0</v>
      </c>
      <c r="X32" s="17">
        <v>0</v>
      </c>
      <c r="Y32" s="17" t="s">
        <v>484</v>
      </c>
      <c r="Z32" s="17" t="s">
        <v>484</v>
      </c>
      <c r="AA32" s="31">
        <v>0</v>
      </c>
      <c r="AB32" s="18" t="s">
        <v>1075</v>
      </c>
      <c r="AC32" s="156" t="s">
        <v>467</v>
      </c>
      <c r="AD32" s="125" t="str">
        <f t="shared" si="7"/>
        <v/>
      </c>
      <c r="AE32" s="160" t="s">
        <v>507</v>
      </c>
      <c r="AF32" t="s">
        <v>505</v>
      </c>
      <c r="AG32" s="18" t="s">
        <v>486</v>
      </c>
      <c r="AH32" s="18" t="s">
        <v>485</v>
      </c>
      <c r="AI32" s="132"/>
      <c r="AK32" s="77">
        <f t="shared" si="0"/>
        <v>1</v>
      </c>
      <c r="AL32" t="str">
        <f t="shared" si="1"/>
        <v>non-LVC</v>
      </c>
      <c r="AM32" s="105" t="str" cm="1">
        <f t="array" ref="AM32">IF(OR(O32:O189="zero_recoverable", "zero_exalt", "zero_other", "zero_uncertain"),
   "Yes","No")</f>
        <v>Yes</v>
      </c>
      <c r="AN32">
        <f>1 + COUNTIF($V$2:V31,"main")</f>
        <v>8</v>
      </c>
      <c r="AO32" t="str">
        <f t="shared" si="2"/>
        <v>main</v>
      </c>
      <c r="AP32">
        <f t="shared" si="3"/>
        <v>0</v>
      </c>
      <c r="AQ32">
        <f>IF(AP33=0,"",COUNTIFS($AN$2:$AN33,$AN33,$AP$2:$AP33,1))</f>
        <v>1</v>
      </c>
      <c r="AR32">
        <v>0</v>
      </c>
      <c r="AS32" t="s">
        <v>462</v>
      </c>
      <c r="AT32" t="s">
        <v>484</v>
      </c>
      <c r="AU32">
        <f t="shared" si="5"/>
        <v>0</v>
      </c>
      <c r="AV32">
        <f t="shared" si="6"/>
        <v>0</v>
      </c>
    </row>
    <row r="33" spans="1:48">
      <c r="A33" s="28" t="s">
        <v>59</v>
      </c>
      <c r="B33" s="11" t="s">
        <v>187</v>
      </c>
      <c r="C33" s="110" t="s">
        <v>264</v>
      </c>
      <c r="D33" s="12" t="s">
        <v>355</v>
      </c>
      <c r="E33" s="12" t="s">
        <v>1056</v>
      </c>
      <c r="F33" s="12" t="s">
        <v>446</v>
      </c>
      <c r="G33" s="74" t="s">
        <v>437</v>
      </c>
      <c r="H33" s="12" t="s">
        <v>442</v>
      </c>
      <c r="I33" s="12" t="s">
        <v>452</v>
      </c>
      <c r="J33" s="12" t="s">
        <v>454</v>
      </c>
      <c r="K33" s="12">
        <v>1</v>
      </c>
      <c r="L33" s="13">
        <v>1</v>
      </c>
      <c r="M33" s="13" t="s">
        <v>457</v>
      </c>
      <c r="N33" s="13">
        <v>2</v>
      </c>
      <c r="O33" s="14" t="s">
        <v>462</v>
      </c>
      <c r="P33" s="14">
        <v>3</v>
      </c>
      <c r="Q33" s="14" t="s">
        <v>484</v>
      </c>
      <c r="R33" s="14" t="s">
        <v>484</v>
      </c>
      <c r="S33" s="15">
        <v>0</v>
      </c>
      <c r="T33" s="15">
        <v>0</v>
      </c>
      <c r="U33" s="16" t="s">
        <v>484</v>
      </c>
      <c r="V33" s="16" t="s">
        <v>467</v>
      </c>
      <c r="W33" s="17">
        <v>0</v>
      </c>
      <c r="X33" s="17">
        <v>0</v>
      </c>
      <c r="Y33" s="17" t="s">
        <v>484</v>
      </c>
      <c r="Z33" s="17" t="s">
        <v>484</v>
      </c>
      <c r="AA33" s="31">
        <v>0</v>
      </c>
      <c r="AB33" s="18" t="s">
        <v>439</v>
      </c>
      <c r="AC33" s="156" t="s">
        <v>466</v>
      </c>
      <c r="AD33" s="125" t="str">
        <f t="shared" si="7"/>
        <v/>
      </c>
      <c r="AE33" s="160" t="s">
        <v>505</v>
      </c>
      <c r="AF33" t="s">
        <v>505</v>
      </c>
      <c r="AG33" s="18" t="s">
        <v>486</v>
      </c>
      <c r="AH33" s="18" t="s">
        <v>485</v>
      </c>
      <c r="AI33" s="132" t="s">
        <v>1074</v>
      </c>
      <c r="AK33" s="77">
        <f t="shared" si="0"/>
        <v>1</v>
      </c>
      <c r="AL33" t="str">
        <f t="shared" si="1"/>
        <v>non-LVC</v>
      </c>
      <c r="AM33" s="105" t="str" cm="1">
        <f t="array" ref="AM33">IF(OR(O33:O190="zero_recoverable", "zero_exalt", "zero_other", "zero_uncertain"),
   "Yes","No")</f>
        <v>Yes</v>
      </c>
      <c r="AN33">
        <f>1 + COUNTIF($V$2:V32,"main")</f>
        <v>8</v>
      </c>
      <c r="AO33" t="str">
        <f t="shared" si="2"/>
        <v>inf</v>
      </c>
      <c r="AP33">
        <f t="shared" si="3"/>
        <v>1</v>
      </c>
      <c r="AQ33">
        <f>IF(AP34=0,"",COUNTIFS($AN$2:$AN34,$AN34,$AP$2:$AP34,1))</f>
        <v>1</v>
      </c>
      <c r="AR33">
        <f t="shared" si="4"/>
        <v>1</v>
      </c>
      <c r="AS33" t="s">
        <v>526</v>
      </c>
      <c r="AT33" t="s">
        <v>462</v>
      </c>
      <c r="AU33">
        <f t="shared" si="5"/>
        <v>1</v>
      </c>
      <c r="AV33">
        <f t="shared" si="6"/>
        <v>0</v>
      </c>
    </row>
    <row r="34" spans="1:48">
      <c r="A34" s="28" t="s">
        <v>60</v>
      </c>
      <c r="B34" s="11" t="s">
        <v>188</v>
      </c>
      <c r="C34" s="110" t="s">
        <v>265</v>
      </c>
      <c r="D34" s="12" t="s">
        <v>363</v>
      </c>
      <c r="E34" s="12" t="s">
        <v>1056</v>
      </c>
      <c r="F34" s="12" t="s">
        <v>446</v>
      </c>
      <c r="G34" s="74" t="s">
        <v>434</v>
      </c>
      <c r="H34" s="12" t="s">
        <v>441</v>
      </c>
      <c r="I34" s="12" t="s">
        <v>452</v>
      </c>
      <c r="J34" s="12" t="s">
        <v>454</v>
      </c>
      <c r="K34" s="12">
        <v>1</v>
      </c>
      <c r="L34" s="13">
        <v>1</v>
      </c>
      <c r="M34" s="13" t="s">
        <v>465</v>
      </c>
      <c r="N34" s="13">
        <v>1</v>
      </c>
      <c r="O34" s="14" t="s">
        <v>526</v>
      </c>
      <c r="P34" s="14">
        <v>3</v>
      </c>
      <c r="Q34" s="14" t="s">
        <v>462</v>
      </c>
      <c r="R34" s="14" t="s">
        <v>484</v>
      </c>
      <c r="S34" s="15">
        <v>0</v>
      </c>
      <c r="T34" s="15">
        <v>0</v>
      </c>
      <c r="U34" s="16" t="s">
        <v>484</v>
      </c>
      <c r="V34" s="16" t="s">
        <v>539</v>
      </c>
      <c r="W34" s="17">
        <v>0</v>
      </c>
      <c r="X34" s="17">
        <v>0</v>
      </c>
      <c r="Y34" s="17" t="s">
        <v>484</v>
      </c>
      <c r="Z34" s="17" t="s">
        <v>484</v>
      </c>
      <c r="AA34" s="31">
        <v>0</v>
      </c>
      <c r="AB34" s="18" t="s">
        <v>439</v>
      </c>
      <c r="AC34" s="156" t="s">
        <v>467</v>
      </c>
      <c r="AD34" s="125" t="str">
        <f t="shared" si="7"/>
        <v/>
      </c>
      <c r="AE34" s="160" t="s">
        <v>505</v>
      </c>
      <c r="AF34" t="s">
        <v>505</v>
      </c>
      <c r="AG34" s="18" t="s">
        <v>525</v>
      </c>
      <c r="AH34" s="18" t="s">
        <v>485</v>
      </c>
      <c r="AI34" s="132"/>
      <c r="AK34" s="77">
        <f t="shared" si="0"/>
        <v>1</v>
      </c>
      <c r="AL34" t="str">
        <f t="shared" si="1"/>
        <v>non-LVC</v>
      </c>
      <c r="AM34" s="105" t="str" cm="1">
        <f t="array" ref="AM34">IF(OR(O34:O191="zero_recoverable", "zero_exalt", "zero_other", "zero_uncertain"),
   "Yes","No")</f>
        <v>Yes</v>
      </c>
      <c r="AN34">
        <f>1 + COUNTIF($V$2:V33,"main")</f>
        <v>9</v>
      </c>
      <c r="AO34" t="str">
        <f t="shared" si="2"/>
        <v>relative</v>
      </c>
      <c r="AP34">
        <f t="shared" si="3"/>
        <v>1</v>
      </c>
      <c r="AQ34" t="str">
        <f>IF(AP35=0,"",COUNTIFS($AN$2:$AN35,$AN35,$AP$2:$AP35,1))</f>
        <v/>
      </c>
      <c r="AR34">
        <f t="shared" si="4"/>
        <v>0</v>
      </c>
      <c r="AS34" t="s">
        <v>526</v>
      </c>
      <c r="AT34" t="s">
        <v>462</v>
      </c>
      <c r="AU34">
        <f t="shared" si="5"/>
        <v>0</v>
      </c>
      <c r="AV34">
        <f t="shared" si="6"/>
        <v>0</v>
      </c>
    </row>
    <row r="35" spans="1:48">
      <c r="A35" s="28" t="s">
        <v>61</v>
      </c>
      <c r="B35" s="11" t="s">
        <v>189</v>
      </c>
      <c r="C35" s="110" t="s">
        <v>266</v>
      </c>
      <c r="D35" s="12" t="s">
        <v>364</v>
      </c>
      <c r="E35" s="12" t="s">
        <v>1056</v>
      </c>
      <c r="F35" s="12" t="s">
        <v>446</v>
      </c>
      <c r="G35" s="74" t="s">
        <v>434</v>
      </c>
      <c r="H35" s="12" t="s">
        <v>441</v>
      </c>
      <c r="I35" s="12" t="s">
        <v>452</v>
      </c>
      <c r="J35" s="12" t="s">
        <v>454</v>
      </c>
      <c r="K35" s="12">
        <v>1</v>
      </c>
      <c r="L35" s="13">
        <v>1</v>
      </c>
      <c r="M35" s="13" t="s">
        <v>465</v>
      </c>
      <c r="N35" s="13">
        <v>0</v>
      </c>
      <c r="O35" s="14" t="s">
        <v>526</v>
      </c>
      <c r="P35" s="14">
        <v>3</v>
      </c>
      <c r="Q35" s="14" t="s">
        <v>462</v>
      </c>
      <c r="R35" s="14" t="s">
        <v>484</v>
      </c>
      <c r="S35" s="15">
        <v>1</v>
      </c>
      <c r="T35" s="15">
        <v>0</v>
      </c>
      <c r="U35" s="16" t="s">
        <v>464</v>
      </c>
      <c r="V35" s="16" t="s">
        <v>466</v>
      </c>
      <c r="W35" s="17">
        <v>0</v>
      </c>
      <c r="X35" s="17">
        <v>0</v>
      </c>
      <c r="Y35" s="17" t="s">
        <v>484</v>
      </c>
      <c r="Z35" s="17" t="s">
        <v>484</v>
      </c>
      <c r="AA35" s="31">
        <v>0</v>
      </c>
      <c r="AB35" s="18" t="s">
        <v>439</v>
      </c>
      <c r="AC35" s="156" t="s">
        <v>539</v>
      </c>
      <c r="AD35" s="125" t="str">
        <f t="shared" si="7"/>
        <v/>
      </c>
      <c r="AE35" s="160" t="s">
        <v>505</v>
      </c>
      <c r="AF35" t="s">
        <v>505</v>
      </c>
      <c r="AG35" s="18" t="s">
        <v>525</v>
      </c>
      <c r="AH35" s="18" t="s">
        <v>485</v>
      </c>
      <c r="AI35" s="132"/>
      <c r="AK35" s="77">
        <f t="shared" si="0"/>
        <v>1</v>
      </c>
      <c r="AL35" t="str">
        <f t="shared" si="1"/>
        <v>non-LVC</v>
      </c>
      <c r="AM35" s="105" t="str" cm="1">
        <f t="array" ref="AM35">IF(OR(O35:O192="zero_recoverable", "zero_exalt", "zero_other", "zero_uncertain"),
   "Yes","No")</f>
        <v>Yes</v>
      </c>
      <c r="AN35">
        <f>1 + COUNTIF($V$2:V34,"main")</f>
        <v>9</v>
      </c>
      <c r="AO35" t="str">
        <f t="shared" si="2"/>
        <v>te</v>
      </c>
      <c r="AP35">
        <f t="shared" si="3"/>
        <v>0</v>
      </c>
      <c r="AQ35">
        <f>IF(AP36=0,"",COUNTIFS($AN$2:$AN36,$AN36,$AP$2:$AP36,1))</f>
        <v>2</v>
      </c>
      <c r="AR35">
        <f t="shared" si="4"/>
        <v>0</v>
      </c>
      <c r="AS35" t="s">
        <v>526</v>
      </c>
      <c r="AT35" t="s">
        <v>462</v>
      </c>
      <c r="AU35">
        <f t="shared" si="5"/>
        <v>0</v>
      </c>
      <c r="AV35">
        <f t="shared" si="6"/>
        <v>0</v>
      </c>
    </row>
    <row r="36" spans="1:48">
      <c r="A36" s="28" t="s">
        <v>62</v>
      </c>
      <c r="B36" s="11" t="s">
        <v>190</v>
      </c>
      <c r="C36" s="110" t="s">
        <v>267</v>
      </c>
      <c r="D36" s="12" t="s">
        <v>365</v>
      </c>
      <c r="E36" s="12" t="s">
        <v>1056</v>
      </c>
      <c r="F36" s="12" t="s">
        <v>446</v>
      </c>
      <c r="G36" s="74" t="s">
        <v>434</v>
      </c>
      <c r="H36" s="12" t="s">
        <v>441</v>
      </c>
      <c r="I36" s="12" t="s">
        <v>452</v>
      </c>
      <c r="J36" s="12" t="s">
        <v>454</v>
      </c>
      <c r="K36" s="12">
        <v>1</v>
      </c>
      <c r="L36" s="13">
        <v>2</v>
      </c>
      <c r="M36" s="13" t="s">
        <v>542</v>
      </c>
      <c r="N36" s="13">
        <v>0</v>
      </c>
      <c r="O36" s="14" t="s">
        <v>526</v>
      </c>
      <c r="P36" s="14">
        <v>3</v>
      </c>
      <c r="Q36" s="14" t="s">
        <v>462</v>
      </c>
      <c r="R36" s="14" t="s">
        <v>462</v>
      </c>
      <c r="S36" s="15">
        <v>0</v>
      </c>
      <c r="T36" s="15">
        <v>0</v>
      </c>
      <c r="U36" s="16" t="s">
        <v>484</v>
      </c>
      <c r="V36" s="16" t="s">
        <v>537</v>
      </c>
      <c r="W36" s="17">
        <v>0</v>
      </c>
      <c r="X36" s="17">
        <v>0</v>
      </c>
      <c r="Y36" s="17" t="s">
        <v>484</v>
      </c>
      <c r="Z36" s="17" t="s">
        <v>484</v>
      </c>
      <c r="AA36" s="31">
        <v>0</v>
      </c>
      <c r="AB36" s="18" t="s">
        <v>439</v>
      </c>
      <c r="AC36" s="156" t="s">
        <v>466</v>
      </c>
      <c r="AD36" s="125" t="s">
        <v>1134</v>
      </c>
      <c r="AE36" s="160" t="s">
        <v>505</v>
      </c>
      <c r="AF36" t="s">
        <v>505</v>
      </c>
      <c r="AG36" s="18" t="s">
        <v>525</v>
      </c>
      <c r="AH36" s="18" t="s">
        <v>485</v>
      </c>
      <c r="AI36" s="132"/>
      <c r="AK36" s="77">
        <f t="shared" si="0"/>
        <v>2</v>
      </c>
      <c r="AL36" t="str">
        <f t="shared" si="1"/>
        <v>non-LVC</v>
      </c>
      <c r="AM36" s="105" t="str" cm="1">
        <f t="array" ref="AM36">IF(OR(O36:O193="zero_recoverable", "zero_exalt", "zero_other", "zero_uncertain"),
   "Yes","No")</f>
        <v>Yes</v>
      </c>
      <c r="AN36">
        <f>1 + COUNTIF($V$2:V35,"main")</f>
        <v>9</v>
      </c>
      <c r="AO36" t="str">
        <f t="shared" si="2"/>
        <v/>
      </c>
      <c r="AP36">
        <f t="shared" si="3"/>
        <v>1</v>
      </c>
      <c r="AQ36">
        <f>IF(AP37=0,"",COUNTIFS($AN$2:$AN37,$AN37,$AP$2:$AP37,1))</f>
        <v>3</v>
      </c>
      <c r="AR36">
        <f t="shared" si="4"/>
        <v>0</v>
      </c>
      <c r="AS36" t="s">
        <v>526</v>
      </c>
      <c r="AT36" t="s">
        <v>484</v>
      </c>
      <c r="AU36">
        <f t="shared" si="5"/>
        <v>0</v>
      </c>
      <c r="AV36">
        <f t="shared" si="6"/>
        <v>0</v>
      </c>
    </row>
    <row r="37" spans="1:48">
      <c r="A37" s="28" t="s">
        <v>63</v>
      </c>
      <c r="B37" s="11" t="s">
        <v>543</v>
      </c>
      <c r="C37" s="110" t="s">
        <v>268</v>
      </c>
      <c r="D37" s="12" t="s">
        <v>366</v>
      </c>
      <c r="E37" s="12" t="s">
        <v>1056</v>
      </c>
      <c r="F37" s="12" t="s">
        <v>446</v>
      </c>
      <c r="G37" s="74" t="s">
        <v>1068</v>
      </c>
      <c r="H37" s="12" t="s">
        <v>442</v>
      </c>
      <c r="I37" s="12" t="s">
        <v>452</v>
      </c>
      <c r="J37" s="12" t="s">
        <v>454</v>
      </c>
      <c r="K37" s="12">
        <v>1</v>
      </c>
      <c r="L37" s="13">
        <v>0</v>
      </c>
      <c r="M37" s="13" t="s">
        <v>484</v>
      </c>
      <c r="N37" s="13">
        <v>1</v>
      </c>
      <c r="O37" s="14" t="s">
        <v>526</v>
      </c>
      <c r="P37" s="14">
        <v>3</v>
      </c>
      <c r="Q37" s="14" t="s">
        <v>484</v>
      </c>
      <c r="R37" s="14" t="s">
        <v>484</v>
      </c>
      <c r="S37" s="15">
        <v>0</v>
      </c>
      <c r="T37" s="15">
        <v>0</v>
      </c>
      <c r="U37" s="16" t="s">
        <v>484</v>
      </c>
      <c r="V37" s="16" t="s">
        <v>467</v>
      </c>
      <c r="W37" s="17">
        <v>0</v>
      </c>
      <c r="X37" s="17">
        <v>1</v>
      </c>
      <c r="Y37" s="17" t="s">
        <v>521</v>
      </c>
      <c r="Z37" s="17" t="s">
        <v>513</v>
      </c>
      <c r="AA37" s="31">
        <v>0</v>
      </c>
      <c r="AB37" s="18" t="s">
        <v>439</v>
      </c>
      <c r="AC37" s="156" t="s">
        <v>537</v>
      </c>
      <c r="AD37" s="125" t="str">
        <f t="shared" si="7"/>
        <v/>
      </c>
      <c r="AE37" s="160" t="s">
        <v>505</v>
      </c>
      <c r="AF37" t="s">
        <v>507</v>
      </c>
      <c r="AG37" s="18" t="s">
        <v>525</v>
      </c>
      <c r="AH37" s="18" t="s">
        <v>474</v>
      </c>
      <c r="AI37" s="132"/>
      <c r="AK37" s="77">
        <f t="shared" si="0"/>
        <v>0</v>
      </c>
      <c r="AL37" t="str">
        <f t="shared" si="1"/>
        <v>non-LVC</v>
      </c>
      <c r="AM37" s="105" t="str" cm="1">
        <f t="array" ref="AM37">IF(OR(O37:O194="zero_recoverable", "zero_exalt", "zero_other", "zero_uncertain"),
   "Yes","No")</f>
        <v>Yes</v>
      </c>
      <c r="AN37">
        <f>1 + COUNTIF($V$2:V36,"main")</f>
        <v>9</v>
      </c>
      <c r="AO37" t="str">
        <f t="shared" si="2"/>
        <v/>
      </c>
      <c r="AP37">
        <f t="shared" si="3"/>
        <v>1</v>
      </c>
      <c r="AQ37">
        <f>IF(AP38=0,"",COUNTIFS($AN$2:$AN38,$AN38,$AP$2:$AP38,1))</f>
        <v>1</v>
      </c>
      <c r="AR37">
        <v>0</v>
      </c>
      <c r="AS37" t="s">
        <v>462</v>
      </c>
      <c r="AT37" t="s">
        <v>462</v>
      </c>
      <c r="AU37">
        <f t="shared" si="5"/>
        <v>0</v>
      </c>
      <c r="AV37">
        <f t="shared" si="6"/>
        <v>0</v>
      </c>
    </row>
    <row r="38" spans="1:48">
      <c r="A38" s="28" t="s">
        <v>64</v>
      </c>
      <c r="B38" s="11" t="s">
        <v>191</v>
      </c>
      <c r="C38" s="110" t="s">
        <v>269</v>
      </c>
      <c r="D38" s="12" t="s">
        <v>367</v>
      </c>
      <c r="E38" s="12" t="s">
        <v>1056</v>
      </c>
      <c r="F38" s="12" t="s">
        <v>446</v>
      </c>
      <c r="G38" s="74" t="s">
        <v>544</v>
      </c>
      <c r="H38" s="12" t="s">
        <v>441</v>
      </c>
      <c r="I38" s="12" t="s">
        <v>452</v>
      </c>
      <c r="J38" s="12" t="s">
        <v>455</v>
      </c>
      <c r="K38" s="12">
        <v>1</v>
      </c>
      <c r="L38" s="13">
        <v>2</v>
      </c>
      <c r="M38" s="13" t="s">
        <v>459</v>
      </c>
      <c r="N38" s="13">
        <v>0</v>
      </c>
      <c r="O38" s="14" t="s">
        <v>462</v>
      </c>
      <c r="P38" s="14">
        <v>3</v>
      </c>
      <c r="Q38" s="14" t="s">
        <v>462</v>
      </c>
      <c r="R38" s="14" t="s">
        <v>484</v>
      </c>
      <c r="S38" s="15">
        <v>0</v>
      </c>
      <c r="T38" s="15">
        <v>0</v>
      </c>
      <c r="U38" s="16" t="s">
        <v>484</v>
      </c>
      <c r="V38" s="16" t="s">
        <v>537</v>
      </c>
      <c r="W38" s="17">
        <v>0</v>
      </c>
      <c r="X38" s="17">
        <v>0</v>
      </c>
      <c r="Y38" s="17" t="s">
        <v>484</v>
      </c>
      <c r="Z38" s="17" t="s">
        <v>484</v>
      </c>
      <c r="AA38" s="31">
        <v>0</v>
      </c>
      <c r="AB38" s="18" t="s">
        <v>470</v>
      </c>
      <c r="AC38" s="156" t="s">
        <v>467</v>
      </c>
      <c r="AD38" s="125" t="str">
        <f t="shared" si="7"/>
        <v>te_initial</v>
      </c>
      <c r="AE38" s="160" t="s">
        <v>507</v>
      </c>
      <c r="AF38" t="s">
        <v>505</v>
      </c>
      <c r="AG38" s="18" t="s">
        <v>506</v>
      </c>
      <c r="AH38" s="18" t="s">
        <v>485</v>
      </c>
      <c r="AI38" s="132"/>
      <c r="AK38" s="77">
        <f t="shared" si="0"/>
        <v>2</v>
      </c>
      <c r="AL38" t="str">
        <f t="shared" si="1"/>
        <v>LVC</v>
      </c>
      <c r="AM38" s="105" t="str" cm="1">
        <f t="array" ref="AM38">IF(OR(O38:O195="zero_recoverable", "zero_exalt", "zero_other", "zero_uncertain"),
   "Yes","No")</f>
        <v>Yes</v>
      </c>
      <c r="AN38">
        <f>1 + COUNTIF($V$2:V37,"main")</f>
        <v>10</v>
      </c>
      <c r="AO38" t="str">
        <f t="shared" si="2"/>
        <v>nominalised</v>
      </c>
      <c r="AP38">
        <f t="shared" si="3"/>
        <v>1</v>
      </c>
      <c r="AQ38" t="str">
        <f>IF(AP39=0,"",COUNTIFS($AN$2:$AN39,$AN39,$AP$2:$AP39,1))</f>
        <v/>
      </c>
      <c r="AR38">
        <f t="shared" si="4"/>
        <v>0</v>
      </c>
      <c r="AS38" t="s">
        <v>462</v>
      </c>
      <c r="AT38" t="s">
        <v>484</v>
      </c>
      <c r="AU38">
        <f t="shared" si="5"/>
        <v>0</v>
      </c>
      <c r="AV38">
        <f t="shared" si="6"/>
        <v>0</v>
      </c>
    </row>
    <row r="39" spans="1:48">
      <c r="A39" s="28" t="s">
        <v>65</v>
      </c>
      <c r="B39" s="11" t="s">
        <v>545</v>
      </c>
      <c r="C39" s="110" t="s">
        <v>270</v>
      </c>
      <c r="D39" s="12" t="s">
        <v>368</v>
      </c>
      <c r="E39" s="12" t="s">
        <v>1056</v>
      </c>
      <c r="F39" s="12" t="s">
        <v>446</v>
      </c>
      <c r="G39" s="74" t="s">
        <v>434</v>
      </c>
      <c r="H39" s="12" t="s">
        <v>442</v>
      </c>
      <c r="I39" s="12" t="s">
        <v>452</v>
      </c>
      <c r="J39" s="12" t="s">
        <v>454</v>
      </c>
      <c r="K39" s="12">
        <v>1</v>
      </c>
      <c r="L39" s="13">
        <v>1</v>
      </c>
      <c r="M39" s="13" t="s">
        <v>457</v>
      </c>
      <c r="N39" s="13">
        <v>1</v>
      </c>
      <c r="O39" s="14" t="s">
        <v>462</v>
      </c>
      <c r="P39" s="14">
        <v>3</v>
      </c>
      <c r="Q39" s="14" t="s">
        <v>484</v>
      </c>
      <c r="R39" s="14" t="s">
        <v>484</v>
      </c>
      <c r="S39" s="15">
        <v>0</v>
      </c>
      <c r="T39" s="15">
        <v>0</v>
      </c>
      <c r="U39" s="16" t="s">
        <v>457</v>
      </c>
      <c r="V39" s="16" t="s">
        <v>468</v>
      </c>
      <c r="W39" s="17">
        <v>1</v>
      </c>
      <c r="X39" s="17">
        <v>0</v>
      </c>
      <c r="Y39" s="17" t="s">
        <v>521</v>
      </c>
      <c r="Z39" s="17" t="s">
        <v>513</v>
      </c>
      <c r="AA39" s="31">
        <v>0</v>
      </c>
      <c r="AB39" s="18" t="s">
        <v>439</v>
      </c>
      <c r="AC39" s="156" t="s">
        <v>537</v>
      </c>
      <c r="AD39" s="125" t="str">
        <f t="shared" si="7"/>
        <v/>
      </c>
      <c r="AE39" s="160" t="s">
        <v>505</v>
      </c>
      <c r="AF39" t="s">
        <v>505</v>
      </c>
      <c r="AG39" s="18" t="s">
        <v>506</v>
      </c>
      <c r="AH39" s="18" t="s">
        <v>485</v>
      </c>
      <c r="AI39" s="132" t="s">
        <v>1061</v>
      </c>
      <c r="AK39" s="77">
        <f t="shared" si="0"/>
        <v>1</v>
      </c>
      <c r="AL39" t="str">
        <f t="shared" si="1"/>
        <v>non-LVC</v>
      </c>
      <c r="AM39" s="105" t="str" cm="1">
        <f t="array" ref="AM39">IF(OR(O39:O196="zero_recoverable", "zero_exalt", "zero_other", "zero_uncertain"),
   "Yes","No")</f>
        <v>Yes</v>
      </c>
      <c r="AN39">
        <f>1 + COUNTIF($V$2:V38,"main")</f>
        <v>10</v>
      </c>
      <c r="AO39" t="str">
        <f t="shared" si="2"/>
        <v/>
      </c>
      <c r="AP39">
        <f t="shared" si="3"/>
        <v>0</v>
      </c>
      <c r="AQ39">
        <f>IF(AP40=0,"",COUNTIFS($AN$2:$AN40,$AN40,$AP$2:$AP40,1))</f>
        <v>2</v>
      </c>
      <c r="AR39">
        <f t="shared" si="4"/>
        <v>0</v>
      </c>
      <c r="AS39" t="s">
        <v>462</v>
      </c>
      <c r="AT39" t="s">
        <v>484</v>
      </c>
      <c r="AU39">
        <f t="shared" si="5"/>
        <v>0</v>
      </c>
      <c r="AV39">
        <f t="shared" si="6"/>
        <v>0</v>
      </c>
    </row>
    <row r="40" spans="1:48">
      <c r="A40" s="28" t="s">
        <v>66</v>
      </c>
      <c r="B40" s="11" t="s">
        <v>192</v>
      </c>
      <c r="C40" s="110" t="s">
        <v>271</v>
      </c>
      <c r="D40" s="12" t="s">
        <v>369</v>
      </c>
      <c r="E40" s="12" t="s">
        <v>1056</v>
      </c>
      <c r="F40" s="12" t="s">
        <v>446</v>
      </c>
      <c r="G40" s="74" t="s">
        <v>436</v>
      </c>
      <c r="H40" s="12" t="s">
        <v>442</v>
      </c>
      <c r="I40" s="12" t="s">
        <v>452</v>
      </c>
      <c r="J40" s="12" t="s">
        <v>454</v>
      </c>
      <c r="K40" s="12">
        <v>1</v>
      </c>
      <c r="L40" s="13">
        <v>1</v>
      </c>
      <c r="M40" s="13" t="s">
        <v>457</v>
      </c>
      <c r="N40" s="13">
        <v>0</v>
      </c>
      <c r="O40" s="14" t="s">
        <v>462</v>
      </c>
      <c r="P40" s="14">
        <v>3</v>
      </c>
      <c r="Q40" s="14" t="s">
        <v>484</v>
      </c>
      <c r="R40" s="14" t="s">
        <v>484</v>
      </c>
      <c r="S40" s="15">
        <v>0</v>
      </c>
      <c r="T40" s="15">
        <v>0</v>
      </c>
      <c r="U40" s="16" t="s">
        <v>484</v>
      </c>
      <c r="V40" s="16" t="s">
        <v>467</v>
      </c>
      <c r="W40" s="17">
        <v>0</v>
      </c>
      <c r="X40" s="17">
        <v>0</v>
      </c>
      <c r="Y40" s="17" t="s">
        <v>484</v>
      </c>
      <c r="Z40" s="17" t="s">
        <v>484</v>
      </c>
      <c r="AA40" s="31">
        <v>0</v>
      </c>
      <c r="AB40" s="18" t="s">
        <v>439</v>
      </c>
      <c r="AC40" s="156" t="s">
        <v>468</v>
      </c>
      <c r="AD40" s="125" t="str">
        <f t="shared" si="7"/>
        <v/>
      </c>
      <c r="AE40" s="160" t="s">
        <v>505</v>
      </c>
      <c r="AF40" t="s">
        <v>505</v>
      </c>
      <c r="AG40" s="18" t="s">
        <v>487</v>
      </c>
      <c r="AH40" s="18" t="s">
        <v>533</v>
      </c>
      <c r="AI40" s="132"/>
      <c r="AK40" s="77">
        <f t="shared" si="0"/>
        <v>1</v>
      </c>
      <c r="AL40" t="str">
        <f t="shared" si="1"/>
        <v>non-LVC</v>
      </c>
      <c r="AM40" s="105" t="str" cm="1">
        <f t="array" ref="AM40">IF(OR(O40:O197="zero_recoverable", "zero_exalt", "zero_other", "zero_uncertain"),
   "Yes","No")</f>
        <v>Yes</v>
      </c>
      <c r="AN40">
        <f>1 + COUNTIF($V$2:V39,"main")</f>
        <v>10</v>
      </c>
      <c r="AO40" t="str">
        <f t="shared" si="2"/>
        <v/>
      </c>
      <c r="AP40">
        <f t="shared" si="3"/>
        <v>1</v>
      </c>
      <c r="AQ40">
        <f>IF(AP41=0,"",COUNTIFS($AN$2:$AN41,$AN41,$AP$2:$AP41,1))</f>
        <v>1</v>
      </c>
      <c r="AR40">
        <v>0</v>
      </c>
      <c r="AS40" t="s">
        <v>460</v>
      </c>
      <c r="AT40" t="s">
        <v>484</v>
      </c>
      <c r="AU40">
        <f t="shared" si="5"/>
        <v>1</v>
      </c>
      <c r="AV40">
        <f t="shared" si="6"/>
        <v>0</v>
      </c>
    </row>
    <row r="41" spans="1:48">
      <c r="A41" s="28" t="s">
        <v>67</v>
      </c>
      <c r="B41" s="11" t="s">
        <v>193</v>
      </c>
      <c r="C41" s="110" t="s">
        <v>272</v>
      </c>
      <c r="D41" s="12" t="s">
        <v>338</v>
      </c>
      <c r="E41" s="12" t="s">
        <v>1056</v>
      </c>
      <c r="F41" s="12" t="s">
        <v>445</v>
      </c>
      <c r="G41" s="74" t="s">
        <v>436</v>
      </c>
      <c r="H41" s="12" t="s">
        <v>442</v>
      </c>
      <c r="I41" s="12" t="s">
        <v>452</v>
      </c>
      <c r="J41" s="12" t="s">
        <v>454</v>
      </c>
      <c r="K41" s="12">
        <v>1</v>
      </c>
      <c r="L41" s="13">
        <v>0</v>
      </c>
      <c r="M41" s="13" t="s">
        <v>484</v>
      </c>
      <c r="N41" s="13">
        <v>0</v>
      </c>
      <c r="O41" s="14" t="s">
        <v>460</v>
      </c>
      <c r="P41" s="14">
        <v>3</v>
      </c>
      <c r="Q41" s="14" t="s">
        <v>484</v>
      </c>
      <c r="R41" s="14" t="s">
        <v>484</v>
      </c>
      <c r="S41" s="15">
        <v>0</v>
      </c>
      <c r="T41" s="15">
        <v>0</v>
      </c>
      <c r="U41" s="16" t="s">
        <v>484</v>
      </c>
      <c r="V41" s="16" t="s">
        <v>467</v>
      </c>
      <c r="W41" s="17">
        <v>0</v>
      </c>
      <c r="X41" s="17">
        <v>0</v>
      </c>
      <c r="Y41" s="17" t="s">
        <v>484</v>
      </c>
      <c r="Z41" s="17" t="s">
        <v>484</v>
      </c>
      <c r="AA41" s="31">
        <v>0</v>
      </c>
      <c r="AB41" s="18" t="s">
        <v>439</v>
      </c>
      <c r="AC41" s="156" t="s">
        <v>467</v>
      </c>
      <c r="AD41" s="125" t="str">
        <f t="shared" si="7"/>
        <v/>
      </c>
      <c r="AE41" s="160" t="s">
        <v>505</v>
      </c>
      <c r="AF41" t="s">
        <v>505</v>
      </c>
      <c r="AG41" s="18" t="s">
        <v>525</v>
      </c>
      <c r="AH41" s="18" t="s">
        <v>474</v>
      </c>
      <c r="AI41" s="132"/>
      <c r="AK41" s="77">
        <f t="shared" si="0"/>
        <v>0</v>
      </c>
      <c r="AL41" t="str">
        <f t="shared" si="1"/>
        <v>non-LVC</v>
      </c>
      <c r="AM41" s="105" t="str" cm="1">
        <f t="array" ref="AM41">IF(OR(O41:O198="zero_recoverable", "zero_exalt", "zero_other", "zero_uncertain"),
   "Yes","No")</f>
        <v>Yes</v>
      </c>
      <c r="AN41">
        <f>1 + COUNTIF($V$2:V40,"main")</f>
        <v>11</v>
      </c>
      <c r="AO41" t="str">
        <f t="shared" si="2"/>
        <v>complement</v>
      </c>
      <c r="AP41">
        <f t="shared" si="3"/>
        <v>1</v>
      </c>
      <c r="AQ41">
        <f>IF(AP42=0,"",COUNTIFS($AN$2:$AN42,$AN42,$AP$2:$AP42,1))</f>
        <v>1</v>
      </c>
      <c r="AR41">
        <f t="shared" si="4"/>
        <v>1</v>
      </c>
      <c r="AS41" t="s">
        <v>526</v>
      </c>
      <c r="AT41" t="s">
        <v>484</v>
      </c>
      <c r="AU41">
        <f t="shared" si="5"/>
        <v>0</v>
      </c>
      <c r="AV41">
        <f t="shared" si="6"/>
        <v>0</v>
      </c>
    </row>
    <row r="42" spans="1:48">
      <c r="A42" s="28" t="s">
        <v>68</v>
      </c>
      <c r="B42" s="11" t="s">
        <v>1077</v>
      </c>
      <c r="C42" s="110" t="s">
        <v>273</v>
      </c>
      <c r="D42" s="12" t="s">
        <v>370</v>
      </c>
      <c r="E42" s="12" t="s">
        <v>714</v>
      </c>
      <c r="F42" s="12" t="s">
        <v>447</v>
      </c>
      <c r="G42" s="74" t="s">
        <v>434</v>
      </c>
      <c r="H42" s="12" t="s">
        <v>442</v>
      </c>
      <c r="I42" s="12" t="s">
        <v>452</v>
      </c>
      <c r="J42" s="12" t="s">
        <v>454</v>
      </c>
      <c r="K42" s="12">
        <v>1</v>
      </c>
      <c r="L42" s="13">
        <v>0</v>
      </c>
      <c r="M42" s="13" t="s">
        <v>484</v>
      </c>
      <c r="N42" s="13">
        <v>0</v>
      </c>
      <c r="O42" s="14" t="s">
        <v>526</v>
      </c>
      <c r="P42" s="14">
        <v>2</v>
      </c>
      <c r="Q42" s="14" t="s">
        <v>484</v>
      </c>
      <c r="R42" s="14" t="s">
        <v>484</v>
      </c>
      <c r="S42" s="15">
        <v>0</v>
      </c>
      <c r="T42" s="15">
        <v>0</v>
      </c>
      <c r="U42" s="16" t="s">
        <v>484</v>
      </c>
      <c r="V42" s="16" t="s">
        <v>1064</v>
      </c>
      <c r="W42" s="17">
        <v>0</v>
      </c>
      <c r="X42" s="17">
        <v>1</v>
      </c>
      <c r="Y42" s="17" t="s">
        <v>521</v>
      </c>
      <c r="Z42" s="17" t="s">
        <v>513</v>
      </c>
      <c r="AA42" s="31">
        <v>0</v>
      </c>
      <c r="AB42" s="18" t="s">
        <v>471</v>
      </c>
      <c r="AC42" s="156" t="s">
        <v>467</v>
      </c>
      <c r="AD42" s="125" t="str">
        <f t="shared" si="7"/>
        <v/>
      </c>
      <c r="AE42" s="160" t="s">
        <v>505</v>
      </c>
      <c r="AF42" t="s">
        <v>505</v>
      </c>
      <c r="AG42" s="18" t="s">
        <v>525</v>
      </c>
      <c r="AH42" s="18" t="s">
        <v>474</v>
      </c>
      <c r="AI42" s="132" t="s">
        <v>1072</v>
      </c>
      <c r="AK42" s="77">
        <f t="shared" si="0"/>
        <v>0</v>
      </c>
      <c r="AL42" t="str">
        <f t="shared" si="1"/>
        <v>non-LVC</v>
      </c>
      <c r="AM42" s="105" t="str" cm="1">
        <f t="array" ref="AM42">IF(OR(O42:O199="zero_recoverable", "zero_exalt", "zero_other", "zero_uncertain"),
   "Yes","No")</f>
        <v>Yes</v>
      </c>
      <c r="AN42">
        <f>1 + COUNTIF($V$2:V41,"main")</f>
        <v>12</v>
      </c>
      <c r="AO42" t="str">
        <f t="shared" si="2"/>
        <v/>
      </c>
      <c r="AP42">
        <f t="shared" si="3"/>
        <v>1</v>
      </c>
      <c r="AQ42">
        <f>IF(AP43=0,"",COUNTIFS($AN$2:$AN43,$AN43,$AP$2:$AP43,1))</f>
        <v>2</v>
      </c>
      <c r="AR42">
        <v>1</v>
      </c>
      <c r="AS42" t="s">
        <v>526</v>
      </c>
      <c r="AT42" t="s">
        <v>462</v>
      </c>
      <c r="AU42">
        <f t="shared" si="5"/>
        <v>0</v>
      </c>
      <c r="AV42">
        <f t="shared" si="6"/>
        <v>0</v>
      </c>
    </row>
    <row r="43" spans="1:48">
      <c r="A43" s="28" t="s">
        <v>69</v>
      </c>
      <c r="B43" s="11" t="s">
        <v>1076</v>
      </c>
      <c r="C43" s="110" t="s">
        <v>274</v>
      </c>
      <c r="D43" s="12" t="s">
        <v>371</v>
      </c>
      <c r="E43" s="12" t="s">
        <v>1056</v>
      </c>
      <c r="F43" s="12" t="s">
        <v>445</v>
      </c>
      <c r="G43" s="74" t="s">
        <v>434</v>
      </c>
      <c r="H43" s="12" t="s">
        <v>442</v>
      </c>
      <c r="I43" s="12" t="s">
        <v>716</v>
      </c>
      <c r="J43" s="12" t="s">
        <v>454</v>
      </c>
      <c r="K43" s="12">
        <v>1</v>
      </c>
      <c r="L43" s="13">
        <v>2</v>
      </c>
      <c r="M43" s="13" t="s">
        <v>719</v>
      </c>
      <c r="N43" s="13">
        <v>1</v>
      </c>
      <c r="O43" s="14" t="s">
        <v>526</v>
      </c>
      <c r="P43" s="14">
        <v>3</v>
      </c>
      <c r="Q43" s="14" t="s">
        <v>462</v>
      </c>
      <c r="R43" s="14" t="s">
        <v>484</v>
      </c>
      <c r="S43" s="15">
        <v>0</v>
      </c>
      <c r="T43" s="15">
        <v>0</v>
      </c>
      <c r="U43" s="16" t="s">
        <v>484</v>
      </c>
      <c r="V43" s="16" t="s">
        <v>493</v>
      </c>
      <c r="W43" s="17">
        <v>1</v>
      </c>
      <c r="X43" s="17">
        <v>0</v>
      </c>
      <c r="Y43" s="17" t="s">
        <v>484</v>
      </c>
      <c r="Z43" s="17" t="s">
        <v>514</v>
      </c>
      <c r="AA43" s="31">
        <v>0</v>
      </c>
      <c r="AB43" s="18" t="s">
        <v>439</v>
      </c>
      <c r="AC43" s="156" t="s">
        <v>1064</v>
      </c>
      <c r="AD43" s="125" t="str">
        <f t="shared" si="7"/>
        <v/>
      </c>
      <c r="AE43" s="160" t="s">
        <v>505</v>
      </c>
      <c r="AF43" t="s">
        <v>505</v>
      </c>
      <c r="AG43" s="18" t="s">
        <v>525</v>
      </c>
      <c r="AH43" s="18" t="s">
        <v>485</v>
      </c>
      <c r="AI43" s="132"/>
      <c r="AK43" s="77">
        <f t="shared" si="0"/>
        <v>2</v>
      </c>
      <c r="AL43" t="str">
        <f t="shared" si="1"/>
        <v>non-LVC</v>
      </c>
      <c r="AM43" s="105" t="str" cm="1">
        <f t="array" ref="AM43">IF(OR(O43:O200="zero_recoverable", "zero_exalt", "zero_other", "zero_uncertain"),
   "Yes","No")</f>
        <v>Yes</v>
      </c>
      <c r="AN43">
        <f>1 + COUNTIF($V$2:V42,"main")</f>
        <v>12</v>
      </c>
      <c r="AO43" t="str">
        <f t="shared" si="2"/>
        <v/>
      </c>
      <c r="AP43">
        <f t="shared" si="3"/>
        <v>1</v>
      </c>
      <c r="AQ43">
        <f>IF(AP44=0,"",COUNTIFS($AN$2:$AN44,$AN44,$AP$2:$AP44,1))</f>
        <v>3</v>
      </c>
      <c r="AR43">
        <f t="shared" si="4"/>
        <v>0</v>
      </c>
      <c r="AS43" t="s">
        <v>462</v>
      </c>
      <c r="AT43" t="s">
        <v>460</v>
      </c>
      <c r="AU43">
        <f t="shared" si="5"/>
        <v>0</v>
      </c>
      <c r="AV43">
        <f t="shared" si="6"/>
        <v>1</v>
      </c>
    </row>
    <row r="44" spans="1:48">
      <c r="A44" s="28" t="s">
        <v>70</v>
      </c>
      <c r="B44" s="11" t="s">
        <v>194</v>
      </c>
      <c r="C44" s="110" t="s">
        <v>275</v>
      </c>
      <c r="D44" s="12" t="s">
        <v>372</v>
      </c>
      <c r="E44" s="12" t="s">
        <v>1056</v>
      </c>
      <c r="F44" s="12" t="s">
        <v>550</v>
      </c>
      <c r="G44" s="74" t="s">
        <v>434</v>
      </c>
      <c r="H44" s="12" t="s">
        <v>441</v>
      </c>
      <c r="I44" s="12" t="s">
        <v>452</v>
      </c>
      <c r="J44" s="12" t="s">
        <v>454</v>
      </c>
      <c r="K44" s="12">
        <v>1</v>
      </c>
      <c r="L44" s="13">
        <v>1</v>
      </c>
      <c r="M44" s="13" t="s">
        <v>457</v>
      </c>
      <c r="N44" s="13">
        <v>0</v>
      </c>
      <c r="O44" s="14" t="s">
        <v>462</v>
      </c>
      <c r="P44" s="14">
        <v>3</v>
      </c>
      <c r="Q44" s="14" t="s">
        <v>460</v>
      </c>
      <c r="R44" s="14" t="s">
        <v>484</v>
      </c>
      <c r="S44" s="15">
        <v>1</v>
      </c>
      <c r="T44" s="15">
        <v>0</v>
      </c>
      <c r="U44" s="16" t="s">
        <v>457</v>
      </c>
      <c r="V44" s="16" t="s">
        <v>493</v>
      </c>
      <c r="W44" s="17">
        <v>1</v>
      </c>
      <c r="X44" s="17">
        <v>0</v>
      </c>
      <c r="Y44" s="17" t="s">
        <v>521</v>
      </c>
      <c r="Z44" s="17" t="s">
        <v>513</v>
      </c>
      <c r="AA44" s="31">
        <v>0</v>
      </c>
      <c r="AB44" s="18" t="s">
        <v>439</v>
      </c>
      <c r="AC44" s="156" t="s">
        <v>493</v>
      </c>
      <c r="AD44" s="125" t="str">
        <f t="shared" si="7"/>
        <v/>
      </c>
      <c r="AE44" s="160" t="s">
        <v>505</v>
      </c>
      <c r="AF44" t="s">
        <v>507</v>
      </c>
      <c r="AG44" s="18" t="s">
        <v>487</v>
      </c>
      <c r="AH44" s="18" t="s">
        <v>533</v>
      </c>
      <c r="AI44" s="132" t="s">
        <v>1061</v>
      </c>
      <c r="AK44" s="77">
        <f t="shared" si="0"/>
        <v>1</v>
      </c>
      <c r="AL44" t="str">
        <f t="shared" si="1"/>
        <v>non-LVC</v>
      </c>
      <c r="AM44" s="105" t="str" cm="1">
        <f t="array" ref="AM44">IF(OR(O44:O201="zero_recoverable", "zero_exalt", "zero_other", "zero_uncertain"),
   "Yes","No")</f>
        <v>Yes</v>
      </c>
      <c r="AN44">
        <f>1 + COUNTIF($V$2:V43,"main")</f>
        <v>12</v>
      </c>
      <c r="AO44" t="str">
        <f t="shared" si="2"/>
        <v/>
      </c>
      <c r="AP44">
        <f t="shared" si="3"/>
        <v>1</v>
      </c>
      <c r="AQ44" t="str">
        <f>IF(AP45=0,"",COUNTIFS($AN$2:$AN45,$AN45,$AP$2:$AP45,1))</f>
        <v/>
      </c>
      <c r="AR44">
        <f t="shared" si="4"/>
        <v>0</v>
      </c>
      <c r="AS44" t="s">
        <v>462</v>
      </c>
      <c r="AT44" t="s">
        <v>484</v>
      </c>
      <c r="AU44">
        <f t="shared" si="5"/>
        <v>0</v>
      </c>
      <c r="AV44">
        <f t="shared" si="6"/>
        <v>0</v>
      </c>
    </row>
    <row r="45" spans="1:48">
      <c r="A45" s="28" t="s">
        <v>71</v>
      </c>
      <c r="B45" s="11" t="s">
        <v>195</v>
      </c>
      <c r="C45" s="110" t="s">
        <v>546</v>
      </c>
      <c r="D45" s="12" t="s">
        <v>373</v>
      </c>
      <c r="E45" s="12" t="s">
        <v>1056</v>
      </c>
      <c r="F45" s="12" t="s">
        <v>446</v>
      </c>
      <c r="G45" s="74" t="s">
        <v>435</v>
      </c>
      <c r="H45" s="12" t="s">
        <v>442</v>
      </c>
      <c r="I45" s="12" t="s">
        <v>453</v>
      </c>
      <c r="J45" s="12" t="s">
        <v>454</v>
      </c>
      <c r="K45" s="12">
        <v>1</v>
      </c>
      <c r="L45" s="13">
        <v>1</v>
      </c>
      <c r="M45" s="13" t="s">
        <v>457</v>
      </c>
      <c r="N45" s="13">
        <v>1</v>
      </c>
      <c r="O45" s="14" t="s">
        <v>462</v>
      </c>
      <c r="P45" s="14">
        <v>3</v>
      </c>
      <c r="Q45" s="14" t="s">
        <v>484</v>
      </c>
      <c r="R45" s="14" t="s">
        <v>484</v>
      </c>
      <c r="S45" s="15">
        <v>0</v>
      </c>
      <c r="T45" s="15">
        <v>1</v>
      </c>
      <c r="U45" s="16" t="s">
        <v>464</v>
      </c>
      <c r="V45" s="16" t="s">
        <v>466</v>
      </c>
      <c r="W45" s="17">
        <v>1</v>
      </c>
      <c r="X45" s="17">
        <v>0</v>
      </c>
      <c r="Y45" s="17" t="s">
        <v>521</v>
      </c>
      <c r="Z45" s="17" t="s">
        <v>512</v>
      </c>
      <c r="AA45" s="31">
        <v>0</v>
      </c>
      <c r="AB45" s="18" t="s">
        <v>439</v>
      </c>
      <c r="AC45" s="156" t="s">
        <v>493</v>
      </c>
      <c r="AD45" s="125" t="str">
        <f t="shared" si="7"/>
        <v/>
      </c>
      <c r="AE45" s="160" t="s">
        <v>507</v>
      </c>
      <c r="AF45" t="s">
        <v>505</v>
      </c>
      <c r="AG45" s="18" t="s">
        <v>506</v>
      </c>
      <c r="AH45" s="18" t="s">
        <v>485</v>
      </c>
      <c r="AI45" s="132"/>
      <c r="AK45" s="77">
        <f t="shared" si="0"/>
        <v>1</v>
      </c>
      <c r="AL45" t="str">
        <f t="shared" si="1"/>
        <v>LVC</v>
      </c>
      <c r="AM45" s="105" t="str" cm="1">
        <f t="array" ref="AM45">IF(OR(O45:O202="zero_recoverable", "zero_exalt", "zero_other", "zero_uncertain"),
   "Yes","No")</f>
        <v>Yes</v>
      </c>
      <c r="AN45">
        <f>1 + COUNTIF($V$2:V44,"main")</f>
        <v>12</v>
      </c>
      <c r="AO45" t="str">
        <f t="shared" si="2"/>
        <v>te</v>
      </c>
      <c r="AP45">
        <f t="shared" si="3"/>
        <v>0</v>
      </c>
      <c r="AQ45">
        <f>IF(AP46=0,"",COUNTIFS($AN$2:$AN46,$AN46,$AP$2:$AP46,1))</f>
        <v>4</v>
      </c>
      <c r="AR45">
        <f t="shared" si="4"/>
        <v>0</v>
      </c>
      <c r="AS45" t="s">
        <v>526</v>
      </c>
      <c r="AT45" t="s">
        <v>462</v>
      </c>
      <c r="AU45">
        <f t="shared" si="5"/>
        <v>1</v>
      </c>
      <c r="AV45">
        <f t="shared" si="6"/>
        <v>0</v>
      </c>
    </row>
    <row r="46" spans="1:48">
      <c r="A46" s="28" t="s">
        <v>72</v>
      </c>
      <c r="B46" s="11" t="s">
        <v>196</v>
      </c>
      <c r="C46" s="110" t="s">
        <v>276</v>
      </c>
      <c r="D46" s="12" t="s">
        <v>374</v>
      </c>
      <c r="E46" s="12" t="s">
        <v>1056</v>
      </c>
      <c r="F46" s="12" t="s">
        <v>449</v>
      </c>
      <c r="G46" s="74" t="s">
        <v>434</v>
      </c>
      <c r="H46" s="12" t="s">
        <v>441</v>
      </c>
      <c r="I46" s="12" t="s">
        <v>452</v>
      </c>
      <c r="J46" s="12" t="s">
        <v>454</v>
      </c>
      <c r="K46" s="12">
        <v>1</v>
      </c>
      <c r="L46" s="13">
        <v>1</v>
      </c>
      <c r="M46" s="13" t="s">
        <v>465</v>
      </c>
      <c r="N46" s="13">
        <v>0</v>
      </c>
      <c r="O46" s="14" t="s">
        <v>526</v>
      </c>
      <c r="P46" s="14">
        <v>1</v>
      </c>
      <c r="Q46" s="14" t="s">
        <v>462</v>
      </c>
      <c r="R46" s="14" t="s">
        <v>484</v>
      </c>
      <c r="S46" s="15">
        <v>0</v>
      </c>
      <c r="T46" s="15">
        <v>0</v>
      </c>
      <c r="U46" s="16" t="s">
        <v>484</v>
      </c>
      <c r="V46" s="16" t="s">
        <v>537</v>
      </c>
      <c r="W46" s="17">
        <v>0</v>
      </c>
      <c r="X46" s="17">
        <v>1</v>
      </c>
      <c r="Y46" s="17" t="s">
        <v>521</v>
      </c>
      <c r="Z46" s="17" t="s">
        <v>514</v>
      </c>
      <c r="AA46" s="31">
        <v>0</v>
      </c>
      <c r="AB46" s="18" t="s">
        <v>470</v>
      </c>
      <c r="AC46" s="156" t="s">
        <v>466</v>
      </c>
      <c r="AD46" s="125" t="s">
        <v>1134</v>
      </c>
      <c r="AE46" s="160" t="s">
        <v>505</v>
      </c>
      <c r="AF46" t="s">
        <v>507</v>
      </c>
      <c r="AG46" s="18" t="s">
        <v>525</v>
      </c>
      <c r="AH46" s="18" t="s">
        <v>485</v>
      </c>
      <c r="AI46" s="132"/>
      <c r="AK46" s="77">
        <f t="shared" si="0"/>
        <v>1</v>
      </c>
      <c r="AL46" t="str">
        <f t="shared" si="1"/>
        <v>non-LVC</v>
      </c>
      <c r="AM46" s="105" t="str" cm="1">
        <f t="array" ref="AM46">IF(OR(O46:O203="zero_recoverable", "zero_exalt", "zero_other", "zero_uncertain"),
   "Yes","No")</f>
        <v>Yes</v>
      </c>
      <c r="AN46">
        <f>1 + COUNTIF($V$2:V45,"main")</f>
        <v>12</v>
      </c>
      <c r="AO46" t="str">
        <f t="shared" si="2"/>
        <v/>
      </c>
      <c r="AP46">
        <f t="shared" si="3"/>
        <v>1</v>
      </c>
      <c r="AQ46" t="str">
        <f>IF(AP47=0,"",COUNTIFS($AN$2:$AN47,$AN47,$AP$2:$AP47,1))</f>
        <v/>
      </c>
      <c r="AR46">
        <f t="shared" si="4"/>
        <v>0</v>
      </c>
      <c r="AS46" t="s">
        <v>462</v>
      </c>
      <c r="AT46" t="s">
        <v>484</v>
      </c>
      <c r="AU46">
        <f t="shared" si="5"/>
        <v>0</v>
      </c>
      <c r="AV46">
        <f t="shared" si="6"/>
        <v>0</v>
      </c>
    </row>
    <row r="47" spans="1:48">
      <c r="A47" s="28" t="s">
        <v>73</v>
      </c>
      <c r="B47" s="11" t="s">
        <v>197</v>
      </c>
      <c r="C47" s="110" t="s">
        <v>277</v>
      </c>
      <c r="D47" s="12" t="s">
        <v>375</v>
      </c>
      <c r="E47" s="12" t="s">
        <v>1057</v>
      </c>
      <c r="F47" s="12" t="s">
        <v>446</v>
      </c>
      <c r="G47" s="74" t="s">
        <v>434</v>
      </c>
      <c r="H47" s="12" t="s">
        <v>442</v>
      </c>
      <c r="I47" s="12" t="s">
        <v>452</v>
      </c>
      <c r="J47" s="12" t="s">
        <v>454</v>
      </c>
      <c r="K47" s="12">
        <v>1</v>
      </c>
      <c r="L47" s="13">
        <v>1</v>
      </c>
      <c r="M47" s="13" t="s">
        <v>457</v>
      </c>
      <c r="N47" s="13">
        <v>0</v>
      </c>
      <c r="O47" s="14" t="s">
        <v>462</v>
      </c>
      <c r="P47" s="14">
        <v>3</v>
      </c>
      <c r="Q47" s="14" t="s">
        <v>484</v>
      </c>
      <c r="R47" s="14" t="s">
        <v>484</v>
      </c>
      <c r="S47" s="15">
        <v>0</v>
      </c>
      <c r="T47" s="15">
        <v>1</v>
      </c>
      <c r="U47" s="16" t="s">
        <v>464</v>
      </c>
      <c r="V47" s="16" t="s">
        <v>466</v>
      </c>
      <c r="W47" s="17">
        <v>0</v>
      </c>
      <c r="X47" s="17">
        <v>0</v>
      </c>
      <c r="Y47" s="17" t="s">
        <v>484</v>
      </c>
      <c r="Z47" s="17" t="s">
        <v>484</v>
      </c>
      <c r="AA47" s="31">
        <v>0</v>
      </c>
      <c r="AB47" s="18" t="s">
        <v>439</v>
      </c>
      <c r="AC47" s="156" t="s">
        <v>537</v>
      </c>
      <c r="AD47" s="125" t="str">
        <f t="shared" si="7"/>
        <v/>
      </c>
      <c r="AE47" s="160" t="s">
        <v>507</v>
      </c>
      <c r="AF47" t="s">
        <v>507</v>
      </c>
      <c r="AG47" s="18" t="s">
        <v>487</v>
      </c>
      <c r="AH47" s="18" t="s">
        <v>533</v>
      </c>
      <c r="AI47" s="132"/>
      <c r="AK47" s="77">
        <f t="shared" si="0"/>
        <v>1</v>
      </c>
      <c r="AL47" t="str">
        <f t="shared" si="1"/>
        <v>non-LVC</v>
      </c>
      <c r="AM47" s="105" t="str" cm="1">
        <f t="array" ref="AM47">IF(OR(O47:O204="zero_recoverable", "zero_exalt", "zero_other", "zero_uncertain"),
   "Yes","No")</f>
        <v>Yes</v>
      </c>
      <c r="AN47">
        <f>1 + COUNTIF($V$2:V46,"main")</f>
        <v>12</v>
      </c>
      <c r="AO47" t="str">
        <f t="shared" si="2"/>
        <v/>
      </c>
      <c r="AP47">
        <f t="shared" si="3"/>
        <v>0</v>
      </c>
      <c r="AQ47">
        <f>IF(AP48=0,"",COUNTIFS($AN$2:$AN48,$AN48,$AP$2:$AP48,1))</f>
        <v>5</v>
      </c>
      <c r="AR47">
        <f t="shared" si="4"/>
        <v>0</v>
      </c>
      <c r="AS47" t="s">
        <v>526</v>
      </c>
      <c r="AT47" t="s">
        <v>462</v>
      </c>
      <c r="AU47">
        <f t="shared" si="5"/>
        <v>1</v>
      </c>
      <c r="AV47">
        <f t="shared" si="6"/>
        <v>0</v>
      </c>
    </row>
    <row r="48" spans="1:48">
      <c r="A48" s="28" t="s">
        <v>74</v>
      </c>
      <c r="B48" s="11" t="s">
        <v>198</v>
      </c>
      <c r="C48" s="110" t="s">
        <v>278</v>
      </c>
      <c r="D48" s="12" t="s">
        <v>376</v>
      </c>
      <c r="E48" s="12" t="s">
        <v>715</v>
      </c>
      <c r="F48" s="12" t="s">
        <v>450</v>
      </c>
      <c r="G48" s="74" t="s">
        <v>434</v>
      </c>
      <c r="H48" s="12" t="s">
        <v>441</v>
      </c>
      <c r="I48" s="12" t="s">
        <v>452</v>
      </c>
      <c r="J48" s="12" t="s">
        <v>454</v>
      </c>
      <c r="K48" s="12">
        <v>1</v>
      </c>
      <c r="L48" s="13">
        <v>1</v>
      </c>
      <c r="M48" s="13" t="s">
        <v>465</v>
      </c>
      <c r="N48" s="13">
        <v>0</v>
      </c>
      <c r="O48" s="14" t="s">
        <v>526</v>
      </c>
      <c r="P48" s="14">
        <v>1</v>
      </c>
      <c r="Q48" s="14" t="s">
        <v>462</v>
      </c>
      <c r="R48" s="14" t="s">
        <v>484</v>
      </c>
      <c r="S48" s="15">
        <v>0</v>
      </c>
      <c r="T48" s="15">
        <v>0</v>
      </c>
      <c r="U48" s="16" t="s">
        <v>464</v>
      </c>
      <c r="V48" s="16" t="s">
        <v>493</v>
      </c>
      <c r="W48" s="17">
        <v>0</v>
      </c>
      <c r="X48" s="17">
        <v>0</v>
      </c>
      <c r="Y48" s="17" t="s">
        <v>484</v>
      </c>
      <c r="Z48" s="17" t="s">
        <v>484</v>
      </c>
      <c r="AA48" s="31">
        <v>0</v>
      </c>
      <c r="AB48" s="18" t="s">
        <v>547</v>
      </c>
      <c r="AC48" s="156" t="s">
        <v>466</v>
      </c>
      <c r="AD48" s="125" t="str">
        <f t="shared" si="7"/>
        <v/>
      </c>
      <c r="AE48" s="160" t="s">
        <v>507</v>
      </c>
      <c r="AF48" t="s">
        <v>505</v>
      </c>
      <c r="AG48" s="18" t="s">
        <v>525</v>
      </c>
      <c r="AH48" s="18" t="s">
        <v>485</v>
      </c>
      <c r="AI48" s="132"/>
      <c r="AK48" s="77">
        <f t="shared" si="0"/>
        <v>1</v>
      </c>
      <c r="AL48" t="str">
        <f t="shared" si="1"/>
        <v>non-LVC</v>
      </c>
      <c r="AM48" s="105" t="str" cm="1">
        <f t="array" ref="AM48">IF(OR(O48:O205="zero_recoverable", "zero_exalt", "zero_other", "zero_uncertain"),
   "Yes","No")</f>
        <v>Yes</v>
      </c>
      <c r="AN48">
        <f>1 + COUNTIF($V$2:V47,"main")</f>
        <v>12</v>
      </c>
      <c r="AO48" t="str">
        <f t="shared" si="2"/>
        <v/>
      </c>
      <c r="AP48">
        <f t="shared" si="3"/>
        <v>1</v>
      </c>
      <c r="AQ48">
        <f>IF(AP49=0,"",COUNTIFS($AN$2:$AN49,$AN49,$AP$2:$AP49,1))</f>
        <v>6</v>
      </c>
      <c r="AR48">
        <f t="shared" si="4"/>
        <v>0</v>
      </c>
      <c r="AS48" t="s">
        <v>461</v>
      </c>
      <c r="AT48" t="s">
        <v>484</v>
      </c>
      <c r="AU48">
        <f t="shared" si="5"/>
        <v>0</v>
      </c>
      <c r="AV48">
        <f t="shared" si="6"/>
        <v>0</v>
      </c>
    </row>
    <row r="49" spans="1:48">
      <c r="A49" s="28" t="s">
        <v>75</v>
      </c>
      <c r="B49" s="11" t="s">
        <v>199</v>
      </c>
      <c r="C49" s="110" t="s">
        <v>279</v>
      </c>
      <c r="D49" s="12" t="s">
        <v>377</v>
      </c>
      <c r="E49" s="12" t="s">
        <v>1056</v>
      </c>
      <c r="F49" s="12" t="s">
        <v>445</v>
      </c>
      <c r="G49" s="74" t="s">
        <v>1068</v>
      </c>
      <c r="H49" s="12" t="s">
        <v>442</v>
      </c>
      <c r="I49" s="12" t="s">
        <v>452</v>
      </c>
      <c r="J49" s="12" t="s">
        <v>454</v>
      </c>
      <c r="K49" s="12">
        <v>1</v>
      </c>
      <c r="L49" s="13">
        <v>0</v>
      </c>
      <c r="M49" s="13" t="s">
        <v>484</v>
      </c>
      <c r="N49" s="13">
        <v>1</v>
      </c>
      <c r="O49" s="14" t="s">
        <v>461</v>
      </c>
      <c r="P49" s="14">
        <v>1</v>
      </c>
      <c r="Q49" s="14" t="s">
        <v>484</v>
      </c>
      <c r="R49" s="14" t="s">
        <v>484</v>
      </c>
      <c r="S49" s="15">
        <v>0</v>
      </c>
      <c r="T49" s="15">
        <v>0</v>
      </c>
      <c r="U49" s="16" t="s">
        <v>484</v>
      </c>
      <c r="V49" s="16" t="s">
        <v>467</v>
      </c>
      <c r="W49" s="17">
        <v>0</v>
      </c>
      <c r="X49" s="17">
        <v>1</v>
      </c>
      <c r="Y49" s="17" t="s">
        <v>521</v>
      </c>
      <c r="Z49" s="17" t="s">
        <v>513</v>
      </c>
      <c r="AA49" s="31">
        <v>0</v>
      </c>
      <c r="AB49" s="18" t="s">
        <v>439</v>
      </c>
      <c r="AC49" s="156" t="s">
        <v>493</v>
      </c>
      <c r="AD49" s="125" t="str">
        <f t="shared" si="7"/>
        <v/>
      </c>
      <c r="AE49" s="160" t="s">
        <v>505</v>
      </c>
      <c r="AF49" t="s">
        <v>505</v>
      </c>
      <c r="AG49" s="18" t="s">
        <v>525</v>
      </c>
      <c r="AH49" s="18" t="s">
        <v>474</v>
      </c>
      <c r="AI49" s="132"/>
      <c r="AK49" s="77">
        <f t="shared" si="0"/>
        <v>0</v>
      </c>
      <c r="AL49" t="str">
        <f t="shared" si="1"/>
        <v>non-LVC</v>
      </c>
      <c r="AM49" s="105" t="str" cm="1">
        <f t="array" ref="AM49">IF(OR(O49:O206="zero_recoverable", "zero_exalt", "zero_other", "zero_uncertain"),
   "Yes","No")</f>
        <v>Yes</v>
      </c>
      <c r="AN49">
        <f>1 + COUNTIF($V$2:V48,"main")</f>
        <v>12</v>
      </c>
      <c r="AO49" t="str">
        <f t="shared" si="2"/>
        <v>main</v>
      </c>
      <c r="AP49">
        <f t="shared" si="3"/>
        <v>1</v>
      </c>
      <c r="AQ49">
        <f>IF(AP50=0,"",COUNTIFS($AN$2:$AN50,$AN50,$AP$2:$AP50,1))</f>
        <v>1</v>
      </c>
      <c r="AR49">
        <v>0</v>
      </c>
      <c r="AS49" t="s">
        <v>461</v>
      </c>
      <c r="AT49" t="s">
        <v>484</v>
      </c>
      <c r="AU49">
        <f t="shared" si="5"/>
        <v>0</v>
      </c>
      <c r="AV49">
        <f t="shared" si="6"/>
        <v>0</v>
      </c>
    </row>
    <row r="50" spans="1:48">
      <c r="A50" s="28" t="s">
        <v>76</v>
      </c>
      <c r="B50" s="11" t="s">
        <v>200</v>
      </c>
      <c r="C50" s="110" t="s">
        <v>280</v>
      </c>
      <c r="D50" s="12" t="s">
        <v>378</v>
      </c>
      <c r="E50" s="12" t="s">
        <v>715</v>
      </c>
      <c r="F50" s="12" t="s">
        <v>447</v>
      </c>
      <c r="G50" s="74" t="s">
        <v>434</v>
      </c>
      <c r="H50" s="12" t="s">
        <v>442</v>
      </c>
      <c r="I50" s="12" t="s">
        <v>452</v>
      </c>
      <c r="J50" s="12" t="s">
        <v>455</v>
      </c>
      <c r="K50" s="12">
        <v>1</v>
      </c>
      <c r="L50" s="13">
        <v>0</v>
      </c>
      <c r="M50" s="13" t="s">
        <v>484</v>
      </c>
      <c r="N50" s="13">
        <v>0</v>
      </c>
      <c r="O50" s="14" t="s">
        <v>461</v>
      </c>
      <c r="P50" s="14">
        <v>1</v>
      </c>
      <c r="Q50" s="14" t="s">
        <v>484</v>
      </c>
      <c r="R50" s="14" t="s">
        <v>484</v>
      </c>
      <c r="S50" s="15">
        <v>0</v>
      </c>
      <c r="T50" s="15">
        <v>0</v>
      </c>
      <c r="U50" s="16" t="s">
        <v>484</v>
      </c>
      <c r="V50" s="16" t="s">
        <v>467</v>
      </c>
      <c r="W50" s="17">
        <v>0</v>
      </c>
      <c r="X50" s="17">
        <v>1</v>
      </c>
      <c r="Y50" s="17" t="s">
        <v>521</v>
      </c>
      <c r="Z50" s="17" t="s">
        <v>516</v>
      </c>
      <c r="AA50" s="31">
        <v>0</v>
      </c>
      <c r="AB50" s="18" t="s">
        <v>439</v>
      </c>
      <c r="AC50" s="156" t="s">
        <v>467</v>
      </c>
      <c r="AD50" s="125" t="str">
        <f t="shared" si="7"/>
        <v/>
      </c>
      <c r="AE50" s="160" t="s">
        <v>505</v>
      </c>
      <c r="AF50" t="s">
        <v>507</v>
      </c>
      <c r="AG50" s="18" t="s">
        <v>525</v>
      </c>
      <c r="AH50" s="18" t="s">
        <v>474</v>
      </c>
      <c r="AI50" s="132"/>
      <c r="AK50" s="77">
        <f t="shared" si="0"/>
        <v>0</v>
      </c>
      <c r="AL50" t="str">
        <f t="shared" si="1"/>
        <v>non-LVC</v>
      </c>
      <c r="AM50" s="105" t="str" cm="1">
        <f t="array" ref="AM50">IF(OR(O50:O207="zero_recoverable", "zero_exalt", "zero_other", "zero_uncertain"),
   "Yes","No")</f>
        <v>Yes</v>
      </c>
      <c r="AN50">
        <f>1 + COUNTIF($V$2:V49,"main")</f>
        <v>13</v>
      </c>
      <c r="AO50" t="str">
        <f t="shared" si="2"/>
        <v/>
      </c>
      <c r="AP50">
        <f t="shared" si="3"/>
        <v>1</v>
      </c>
      <c r="AQ50">
        <f>IF(AP51=0,"",COUNTIFS($AN$2:$AN51,$AN51,$AP$2:$AP51,1))</f>
        <v>1</v>
      </c>
      <c r="AR50">
        <f t="shared" si="4"/>
        <v>1</v>
      </c>
      <c r="AS50" t="s">
        <v>462</v>
      </c>
      <c r="AT50" t="s">
        <v>484</v>
      </c>
      <c r="AU50">
        <f t="shared" si="5"/>
        <v>0</v>
      </c>
      <c r="AV50">
        <f t="shared" si="6"/>
        <v>0</v>
      </c>
    </row>
    <row r="51" spans="1:48">
      <c r="A51" s="28" t="s">
        <v>77</v>
      </c>
      <c r="B51" s="11" t="s">
        <v>1078</v>
      </c>
      <c r="C51" s="110" t="s">
        <v>720</v>
      </c>
      <c r="D51" s="12" t="s">
        <v>406</v>
      </c>
      <c r="E51" s="12" t="s">
        <v>1056</v>
      </c>
      <c r="F51" s="12" t="s">
        <v>445</v>
      </c>
      <c r="G51" s="74" t="s">
        <v>437</v>
      </c>
      <c r="H51" s="12" t="s">
        <v>442</v>
      </c>
      <c r="I51" s="12" t="s">
        <v>452</v>
      </c>
      <c r="J51" s="12" t="s">
        <v>455</v>
      </c>
      <c r="K51" s="12">
        <v>1</v>
      </c>
      <c r="L51" s="13">
        <v>1</v>
      </c>
      <c r="M51" s="13" t="s">
        <v>457</v>
      </c>
      <c r="N51" s="13">
        <v>1</v>
      </c>
      <c r="O51" s="14" t="s">
        <v>462</v>
      </c>
      <c r="P51" s="14">
        <v>3</v>
      </c>
      <c r="Q51" s="14" t="s">
        <v>484</v>
      </c>
      <c r="R51" s="14" t="s">
        <v>484</v>
      </c>
      <c r="S51" s="15">
        <v>0</v>
      </c>
      <c r="T51" s="15">
        <v>0</v>
      </c>
      <c r="U51" s="16" t="s">
        <v>484</v>
      </c>
      <c r="V51" s="16" t="s">
        <v>1064</v>
      </c>
      <c r="W51" s="17">
        <v>0</v>
      </c>
      <c r="X51" s="17">
        <v>0</v>
      </c>
      <c r="Y51" s="17" t="s">
        <v>484</v>
      </c>
      <c r="Z51" s="17" t="s">
        <v>484</v>
      </c>
      <c r="AA51" s="31">
        <v>0</v>
      </c>
      <c r="AB51" s="18" t="s">
        <v>471</v>
      </c>
      <c r="AC51" s="156" t="s">
        <v>467</v>
      </c>
      <c r="AD51" s="125" t="str">
        <f t="shared" si="7"/>
        <v/>
      </c>
      <c r="AE51" s="160" t="s">
        <v>507</v>
      </c>
      <c r="AF51" t="s">
        <v>1117</v>
      </c>
      <c r="AG51" s="18" t="s">
        <v>487</v>
      </c>
      <c r="AH51" s="18" t="s">
        <v>485</v>
      </c>
      <c r="AI51" s="132"/>
      <c r="AK51" s="77">
        <f t="shared" si="0"/>
        <v>1</v>
      </c>
      <c r="AL51" t="str">
        <f t="shared" si="1"/>
        <v>non-LVC</v>
      </c>
      <c r="AM51" s="105" t="str" cm="1">
        <f t="array" ref="AM51">IF(OR(O51:O208="zero_recoverable", "zero_exalt", "zero_other", "zero_uncertain"),
   "Yes","No")</f>
        <v>Yes</v>
      </c>
      <c r="AN51">
        <f>1 + COUNTIF($V$2:V50,"main")</f>
        <v>14</v>
      </c>
      <c r="AO51" t="str">
        <f t="shared" si="2"/>
        <v>main</v>
      </c>
      <c r="AP51">
        <f t="shared" si="3"/>
        <v>1</v>
      </c>
      <c r="AQ51">
        <f>IF(AP52=0,"",COUNTIFS($AN$2:$AN52,$AN52,$AP$2:$AP52,1))</f>
        <v>2</v>
      </c>
      <c r="AR51">
        <f t="shared" si="4"/>
        <v>0</v>
      </c>
      <c r="AS51" t="s">
        <v>461</v>
      </c>
      <c r="AT51" t="s">
        <v>462</v>
      </c>
      <c r="AU51">
        <f t="shared" si="5"/>
        <v>1</v>
      </c>
      <c r="AV51">
        <f t="shared" si="6"/>
        <v>0</v>
      </c>
    </row>
    <row r="52" spans="1:48">
      <c r="A52" s="28"/>
      <c r="B52" s="11" t="s">
        <v>1079</v>
      </c>
      <c r="C52" s="110" t="s">
        <v>721</v>
      </c>
      <c r="D52" s="12" t="s">
        <v>379</v>
      </c>
      <c r="E52" s="12" t="s">
        <v>1057</v>
      </c>
      <c r="F52" s="12" t="s">
        <v>448</v>
      </c>
      <c r="G52" s="74" t="s">
        <v>434</v>
      </c>
      <c r="H52" s="12" t="s">
        <v>441</v>
      </c>
      <c r="I52" s="12" t="s">
        <v>452</v>
      </c>
      <c r="J52" s="12" t="s">
        <v>454</v>
      </c>
      <c r="K52" s="12">
        <v>1</v>
      </c>
      <c r="L52" s="13">
        <v>1</v>
      </c>
      <c r="M52" s="13" t="s">
        <v>458</v>
      </c>
      <c r="N52" s="13">
        <v>0</v>
      </c>
      <c r="O52" s="14" t="s">
        <v>461</v>
      </c>
      <c r="P52" s="14">
        <v>3</v>
      </c>
      <c r="Q52" s="14" t="s">
        <v>462</v>
      </c>
      <c r="R52" s="14" t="s">
        <v>484</v>
      </c>
      <c r="S52" s="15">
        <v>0</v>
      </c>
      <c r="T52" s="15">
        <v>0</v>
      </c>
      <c r="U52" s="16" t="s">
        <v>484</v>
      </c>
      <c r="V52" s="16" t="s">
        <v>467</v>
      </c>
      <c r="W52" s="17">
        <v>0</v>
      </c>
      <c r="X52" s="17">
        <v>1</v>
      </c>
      <c r="Y52" s="17" t="s">
        <v>521</v>
      </c>
      <c r="Z52" s="17" t="s">
        <v>514</v>
      </c>
      <c r="AA52" s="31">
        <v>0</v>
      </c>
      <c r="AB52" s="18" t="s">
        <v>467</v>
      </c>
      <c r="AC52" s="156" t="s">
        <v>1117</v>
      </c>
      <c r="AD52" s="125" t="str">
        <f t="shared" si="7"/>
        <v/>
      </c>
      <c r="AE52" s="160" t="s">
        <v>507</v>
      </c>
      <c r="AF52" t="s">
        <v>1117</v>
      </c>
      <c r="AG52" s="18" t="s">
        <v>525</v>
      </c>
      <c r="AH52" s="18" t="s">
        <v>485</v>
      </c>
      <c r="AI52" s="132"/>
      <c r="AK52" s="77">
        <f t="shared" si="0"/>
        <v>1</v>
      </c>
      <c r="AL52" t="str">
        <f t="shared" si="1"/>
        <v>non-LVC</v>
      </c>
      <c r="AM52" s="105" t="str" cm="1">
        <f t="array" ref="AM52">IF(OR(O52:O209="zero_recoverable", "zero_exalt", "zero_other", "zero_uncertain"),
   "Yes","No")</f>
        <v>Yes</v>
      </c>
      <c r="AN52">
        <f>1 + COUNTIF($V$2:V51,"main")</f>
        <v>14</v>
      </c>
      <c r="AO52" t="str">
        <f t="shared" si="2"/>
        <v/>
      </c>
      <c r="AP52">
        <f t="shared" si="3"/>
        <v>1</v>
      </c>
      <c r="AQ52">
        <f>IF(AP53=0,"",COUNTIFS($AN$2:$AN53,$AN53,$AP$2:$AP53,1))</f>
        <v>1</v>
      </c>
      <c r="AR52">
        <v>0</v>
      </c>
      <c r="AS52" t="s">
        <v>462</v>
      </c>
      <c r="AT52" t="s">
        <v>484</v>
      </c>
      <c r="AU52">
        <f t="shared" si="5"/>
        <v>0</v>
      </c>
      <c r="AV52">
        <f t="shared" si="6"/>
        <v>0</v>
      </c>
    </row>
    <row r="53" spans="1:48">
      <c r="A53" s="28" t="s">
        <v>78</v>
      </c>
      <c r="B53" s="11" t="s">
        <v>201</v>
      </c>
      <c r="C53" s="110" t="s">
        <v>281</v>
      </c>
      <c r="D53" s="12" t="s">
        <v>380</v>
      </c>
      <c r="E53" s="12" t="s">
        <v>1056</v>
      </c>
      <c r="F53" s="12" t="s">
        <v>451</v>
      </c>
      <c r="G53" s="74" t="s">
        <v>434</v>
      </c>
      <c r="H53" s="12" t="s">
        <v>442</v>
      </c>
      <c r="I53" s="12" t="s">
        <v>452</v>
      </c>
      <c r="J53" s="12" t="s">
        <v>455</v>
      </c>
      <c r="K53" s="12">
        <v>1</v>
      </c>
      <c r="L53" s="13">
        <v>1</v>
      </c>
      <c r="M53" s="13" t="s">
        <v>457</v>
      </c>
      <c r="N53" s="13">
        <v>0</v>
      </c>
      <c r="O53" s="14" t="s">
        <v>462</v>
      </c>
      <c r="P53" s="14" t="s">
        <v>548</v>
      </c>
      <c r="Q53" s="14" t="s">
        <v>484</v>
      </c>
      <c r="R53" s="14" t="s">
        <v>484</v>
      </c>
      <c r="S53" s="15">
        <v>0</v>
      </c>
      <c r="T53" s="15">
        <v>0</v>
      </c>
      <c r="U53" s="16" t="s">
        <v>484</v>
      </c>
      <c r="V53" s="16" t="s">
        <v>467</v>
      </c>
      <c r="W53" s="17">
        <v>0</v>
      </c>
      <c r="X53" s="17">
        <v>0</v>
      </c>
      <c r="Y53" s="17" t="s">
        <v>484</v>
      </c>
      <c r="Z53" s="17" t="s">
        <v>484</v>
      </c>
      <c r="AA53" s="31">
        <v>0</v>
      </c>
      <c r="AB53" s="18" t="s">
        <v>439</v>
      </c>
      <c r="AC53" s="156" t="s">
        <v>467</v>
      </c>
      <c r="AD53" s="125" t="str">
        <f t="shared" si="7"/>
        <v/>
      </c>
      <c r="AE53" s="160" t="s">
        <v>505</v>
      </c>
      <c r="AF53" t="s">
        <v>507</v>
      </c>
      <c r="AG53" s="18" t="s">
        <v>506</v>
      </c>
      <c r="AH53" s="18" t="s">
        <v>485</v>
      </c>
      <c r="AI53" s="132"/>
      <c r="AK53" s="77">
        <f t="shared" si="0"/>
        <v>1</v>
      </c>
      <c r="AL53" t="str">
        <f t="shared" si="1"/>
        <v>non-LVC</v>
      </c>
      <c r="AM53" s="105" t="str" cm="1">
        <f t="array" ref="AM53">IF(OR(O53:O210="zero_recoverable", "zero_exalt", "zero_other", "zero_uncertain"),
   "Yes","No")</f>
        <v>Yes</v>
      </c>
      <c r="AN53">
        <f>1 + COUNTIF($V$2:V52,"main")</f>
        <v>15</v>
      </c>
      <c r="AO53" t="str">
        <f t="shared" si="2"/>
        <v>subordinate</v>
      </c>
      <c r="AP53">
        <f t="shared" si="3"/>
        <v>1</v>
      </c>
      <c r="AQ53">
        <f>IF(AP54=0,"",COUNTIFS($AN$2:$AN54,$AN54,$AP$2:$AP54,1))</f>
        <v>1</v>
      </c>
      <c r="AR53">
        <f t="shared" si="4"/>
        <v>1</v>
      </c>
      <c r="AS53" t="s">
        <v>462</v>
      </c>
      <c r="AT53" t="s">
        <v>484</v>
      </c>
      <c r="AU53">
        <f t="shared" si="5"/>
        <v>0</v>
      </c>
      <c r="AV53">
        <f t="shared" si="6"/>
        <v>0</v>
      </c>
    </row>
    <row r="54" spans="1:48">
      <c r="A54" s="28" t="s">
        <v>79</v>
      </c>
      <c r="B54" s="11" t="s">
        <v>202</v>
      </c>
      <c r="C54" s="110" t="s">
        <v>282</v>
      </c>
      <c r="D54" s="12" t="s">
        <v>381</v>
      </c>
      <c r="E54" s="12" t="s">
        <v>1056</v>
      </c>
      <c r="F54" s="12" t="s">
        <v>550</v>
      </c>
      <c r="G54" s="74" t="s">
        <v>434</v>
      </c>
      <c r="H54" s="12" t="s">
        <v>442</v>
      </c>
      <c r="I54" s="12" t="s">
        <v>452</v>
      </c>
      <c r="J54" s="12" t="s">
        <v>454</v>
      </c>
      <c r="K54" s="12">
        <v>1</v>
      </c>
      <c r="L54" s="13">
        <v>1</v>
      </c>
      <c r="M54" s="13" t="s">
        <v>457</v>
      </c>
      <c r="N54" s="13">
        <v>1</v>
      </c>
      <c r="O54" s="14" t="s">
        <v>462</v>
      </c>
      <c r="P54" s="14">
        <v>3</v>
      </c>
      <c r="Q54" s="14" t="s">
        <v>484</v>
      </c>
      <c r="R54" s="14" t="s">
        <v>484</v>
      </c>
      <c r="S54" s="15">
        <v>0</v>
      </c>
      <c r="T54" s="15">
        <v>0</v>
      </c>
      <c r="U54" s="16" t="s">
        <v>464</v>
      </c>
      <c r="V54" s="16" t="s">
        <v>493</v>
      </c>
      <c r="W54" s="17">
        <v>1</v>
      </c>
      <c r="X54" s="17">
        <v>0</v>
      </c>
      <c r="Y54" s="17" t="s">
        <v>521</v>
      </c>
      <c r="Z54" s="17" t="s">
        <v>514</v>
      </c>
      <c r="AA54" s="31">
        <v>0</v>
      </c>
      <c r="AB54" s="18" t="s">
        <v>469</v>
      </c>
      <c r="AC54" s="156" t="s">
        <v>467</v>
      </c>
      <c r="AD54" s="125" t="str">
        <f t="shared" si="7"/>
        <v/>
      </c>
      <c r="AE54" s="160" t="s">
        <v>507</v>
      </c>
      <c r="AF54" t="s">
        <v>507</v>
      </c>
      <c r="AG54" s="18" t="s">
        <v>506</v>
      </c>
      <c r="AH54" s="18" t="s">
        <v>485</v>
      </c>
      <c r="AI54" s="132"/>
      <c r="AK54" s="77">
        <f t="shared" si="0"/>
        <v>1</v>
      </c>
      <c r="AL54" t="str">
        <f t="shared" si="1"/>
        <v>non-LVC</v>
      </c>
      <c r="AM54" s="105" t="str" cm="1">
        <f t="array" ref="AM54">IF(OR(O54:O211="zero_recoverable", "zero_exalt", "zero_other", "zero_uncertain"),
   "Yes","No")</f>
        <v>Yes</v>
      </c>
      <c r="AN54">
        <f>1 + COUNTIF($V$2:V53,"main")</f>
        <v>16</v>
      </c>
      <c r="AO54" t="str">
        <f t="shared" si="2"/>
        <v>te</v>
      </c>
      <c r="AP54">
        <f t="shared" si="3"/>
        <v>1</v>
      </c>
      <c r="AQ54">
        <f>IF(AP55=0,"",COUNTIFS($AN$2:$AN55,$AN55,$AP$2:$AP55,1))</f>
        <v>2</v>
      </c>
      <c r="AR54">
        <v>0</v>
      </c>
      <c r="AS54" t="s">
        <v>462</v>
      </c>
      <c r="AT54" t="s">
        <v>462</v>
      </c>
      <c r="AU54">
        <f t="shared" si="5"/>
        <v>0</v>
      </c>
      <c r="AV54">
        <f t="shared" si="6"/>
        <v>0</v>
      </c>
    </row>
    <row r="55" spans="1:48">
      <c r="A55" s="28" t="s">
        <v>80</v>
      </c>
      <c r="B55" s="11" t="s">
        <v>203</v>
      </c>
      <c r="C55" s="110" t="s">
        <v>283</v>
      </c>
      <c r="D55" s="12" t="s">
        <v>382</v>
      </c>
      <c r="E55" s="12" t="s">
        <v>1056</v>
      </c>
      <c r="F55" s="12" t="s">
        <v>446</v>
      </c>
      <c r="G55" s="74" t="s">
        <v>434</v>
      </c>
      <c r="H55" s="12" t="s">
        <v>441</v>
      </c>
      <c r="I55" s="12" t="s">
        <v>452</v>
      </c>
      <c r="J55" s="12" t="s">
        <v>454</v>
      </c>
      <c r="K55" s="12">
        <v>1</v>
      </c>
      <c r="L55" s="13">
        <v>2</v>
      </c>
      <c r="M55" s="13" t="s">
        <v>459</v>
      </c>
      <c r="N55" s="13">
        <v>0</v>
      </c>
      <c r="O55" s="14" t="s">
        <v>462</v>
      </c>
      <c r="P55" s="14">
        <v>3</v>
      </c>
      <c r="Q55" s="14" t="s">
        <v>462</v>
      </c>
      <c r="R55" s="14" t="s">
        <v>484</v>
      </c>
      <c r="S55" s="15">
        <v>0</v>
      </c>
      <c r="T55" s="15">
        <v>0</v>
      </c>
      <c r="U55" s="16" t="s">
        <v>484</v>
      </c>
      <c r="V55" s="16" t="s">
        <v>537</v>
      </c>
      <c r="W55" s="17">
        <v>0</v>
      </c>
      <c r="X55" s="17">
        <v>0</v>
      </c>
      <c r="Y55" s="17" t="s">
        <v>484</v>
      </c>
      <c r="Z55" s="17" t="s">
        <v>484</v>
      </c>
      <c r="AA55" s="31">
        <v>0</v>
      </c>
      <c r="AB55" s="18" t="s">
        <v>470</v>
      </c>
      <c r="AC55" s="156" t="s">
        <v>493</v>
      </c>
      <c r="AD55" s="125" t="s">
        <v>1134</v>
      </c>
      <c r="AE55" s="160" t="s">
        <v>507</v>
      </c>
      <c r="AF55" t="s">
        <v>507</v>
      </c>
      <c r="AG55" s="18" t="s">
        <v>506</v>
      </c>
      <c r="AH55" s="18" t="s">
        <v>485</v>
      </c>
      <c r="AI55" s="132"/>
      <c r="AK55" s="77">
        <f t="shared" si="0"/>
        <v>2</v>
      </c>
      <c r="AL55" t="str">
        <f t="shared" si="1"/>
        <v>non-LVC</v>
      </c>
      <c r="AM55" s="105" t="str" cm="1">
        <f t="array" ref="AM55">IF(OR(O55:O212="zero_recoverable", "zero_exalt", "zero_other", "zero_uncertain"),
   "Yes","No")</f>
        <v>Yes</v>
      </c>
      <c r="AN55">
        <f>1 + COUNTIF($V$2:V54,"main")</f>
        <v>16</v>
      </c>
      <c r="AO55" t="str">
        <f t="shared" si="2"/>
        <v>complement</v>
      </c>
      <c r="AP55">
        <f t="shared" si="3"/>
        <v>1</v>
      </c>
      <c r="AQ55">
        <f>IF(AP56=0,"",COUNTIFS($AN$2:$AN56,$AN56,$AP$2:$AP56,1))</f>
        <v>3</v>
      </c>
      <c r="AR55">
        <f t="shared" si="4"/>
        <v>0</v>
      </c>
      <c r="AS55" t="s">
        <v>462</v>
      </c>
      <c r="AT55" t="s">
        <v>484</v>
      </c>
      <c r="AU55">
        <f t="shared" si="5"/>
        <v>0</v>
      </c>
      <c r="AV55">
        <f t="shared" si="6"/>
        <v>0</v>
      </c>
    </row>
    <row r="56" spans="1:48">
      <c r="A56" s="28" t="s">
        <v>81</v>
      </c>
      <c r="B56" s="11" t="s">
        <v>1081</v>
      </c>
      <c r="C56" s="110" t="s">
        <v>284</v>
      </c>
      <c r="D56" s="12" t="s">
        <v>383</v>
      </c>
      <c r="E56" s="12" t="s">
        <v>1056</v>
      </c>
      <c r="F56" s="12" t="s">
        <v>445</v>
      </c>
      <c r="G56" s="74" t="s">
        <v>436</v>
      </c>
      <c r="H56" s="12" t="s">
        <v>442</v>
      </c>
      <c r="I56" s="12" t="s">
        <v>452</v>
      </c>
      <c r="J56" s="12" t="s">
        <v>454</v>
      </c>
      <c r="K56" s="12">
        <v>1</v>
      </c>
      <c r="L56" s="13">
        <v>1</v>
      </c>
      <c r="M56" s="13" t="s">
        <v>457</v>
      </c>
      <c r="N56" s="13">
        <v>0</v>
      </c>
      <c r="O56" s="14" t="s">
        <v>462</v>
      </c>
      <c r="P56" s="14">
        <v>3</v>
      </c>
      <c r="Q56" s="14" t="s">
        <v>484</v>
      </c>
      <c r="R56" s="14" t="s">
        <v>484</v>
      </c>
      <c r="S56" s="15">
        <v>0</v>
      </c>
      <c r="T56" s="15">
        <v>0</v>
      </c>
      <c r="U56" s="16" t="s">
        <v>484</v>
      </c>
      <c r="V56" s="16" t="s">
        <v>1064</v>
      </c>
      <c r="W56" s="17">
        <v>0</v>
      </c>
      <c r="X56" s="17">
        <v>0</v>
      </c>
      <c r="Y56" s="17" t="s">
        <v>484</v>
      </c>
      <c r="Z56" s="17" t="s">
        <v>484</v>
      </c>
      <c r="AA56" s="31">
        <v>0</v>
      </c>
      <c r="AB56" s="18" t="s">
        <v>471</v>
      </c>
      <c r="AC56" s="156" t="s">
        <v>537</v>
      </c>
      <c r="AD56" s="125" t="str">
        <f t="shared" si="7"/>
        <v/>
      </c>
      <c r="AE56" s="160" t="s">
        <v>507</v>
      </c>
      <c r="AF56" t="s">
        <v>505</v>
      </c>
      <c r="AG56" s="18" t="s">
        <v>486</v>
      </c>
      <c r="AH56" s="18" t="s">
        <v>485</v>
      </c>
      <c r="AI56" s="132"/>
      <c r="AK56" s="77">
        <f t="shared" si="0"/>
        <v>1</v>
      </c>
      <c r="AL56" t="str">
        <f t="shared" si="1"/>
        <v>non-LVC</v>
      </c>
      <c r="AM56" s="105" t="str" cm="1">
        <f t="array" ref="AM56">IF(OR(O56:O213="zero_recoverable", "zero_exalt", "zero_other", "zero_uncertain"),
   "Yes","No")</f>
        <v>Yes</v>
      </c>
      <c r="AN56">
        <f>1 + COUNTIF($V$2:V55,"main")</f>
        <v>16</v>
      </c>
      <c r="AO56" t="str">
        <f t="shared" si="2"/>
        <v>main</v>
      </c>
      <c r="AP56">
        <f t="shared" si="3"/>
        <v>1</v>
      </c>
      <c r="AQ56">
        <f>IF(AP57=0,"",COUNTIFS($AN$2:$AN57,$AN57,$AP$2:$AP57,1))</f>
        <v>4</v>
      </c>
      <c r="AR56">
        <f t="shared" si="4"/>
        <v>0</v>
      </c>
      <c r="AS56" t="s">
        <v>461</v>
      </c>
      <c r="AT56" t="s">
        <v>462</v>
      </c>
      <c r="AU56">
        <f t="shared" si="5"/>
        <v>1</v>
      </c>
      <c r="AV56">
        <f t="shared" si="6"/>
        <v>0</v>
      </c>
    </row>
    <row r="57" spans="1:48">
      <c r="A57" s="28" t="s">
        <v>82</v>
      </c>
      <c r="B57" s="11" t="s">
        <v>1080</v>
      </c>
      <c r="C57" s="110" t="s">
        <v>285</v>
      </c>
      <c r="D57" s="12" t="s">
        <v>384</v>
      </c>
      <c r="E57" s="12" t="s">
        <v>1056</v>
      </c>
      <c r="F57" s="12" t="s">
        <v>550</v>
      </c>
      <c r="G57" s="74" t="s">
        <v>434</v>
      </c>
      <c r="H57" s="12" t="s">
        <v>441</v>
      </c>
      <c r="I57" s="12" t="s">
        <v>452</v>
      </c>
      <c r="J57" s="12" t="s">
        <v>454</v>
      </c>
      <c r="K57" s="12">
        <v>1</v>
      </c>
      <c r="L57" s="13">
        <v>1</v>
      </c>
      <c r="M57" s="13" t="s">
        <v>458</v>
      </c>
      <c r="N57" s="13">
        <v>0</v>
      </c>
      <c r="O57" s="14" t="s">
        <v>461</v>
      </c>
      <c r="P57" s="14">
        <v>3</v>
      </c>
      <c r="Q57" s="14" t="s">
        <v>462</v>
      </c>
      <c r="R57" s="14" t="s">
        <v>484</v>
      </c>
      <c r="S57" s="15">
        <v>0</v>
      </c>
      <c r="T57" s="15">
        <v>0</v>
      </c>
      <c r="U57" s="16" t="s">
        <v>1063</v>
      </c>
      <c r="V57" s="16" t="s">
        <v>467</v>
      </c>
      <c r="W57" s="17">
        <v>0</v>
      </c>
      <c r="X57" s="17">
        <v>1</v>
      </c>
      <c r="Y57" s="17" t="s">
        <v>521</v>
      </c>
      <c r="Z57" s="17" t="s">
        <v>514</v>
      </c>
      <c r="AA57" s="31">
        <v>0</v>
      </c>
      <c r="AB57" s="18" t="s">
        <v>467</v>
      </c>
      <c r="AC57" s="156" t="s">
        <v>1064</v>
      </c>
      <c r="AD57" s="125" t="str">
        <f t="shared" si="7"/>
        <v/>
      </c>
      <c r="AE57" s="160" t="s">
        <v>505</v>
      </c>
      <c r="AF57" t="s">
        <v>505</v>
      </c>
      <c r="AG57" s="18" t="s">
        <v>525</v>
      </c>
      <c r="AH57" s="18" t="s">
        <v>485</v>
      </c>
      <c r="AI57" s="132"/>
      <c r="AK57" s="77">
        <f t="shared" si="0"/>
        <v>1</v>
      </c>
      <c r="AL57" t="str">
        <f t="shared" si="1"/>
        <v>non-LVC</v>
      </c>
      <c r="AM57" s="105" t="str" cm="1">
        <f t="array" ref="AM57">IF(OR(O57:O214="zero_recoverable", "zero_exalt", "zero_other", "zero_uncertain"),
   "Yes","No")</f>
        <v>Yes</v>
      </c>
      <c r="AN57">
        <f>1 + COUNTIF($V$2:V56,"main")</f>
        <v>16</v>
      </c>
      <c r="AO57" t="str">
        <f t="shared" si="2"/>
        <v>subordinate</v>
      </c>
      <c r="AP57">
        <f t="shared" si="3"/>
        <v>1</v>
      </c>
      <c r="AQ57">
        <f>IF(AP58=0,"",COUNTIFS($AN$2:$AN58,$AN58,$AP$2:$AP58,1))</f>
        <v>1</v>
      </c>
      <c r="AR57">
        <v>0</v>
      </c>
      <c r="AS57" t="s">
        <v>462</v>
      </c>
      <c r="AT57" t="s">
        <v>462</v>
      </c>
      <c r="AU57">
        <f t="shared" si="5"/>
        <v>0</v>
      </c>
      <c r="AV57">
        <f t="shared" si="6"/>
        <v>0</v>
      </c>
    </row>
    <row r="58" spans="1:48">
      <c r="A58" s="28" t="s">
        <v>83</v>
      </c>
      <c r="B58" s="11" t="s">
        <v>204</v>
      </c>
      <c r="C58" s="110" t="s">
        <v>286</v>
      </c>
      <c r="D58" s="12" t="s">
        <v>385</v>
      </c>
      <c r="E58" s="12" t="s">
        <v>1056</v>
      </c>
      <c r="F58" s="12" t="s">
        <v>449</v>
      </c>
      <c r="G58" s="74" t="s">
        <v>434</v>
      </c>
      <c r="H58" s="12" t="s">
        <v>441</v>
      </c>
      <c r="I58" s="12" t="s">
        <v>452</v>
      </c>
      <c r="J58" s="12" t="s">
        <v>454</v>
      </c>
      <c r="K58" s="12">
        <v>1</v>
      </c>
      <c r="L58" s="13">
        <v>2</v>
      </c>
      <c r="M58" s="13" t="s">
        <v>722</v>
      </c>
      <c r="N58" s="13">
        <v>1</v>
      </c>
      <c r="O58" s="14" t="s">
        <v>462</v>
      </c>
      <c r="P58" s="14">
        <v>3</v>
      </c>
      <c r="Q58" s="14" t="s">
        <v>462</v>
      </c>
      <c r="R58" s="14" t="s">
        <v>484</v>
      </c>
      <c r="S58" s="15">
        <v>0</v>
      </c>
      <c r="T58" s="15">
        <v>0</v>
      </c>
      <c r="U58" s="16" t="s">
        <v>484</v>
      </c>
      <c r="V58" s="16" t="s">
        <v>493</v>
      </c>
      <c r="W58" s="17">
        <v>1</v>
      </c>
      <c r="X58" s="17">
        <v>0</v>
      </c>
      <c r="Y58" s="17" t="s">
        <v>521</v>
      </c>
      <c r="Z58" s="17" t="s">
        <v>513</v>
      </c>
      <c r="AA58" s="31">
        <v>0</v>
      </c>
      <c r="AB58" s="18" t="s">
        <v>469</v>
      </c>
      <c r="AC58" s="156" t="s">
        <v>467</v>
      </c>
      <c r="AD58" s="125" t="str">
        <f t="shared" si="7"/>
        <v/>
      </c>
      <c r="AE58" s="160" t="s">
        <v>505</v>
      </c>
      <c r="AF58" t="s">
        <v>507</v>
      </c>
      <c r="AG58" s="18" t="s">
        <v>506</v>
      </c>
      <c r="AH58" s="18" t="s">
        <v>485</v>
      </c>
      <c r="AI58" s="132"/>
      <c r="AK58" s="77">
        <f t="shared" si="0"/>
        <v>2</v>
      </c>
      <c r="AL58" t="str">
        <f t="shared" si="1"/>
        <v>non-LVC</v>
      </c>
      <c r="AM58" s="105" t="str" cm="1">
        <f t="array" ref="AM58">IF(OR(O58:O215="zero_recoverable", "zero_exalt", "zero_other", "zero_uncertain"),
   "Yes","No")</f>
        <v>Yes</v>
      </c>
      <c r="AN58">
        <f>1 + COUNTIF($V$2:V57,"main")</f>
        <v>17</v>
      </c>
      <c r="AO58" t="str">
        <f t="shared" si="2"/>
        <v>main</v>
      </c>
      <c r="AP58">
        <f t="shared" si="3"/>
        <v>1</v>
      </c>
      <c r="AQ58">
        <f>IF(AP59=0,"",COUNTIFS($AN$2:$AN59,$AN59,$AP$2:$AP59,1))</f>
        <v>2</v>
      </c>
      <c r="AR58">
        <v>1</v>
      </c>
      <c r="AS58" t="s">
        <v>462</v>
      </c>
      <c r="AT58" t="s">
        <v>484</v>
      </c>
      <c r="AU58">
        <f t="shared" si="5"/>
        <v>0</v>
      </c>
      <c r="AV58">
        <f t="shared" si="6"/>
        <v>0</v>
      </c>
    </row>
    <row r="59" spans="1:48">
      <c r="A59" s="28" t="s">
        <v>84</v>
      </c>
      <c r="B59" s="11" t="s">
        <v>205</v>
      </c>
      <c r="C59" s="110" t="s">
        <v>287</v>
      </c>
      <c r="D59" s="12" t="s">
        <v>386</v>
      </c>
      <c r="E59" s="12" t="s">
        <v>1056</v>
      </c>
      <c r="F59" s="12" t="s">
        <v>448</v>
      </c>
      <c r="G59" s="74" t="s">
        <v>438</v>
      </c>
      <c r="H59" s="12" t="s">
        <v>442</v>
      </c>
      <c r="I59" s="12" t="s">
        <v>452</v>
      </c>
      <c r="J59" s="12" t="s">
        <v>454</v>
      </c>
      <c r="K59" s="12">
        <v>1</v>
      </c>
      <c r="L59" s="13">
        <v>1</v>
      </c>
      <c r="M59" s="13" t="s">
        <v>457</v>
      </c>
      <c r="N59" s="13">
        <v>1</v>
      </c>
      <c r="O59" s="14" t="s">
        <v>462</v>
      </c>
      <c r="P59" s="14">
        <v>3</v>
      </c>
      <c r="Q59" s="14" t="s">
        <v>484</v>
      </c>
      <c r="R59" s="14" t="s">
        <v>484</v>
      </c>
      <c r="S59" s="15">
        <v>0</v>
      </c>
      <c r="T59" s="15">
        <v>0</v>
      </c>
      <c r="U59" s="16" t="s">
        <v>484</v>
      </c>
      <c r="V59" s="16" t="s">
        <v>467</v>
      </c>
      <c r="W59" s="17">
        <v>0</v>
      </c>
      <c r="X59" s="17">
        <v>0</v>
      </c>
      <c r="Y59" s="17" t="s">
        <v>484</v>
      </c>
      <c r="Z59" s="17" t="s">
        <v>484</v>
      </c>
      <c r="AA59" s="31">
        <v>0</v>
      </c>
      <c r="AB59" s="18" t="s">
        <v>439</v>
      </c>
      <c r="AC59" s="156" t="s">
        <v>493</v>
      </c>
      <c r="AD59" s="125" t="str">
        <f t="shared" si="7"/>
        <v/>
      </c>
      <c r="AE59" s="160" t="s">
        <v>507</v>
      </c>
      <c r="AF59" t="s">
        <v>505</v>
      </c>
      <c r="AG59" s="18" t="s">
        <v>506</v>
      </c>
      <c r="AH59" s="18" t="s">
        <v>485</v>
      </c>
      <c r="AI59" s="132"/>
      <c r="AK59" s="77">
        <f t="shared" si="0"/>
        <v>1</v>
      </c>
      <c r="AL59" t="str">
        <f t="shared" si="1"/>
        <v>non-LVC</v>
      </c>
      <c r="AM59" s="105" t="str" cm="1">
        <f t="array" ref="AM59">IF(OR(O59:O216="zero_recoverable", "zero_exalt", "zero_other", "zero_uncertain"),
   "Yes","No")</f>
        <v>Yes</v>
      </c>
      <c r="AN59">
        <f>1 + COUNTIF($V$2:V58,"main")</f>
        <v>17</v>
      </c>
      <c r="AO59" t="str">
        <f t="shared" si="2"/>
        <v>te</v>
      </c>
      <c r="AP59">
        <f t="shared" si="3"/>
        <v>1</v>
      </c>
      <c r="AQ59">
        <f>IF(AP60=0,"",COUNTIFS($AN$2:$AN60,$AN60,$AP$2:$AP60,1))</f>
        <v>1</v>
      </c>
      <c r="AR59">
        <v>0</v>
      </c>
      <c r="AS59" t="s">
        <v>526</v>
      </c>
      <c r="AT59" t="s">
        <v>484</v>
      </c>
      <c r="AU59">
        <f t="shared" si="5"/>
        <v>1</v>
      </c>
      <c r="AV59">
        <f t="shared" si="6"/>
        <v>0</v>
      </c>
    </row>
    <row r="60" spans="1:48">
      <c r="A60" s="28" t="s">
        <v>85</v>
      </c>
      <c r="B60" s="11" t="s">
        <v>206</v>
      </c>
      <c r="C60" s="110" t="s">
        <v>288</v>
      </c>
      <c r="D60" s="12" t="s">
        <v>387</v>
      </c>
      <c r="E60" s="12" t="s">
        <v>1056</v>
      </c>
      <c r="F60" s="12" t="s">
        <v>446</v>
      </c>
      <c r="G60" s="74" t="s">
        <v>1069</v>
      </c>
      <c r="H60" s="12" t="s">
        <v>442</v>
      </c>
      <c r="I60" s="12" t="s">
        <v>452</v>
      </c>
      <c r="J60" s="12" t="s">
        <v>454</v>
      </c>
      <c r="K60" s="12">
        <v>1</v>
      </c>
      <c r="L60" s="13">
        <v>1</v>
      </c>
      <c r="M60" s="13" t="s">
        <v>456</v>
      </c>
      <c r="N60" s="13">
        <v>0</v>
      </c>
      <c r="O60" s="14" t="s">
        <v>526</v>
      </c>
      <c r="P60" s="14">
        <v>3</v>
      </c>
      <c r="Q60" s="14" t="s">
        <v>484</v>
      </c>
      <c r="R60" s="14" t="s">
        <v>462</v>
      </c>
      <c r="S60" s="15">
        <v>0</v>
      </c>
      <c r="T60" s="15">
        <v>0</v>
      </c>
      <c r="U60" s="16" t="s">
        <v>484</v>
      </c>
      <c r="V60" s="16" t="s">
        <v>537</v>
      </c>
      <c r="W60" s="17">
        <v>0</v>
      </c>
      <c r="X60" s="17">
        <v>0</v>
      </c>
      <c r="Y60" s="17" t="s">
        <v>484</v>
      </c>
      <c r="Z60" s="17" t="s">
        <v>484</v>
      </c>
      <c r="AA60" s="31">
        <v>0</v>
      </c>
      <c r="AB60" s="18" t="s">
        <v>470</v>
      </c>
      <c r="AC60" s="156" t="s">
        <v>467</v>
      </c>
      <c r="AD60" s="125" t="s">
        <v>1134</v>
      </c>
      <c r="AE60" s="160" t="s">
        <v>505</v>
      </c>
      <c r="AF60" t="s">
        <v>505</v>
      </c>
      <c r="AG60" s="18" t="s">
        <v>525</v>
      </c>
      <c r="AH60" s="18" t="s">
        <v>485</v>
      </c>
      <c r="AI60" s="132"/>
      <c r="AK60" s="77">
        <f t="shared" si="0"/>
        <v>1</v>
      </c>
      <c r="AL60" t="str">
        <f t="shared" si="1"/>
        <v>non-LVC</v>
      </c>
      <c r="AM60" s="105" t="str" cm="1">
        <f t="array" ref="AM60">IF(OR(O60:O217="zero_recoverable", "zero_exalt", "zero_other", "zero_uncertain"),
   "Yes","No")</f>
        <v>Yes</v>
      </c>
      <c r="AN60">
        <f>1 + COUNTIF($V$2:V59,"main")</f>
        <v>18</v>
      </c>
      <c r="AO60" t="str">
        <f t="shared" si="2"/>
        <v>subordinate</v>
      </c>
      <c r="AP60">
        <f t="shared" si="3"/>
        <v>1</v>
      </c>
      <c r="AQ60">
        <f>IF(AP61=0,"",COUNTIFS($AN$2:$AN61,$AN61,$AP$2:$AP61,1))</f>
        <v>2</v>
      </c>
      <c r="AR60">
        <f t="shared" si="4"/>
        <v>0</v>
      </c>
      <c r="AS60" t="s">
        <v>526</v>
      </c>
      <c r="AT60" t="s">
        <v>484</v>
      </c>
      <c r="AU60">
        <f t="shared" si="5"/>
        <v>0</v>
      </c>
      <c r="AV60">
        <f t="shared" si="6"/>
        <v>0</v>
      </c>
    </row>
    <row r="61" spans="1:48">
      <c r="A61" s="28" t="s">
        <v>86</v>
      </c>
      <c r="B61" s="11" t="s">
        <v>207</v>
      </c>
      <c r="C61" s="110" t="s">
        <v>289</v>
      </c>
      <c r="D61" s="12" t="s">
        <v>388</v>
      </c>
      <c r="E61" s="12" t="s">
        <v>1056</v>
      </c>
      <c r="F61" s="12" t="s">
        <v>448</v>
      </c>
      <c r="G61" s="74" t="s">
        <v>438</v>
      </c>
      <c r="H61" s="12" t="s">
        <v>442</v>
      </c>
      <c r="I61" s="12" t="s">
        <v>452</v>
      </c>
      <c r="J61" s="12" t="s">
        <v>454</v>
      </c>
      <c r="K61" s="12">
        <v>1</v>
      </c>
      <c r="L61" s="13">
        <v>1</v>
      </c>
      <c r="M61" s="13" t="s">
        <v>457</v>
      </c>
      <c r="N61" s="13">
        <v>1</v>
      </c>
      <c r="O61" s="14" t="s">
        <v>526</v>
      </c>
      <c r="P61" s="14">
        <v>3</v>
      </c>
      <c r="Q61" s="14" t="s">
        <v>484</v>
      </c>
      <c r="R61" s="14" t="s">
        <v>484</v>
      </c>
      <c r="S61" s="15">
        <v>0</v>
      </c>
      <c r="T61" s="15">
        <v>0</v>
      </c>
      <c r="U61" s="16" t="s">
        <v>484</v>
      </c>
      <c r="V61" s="16" t="s">
        <v>493</v>
      </c>
      <c r="W61" s="17">
        <v>0</v>
      </c>
      <c r="X61" s="17">
        <v>0</v>
      </c>
      <c r="Y61" s="17" t="s">
        <v>484</v>
      </c>
      <c r="Z61" s="17" t="s">
        <v>484</v>
      </c>
      <c r="AA61" s="31">
        <v>0</v>
      </c>
      <c r="AB61" s="18" t="s">
        <v>508</v>
      </c>
      <c r="AC61" s="156" t="s">
        <v>537</v>
      </c>
      <c r="AD61" s="125" t="str">
        <f t="shared" si="7"/>
        <v/>
      </c>
      <c r="AE61" s="160" t="s">
        <v>505</v>
      </c>
      <c r="AF61" t="s">
        <v>507</v>
      </c>
      <c r="AG61" s="18" t="s">
        <v>525</v>
      </c>
      <c r="AH61" s="18" t="s">
        <v>485</v>
      </c>
      <c r="AI61" s="132"/>
      <c r="AK61" s="77">
        <f t="shared" si="0"/>
        <v>1</v>
      </c>
      <c r="AL61" t="str">
        <f t="shared" si="1"/>
        <v>non-LVC</v>
      </c>
      <c r="AM61" s="105" t="str" cm="1">
        <f t="array" ref="AM61">IF(OR(O61:O218="zero_recoverable", "zero_exalt", "zero_other", "zero_uncertain"),
   "Yes","No")</f>
        <v>Yes</v>
      </c>
      <c r="AN61">
        <f>1 + COUNTIF($V$2:V60,"main")</f>
        <v>18</v>
      </c>
      <c r="AO61" t="str">
        <f t="shared" si="2"/>
        <v>te</v>
      </c>
      <c r="AP61">
        <f t="shared" si="3"/>
        <v>1</v>
      </c>
      <c r="AQ61">
        <f>IF(AP62=0,"",COUNTIFS($AN$2:$AN62,$AN62,$AP$2:$AP62,1))</f>
        <v>3</v>
      </c>
      <c r="AR61">
        <f t="shared" si="4"/>
        <v>0</v>
      </c>
      <c r="AS61" t="s">
        <v>549</v>
      </c>
      <c r="AT61" t="s">
        <v>549</v>
      </c>
      <c r="AU61">
        <f t="shared" si="5"/>
        <v>0</v>
      </c>
      <c r="AV61">
        <f t="shared" si="6"/>
        <v>0</v>
      </c>
    </row>
    <row r="62" spans="1:48">
      <c r="A62" s="28" t="s">
        <v>87</v>
      </c>
      <c r="B62" s="11" t="s">
        <v>208</v>
      </c>
      <c r="C62" s="110" t="s">
        <v>290</v>
      </c>
      <c r="D62" s="12" t="s">
        <v>389</v>
      </c>
      <c r="E62" s="12" t="s">
        <v>1056</v>
      </c>
      <c r="F62" s="12" t="s">
        <v>449</v>
      </c>
      <c r="G62" s="74" t="s">
        <v>434</v>
      </c>
      <c r="H62" s="12" t="s">
        <v>444</v>
      </c>
      <c r="I62" s="12" t="s">
        <v>452</v>
      </c>
      <c r="J62" s="12" t="s">
        <v>454</v>
      </c>
      <c r="K62" s="12">
        <v>1</v>
      </c>
      <c r="L62" s="13">
        <v>1</v>
      </c>
      <c r="M62" s="13" t="s">
        <v>456</v>
      </c>
      <c r="N62" s="13">
        <v>0</v>
      </c>
      <c r="O62" s="14" t="s">
        <v>549</v>
      </c>
      <c r="P62" s="14">
        <v>3</v>
      </c>
      <c r="Q62" s="14" t="s">
        <v>549</v>
      </c>
      <c r="R62" s="14" t="s">
        <v>462</v>
      </c>
      <c r="S62" s="15">
        <v>0</v>
      </c>
      <c r="T62" s="15">
        <v>0</v>
      </c>
      <c r="U62" s="16" t="s">
        <v>484</v>
      </c>
      <c r="V62" s="16" t="s">
        <v>537</v>
      </c>
      <c r="W62" s="17">
        <v>0</v>
      </c>
      <c r="X62" s="17">
        <v>0</v>
      </c>
      <c r="Y62" s="17" t="s">
        <v>484</v>
      </c>
      <c r="Z62" s="17" t="s">
        <v>484</v>
      </c>
      <c r="AA62" s="31">
        <v>0</v>
      </c>
      <c r="AB62" s="18" t="s">
        <v>470</v>
      </c>
      <c r="AC62" s="156" t="s">
        <v>493</v>
      </c>
      <c r="AD62" s="125" t="s">
        <v>1134</v>
      </c>
      <c r="AE62" s="160" t="s">
        <v>507</v>
      </c>
      <c r="AF62" t="s">
        <v>505</v>
      </c>
      <c r="AG62" s="18" t="s">
        <v>525</v>
      </c>
      <c r="AH62" s="18" t="s">
        <v>485</v>
      </c>
      <c r="AI62" s="132"/>
      <c r="AK62" s="77">
        <f t="shared" si="0"/>
        <v>1</v>
      </c>
      <c r="AL62" t="str">
        <f t="shared" si="1"/>
        <v>non-LVC</v>
      </c>
      <c r="AM62" s="105" t="str" cm="1">
        <f t="array" ref="AM62">IF(OR(O62:O219="zero_recoverable", "zero_exalt", "zero_other", "zero_uncertain"),
   "Yes","No")</f>
        <v>Yes</v>
      </c>
      <c r="AN62">
        <f>1 + COUNTIF($V$2:V61,"main")</f>
        <v>18</v>
      </c>
      <c r="AO62" t="str">
        <f t="shared" si="2"/>
        <v>main</v>
      </c>
      <c r="AP62">
        <f t="shared" si="3"/>
        <v>1</v>
      </c>
      <c r="AQ62">
        <f>IF(AP63=0,"",COUNTIFS($AN$2:$AN63,$AN63,$AP$2:$AP63,1))</f>
        <v>4</v>
      </c>
      <c r="AR62">
        <f t="shared" si="4"/>
        <v>0</v>
      </c>
      <c r="AS62" t="s">
        <v>526</v>
      </c>
      <c r="AT62" t="s">
        <v>484</v>
      </c>
      <c r="AU62">
        <f t="shared" si="5"/>
        <v>0</v>
      </c>
      <c r="AV62">
        <f t="shared" si="6"/>
        <v>0</v>
      </c>
    </row>
    <row r="63" spans="1:48">
      <c r="A63" s="28" t="s">
        <v>88</v>
      </c>
      <c r="B63" s="11" t="s">
        <v>209</v>
      </c>
      <c r="C63" s="110" t="s">
        <v>291</v>
      </c>
      <c r="D63" s="12" t="s">
        <v>384</v>
      </c>
      <c r="E63" s="12" t="s">
        <v>1056</v>
      </c>
      <c r="F63" s="12" t="s">
        <v>550</v>
      </c>
      <c r="G63" s="74" t="s">
        <v>434</v>
      </c>
      <c r="H63" s="12" t="s">
        <v>442</v>
      </c>
      <c r="I63" s="12" t="s">
        <v>453</v>
      </c>
      <c r="J63" s="12" t="s">
        <v>454</v>
      </c>
      <c r="K63" s="12">
        <v>1</v>
      </c>
      <c r="L63" s="13">
        <v>1</v>
      </c>
      <c r="M63" s="13" t="s">
        <v>458</v>
      </c>
      <c r="N63" s="13">
        <v>0</v>
      </c>
      <c r="O63" s="14" t="s">
        <v>526</v>
      </c>
      <c r="P63" s="14">
        <v>3</v>
      </c>
      <c r="Q63" s="14" t="s">
        <v>484</v>
      </c>
      <c r="R63" s="14" t="s">
        <v>462</v>
      </c>
      <c r="S63" s="15">
        <v>0</v>
      </c>
      <c r="T63" s="15">
        <v>0</v>
      </c>
      <c r="U63" s="16" t="s">
        <v>1063</v>
      </c>
      <c r="V63" s="16" t="s">
        <v>467</v>
      </c>
      <c r="W63" s="17">
        <v>0</v>
      </c>
      <c r="X63" s="17">
        <v>0</v>
      </c>
      <c r="Y63" s="17" t="s">
        <v>484</v>
      </c>
      <c r="Z63" s="17" t="s">
        <v>484</v>
      </c>
      <c r="AA63" s="31">
        <v>0</v>
      </c>
      <c r="AB63" s="18" t="s">
        <v>439</v>
      </c>
      <c r="AC63" s="156" t="s">
        <v>537</v>
      </c>
      <c r="AD63" s="125" t="str">
        <f t="shared" si="7"/>
        <v/>
      </c>
      <c r="AE63" s="160" t="s">
        <v>505</v>
      </c>
      <c r="AF63" t="s">
        <v>507</v>
      </c>
      <c r="AG63" s="18" t="s">
        <v>525</v>
      </c>
      <c r="AH63" s="18" t="s">
        <v>485</v>
      </c>
      <c r="AI63" s="132"/>
      <c r="AK63" s="77">
        <f t="shared" si="0"/>
        <v>1</v>
      </c>
      <c r="AL63" t="str">
        <f t="shared" si="1"/>
        <v>non-LVC</v>
      </c>
      <c r="AM63" s="105" t="str" cm="1">
        <f t="array" ref="AM63">IF(OR(O63:O220="zero_recoverable", "zero_exalt", "zero_other", "zero_uncertain"),
   "Yes","No")</f>
        <v>Yes</v>
      </c>
      <c r="AN63">
        <f>1 + COUNTIF($V$2:V62,"main")</f>
        <v>18</v>
      </c>
      <c r="AO63" t="str">
        <f t="shared" si="2"/>
        <v>subordinate</v>
      </c>
      <c r="AP63">
        <f t="shared" si="3"/>
        <v>1</v>
      </c>
      <c r="AQ63">
        <f>IF(AP64=0,"",COUNTIFS($AN$2:$AN64,$AN64,$AP$2:$AP64,1))</f>
        <v>1</v>
      </c>
      <c r="AR63">
        <v>0</v>
      </c>
      <c r="AS63" t="s">
        <v>462</v>
      </c>
      <c r="AT63" t="s">
        <v>484</v>
      </c>
      <c r="AU63">
        <f t="shared" si="5"/>
        <v>0</v>
      </c>
      <c r="AV63">
        <f t="shared" si="6"/>
        <v>0</v>
      </c>
    </row>
    <row r="64" spans="1:48">
      <c r="A64" s="28" t="s">
        <v>89</v>
      </c>
      <c r="B64" s="11" t="s">
        <v>1083</v>
      </c>
      <c r="C64" s="110" t="s">
        <v>552</v>
      </c>
      <c r="D64" s="12" t="s">
        <v>390</v>
      </c>
      <c r="E64" s="12" t="s">
        <v>1056</v>
      </c>
      <c r="F64" s="12" t="s">
        <v>550</v>
      </c>
      <c r="G64" s="74" t="s">
        <v>434</v>
      </c>
      <c r="H64" s="12" t="s">
        <v>442</v>
      </c>
      <c r="I64" s="12" t="s">
        <v>452</v>
      </c>
      <c r="J64" s="12" t="s">
        <v>454</v>
      </c>
      <c r="K64" s="12">
        <v>1</v>
      </c>
      <c r="L64" s="13">
        <v>1</v>
      </c>
      <c r="M64" s="13" t="s">
        <v>457</v>
      </c>
      <c r="N64" s="13">
        <v>1</v>
      </c>
      <c r="O64" s="14" t="s">
        <v>462</v>
      </c>
      <c r="P64" s="14">
        <v>3</v>
      </c>
      <c r="Q64" s="14" t="s">
        <v>484</v>
      </c>
      <c r="R64" s="14" t="s">
        <v>484</v>
      </c>
      <c r="S64" s="15">
        <v>0</v>
      </c>
      <c r="T64" s="15">
        <v>1</v>
      </c>
      <c r="U64" s="16" t="s">
        <v>464</v>
      </c>
      <c r="V64" s="16" t="s">
        <v>493</v>
      </c>
      <c r="W64" s="17">
        <v>0</v>
      </c>
      <c r="X64" s="17">
        <v>0</v>
      </c>
      <c r="Y64" s="17" t="s">
        <v>484</v>
      </c>
      <c r="Z64" s="17" t="s">
        <v>484</v>
      </c>
      <c r="AA64" s="31">
        <v>0</v>
      </c>
      <c r="AB64" s="18" t="s">
        <v>508</v>
      </c>
      <c r="AC64" s="156" t="s">
        <v>467</v>
      </c>
      <c r="AD64" s="125" t="str">
        <f t="shared" si="7"/>
        <v/>
      </c>
      <c r="AE64" s="160" t="s">
        <v>507</v>
      </c>
      <c r="AF64" t="s">
        <v>505</v>
      </c>
      <c r="AG64" s="18" t="s">
        <v>487</v>
      </c>
      <c r="AH64" s="18" t="s">
        <v>485</v>
      </c>
      <c r="AI64" s="132"/>
      <c r="AK64" s="77">
        <f t="shared" si="0"/>
        <v>1</v>
      </c>
      <c r="AL64" t="str">
        <f t="shared" si="1"/>
        <v>non-LVC</v>
      </c>
      <c r="AM64" s="105" t="str" cm="1">
        <f t="array" ref="AM64">IF(OR(O64:O221="zero_recoverable", "zero_exalt", "zero_other", "zero_uncertain"),
   "Yes","No")</f>
        <v>Yes</v>
      </c>
      <c r="AN64">
        <f>1 + COUNTIF($V$2:V63,"main")</f>
        <v>19</v>
      </c>
      <c r="AO64" t="str">
        <f t="shared" si="2"/>
        <v/>
      </c>
      <c r="AP64">
        <f t="shared" si="3"/>
        <v>1</v>
      </c>
      <c r="AQ64">
        <f>IF(AP65=0,"",COUNTIFS($AN$2:$AN65,$AN65,$AP$2:$AP65,1))</f>
        <v>2</v>
      </c>
      <c r="AR64">
        <v>1</v>
      </c>
      <c r="AS64" t="s">
        <v>526</v>
      </c>
      <c r="AT64" t="s">
        <v>484</v>
      </c>
      <c r="AU64">
        <f t="shared" si="5"/>
        <v>1</v>
      </c>
      <c r="AV64">
        <f t="shared" si="6"/>
        <v>0</v>
      </c>
    </row>
    <row r="65" spans="1:48">
      <c r="A65" s="28" t="s">
        <v>90</v>
      </c>
      <c r="B65" s="11" t="s">
        <v>1082</v>
      </c>
      <c r="C65" s="110" t="s">
        <v>551</v>
      </c>
      <c r="D65" s="12" t="s">
        <v>391</v>
      </c>
      <c r="E65" s="12" t="s">
        <v>1056</v>
      </c>
      <c r="F65" s="12" t="s">
        <v>446</v>
      </c>
      <c r="G65" s="74" t="s">
        <v>434</v>
      </c>
      <c r="H65" s="12" t="s">
        <v>442</v>
      </c>
      <c r="I65" s="12" t="s">
        <v>453</v>
      </c>
      <c r="J65" s="12" t="s">
        <v>454</v>
      </c>
      <c r="K65" s="12">
        <v>1</v>
      </c>
      <c r="L65" s="13">
        <v>0</v>
      </c>
      <c r="M65" s="13" t="s">
        <v>484</v>
      </c>
      <c r="N65" s="13">
        <v>0</v>
      </c>
      <c r="O65" s="14" t="s">
        <v>526</v>
      </c>
      <c r="P65" s="14">
        <v>3</v>
      </c>
      <c r="Q65" s="14" t="s">
        <v>484</v>
      </c>
      <c r="R65" s="14" t="s">
        <v>484</v>
      </c>
      <c r="S65" s="15">
        <v>0</v>
      </c>
      <c r="T65" s="15">
        <v>0</v>
      </c>
      <c r="U65" s="16" t="s">
        <v>1063</v>
      </c>
      <c r="V65" s="16" t="s">
        <v>467</v>
      </c>
      <c r="W65" s="17">
        <v>0</v>
      </c>
      <c r="X65" s="17">
        <v>0</v>
      </c>
      <c r="Y65" s="17" t="s">
        <v>484</v>
      </c>
      <c r="Z65" s="17" t="s">
        <v>484</v>
      </c>
      <c r="AA65" s="31">
        <v>0</v>
      </c>
      <c r="AB65" s="18" t="s">
        <v>439</v>
      </c>
      <c r="AC65" s="156" t="s">
        <v>493</v>
      </c>
      <c r="AD65" s="125" t="str">
        <f t="shared" si="7"/>
        <v/>
      </c>
      <c r="AE65" s="160" t="s">
        <v>505</v>
      </c>
      <c r="AF65" t="s">
        <v>505</v>
      </c>
      <c r="AG65" s="18" t="s">
        <v>525</v>
      </c>
      <c r="AH65" s="18" t="s">
        <v>474</v>
      </c>
      <c r="AI65" s="132"/>
      <c r="AK65" s="77">
        <f t="shared" si="0"/>
        <v>0</v>
      </c>
      <c r="AL65" t="str">
        <f t="shared" si="1"/>
        <v>non-LVC</v>
      </c>
      <c r="AM65" s="105" t="str" cm="1">
        <f t="array" ref="AM65">IF(OR(O65:O222="zero_recoverable", "zero_exalt", "zero_other", "zero_uncertain"),
   "Yes","No")</f>
        <v>Yes</v>
      </c>
      <c r="AN65">
        <f>1 + COUNTIF($V$2:V64,"main")</f>
        <v>19</v>
      </c>
      <c r="AO65" t="str">
        <f t="shared" si="2"/>
        <v/>
      </c>
      <c r="AP65">
        <f t="shared" si="3"/>
        <v>1</v>
      </c>
      <c r="AQ65">
        <f>IF(AP66=0,"",COUNTIFS($AN$2:$AN66,$AN66,$AP$2:$AP66,1))</f>
        <v>1</v>
      </c>
      <c r="AR65">
        <v>0</v>
      </c>
      <c r="AS65" t="s">
        <v>462</v>
      </c>
      <c r="AT65" t="s">
        <v>462</v>
      </c>
      <c r="AU65">
        <f t="shared" si="5"/>
        <v>0</v>
      </c>
      <c r="AV65">
        <f t="shared" si="6"/>
        <v>0</v>
      </c>
    </row>
    <row r="66" spans="1:48">
      <c r="A66" s="28" t="s">
        <v>91</v>
      </c>
      <c r="B66" s="11" t="s">
        <v>210</v>
      </c>
      <c r="C66" s="110" t="s">
        <v>292</v>
      </c>
      <c r="D66" s="12" t="s">
        <v>392</v>
      </c>
      <c r="E66" s="12" t="s">
        <v>1056</v>
      </c>
      <c r="F66" s="12" t="s">
        <v>446</v>
      </c>
      <c r="G66" s="74" t="s">
        <v>434</v>
      </c>
      <c r="H66" s="12" t="s">
        <v>441</v>
      </c>
      <c r="I66" s="12" t="s">
        <v>452</v>
      </c>
      <c r="J66" s="12" t="s">
        <v>455</v>
      </c>
      <c r="K66" s="12">
        <v>1</v>
      </c>
      <c r="L66" s="13">
        <v>2</v>
      </c>
      <c r="M66" s="13" t="s">
        <v>459</v>
      </c>
      <c r="N66" s="13">
        <v>0</v>
      </c>
      <c r="O66" s="14" t="s">
        <v>462</v>
      </c>
      <c r="P66" s="14">
        <v>3</v>
      </c>
      <c r="Q66" s="14" t="s">
        <v>462</v>
      </c>
      <c r="R66" s="14" t="s">
        <v>484</v>
      </c>
      <c r="S66" s="15">
        <v>0</v>
      </c>
      <c r="T66" s="15">
        <v>0</v>
      </c>
      <c r="U66" s="16" t="s">
        <v>484</v>
      </c>
      <c r="V66" s="16" t="s">
        <v>537</v>
      </c>
      <c r="W66" s="17">
        <v>0</v>
      </c>
      <c r="X66" s="17">
        <v>0</v>
      </c>
      <c r="Y66" s="17" t="s">
        <v>484</v>
      </c>
      <c r="Z66" s="17" t="s">
        <v>484</v>
      </c>
      <c r="AA66" s="31">
        <v>0</v>
      </c>
      <c r="AB66" s="18" t="s">
        <v>470</v>
      </c>
      <c r="AC66" s="156" t="s">
        <v>467</v>
      </c>
      <c r="AD66" s="125" t="str">
        <f t="shared" si="7"/>
        <v>te_initial</v>
      </c>
      <c r="AE66" s="160" t="s">
        <v>505</v>
      </c>
      <c r="AF66" t="s">
        <v>507</v>
      </c>
      <c r="AG66" s="18" t="s">
        <v>487</v>
      </c>
      <c r="AH66" s="18" t="s">
        <v>485</v>
      </c>
      <c r="AI66" s="132"/>
      <c r="AK66" s="77">
        <f t="shared" ref="AK66:AK129" si="8">L66/K66</f>
        <v>2</v>
      </c>
      <c r="AL66" t="str">
        <f t="shared" si="1"/>
        <v>non-LVC</v>
      </c>
      <c r="AM66" s="105" t="str" cm="1">
        <f t="array" ref="AM66">IF(OR(O66:O223="zero_recoverable", "zero_exalt", "zero_other", "zero_uncertain"),
   "Yes","No")</f>
        <v>Yes</v>
      </c>
      <c r="AN66">
        <f>1 + COUNTIF($V$2:V65,"main")</f>
        <v>20</v>
      </c>
      <c r="AO66" t="str">
        <f t="shared" si="2"/>
        <v>subordinate</v>
      </c>
      <c r="AP66">
        <f t="shared" si="3"/>
        <v>1</v>
      </c>
      <c r="AQ66">
        <f>IF(AP67=0,"",COUNTIFS($AN$2:$AN67,$AN67,$AP$2:$AP67,1))</f>
        <v>2</v>
      </c>
      <c r="AR66">
        <v>1</v>
      </c>
      <c r="AS66" t="s">
        <v>462</v>
      </c>
      <c r="AT66" t="s">
        <v>484</v>
      </c>
      <c r="AU66">
        <f t="shared" si="5"/>
        <v>0</v>
      </c>
      <c r="AV66">
        <f t="shared" si="6"/>
        <v>0</v>
      </c>
    </row>
    <row r="67" spans="1:48">
      <c r="A67" s="28" t="s">
        <v>92</v>
      </c>
      <c r="B67" s="11" t="s">
        <v>553</v>
      </c>
      <c r="C67" s="110" t="s">
        <v>293</v>
      </c>
      <c r="D67" s="12" t="s">
        <v>393</v>
      </c>
      <c r="E67" s="12" t="s">
        <v>1056</v>
      </c>
      <c r="F67" s="12" t="s">
        <v>446</v>
      </c>
      <c r="G67" s="74" t="s">
        <v>434</v>
      </c>
      <c r="H67" s="12" t="s">
        <v>442</v>
      </c>
      <c r="I67" s="12" t="s">
        <v>452</v>
      </c>
      <c r="J67" s="12" t="s">
        <v>455</v>
      </c>
      <c r="K67" s="12">
        <v>1</v>
      </c>
      <c r="L67" s="13">
        <v>1</v>
      </c>
      <c r="M67" s="13" t="s">
        <v>457</v>
      </c>
      <c r="N67" s="13">
        <v>1</v>
      </c>
      <c r="O67" s="14" t="s">
        <v>462</v>
      </c>
      <c r="P67" s="14">
        <v>3</v>
      </c>
      <c r="Q67" s="14" t="s">
        <v>484</v>
      </c>
      <c r="R67" s="14" t="s">
        <v>484</v>
      </c>
      <c r="S67" s="15">
        <v>0</v>
      </c>
      <c r="T67" s="15">
        <v>1</v>
      </c>
      <c r="U67" s="16" t="s">
        <v>464</v>
      </c>
      <c r="V67" s="16" t="s">
        <v>493</v>
      </c>
      <c r="W67" s="17">
        <v>0</v>
      </c>
      <c r="X67" s="17">
        <v>0</v>
      </c>
      <c r="Y67" s="17" t="s">
        <v>484</v>
      </c>
      <c r="Z67" s="17" t="s">
        <v>484</v>
      </c>
      <c r="AA67" s="31">
        <v>0</v>
      </c>
      <c r="AB67" s="18" t="s">
        <v>469</v>
      </c>
      <c r="AC67" s="156" t="s">
        <v>537</v>
      </c>
      <c r="AD67" s="125" t="str">
        <f t="shared" ref="AD67:AD130" si="9">IF(V67&lt;&gt;"te","",
   IF(OR(AC67="",AC67&lt;&gt;"te"),
      "te_initial",
      "te_medial"))</f>
        <v/>
      </c>
      <c r="AE67" s="160" t="s">
        <v>507</v>
      </c>
      <c r="AF67" t="s">
        <v>507</v>
      </c>
      <c r="AG67" s="18" t="s">
        <v>525</v>
      </c>
      <c r="AH67" s="18" t="s">
        <v>485</v>
      </c>
      <c r="AI67" s="132"/>
      <c r="AK67" s="77">
        <f t="shared" si="8"/>
        <v>1</v>
      </c>
      <c r="AL67" t="str">
        <f t="shared" ref="AL67:AL130" si="10">IF(OR(G67="LVC",
 G67="LVC (j)",
  G67="LVC (inf)"),
   "LVC","non-LVC")</f>
        <v>non-LVC</v>
      </c>
      <c r="AM67" s="105" t="str" cm="1">
        <f t="array" ref="AM67">IF(OR(O67:O224="zero_recoverable", "zero_exalt", "zero_other", "zero_uncertain"),
   "Yes","No")</f>
        <v>Yes</v>
      </c>
      <c r="AN67">
        <f>1 + COUNTIF($V$2:V66,"main")</f>
        <v>20</v>
      </c>
      <c r="AO67" t="str">
        <f t="shared" ref="AO67:AO130" si="11">IF($A67="","",IF($AH67=$AH68,$V68,""))</f>
        <v/>
      </c>
      <c r="AP67">
        <f t="shared" ref="AP67:AP130" si="12">IF(OR($V67="relative",$V67="nominalised"),0,1)</f>
        <v>1</v>
      </c>
      <c r="AQ67">
        <f>IF(AP68=0,"",COUNTIFS($AN$2:$AN68,$AN68,$AP$2:$AP68,1))</f>
        <v>3</v>
      </c>
      <c r="AR67">
        <f t="shared" ref="AR67:AR130" si="13">IF(AQ67=1,1,0)</f>
        <v>0</v>
      </c>
      <c r="AS67" t="s">
        <v>461</v>
      </c>
      <c r="AT67" t="s">
        <v>484</v>
      </c>
      <c r="AU67">
        <f t="shared" ref="AU67:AU130" si="14">IF(AND($O67="overt",LEFT($AS67,5)="zero_"),1,0)</f>
        <v>1</v>
      </c>
      <c r="AV67">
        <f t="shared" ref="AV67:AV130" si="15">IF(AND($Q67="overt",LEFT($AT67,5)="zero_"),1,0)</f>
        <v>0</v>
      </c>
    </row>
    <row r="68" spans="1:48">
      <c r="A68" s="28" t="s">
        <v>93</v>
      </c>
      <c r="B68" s="11" t="s">
        <v>554</v>
      </c>
      <c r="C68" s="110" t="s">
        <v>294</v>
      </c>
      <c r="D68" s="12" t="s">
        <v>394</v>
      </c>
      <c r="E68" s="12" t="s">
        <v>1056</v>
      </c>
      <c r="F68" s="12" t="s">
        <v>447</v>
      </c>
      <c r="G68" s="74" t="s">
        <v>434</v>
      </c>
      <c r="H68" s="12" t="s">
        <v>442</v>
      </c>
      <c r="I68" s="12" t="s">
        <v>452</v>
      </c>
      <c r="J68" s="12" t="s">
        <v>454</v>
      </c>
      <c r="K68" s="12">
        <v>1</v>
      </c>
      <c r="L68" s="13">
        <v>0</v>
      </c>
      <c r="M68" s="13" t="s">
        <v>484</v>
      </c>
      <c r="N68" s="13">
        <v>1</v>
      </c>
      <c r="O68" s="14" t="s">
        <v>461</v>
      </c>
      <c r="P68" s="14">
        <v>3</v>
      </c>
      <c r="Q68" s="14" t="s">
        <v>484</v>
      </c>
      <c r="R68" s="14" t="s">
        <v>484</v>
      </c>
      <c r="S68" s="15">
        <v>0</v>
      </c>
      <c r="T68" s="15">
        <v>0</v>
      </c>
      <c r="U68" s="16" t="s">
        <v>464</v>
      </c>
      <c r="V68" s="16" t="s">
        <v>493</v>
      </c>
      <c r="W68" s="17">
        <v>0</v>
      </c>
      <c r="X68" s="17">
        <v>1</v>
      </c>
      <c r="Y68" s="17" t="s">
        <v>521</v>
      </c>
      <c r="Z68" s="17" t="s">
        <v>534</v>
      </c>
      <c r="AA68" s="31">
        <v>0</v>
      </c>
      <c r="AB68" s="18" t="s">
        <v>469</v>
      </c>
      <c r="AC68" s="156" t="s">
        <v>493</v>
      </c>
      <c r="AD68" s="125" t="str">
        <f t="shared" si="9"/>
        <v/>
      </c>
      <c r="AE68" s="160" t="s">
        <v>507</v>
      </c>
      <c r="AF68" t="s">
        <v>505</v>
      </c>
      <c r="AG68" s="18" t="s">
        <v>525</v>
      </c>
      <c r="AH68" s="18" t="s">
        <v>474</v>
      </c>
      <c r="AI68" s="132"/>
      <c r="AK68" s="77">
        <f t="shared" si="8"/>
        <v>0</v>
      </c>
      <c r="AL68" t="str">
        <f t="shared" si="10"/>
        <v>non-LVC</v>
      </c>
      <c r="AM68" s="105" t="str" cm="1">
        <f t="array" ref="AM68">IF(OR(O68:O225="zero_recoverable", "zero_exalt", "zero_other", "zero_uncertain"),
   "Yes","No")</f>
        <v>Yes</v>
      </c>
      <c r="AN68">
        <f>1 + COUNTIF($V$2:V67,"main")</f>
        <v>20</v>
      </c>
      <c r="AO68" t="str">
        <f t="shared" si="11"/>
        <v>te</v>
      </c>
      <c r="AP68">
        <f t="shared" si="12"/>
        <v>1</v>
      </c>
      <c r="AQ68">
        <f>IF(AP69=0,"",COUNTIFS($AN$2:$AN69,$AN69,$AP$2:$AP69,1))</f>
        <v>4</v>
      </c>
      <c r="AR68">
        <f t="shared" si="13"/>
        <v>0</v>
      </c>
      <c r="AS68" t="s">
        <v>526</v>
      </c>
      <c r="AT68" t="s">
        <v>484</v>
      </c>
      <c r="AU68">
        <f t="shared" si="14"/>
        <v>0</v>
      </c>
      <c r="AV68">
        <f t="shared" si="15"/>
        <v>0</v>
      </c>
    </row>
    <row r="69" spans="1:48">
      <c r="A69" s="28" t="s">
        <v>94</v>
      </c>
      <c r="B69" s="11" t="s">
        <v>555</v>
      </c>
      <c r="C69" s="110" t="s">
        <v>295</v>
      </c>
      <c r="D69" s="12" t="s">
        <v>556</v>
      </c>
      <c r="E69" s="12" t="s">
        <v>1056</v>
      </c>
      <c r="F69" s="12" t="s">
        <v>446</v>
      </c>
      <c r="G69" s="74" t="s">
        <v>717</v>
      </c>
      <c r="H69" s="12" t="s">
        <v>442</v>
      </c>
      <c r="I69" s="12" t="s">
        <v>452</v>
      </c>
      <c r="J69" s="12" t="s">
        <v>454</v>
      </c>
      <c r="K69" s="12">
        <v>1</v>
      </c>
      <c r="L69" s="13">
        <v>0</v>
      </c>
      <c r="M69" s="13" t="s">
        <v>484</v>
      </c>
      <c r="N69" s="13">
        <v>1</v>
      </c>
      <c r="O69" s="14" t="s">
        <v>526</v>
      </c>
      <c r="P69" s="14">
        <v>3</v>
      </c>
      <c r="Q69" s="14" t="s">
        <v>484</v>
      </c>
      <c r="R69" s="14" t="s">
        <v>484</v>
      </c>
      <c r="S69" s="15">
        <v>0</v>
      </c>
      <c r="T69" s="15">
        <v>0</v>
      </c>
      <c r="U69" s="16" t="s">
        <v>484</v>
      </c>
      <c r="V69" s="16" t="s">
        <v>537</v>
      </c>
      <c r="W69" s="17">
        <v>0</v>
      </c>
      <c r="X69" s="17">
        <v>0</v>
      </c>
      <c r="Y69" s="17" t="s">
        <v>484</v>
      </c>
      <c r="Z69" s="17" t="s">
        <v>484</v>
      </c>
      <c r="AA69" s="31">
        <v>0</v>
      </c>
      <c r="AB69" s="18" t="s">
        <v>470</v>
      </c>
      <c r="AC69" s="156" t="s">
        <v>493</v>
      </c>
      <c r="AD69" s="125" t="s">
        <v>1134</v>
      </c>
      <c r="AE69" s="160" t="s">
        <v>505</v>
      </c>
      <c r="AF69" t="s">
        <v>507</v>
      </c>
      <c r="AG69" s="18" t="s">
        <v>525</v>
      </c>
      <c r="AH69" s="18" t="s">
        <v>474</v>
      </c>
      <c r="AI69" s="132"/>
      <c r="AK69" s="77">
        <f t="shared" si="8"/>
        <v>0</v>
      </c>
      <c r="AL69" t="str">
        <f t="shared" si="10"/>
        <v>LVC</v>
      </c>
      <c r="AM69" s="105" t="str" cm="1">
        <f t="array" ref="AM69">IF(OR(O69:O226="zero_recoverable", "zero_exalt", "zero_other", "zero_uncertain"),
   "Yes","No")</f>
        <v>Yes</v>
      </c>
      <c r="AN69">
        <f>1 + COUNTIF($V$2:V68,"main")</f>
        <v>20</v>
      </c>
      <c r="AO69" t="str">
        <f t="shared" si="11"/>
        <v/>
      </c>
      <c r="AP69">
        <f t="shared" si="12"/>
        <v>1</v>
      </c>
      <c r="AQ69" t="str">
        <f>IF(AP70=0,"",COUNTIFS($AN$2:$AN70,$AN70,$AP$2:$AP70,1))</f>
        <v/>
      </c>
      <c r="AR69">
        <f t="shared" si="13"/>
        <v>0</v>
      </c>
      <c r="AS69" t="s">
        <v>462</v>
      </c>
      <c r="AT69" t="s">
        <v>526</v>
      </c>
      <c r="AU69">
        <f t="shared" si="14"/>
        <v>0</v>
      </c>
      <c r="AV69">
        <f t="shared" si="15"/>
        <v>0</v>
      </c>
    </row>
    <row r="70" spans="1:48">
      <c r="A70" s="28" t="s">
        <v>95</v>
      </c>
      <c r="B70" s="11" t="s">
        <v>211</v>
      </c>
      <c r="C70" s="110" t="s">
        <v>296</v>
      </c>
      <c r="D70" s="12" t="s">
        <v>395</v>
      </c>
      <c r="E70" s="12" t="s">
        <v>1056</v>
      </c>
      <c r="F70" s="12" t="s">
        <v>550</v>
      </c>
      <c r="G70" s="74" t="s">
        <v>434</v>
      </c>
      <c r="H70" s="12" t="s">
        <v>441</v>
      </c>
      <c r="I70" s="12" t="s">
        <v>452</v>
      </c>
      <c r="J70" s="12" t="s">
        <v>454</v>
      </c>
      <c r="K70" s="12">
        <v>1</v>
      </c>
      <c r="L70" s="13">
        <v>1</v>
      </c>
      <c r="M70" s="13" t="s">
        <v>457</v>
      </c>
      <c r="N70" s="13">
        <v>0</v>
      </c>
      <c r="O70" s="14" t="s">
        <v>462</v>
      </c>
      <c r="P70" s="14">
        <v>3</v>
      </c>
      <c r="Q70" s="38" t="s">
        <v>526</v>
      </c>
      <c r="R70" s="14" t="s">
        <v>484</v>
      </c>
      <c r="S70" s="15">
        <v>0</v>
      </c>
      <c r="T70" s="15">
        <v>1</v>
      </c>
      <c r="U70" s="16" t="s">
        <v>464</v>
      </c>
      <c r="V70" s="16" t="s">
        <v>466</v>
      </c>
      <c r="W70" s="17">
        <v>1</v>
      </c>
      <c r="X70" s="17">
        <v>0</v>
      </c>
      <c r="Y70" s="17" t="s">
        <v>521</v>
      </c>
      <c r="Z70" s="17" t="s">
        <v>514</v>
      </c>
      <c r="AA70" s="31">
        <v>0</v>
      </c>
      <c r="AB70" s="18" t="s">
        <v>439</v>
      </c>
      <c r="AC70" s="156" t="s">
        <v>537</v>
      </c>
      <c r="AD70" s="125" t="str">
        <f t="shared" si="9"/>
        <v/>
      </c>
      <c r="AE70" s="160" t="s">
        <v>507</v>
      </c>
      <c r="AF70" t="s">
        <v>505</v>
      </c>
      <c r="AG70" s="18" t="s">
        <v>486</v>
      </c>
      <c r="AH70" s="18" t="s">
        <v>485</v>
      </c>
      <c r="AI70" s="132"/>
      <c r="AK70" s="77">
        <f t="shared" si="8"/>
        <v>1</v>
      </c>
      <c r="AL70" t="str">
        <f t="shared" si="10"/>
        <v>non-LVC</v>
      </c>
      <c r="AM70" s="105" t="str" cm="1">
        <f t="array" ref="AM70">IF(OR(O70:O227="zero_recoverable", "zero_exalt", "zero_other", "zero_uncertain"),
   "Yes","No")</f>
        <v>Yes</v>
      </c>
      <c r="AN70">
        <f>1 + COUNTIF($V$2:V69,"main")</f>
        <v>20</v>
      </c>
      <c r="AO70" t="str">
        <f t="shared" si="11"/>
        <v>te</v>
      </c>
      <c r="AP70">
        <f t="shared" si="12"/>
        <v>0</v>
      </c>
      <c r="AQ70">
        <f>IF(AP71=0,"",COUNTIFS($AN$2:$AN71,$AN71,$AP$2:$AP71,1))</f>
        <v>5</v>
      </c>
      <c r="AR70">
        <f t="shared" si="13"/>
        <v>0</v>
      </c>
      <c r="AS70" t="s">
        <v>461</v>
      </c>
      <c r="AT70" t="s">
        <v>462</v>
      </c>
      <c r="AU70">
        <f t="shared" si="14"/>
        <v>1</v>
      </c>
      <c r="AV70">
        <f t="shared" si="15"/>
        <v>0</v>
      </c>
    </row>
    <row r="71" spans="1:48">
      <c r="A71" s="28" t="s">
        <v>96</v>
      </c>
      <c r="B71" s="11" t="s">
        <v>212</v>
      </c>
      <c r="C71" s="110" t="s">
        <v>558</v>
      </c>
      <c r="D71" s="12" t="s">
        <v>396</v>
      </c>
      <c r="E71" s="12" t="s">
        <v>1056</v>
      </c>
      <c r="F71" s="12" t="s">
        <v>550</v>
      </c>
      <c r="G71" s="74" t="s">
        <v>434</v>
      </c>
      <c r="H71" s="12" t="s">
        <v>441</v>
      </c>
      <c r="I71" s="12" t="s">
        <v>452</v>
      </c>
      <c r="J71" s="12" t="s">
        <v>454</v>
      </c>
      <c r="K71" s="12">
        <v>1</v>
      </c>
      <c r="L71" s="13">
        <v>1</v>
      </c>
      <c r="M71" s="13" t="s">
        <v>465</v>
      </c>
      <c r="N71" s="13">
        <v>1</v>
      </c>
      <c r="O71" s="14" t="s">
        <v>461</v>
      </c>
      <c r="P71" s="14">
        <v>3</v>
      </c>
      <c r="Q71" s="14" t="s">
        <v>462</v>
      </c>
      <c r="R71" s="14" t="s">
        <v>484</v>
      </c>
      <c r="S71" s="15">
        <v>0</v>
      </c>
      <c r="T71" s="15">
        <v>0</v>
      </c>
      <c r="U71" s="16" t="s">
        <v>484</v>
      </c>
      <c r="V71" s="16" t="s">
        <v>537</v>
      </c>
      <c r="W71" s="17">
        <v>0</v>
      </c>
      <c r="X71" s="17">
        <v>1</v>
      </c>
      <c r="Y71" s="17" t="s">
        <v>521</v>
      </c>
      <c r="Z71" s="17" t="s">
        <v>512</v>
      </c>
      <c r="AA71" s="31">
        <v>0</v>
      </c>
      <c r="AB71" s="18" t="s">
        <v>470</v>
      </c>
      <c r="AC71" s="156" t="s">
        <v>466</v>
      </c>
      <c r="AD71" s="125" t="s">
        <v>1134</v>
      </c>
      <c r="AE71" s="160" t="s">
        <v>505</v>
      </c>
      <c r="AF71" t="s">
        <v>505</v>
      </c>
      <c r="AG71" s="18" t="s">
        <v>525</v>
      </c>
      <c r="AH71" s="18" t="s">
        <v>485</v>
      </c>
      <c r="AI71" s="132"/>
      <c r="AK71" s="77">
        <f t="shared" si="8"/>
        <v>1</v>
      </c>
      <c r="AL71" t="str">
        <f t="shared" si="10"/>
        <v>non-LVC</v>
      </c>
      <c r="AM71" s="105" t="str" cm="1">
        <f t="array" ref="AM71">IF(OR(O71:O228="zero_recoverable", "zero_exalt", "zero_other", "zero_uncertain"),
   "Yes","No")</f>
        <v>Yes</v>
      </c>
      <c r="AN71">
        <f>1 + COUNTIF($V$2:V70,"main")</f>
        <v>20</v>
      </c>
      <c r="AO71" t="str">
        <f t="shared" si="11"/>
        <v/>
      </c>
      <c r="AP71">
        <f t="shared" si="12"/>
        <v>1</v>
      </c>
      <c r="AQ71">
        <f>IF(AP72=0,"",COUNTIFS($AN$2:$AN72,$AN72,$AP$2:$AP72,1))</f>
        <v>6</v>
      </c>
      <c r="AR71">
        <f t="shared" si="13"/>
        <v>0</v>
      </c>
      <c r="AS71" t="s">
        <v>526</v>
      </c>
      <c r="AT71" t="s">
        <v>526</v>
      </c>
      <c r="AU71">
        <f t="shared" si="14"/>
        <v>0</v>
      </c>
      <c r="AV71">
        <f t="shared" si="15"/>
        <v>1</v>
      </c>
    </row>
    <row r="72" spans="1:48">
      <c r="A72" s="28" t="s">
        <v>97</v>
      </c>
      <c r="B72" s="11" t="s">
        <v>213</v>
      </c>
      <c r="C72" s="110" t="s">
        <v>557</v>
      </c>
      <c r="D72" s="12" t="s">
        <v>397</v>
      </c>
      <c r="E72" s="12" t="s">
        <v>1056</v>
      </c>
      <c r="F72" s="12" t="s">
        <v>446</v>
      </c>
      <c r="G72" s="74" t="s">
        <v>434</v>
      </c>
      <c r="H72" s="12" t="s">
        <v>441</v>
      </c>
      <c r="I72" s="12" t="s">
        <v>452</v>
      </c>
      <c r="J72" s="12" t="s">
        <v>454</v>
      </c>
      <c r="K72" s="12">
        <v>1</v>
      </c>
      <c r="L72" s="13">
        <v>0</v>
      </c>
      <c r="M72" s="13" t="s">
        <v>484</v>
      </c>
      <c r="N72" s="13">
        <v>0</v>
      </c>
      <c r="O72" s="14" t="s">
        <v>526</v>
      </c>
      <c r="P72" s="14">
        <v>3</v>
      </c>
      <c r="Q72" s="38" t="s">
        <v>526</v>
      </c>
      <c r="R72" s="14" t="s">
        <v>484</v>
      </c>
      <c r="S72" s="15">
        <v>0</v>
      </c>
      <c r="T72" s="15">
        <v>0</v>
      </c>
      <c r="U72" s="16" t="s">
        <v>484</v>
      </c>
      <c r="V72" s="16" t="s">
        <v>537</v>
      </c>
      <c r="W72" s="17">
        <v>0</v>
      </c>
      <c r="X72" s="17">
        <v>0</v>
      </c>
      <c r="Y72" s="17" t="s">
        <v>484</v>
      </c>
      <c r="Z72" s="17" t="s">
        <v>484</v>
      </c>
      <c r="AA72" s="31">
        <v>0</v>
      </c>
      <c r="AB72" s="18" t="s">
        <v>439</v>
      </c>
      <c r="AC72" s="156" t="s">
        <v>537</v>
      </c>
      <c r="AD72" s="125" t="str">
        <f t="shared" si="9"/>
        <v>te_medial</v>
      </c>
      <c r="AE72" s="160" t="s">
        <v>505</v>
      </c>
      <c r="AF72" t="s">
        <v>505</v>
      </c>
      <c r="AG72" s="18" t="s">
        <v>525</v>
      </c>
      <c r="AH72" s="18" t="s">
        <v>474</v>
      </c>
      <c r="AI72" s="132"/>
      <c r="AK72" s="77">
        <f t="shared" si="8"/>
        <v>0</v>
      </c>
      <c r="AL72" t="str">
        <f t="shared" si="10"/>
        <v>non-LVC</v>
      </c>
      <c r="AM72" s="105" t="str" cm="1">
        <f t="array" ref="AM72">IF(OR(O72:O229="zero_recoverable", "zero_exalt", "zero_other", "zero_uncertain"),
   "Yes","No")</f>
        <v>Yes</v>
      </c>
      <c r="AN72">
        <f>1 + COUNTIF($V$2:V71,"main")</f>
        <v>20</v>
      </c>
      <c r="AO72" t="str">
        <f t="shared" si="11"/>
        <v>main</v>
      </c>
      <c r="AP72">
        <f t="shared" si="12"/>
        <v>1</v>
      </c>
      <c r="AQ72">
        <f>IF(AP73=0,"",COUNTIFS($AN$2:$AN73,$AN73,$AP$2:$AP73,1))</f>
        <v>7</v>
      </c>
      <c r="AR72">
        <f t="shared" si="13"/>
        <v>0</v>
      </c>
      <c r="AS72" t="s">
        <v>461</v>
      </c>
      <c r="AT72" t="s">
        <v>484</v>
      </c>
      <c r="AU72">
        <f t="shared" si="14"/>
        <v>0</v>
      </c>
      <c r="AV72">
        <f t="shared" si="15"/>
        <v>0</v>
      </c>
    </row>
    <row r="73" spans="1:48">
      <c r="A73" s="28" t="s">
        <v>98</v>
      </c>
      <c r="B73" s="11" t="s">
        <v>214</v>
      </c>
      <c r="C73" s="110" t="s">
        <v>559</v>
      </c>
      <c r="D73" s="12" t="s">
        <v>214</v>
      </c>
      <c r="E73" s="12" t="s">
        <v>1056</v>
      </c>
      <c r="F73" s="12" t="s">
        <v>447</v>
      </c>
      <c r="G73" s="74" t="s">
        <v>434</v>
      </c>
      <c r="H73" s="12" t="s">
        <v>442</v>
      </c>
      <c r="I73" s="12" t="s">
        <v>452</v>
      </c>
      <c r="J73" s="12" t="s">
        <v>454</v>
      </c>
      <c r="K73" s="12">
        <v>1</v>
      </c>
      <c r="L73" s="13">
        <v>0</v>
      </c>
      <c r="M73" s="13" t="s">
        <v>484</v>
      </c>
      <c r="N73" s="13">
        <v>0</v>
      </c>
      <c r="O73" s="14" t="s">
        <v>461</v>
      </c>
      <c r="P73" s="14">
        <v>3</v>
      </c>
      <c r="Q73" s="14" t="s">
        <v>484</v>
      </c>
      <c r="R73" s="14" t="s">
        <v>484</v>
      </c>
      <c r="S73" s="15">
        <v>0</v>
      </c>
      <c r="T73" s="15">
        <v>0</v>
      </c>
      <c r="U73" s="16" t="s">
        <v>484</v>
      </c>
      <c r="V73" s="16" t="s">
        <v>467</v>
      </c>
      <c r="W73" s="17">
        <v>0</v>
      </c>
      <c r="X73" s="17">
        <v>1</v>
      </c>
      <c r="Y73" s="17" t="s">
        <v>521</v>
      </c>
      <c r="Z73" s="17" t="s">
        <v>514</v>
      </c>
      <c r="AA73" s="31">
        <v>0</v>
      </c>
      <c r="AB73" s="18" t="s">
        <v>439</v>
      </c>
      <c r="AC73" s="156" t="s">
        <v>537</v>
      </c>
      <c r="AD73" s="125" t="str">
        <f t="shared" si="9"/>
        <v/>
      </c>
      <c r="AE73" s="160" t="s">
        <v>505</v>
      </c>
      <c r="AF73" t="s">
        <v>507</v>
      </c>
      <c r="AG73" s="18" t="s">
        <v>525</v>
      </c>
      <c r="AH73" s="18" t="s">
        <v>474</v>
      </c>
      <c r="AI73" s="132"/>
      <c r="AK73" s="77">
        <f t="shared" si="8"/>
        <v>0</v>
      </c>
      <c r="AL73" t="str">
        <f t="shared" si="10"/>
        <v>non-LVC</v>
      </c>
      <c r="AM73" s="105" t="str" cm="1">
        <f t="array" ref="AM73">IF(OR(O73:O230="zero_recoverable", "zero_exalt", "zero_other", "zero_uncertain"),
   "Yes","No")</f>
        <v>Yes</v>
      </c>
      <c r="AN73">
        <f>1 + COUNTIF($V$2:V72,"main")</f>
        <v>20</v>
      </c>
      <c r="AO73" t="str">
        <f t="shared" si="11"/>
        <v/>
      </c>
      <c r="AP73">
        <f t="shared" si="12"/>
        <v>1</v>
      </c>
      <c r="AQ73">
        <f>IF(AP74=0,"",COUNTIFS($AN$2:$AN74,$AN74,$AP$2:$AP74,1))</f>
        <v>1</v>
      </c>
      <c r="AR73">
        <v>0</v>
      </c>
      <c r="AS73" t="s">
        <v>462</v>
      </c>
      <c r="AT73" t="s">
        <v>526</v>
      </c>
      <c r="AU73">
        <f t="shared" si="14"/>
        <v>0</v>
      </c>
      <c r="AV73">
        <f t="shared" si="15"/>
        <v>0</v>
      </c>
    </row>
    <row r="74" spans="1:48">
      <c r="A74" s="28" t="s">
        <v>99</v>
      </c>
      <c r="B74" s="11" t="s">
        <v>215</v>
      </c>
      <c r="C74" s="110" t="s">
        <v>297</v>
      </c>
      <c r="D74" s="12" t="s">
        <v>398</v>
      </c>
      <c r="E74" s="12" t="s">
        <v>1056</v>
      </c>
      <c r="F74" s="12" t="s">
        <v>550</v>
      </c>
      <c r="G74" s="74" t="s">
        <v>1068</v>
      </c>
      <c r="H74" s="12" t="s">
        <v>441</v>
      </c>
      <c r="I74" s="12" t="s">
        <v>452</v>
      </c>
      <c r="J74" s="12" t="s">
        <v>454</v>
      </c>
      <c r="K74" s="12">
        <v>1</v>
      </c>
      <c r="L74" s="13">
        <v>1</v>
      </c>
      <c r="M74" s="13" t="s">
        <v>457</v>
      </c>
      <c r="N74" s="13">
        <v>0</v>
      </c>
      <c r="O74" s="14" t="s">
        <v>462</v>
      </c>
      <c r="P74" s="14">
        <v>3</v>
      </c>
      <c r="Q74" s="14" t="s">
        <v>526</v>
      </c>
      <c r="R74" s="14" t="s">
        <v>484</v>
      </c>
      <c r="S74" s="15">
        <v>0</v>
      </c>
      <c r="T74" s="15">
        <v>0</v>
      </c>
      <c r="U74" s="16" t="s">
        <v>484</v>
      </c>
      <c r="V74" s="16" t="s">
        <v>537</v>
      </c>
      <c r="W74" s="17">
        <v>1</v>
      </c>
      <c r="X74" s="17">
        <v>0</v>
      </c>
      <c r="Y74" s="17" t="s">
        <v>521</v>
      </c>
      <c r="Z74" s="17" t="s">
        <v>513</v>
      </c>
      <c r="AA74" s="31">
        <v>0</v>
      </c>
      <c r="AB74" s="18" t="s">
        <v>470</v>
      </c>
      <c r="AC74" s="156" t="s">
        <v>467</v>
      </c>
      <c r="AD74" s="125" t="str">
        <f t="shared" si="9"/>
        <v>te_initial</v>
      </c>
      <c r="AE74" s="160" t="s">
        <v>507</v>
      </c>
      <c r="AF74" t="s">
        <v>505</v>
      </c>
      <c r="AG74" s="18" t="s">
        <v>506</v>
      </c>
      <c r="AH74" s="18" t="s">
        <v>485</v>
      </c>
      <c r="AI74" s="132"/>
      <c r="AK74" s="77">
        <f t="shared" si="8"/>
        <v>1</v>
      </c>
      <c r="AL74" t="str">
        <f t="shared" si="10"/>
        <v>non-LVC</v>
      </c>
      <c r="AM74" s="105" t="str" cm="1">
        <f t="array" ref="AM74">IF(OR(O74:O231="zero_recoverable", "zero_exalt", "zero_other", "zero_uncertain"),
   "Yes","No")</f>
        <v>Yes</v>
      </c>
      <c r="AN74">
        <f>1 + COUNTIF($V$2:V73,"main")</f>
        <v>21</v>
      </c>
      <c r="AO74" t="str">
        <f t="shared" si="11"/>
        <v/>
      </c>
      <c r="AP74">
        <f t="shared" si="12"/>
        <v>1</v>
      </c>
      <c r="AQ74">
        <f>IF(AP75=0,"",COUNTIFS($AN$2:$AN75,$AN75,$AP$2:$AP75,1))</f>
        <v>2</v>
      </c>
      <c r="AR74">
        <v>1</v>
      </c>
      <c r="AS74" t="s">
        <v>460</v>
      </c>
      <c r="AT74" t="s">
        <v>484</v>
      </c>
      <c r="AU74">
        <f t="shared" si="14"/>
        <v>1</v>
      </c>
      <c r="AV74">
        <f t="shared" si="15"/>
        <v>0</v>
      </c>
    </row>
    <row r="75" spans="1:48">
      <c r="A75" s="28" t="s">
        <v>100</v>
      </c>
      <c r="B75" s="11" t="s">
        <v>1084</v>
      </c>
      <c r="C75" s="110" t="s">
        <v>298</v>
      </c>
      <c r="D75" s="12" t="s">
        <v>399</v>
      </c>
      <c r="E75" s="12" t="s">
        <v>1056</v>
      </c>
      <c r="F75" s="12" t="s">
        <v>446</v>
      </c>
      <c r="G75" s="74" t="s">
        <v>434</v>
      </c>
      <c r="H75" s="12" t="s">
        <v>442</v>
      </c>
      <c r="I75" s="12" t="s">
        <v>452</v>
      </c>
      <c r="J75" s="12" t="s">
        <v>454</v>
      </c>
      <c r="K75" s="12">
        <v>1</v>
      </c>
      <c r="L75" s="13">
        <v>0</v>
      </c>
      <c r="M75" s="13" t="s">
        <v>484</v>
      </c>
      <c r="N75" s="13">
        <v>1</v>
      </c>
      <c r="O75" s="14" t="s">
        <v>460</v>
      </c>
      <c r="P75" s="14">
        <v>3</v>
      </c>
      <c r="Q75" s="14" t="s">
        <v>484</v>
      </c>
      <c r="R75" s="14" t="s">
        <v>484</v>
      </c>
      <c r="S75" s="15">
        <v>0</v>
      </c>
      <c r="T75" s="15">
        <v>0</v>
      </c>
      <c r="U75" s="16" t="s">
        <v>464</v>
      </c>
      <c r="V75" s="16" t="s">
        <v>1064</v>
      </c>
      <c r="W75" s="17">
        <v>0</v>
      </c>
      <c r="X75" s="17">
        <v>0</v>
      </c>
      <c r="Y75" s="17" t="s">
        <v>484</v>
      </c>
      <c r="Z75" s="17" t="s">
        <v>516</v>
      </c>
      <c r="AA75" s="31">
        <v>0</v>
      </c>
      <c r="AB75" s="18" t="s">
        <v>471</v>
      </c>
      <c r="AC75" s="156" t="s">
        <v>537</v>
      </c>
      <c r="AD75" s="125" t="str">
        <f t="shared" si="9"/>
        <v/>
      </c>
      <c r="AE75" s="160" t="s">
        <v>505</v>
      </c>
      <c r="AF75" t="s">
        <v>505</v>
      </c>
      <c r="AG75" s="18" t="s">
        <v>525</v>
      </c>
      <c r="AH75" s="18" t="s">
        <v>474</v>
      </c>
      <c r="AI75" s="132"/>
      <c r="AK75" s="77">
        <f t="shared" si="8"/>
        <v>0</v>
      </c>
      <c r="AL75" t="str">
        <f t="shared" si="10"/>
        <v>non-LVC</v>
      </c>
      <c r="AM75" s="105" t="str" cm="1">
        <f t="array" ref="AM75">IF(OR(O75:O232="zero_recoverable", "zero_exalt", "zero_other", "zero_uncertain"),
   "Yes","No")</f>
        <v>Yes</v>
      </c>
      <c r="AN75">
        <f>1 + COUNTIF($V$2:V74,"main")</f>
        <v>21</v>
      </c>
      <c r="AO75" t="str">
        <f t="shared" si="11"/>
        <v/>
      </c>
      <c r="AP75">
        <f t="shared" si="12"/>
        <v>1</v>
      </c>
      <c r="AQ75">
        <f>IF(AP76=0,"",COUNTIFS($AN$2:$AN76,$AN76,$AP$2:$AP76,1))</f>
        <v>3</v>
      </c>
      <c r="AR75">
        <f t="shared" si="13"/>
        <v>0</v>
      </c>
      <c r="AS75" t="s">
        <v>461</v>
      </c>
      <c r="AT75" t="s">
        <v>462</v>
      </c>
      <c r="AU75">
        <f t="shared" si="14"/>
        <v>0</v>
      </c>
      <c r="AV75">
        <f t="shared" si="15"/>
        <v>0</v>
      </c>
    </row>
    <row r="76" spans="1:48">
      <c r="A76" s="28" t="s">
        <v>101</v>
      </c>
      <c r="B76" s="11" t="s">
        <v>1085</v>
      </c>
      <c r="C76" s="110" t="s">
        <v>299</v>
      </c>
      <c r="D76" s="12" t="s">
        <v>400</v>
      </c>
      <c r="E76" s="12" t="s">
        <v>1056</v>
      </c>
      <c r="F76" s="12" t="s">
        <v>550</v>
      </c>
      <c r="G76" s="74" t="s">
        <v>434</v>
      </c>
      <c r="H76" s="12" t="s">
        <v>442</v>
      </c>
      <c r="I76" s="12" t="s">
        <v>453</v>
      </c>
      <c r="J76" s="12" t="s">
        <v>454</v>
      </c>
      <c r="K76" s="12">
        <v>1</v>
      </c>
      <c r="L76" s="13">
        <v>1</v>
      </c>
      <c r="M76" s="13" t="s">
        <v>458</v>
      </c>
      <c r="N76" s="13">
        <v>0</v>
      </c>
      <c r="O76" s="14" t="s">
        <v>461</v>
      </c>
      <c r="P76" s="14">
        <v>3</v>
      </c>
      <c r="Q76" s="14" t="s">
        <v>462</v>
      </c>
      <c r="R76" s="14" t="s">
        <v>484</v>
      </c>
      <c r="S76" s="15">
        <v>0</v>
      </c>
      <c r="T76" s="15">
        <v>0</v>
      </c>
      <c r="U76" s="16" t="s">
        <v>484</v>
      </c>
      <c r="V76" s="16" t="s">
        <v>467</v>
      </c>
      <c r="W76" s="17">
        <v>0</v>
      </c>
      <c r="X76" s="17">
        <v>1</v>
      </c>
      <c r="Y76" s="17" t="s">
        <v>521</v>
      </c>
      <c r="Z76" s="17" t="s">
        <v>535</v>
      </c>
      <c r="AA76" s="31">
        <v>0</v>
      </c>
      <c r="AB76" s="18" t="s">
        <v>469</v>
      </c>
      <c r="AC76" s="156" t="s">
        <v>1064</v>
      </c>
      <c r="AD76" s="125" t="str">
        <f t="shared" si="9"/>
        <v/>
      </c>
      <c r="AE76" s="160" t="s">
        <v>505</v>
      </c>
      <c r="AF76" t="s">
        <v>505</v>
      </c>
      <c r="AG76" s="18" t="s">
        <v>525</v>
      </c>
      <c r="AH76" s="18" t="s">
        <v>485</v>
      </c>
      <c r="AI76" s="132"/>
      <c r="AK76" s="77">
        <f t="shared" si="8"/>
        <v>1</v>
      </c>
      <c r="AL76" t="str">
        <f t="shared" si="10"/>
        <v>non-LVC</v>
      </c>
      <c r="AM76" s="105" t="str" cm="1">
        <f t="array" ref="AM76">IF(OR(O76:O233="zero_recoverable", "zero_exalt", "zero_other", "zero_uncertain"),
   "Yes","No")</f>
        <v>Yes</v>
      </c>
      <c r="AN76">
        <f>1 + COUNTIF($V$2:V75,"main")</f>
        <v>21</v>
      </c>
      <c r="AO76" t="str">
        <f t="shared" si="11"/>
        <v/>
      </c>
      <c r="AP76">
        <f t="shared" si="12"/>
        <v>1</v>
      </c>
      <c r="AQ76">
        <f>IF(AP77=0,"",COUNTIFS($AN$2:$AN77,$AN77,$AP$2:$AP77,1))</f>
        <v>1</v>
      </c>
      <c r="AR76">
        <v>0</v>
      </c>
      <c r="AS76" t="s">
        <v>460</v>
      </c>
      <c r="AT76" t="s">
        <v>463</v>
      </c>
      <c r="AU76">
        <f t="shared" si="14"/>
        <v>0</v>
      </c>
      <c r="AV76">
        <f t="shared" si="15"/>
        <v>0</v>
      </c>
    </row>
    <row r="77" spans="1:48">
      <c r="A77" s="28" t="s">
        <v>102</v>
      </c>
      <c r="B77" s="11" t="s">
        <v>216</v>
      </c>
      <c r="C77" s="110" t="s">
        <v>300</v>
      </c>
      <c r="D77" s="12" t="s">
        <v>401</v>
      </c>
      <c r="E77" s="12" t="s">
        <v>1058</v>
      </c>
      <c r="F77" s="12" t="s">
        <v>446</v>
      </c>
      <c r="G77" s="74" t="s">
        <v>434</v>
      </c>
      <c r="H77" s="12" t="s">
        <v>442</v>
      </c>
      <c r="I77" s="12" t="s">
        <v>452</v>
      </c>
      <c r="J77" s="12" t="s">
        <v>454</v>
      </c>
      <c r="K77" s="12">
        <v>1</v>
      </c>
      <c r="L77" s="13">
        <v>0</v>
      </c>
      <c r="M77" s="13" t="s">
        <v>484</v>
      </c>
      <c r="N77" s="13">
        <v>1</v>
      </c>
      <c r="O77" s="14" t="s">
        <v>460</v>
      </c>
      <c r="P77" s="14">
        <v>3</v>
      </c>
      <c r="Q77" s="14" t="s">
        <v>484</v>
      </c>
      <c r="R77" s="14" t="s">
        <v>484</v>
      </c>
      <c r="S77" s="15">
        <v>0</v>
      </c>
      <c r="T77" s="15">
        <v>0</v>
      </c>
      <c r="U77" s="16" t="s">
        <v>484</v>
      </c>
      <c r="V77" s="16" t="s">
        <v>467</v>
      </c>
      <c r="W77" s="17">
        <v>0</v>
      </c>
      <c r="X77" s="17">
        <v>0</v>
      </c>
      <c r="Y77" s="17" t="s">
        <v>484</v>
      </c>
      <c r="Z77" s="17" t="s">
        <v>484</v>
      </c>
      <c r="AA77" s="31">
        <v>0</v>
      </c>
      <c r="AB77" s="18" t="s">
        <v>439</v>
      </c>
      <c r="AC77" s="156" t="s">
        <v>467</v>
      </c>
      <c r="AD77" s="125" t="str">
        <f t="shared" si="9"/>
        <v/>
      </c>
      <c r="AE77" s="160" t="s">
        <v>505</v>
      </c>
      <c r="AF77" t="s">
        <v>505</v>
      </c>
      <c r="AG77" s="18" t="s">
        <v>525</v>
      </c>
      <c r="AH77" s="18" t="s">
        <v>474</v>
      </c>
      <c r="AI77" s="132"/>
      <c r="AK77" s="77">
        <f t="shared" si="8"/>
        <v>0</v>
      </c>
      <c r="AL77" t="str">
        <f t="shared" si="10"/>
        <v>non-LVC</v>
      </c>
      <c r="AM77" s="105" t="str" cm="1">
        <f t="array" ref="AM77">IF(OR(O77:O234="zero_recoverable", "zero_exalt", "zero_other", "zero_uncertain"),
   "Yes","No")</f>
        <v>Yes</v>
      </c>
      <c r="AN77">
        <f>1 + COUNTIF($V$2:V76,"main")</f>
        <v>22</v>
      </c>
      <c r="AO77" t="str">
        <f t="shared" si="11"/>
        <v/>
      </c>
      <c r="AP77">
        <f t="shared" si="12"/>
        <v>1</v>
      </c>
      <c r="AQ77">
        <f>IF(AP78=0,"",COUNTIFS($AN$2:$AN78,$AN78,$AP$2:$AP78,1))</f>
        <v>1</v>
      </c>
      <c r="AR77">
        <v>0</v>
      </c>
      <c r="AS77" t="s">
        <v>460</v>
      </c>
      <c r="AT77" t="s">
        <v>462</v>
      </c>
      <c r="AU77">
        <f t="shared" si="14"/>
        <v>0</v>
      </c>
      <c r="AV77">
        <f t="shared" si="15"/>
        <v>0</v>
      </c>
    </row>
    <row r="78" spans="1:48">
      <c r="A78" s="28" t="s">
        <v>103</v>
      </c>
      <c r="B78" s="11" t="s">
        <v>217</v>
      </c>
      <c r="C78" s="110" t="s">
        <v>301</v>
      </c>
      <c r="D78" s="12" t="s">
        <v>402</v>
      </c>
      <c r="E78" s="12" t="s">
        <v>1056</v>
      </c>
      <c r="F78" s="12" t="s">
        <v>448</v>
      </c>
      <c r="G78" s="74" t="s">
        <v>434</v>
      </c>
      <c r="H78" s="12" t="s">
        <v>441</v>
      </c>
      <c r="I78" s="12" t="s">
        <v>452</v>
      </c>
      <c r="J78" s="12" t="s">
        <v>454</v>
      </c>
      <c r="K78" s="12">
        <v>1</v>
      </c>
      <c r="L78" s="13">
        <v>1</v>
      </c>
      <c r="M78" s="13" t="s">
        <v>458</v>
      </c>
      <c r="N78" s="13">
        <v>1</v>
      </c>
      <c r="O78" s="14" t="s">
        <v>460</v>
      </c>
      <c r="P78" s="14">
        <v>3</v>
      </c>
      <c r="Q78" s="14" t="s">
        <v>462</v>
      </c>
      <c r="R78" s="14" t="s">
        <v>484</v>
      </c>
      <c r="S78" s="15">
        <v>0</v>
      </c>
      <c r="T78" s="15">
        <v>0</v>
      </c>
      <c r="U78" s="16" t="s">
        <v>484</v>
      </c>
      <c r="V78" s="16" t="s">
        <v>467</v>
      </c>
      <c r="W78" s="17">
        <v>0</v>
      </c>
      <c r="X78" s="17">
        <v>0</v>
      </c>
      <c r="Y78" s="17" t="s">
        <v>484</v>
      </c>
      <c r="Z78" s="17" t="s">
        <v>484</v>
      </c>
      <c r="AA78" s="31">
        <v>0</v>
      </c>
      <c r="AB78" s="18" t="s">
        <v>473</v>
      </c>
      <c r="AC78" s="156" t="s">
        <v>467</v>
      </c>
      <c r="AD78" s="125" t="str">
        <f t="shared" si="9"/>
        <v/>
      </c>
      <c r="AE78" s="160" t="s">
        <v>505</v>
      </c>
      <c r="AF78" t="s">
        <v>505</v>
      </c>
      <c r="AG78" s="18" t="s">
        <v>525</v>
      </c>
      <c r="AH78" s="18" t="s">
        <v>485</v>
      </c>
      <c r="AI78" s="132" t="s">
        <v>478</v>
      </c>
      <c r="AK78" s="77">
        <f t="shared" si="8"/>
        <v>1</v>
      </c>
      <c r="AL78" t="str">
        <f t="shared" si="10"/>
        <v>non-LVC</v>
      </c>
      <c r="AM78" s="105" t="str" cm="1">
        <f t="array" ref="AM78">IF(OR(O78:O235="zero_recoverable", "zero_exalt", "zero_other", "zero_uncertain"),
   "Yes","No")</f>
        <v>Yes</v>
      </c>
      <c r="AN78">
        <f>1 + COUNTIF($V$2:V77,"main")</f>
        <v>23</v>
      </c>
      <c r="AO78" t="str">
        <f t="shared" si="11"/>
        <v/>
      </c>
      <c r="AP78">
        <f t="shared" si="12"/>
        <v>1</v>
      </c>
      <c r="AQ78">
        <f>IF(AP79=0,"",COUNTIFS($AN$2:$AN79,$AN79,$AP$2:$AP79,1))</f>
        <v>1</v>
      </c>
      <c r="AR78">
        <v>0</v>
      </c>
      <c r="AS78" t="s">
        <v>460</v>
      </c>
      <c r="AT78" t="s">
        <v>526</v>
      </c>
      <c r="AU78">
        <f t="shared" si="14"/>
        <v>0</v>
      </c>
      <c r="AV78">
        <f t="shared" si="15"/>
        <v>1</v>
      </c>
    </row>
    <row r="79" spans="1:48">
      <c r="A79" s="28" t="s">
        <v>104</v>
      </c>
      <c r="B79" s="11" t="s">
        <v>1087</v>
      </c>
      <c r="C79" s="110" t="s">
        <v>302</v>
      </c>
      <c r="D79" s="12" t="s">
        <v>403</v>
      </c>
      <c r="E79" s="12" t="s">
        <v>1056</v>
      </c>
      <c r="F79" s="12" t="s">
        <v>446</v>
      </c>
      <c r="G79" s="74" t="s">
        <v>434</v>
      </c>
      <c r="H79" s="12" t="s">
        <v>441</v>
      </c>
      <c r="I79" s="12" t="s">
        <v>452</v>
      </c>
      <c r="J79" s="12" t="s">
        <v>454</v>
      </c>
      <c r="K79" s="12">
        <v>1</v>
      </c>
      <c r="L79" s="13">
        <v>0</v>
      </c>
      <c r="M79" s="13" t="s">
        <v>484</v>
      </c>
      <c r="N79" s="13">
        <v>0</v>
      </c>
      <c r="O79" s="14" t="s">
        <v>460</v>
      </c>
      <c r="P79" s="14">
        <v>3</v>
      </c>
      <c r="Q79" s="14" t="s">
        <v>526</v>
      </c>
      <c r="R79" s="14" t="s">
        <v>484</v>
      </c>
      <c r="S79" s="15">
        <v>0</v>
      </c>
      <c r="T79" s="15">
        <v>1</v>
      </c>
      <c r="U79" s="16" t="s">
        <v>464</v>
      </c>
      <c r="V79" s="16" t="s">
        <v>493</v>
      </c>
      <c r="W79" s="17">
        <v>0</v>
      </c>
      <c r="X79" s="17">
        <v>0</v>
      </c>
      <c r="Y79" s="17" t="s">
        <v>484</v>
      </c>
      <c r="Z79" s="17" t="s">
        <v>484</v>
      </c>
      <c r="AA79" s="31">
        <v>0</v>
      </c>
      <c r="AB79" s="18" t="s">
        <v>472</v>
      </c>
      <c r="AC79" s="156" t="s">
        <v>467</v>
      </c>
      <c r="AD79" s="125" t="str">
        <f t="shared" si="9"/>
        <v/>
      </c>
      <c r="AE79" s="160" t="s">
        <v>505</v>
      </c>
      <c r="AF79" t="s">
        <v>507</v>
      </c>
      <c r="AG79" s="18" t="s">
        <v>525</v>
      </c>
      <c r="AH79" s="18" t="s">
        <v>474</v>
      </c>
      <c r="AI79" s="132"/>
      <c r="AK79" s="77">
        <f t="shared" si="8"/>
        <v>0</v>
      </c>
      <c r="AL79" t="str">
        <f t="shared" si="10"/>
        <v>non-LVC</v>
      </c>
      <c r="AM79" s="105" t="str" cm="1">
        <f t="array" ref="AM79">IF(OR(O79:O236="zero_recoverable", "zero_exalt", "zero_other", "zero_uncertain"),
   "Yes","No")</f>
        <v>Yes</v>
      </c>
      <c r="AN79">
        <f>1 + COUNTIF($V$2:V78,"main")</f>
        <v>24</v>
      </c>
      <c r="AO79" t="str">
        <f t="shared" si="11"/>
        <v>relative</v>
      </c>
      <c r="AP79">
        <f t="shared" si="12"/>
        <v>1</v>
      </c>
      <c r="AQ79" t="str">
        <f>IF(AP80=0,"",COUNTIFS($AN$2:$AN80,$AN80,$AP$2:$AP80,1))</f>
        <v/>
      </c>
      <c r="AR79">
        <v>0</v>
      </c>
      <c r="AS79" t="s">
        <v>526</v>
      </c>
      <c r="AT79" t="s">
        <v>484</v>
      </c>
      <c r="AU79">
        <f t="shared" si="14"/>
        <v>0</v>
      </c>
      <c r="AV79">
        <f t="shared" si="15"/>
        <v>0</v>
      </c>
    </row>
    <row r="80" spans="1:48">
      <c r="A80" s="28" t="s">
        <v>105</v>
      </c>
      <c r="B80" s="11" t="s">
        <v>1086</v>
      </c>
      <c r="C80" s="110" t="s">
        <v>303</v>
      </c>
      <c r="D80" s="12" t="s">
        <v>404</v>
      </c>
      <c r="E80" s="12" t="s">
        <v>715</v>
      </c>
      <c r="F80" s="12" t="s">
        <v>446</v>
      </c>
      <c r="G80" s="74" t="s">
        <v>434</v>
      </c>
      <c r="H80" s="12" t="s">
        <v>442</v>
      </c>
      <c r="I80" s="12" t="s">
        <v>452</v>
      </c>
      <c r="J80" s="12" t="s">
        <v>454</v>
      </c>
      <c r="K80" s="12">
        <v>1</v>
      </c>
      <c r="L80" s="13">
        <v>0</v>
      </c>
      <c r="M80" s="13" t="s">
        <v>484</v>
      </c>
      <c r="N80" s="13">
        <v>2</v>
      </c>
      <c r="O80" s="14" t="s">
        <v>526</v>
      </c>
      <c r="P80" s="14">
        <v>3</v>
      </c>
      <c r="Q80" s="14" t="s">
        <v>484</v>
      </c>
      <c r="R80" s="14" t="s">
        <v>484</v>
      </c>
      <c r="S80" s="15">
        <v>1</v>
      </c>
      <c r="T80" s="15">
        <v>0</v>
      </c>
      <c r="U80" s="16" t="s">
        <v>464</v>
      </c>
      <c r="V80" s="16" t="s">
        <v>466</v>
      </c>
      <c r="W80" s="17">
        <v>0</v>
      </c>
      <c r="X80" s="17">
        <v>0</v>
      </c>
      <c r="Y80" s="17" t="s">
        <v>484</v>
      </c>
      <c r="Z80" s="17" t="s">
        <v>484</v>
      </c>
      <c r="AA80" s="31">
        <v>0</v>
      </c>
      <c r="AB80" s="18" t="s">
        <v>439</v>
      </c>
      <c r="AC80" s="156" t="s">
        <v>493</v>
      </c>
      <c r="AD80" s="125" t="str">
        <f t="shared" si="9"/>
        <v/>
      </c>
      <c r="AE80" s="160" t="s">
        <v>507</v>
      </c>
      <c r="AF80" t="s">
        <v>505</v>
      </c>
      <c r="AG80" s="18" t="s">
        <v>525</v>
      </c>
      <c r="AH80" s="18" t="s">
        <v>474</v>
      </c>
      <c r="AI80" s="132"/>
      <c r="AK80" s="77">
        <f t="shared" si="8"/>
        <v>0</v>
      </c>
      <c r="AL80" t="str">
        <f t="shared" si="10"/>
        <v>non-LVC</v>
      </c>
      <c r="AM80" s="105" t="str" cm="1">
        <f t="array" ref="AM80">IF(OR(O80:O237="zero_recoverable", "zero_exalt", "zero_other", "zero_uncertain"),
   "Yes","No")</f>
        <v>Yes</v>
      </c>
      <c r="AN80">
        <f>1 + COUNTIF($V$2:V79,"main")</f>
        <v>24</v>
      </c>
      <c r="AO80" t="str">
        <f t="shared" si="11"/>
        <v>subordinate</v>
      </c>
      <c r="AP80">
        <f t="shared" si="12"/>
        <v>0</v>
      </c>
      <c r="AQ80">
        <f>IF(AP81=0,"",COUNTIFS($AN$2:$AN81,$AN81,$AP$2:$AP81,1))</f>
        <v>2</v>
      </c>
      <c r="AR80">
        <f t="shared" si="13"/>
        <v>0</v>
      </c>
      <c r="AS80" t="s">
        <v>526</v>
      </c>
      <c r="AT80" t="s">
        <v>484</v>
      </c>
      <c r="AU80">
        <f t="shared" si="14"/>
        <v>0</v>
      </c>
      <c r="AV80">
        <f t="shared" si="15"/>
        <v>0</v>
      </c>
    </row>
    <row r="81" spans="1:48">
      <c r="A81" s="28" t="s">
        <v>106</v>
      </c>
      <c r="B81" s="11" t="s">
        <v>560</v>
      </c>
      <c r="C81" s="110" t="s">
        <v>304</v>
      </c>
      <c r="D81" s="12" t="s">
        <v>561</v>
      </c>
      <c r="E81" s="12" t="s">
        <v>1056</v>
      </c>
      <c r="F81" s="12" t="s">
        <v>446</v>
      </c>
      <c r="G81" s="74" t="s">
        <v>436</v>
      </c>
      <c r="H81" s="12" t="s">
        <v>442</v>
      </c>
      <c r="I81" s="12" t="s">
        <v>452</v>
      </c>
      <c r="J81" s="12" t="s">
        <v>454</v>
      </c>
      <c r="K81" s="12">
        <v>1</v>
      </c>
      <c r="L81" s="13">
        <v>0</v>
      </c>
      <c r="M81" s="13" t="s">
        <v>484</v>
      </c>
      <c r="N81" s="13">
        <v>0</v>
      </c>
      <c r="O81" s="14" t="s">
        <v>526</v>
      </c>
      <c r="P81" s="14">
        <v>3</v>
      </c>
      <c r="Q81" s="14" t="s">
        <v>484</v>
      </c>
      <c r="R81" s="14" t="s">
        <v>484</v>
      </c>
      <c r="S81" s="15">
        <v>0</v>
      </c>
      <c r="T81" s="15">
        <v>0</v>
      </c>
      <c r="U81" s="16" t="s">
        <v>464</v>
      </c>
      <c r="V81" s="16" t="s">
        <v>493</v>
      </c>
      <c r="W81" s="17">
        <v>0</v>
      </c>
      <c r="X81" s="17">
        <v>0</v>
      </c>
      <c r="Y81" s="17" t="s">
        <v>484</v>
      </c>
      <c r="Z81" s="17" t="s">
        <v>484</v>
      </c>
      <c r="AA81" s="31">
        <v>0</v>
      </c>
      <c r="AB81" s="18" t="s">
        <v>469</v>
      </c>
      <c r="AC81" s="156" t="s">
        <v>466</v>
      </c>
      <c r="AD81" s="125" t="str">
        <f t="shared" si="9"/>
        <v/>
      </c>
      <c r="AE81" s="160" t="s">
        <v>505</v>
      </c>
      <c r="AF81" t="s">
        <v>507</v>
      </c>
      <c r="AG81" s="18" t="s">
        <v>525</v>
      </c>
      <c r="AH81" s="18" t="s">
        <v>474</v>
      </c>
      <c r="AI81" s="132"/>
      <c r="AK81" s="77">
        <f t="shared" si="8"/>
        <v>0</v>
      </c>
      <c r="AL81" t="str">
        <f t="shared" si="10"/>
        <v>non-LVC</v>
      </c>
      <c r="AM81" s="105" t="str" cm="1">
        <f t="array" ref="AM81">IF(OR(O81:O238="zero_recoverable", "zero_exalt", "zero_other", "zero_uncertain"),
   "Yes","No")</f>
        <v>Yes</v>
      </c>
      <c r="AN81">
        <f>1 + COUNTIF($V$2:V80,"main")</f>
        <v>24</v>
      </c>
      <c r="AO81" t="str">
        <f t="shared" si="11"/>
        <v/>
      </c>
      <c r="AP81">
        <f t="shared" si="12"/>
        <v>1</v>
      </c>
      <c r="AQ81">
        <f>IF(AP82=0,"",COUNTIFS($AN$2:$AN82,$AN82,$AP$2:$AP82,1))</f>
        <v>3</v>
      </c>
      <c r="AR81">
        <f t="shared" si="13"/>
        <v>0</v>
      </c>
      <c r="AS81" t="s">
        <v>462</v>
      </c>
      <c r="AT81" t="s">
        <v>484</v>
      </c>
      <c r="AU81">
        <f t="shared" si="14"/>
        <v>0</v>
      </c>
      <c r="AV81">
        <f t="shared" si="15"/>
        <v>0</v>
      </c>
    </row>
    <row r="82" spans="1:48">
      <c r="A82" s="28" t="s">
        <v>107</v>
      </c>
      <c r="B82" s="11" t="s">
        <v>218</v>
      </c>
      <c r="C82" s="110" t="s">
        <v>305</v>
      </c>
      <c r="D82" s="12" t="s">
        <v>406</v>
      </c>
      <c r="E82" s="12" t="s">
        <v>1056</v>
      </c>
      <c r="F82" s="12" t="s">
        <v>446</v>
      </c>
      <c r="G82" s="74" t="s">
        <v>437</v>
      </c>
      <c r="H82" s="12" t="s">
        <v>442</v>
      </c>
      <c r="I82" s="12" t="s">
        <v>452</v>
      </c>
      <c r="J82" s="12" t="s">
        <v>455</v>
      </c>
      <c r="K82" s="12">
        <v>1</v>
      </c>
      <c r="L82" s="13">
        <v>1</v>
      </c>
      <c r="M82" s="13" t="s">
        <v>457</v>
      </c>
      <c r="N82" s="13">
        <v>0</v>
      </c>
      <c r="O82" s="14" t="s">
        <v>462</v>
      </c>
      <c r="P82" s="14">
        <v>3</v>
      </c>
      <c r="Q82" s="14" t="s">
        <v>484</v>
      </c>
      <c r="R82" s="14" t="s">
        <v>484</v>
      </c>
      <c r="S82" s="15">
        <v>0</v>
      </c>
      <c r="T82" s="15">
        <v>0</v>
      </c>
      <c r="U82" s="16" t="s">
        <v>484</v>
      </c>
      <c r="V82" s="16" t="s">
        <v>467</v>
      </c>
      <c r="W82" s="17">
        <v>0</v>
      </c>
      <c r="X82" s="17">
        <v>0</v>
      </c>
      <c r="Y82" s="17" t="s">
        <v>484</v>
      </c>
      <c r="Z82" s="17" t="s">
        <v>484</v>
      </c>
      <c r="AA82" s="31">
        <v>0</v>
      </c>
      <c r="AB82" s="18" t="s">
        <v>439</v>
      </c>
      <c r="AC82" s="156" t="s">
        <v>493</v>
      </c>
      <c r="AD82" s="125" t="str">
        <f t="shared" si="9"/>
        <v/>
      </c>
      <c r="AE82" s="160" t="s">
        <v>507</v>
      </c>
      <c r="AF82" t="s">
        <v>507</v>
      </c>
      <c r="AG82" s="18" t="s">
        <v>525</v>
      </c>
      <c r="AH82" s="18" t="s">
        <v>485</v>
      </c>
      <c r="AI82" s="132" t="s">
        <v>479</v>
      </c>
      <c r="AK82" s="77">
        <f t="shared" si="8"/>
        <v>1</v>
      </c>
      <c r="AL82" t="str">
        <f t="shared" si="10"/>
        <v>non-LVC</v>
      </c>
      <c r="AM82" s="105" t="str" cm="1">
        <f t="array" ref="AM82">IF(OR(O82:O239="zero_recoverable", "zero_exalt", "zero_other", "zero_uncertain"),
   "Yes","No")</f>
        <v>Yes</v>
      </c>
      <c r="AN82">
        <f>1 + COUNTIF($V$2:V81,"main")</f>
        <v>24</v>
      </c>
      <c r="AO82" t="str">
        <f t="shared" si="11"/>
        <v>subordinate</v>
      </c>
      <c r="AP82">
        <f t="shared" si="12"/>
        <v>1</v>
      </c>
      <c r="AQ82">
        <f>IF(AP83=0,"",COUNTIFS($AN$2:$AN83,$AN83,$AP$2:$AP83,1))</f>
        <v>1</v>
      </c>
      <c r="AR82">
        <v>0</v>
      </c>
      <c r="AS82" t="s">
        <v>461</v>
      </c>
      <c r="AT82" t="s">
        <v>462</v>
      </c>
      <c r="AU82">
        <f t="shared" si="14"/>
        <v>1</v>
      </c>
      <c r="AV82">
        <f t="shared" si="15"/>
        <v>0</v>
      </c>
    </row>
    <row r="83" spans="1:48">
      <c r="A83" s="28" t="s">
        <v>108</v>
      </c>
      <c r="B83" s="11" t="s">
        <v>219</v>
      </c>
      <c r="C83" s="110" t="s">
        <v>306</v>
      </c>
      <c r="D83" s="12" t="s">
        <v>407</v>
      </c>
      <c r="E83" s="12" t="s">
        <v>1056</v>
      </c>
      <c r="F83" s="12" t="s">
        <v>446</v>
      </c>
      <c r="G83" s="74" t="s">
        <v>1069</v>
      </c>
      <c r="H83" s="12" t="s">
        <v>441</v>
      </c>
      <c r="I83" s="12" t="s">
        <v>452</v>
      </c>
      <c r="J83" s="12" t="s">
        <v>454</v>
      </c>
      <c r="K83" s="12">
        <v>1</v>
      </c>
      <c r="L83" s="13">
        <v>1</v>
      </c>
      <c r="M83" s="13" t="s">
        <v>465</v>
      </c>
      <c r="N83" s="13">
        <v>2</v>
      </c>
      <c r="O83" s="14" t="s">
        <v>461</v>
      </c>
      <c r="P83" s="14">
        <v>3</v>
      </c>
      <c r="Q83" s="14" t="s">
        <v>462</v>
      </c>
      <c r="R83" s="14" t="s">
        <v>484</v>
      </c>
      <c r="S83" s="15">
        <v>0</v>
      </c>
      <c r="T83" s="15">
        <v>0</v>
      </c>
      <c r="U83" s="16" t="s">
        <v>464</v>
      </c>
      <c r="V83" s="16" t="s">
        <v>493</v>
      </c>
      <c r="W83" s="17">
        <v>0</v>
      </c>
      <c r="X83" s="17">
        <v>1</v>
      </c>
      <c r="Y83" s="17" t="s">
        <v>521</v>
      </c>
      <c r="Z83" s="17" t="s">
        <v>514</v>
      </c>
      <c r="AA83" s="31">
        <v>0</v>
      </c>
      <c r="AB83" s="18" t="s">
        <v>473</v>
      </c>
      <c r="AC83" s="156" t="s">
        <v>467</v>
      </c>
      <c r="AD83" s="125" t="str">
        <f t="shared" si="9"/>
        <v/>
      </c>
      <c r="AE83" s="160" t="s">
        <v>507</v>
      </c>
      <c r="AF83" t="s">
        <v>507</v>
      </c>
      <c r="AG83" s="18" t="s">
        <v>506</v>
      </c>
      <c r="AH83" s="18" t="s">
        <v>485</v>
      </c>
      <c r="AI83" s="132" t="s">
        <v>480</v>
      </c>
      <c r="AK83" s="77">
        <f t="shared" si="8"/>
        <v>1</v>
      </c>
      <c r="AL83" t="str">
        <f t="shared" si="10"/>
        <v>non-LVC</v>
      </c>
      <c r="AM83" s="105" t="str" cm="1">
        <f t="array" ref="AM83">IF(OR(O83:O240="zero_recoverable", "zero_exalt", "zero_other", "zero_uncertain"),
   "Yes","No")</f>
        <v>Yes</v>
      </c>
      <c r="AN83">
        <f>1 + COUNTIF($V$2:V82,"main")</f>
        <v>25</v>
      </c>
      <c r="AO83" t="str">
        <f t="shared" si="11"/>
        <v>main</v>
      </c>
      <c r="AP83">
        <f t="shared" si="12"/>
        <v>1</v>
      </c>
      <c r="AQ83">
        <f>IF(AP84=0,"",COUNTIFS($AN$2:$AN84,$AN84,$AP$2:$AP84,1))</f>
        <v>2</v>
      </c>
      <c r="AR83">
        <v>1</v>
      </c>
      <c r="AS83" t="s">
        <v>462</v>
      </c>
      <c r="AT83" t="s">
        <v>484</v>
      </c>
      <c r="AU83">
        <f t="shared" si="14"/>
        <v>0</v>
      </c>
      <c r="AV83">
        <f t="shared" si="15"/>
        <v>0</v>
      </c>
    </row>
    <row r="84" spans="1:48">
      <c r="A84" s="28" t="s">
        <v>109</v>
      </c>
      <c r="B84" s="11" t="s">
        <v>220</v>
      </c>
      <c r="C84" s="110" t="s">
        <v>307</v>
      </c>
      <c r="D84" s="12" t="s">
        <v>408</v>
      </c>
      <c r="E84" s="12" t="s">
        <v>1056</v>
      </c>
      <c r="F84" s="12" t="s">
        <v>445</v>
      </c>
      <c r="G84" s="74" t="s">
        <v>437</v>
      </c>
      <c r="H84" s="12" t="s">
        <v>442</v>
      </c>
      <c r="I84" s="12" t="s">
        <v>452</v>
      </c>
      <c r="J84" s="12" t="s">
        <v>454</v>
      </c>
      <c r="K84" s="12">
        <v>1</v>
      </c>
      <c r="L84" s="13">
        <v>1</v>
      </c>
      <c r="M84" s="13" t="s">
        <v>457</v>
      </c>
      <c r="N84" s="13">
        <v>1</v>
      </c>
      <c r="O84" s="14" t="s">
        <v>462</v>
      </c>
      <c r="P84" s="14">
        <v>3</v>
      </c>
      <c r="Q84" s="14" t="s">
        <v>484</v>
      </c>
      <c r="R84" s="14" t="s">
        <v>484</v>
      </c>
      <c r="S84" s="15">
        <v>0</v>
      </c>
      <c r="T84" s="15">
        <v>0</v>
      </c>
      <c r="U84" s="16" t="s">
        <v>484</v>
      </c>
      <c r="V84" s="16" t="s">
        <v>467</v>
      </c>
      <c r="W84" s="17">
        <v>0</v>
      </c>
      <c r="X84" s="17">
        <v>0</v>
      </c>
      <c r="Y84" s="17" t="s">
        <v>484</v>
      </c>
      <c r="Z84" s="17" t="s">
        <v>484</v>
      </c>
      <c r="AA84" s="31">
        <v>0</v>
      </c>
      <c r="AB84" s="18" t="s">
        <v>439</v>
      </c>
      <c r="AC84" s="156" t="s">
        <v>493</v>
      </c>
      <c r="AD84" s="125" t="str">
        <f t="shared" si="9"/>
        <v/>
      </c>
      <c r="AE84" s="160" t="s">
        <v>507</v>
      </c>
      <c r="AF84" t="s">
        <v>507</v>
      </c>
      <c r="AG84" s="18" t="s">
        <v>486</v>
      </c>
      <c r="AH84" s="18" t="s">
        <v>485</v>
      </c>
      <c r="AI84" s="132" t="s">
        <v>1074</v>
      </c>
      <c r="AK84" s="77">
        <f t="shared" si="8"/>
        <v>1</v>
      </c>
      <c r="AL84" t="str">
        <f t="shared" si="10"/>
        <v>non-LVC</v>
      </c>
      <c r="AM84" s="105" t="str" cm="1">
        <f t="array" ref="AM84">IF(OR(O84:O241="zero_recoverable", "zero_exalt", "zero_other", "zero_uncertain"),
   "Yes","No")</f>
        <v>Yes</v>
      </c>
      <c r="AN84">
        <f>1 + COUNTIF($V$2:V83,"main")</f>
        <v>25</v>
      </c>
      <c r="AO84" t="str">
        <f t="shared" si="11"/>
        <v>subordinate</v>
      </c>
      <c r="AP84">
        <f t="shared" si="12"/>
        <v>1</v>
      </c>
      <c r="AQ84">
        <f>IF(AP85=0,"",COUNTIFS($AN$2:$AN85,$AN85,$AP$2:$AP85,1))</f>
        <v>1</v>
      </c>
      <c r="AR84">
        <v>0</v>
      </c>
      <c r="AS84" t="s">
        <v>462</v>
      </c>
      <c r="AT84" t="s">
        <v>484</v>
      </c>
      <c r="AU84">
        <f t="shared" si="14"/>
        <v>0</v>
      </c>
      <c r="AV84">
        <f t="shared" si="15"/>
        <v>0</v>
      </c>
    </row>
    <row r="85" spans="1:48">
      <c r="A85" s="28" t="s">
        <v>110</v>
      </c>
      <c r="B85" s="11" t="s">
        <v>221</v>
      </c>
      <c r="C85" s="110" t="s">
        <v>308</v>
      </c>
      <c r="D85" s="12" t="s">
        <v>409</v>
      </c>
      <c r="E85" s="12" t="s">
        <v>1056</v>
      </c>
      <c r="F85" s="12" t="s">
        <v>446</v>
      </c>
      <c r="G85" s="74" t="s">
        <v>438</v>
      </c>
      <c r="H85" s="12" t="s">
        <v>442</v>
      </c>
      <c r="I85" s="12" t="s">
        <v>452</v>
      </c>
      <c r="J85" s="12" t="s">
        <v>454</v>
      </c>
      <c r="K85" s="12">
        <v>1</v>
      </c>
      <c r="L85" s="13">
        <v>1</v>
      </c>
      <c r="M85" s="13" t="s">
        <v>457</v>
      </c>
      <c r="N85" s="13">
        <v>1</v>
      </c>
      <c r="O85" s="14" t="s">
        <v>462</v>
      </c>
      <c r="P85" s="14">
        <v>3</v>
      </c>
      <c r="Q85" s="14" t="s">
        <v>484</v>
      </c>
      <c r="R85" s="14" t="s">
        <v>484</v>
      </c>
      <c r="S85" s="15">
        <v>0</v>
      </c>
      <c r="T85" s="15">
        <v>0</v>
      </c>
      <c r="U85" s="16" t="s">
        <v>484</v>
      </c>
      <c r="V85" s="16" t="s">
        <v>493</v>
      </c>
      <c r="W85" s="17">
        <v>0</v>
      </c>
      <c r="X85" s="17">
        <v>0</v>
      </c>
      <c r="Y85" s="17" t="s">
        <v>484</v>
      </c>
      <c r="Z85" s="17" t="s">
        <v>484</v>
      </c>
      <c r="AA85" s="31">
        <v>0</v>
      </c>
      <c r="AB85" s="18" t="s">
        <v>508</v>
      </c>
      <c r="AC85" s="156" t="s">
        <v>467</v>
      </c>
      <c r="AD85" s="125" t="str">
        <f t="shared" si="9"/>
        <v/>
      </c>
      <c r="AE85" s="160" t="s">
        <v>507</v>
      </c>
      <c r="AF85" t="s">
        <v>507</v>
      </c>
      <c r="AG85" s="18" t="s">
        <v>525</v>
      </c>
      <c r="AH85" s="18" t="s">
        <v>485</v>
      </c>
      <c r="AI85" s="132" t="s">
        <v>481</v>
      </c>
      <c r="AK85" s="77">
        <f t="shared" si="8"/>
        <v>1</v>
      </c>
      <c r="AL85" t="str">
        <f t="shared" si="10"/>
        <v>non-LVC</v>
      </c>
      <c r="AM85" s="105" t="str" cm="1">
        <f t="array" ref="AM85">IF(OR(O85:O242="zero_recoverable", "zero_exalt", "zero_other", "zero_uncertain"),
   "Yes","No")</f>
        <v>Yes</v>
      </c>
      <c r="AN85">
        <f>1 + COUNTIF($V$2:V84,"main")</f>
        <v>26</v>
      </c>
      <c r="AO85" t="str">
        <f t="shared" si="11"/>
        <v>main</v>
      </c>
      <c r="AP85">
        <f t="shared" si="12"/>
        <v>1</v>
      </c>
      <c r="AQ85">
        <f>IF(AP86=0,"",COUNTIFS($AN$2:$AN86,$AN86,$AP$2:$AP86,1))</f>
        <v>2</v>
      </c>
      <c r="AR85">
        <f t="shared" si="13"/>
        <v>0</v>
      </c>
      <c r="AS85" t="s">
        <v>462</v>
      </c>
      <c r="AT85" t="s">
        <v>462</v>
      </c>
      <c r="AU85">
        <f t="shared" si="14"/>
        <v>0</v>
      </c>
      <c r="AV85">
        <f t="shared" si="15"/>
        <v>0</v>
      </c>
    </row>
    <row r="86" spans="1:48">
      <c r="A86" s="28" t="s">
        <v>111</v>
      </c>
      <c r="B86" s="11" t="s">
        <v>222</v>
      </c>
      <c r="C86" s="110" t="s">
        <v>309</v>
      </c>
      <c r="D86" s="12" t="s">
        <v>372</v>
      </c>
      <c r="E86" s="12" t="s">
        <v>1056</v>
      </c>
      <c r="F86" s="12" t="s">
        <v>550</v>
      </c>
      <c r="G86" s="74" t="s">
        <v>434</v>
      </c>
      <c r="H86" s="12" t="s">
        <v>441</v>
      </c>
      <c r="I86" s="12" t="s">
        <v>452</v>
      </c>
      <c r="J86" s="12" t="s">
        <v>454</v>
      </c>
      <c r="K86" s="12">
        <v>1</v>
      </c>
      <c r="L86" s="13">
        <v>2</v>
      </c>
      <c r="M86" s="13" t="s">
        <v>459</v>
      </c>
      <c r="N86" s="13">
        <v>0</v>
      </c>
      <c r="O86" s="14" t="s">
        <v>462</v>
      </c>
      <c r="P86" s="14">
        <v>3</v>
      </c>
      <c r="Q86" s="14" t="s">
        <v>462</v>
      </c>
      <c r="R86" s="14" t="s">
        <v>484</v>
      </c>
      <c r="S86" s="15">
        <v>0</v>
      </c>
      <c r="T86" s="15">
        <v>0</v>
      </c>
      <c r="U86" s="16" t="s">
        <v>484</v>
      </c>
      <c r="V86" s="16" t="s">
        <v>467</v>
      </c>
      <c r="W86" s="17">
        <v>1</v>
      </c>
      <c r="X86" s="17">
        <v>0</v>
      </c>
      <c r="Y86" s="17" t="s">
        <v>484</v>
      </c>
      <c r="Z86" s="17" t="s">
        <v>513</v>
      </c>
      <c r="AA86" s="31">
        <v>0</v>
      </c>
      <c r="AB86" s="18" t="s">
        <v>439</v>
      </c>
      <c r="AC86" s="156" t="s">
        <v>493</v>
      </c>
      <c r="AD86" s="125" t="str">
        <f t="shared" si="9"/>
        <v/>
      </c>
      <c r="AE86" s="160" t="s">
        <v>507</v>
      </c>
      <c r="AF86" t="s">
        <v>505</v>
      </c>
      <c r="AG86" s="18" t="s">
        <v>525</v>
      </c>
      <c r="AH86" s="18" t="s">
        <v>485</v>
      </c>
      <c r="AI86" s="132" t="s">
        <v>482</v>
      </c>
      <c r="AK86" s="77">
        <f t="shared" si="8"/>
        <v>2</v>
      </c>
      <c r="AL86" t="str">
        <f t="shared" si="10"/>
        <v>non-LVC</v>
      </c>
      <c r="AM86" s="105" t="str" cm="1">
        <f t="array" ref="AM86">IF(OR(O86:O243="zero_recoverable", "zero_exalt", "zero_other", "zero_uncertain"),
   "Yes","No")</f>
        <v>Yes</v>
      </c>
      <c r="AN86">
        <f>1 + COUNTIF($V$2:V85,"main")</f>
        <v>26</v>
      </c>
      <c r="AO86" t="str">
        <f t="shared" si="11"/>
        <v/>
      </c>
      <c r="AP86">
        <f t="shared" si="12"/>
        <v>1</v>
      </c>
      <c r="AQ86">
        <f>IF(AP87=0,"",COUNTIFS($AN$2:$AN87,$AN87,$AP$2:$AP87,1))</f>
        <v>1</v>
      </c>
      <c r="AR86">
        <v>0</v>
      </c>
      <c r="AS86" t="s">
        <v>462</v>
      </c>
      <c r="AT86" t="s">
        <v>484</v>
      </c>
      <c r="AU86">
        <f t="shared" si="14"/>
        <v>0</v>
      </c>
      <c r="AV86">
        <f t="shared" si="15"/>
        <v>0</v>
      </c>
    </row>
    <row r="87" spans="1:48">
      <c r="A87" s="28" t="s">
        <v>112</v>
      </c>
      <c r="B87" s="11" t="s">
        <v>563</v>
      </c>
      <c r="C87" s="110" t="s">
        <v>565</v>
      </c>
      <c r="D87" s="12" t="s">
        <v>334</v>
      </c>
      <c r="E87" s="12" t="s">
        <v>1056</v>
      </c>
      <c r="F87" s="12" t="s">
        <v>445</v>
      </c>
      <c r="G87" s="74" t="s">
        <v>436</v>
      </c>
      <c r="H87" s="12" t="s">
        <v>442</v>
      </c>
      <c r="I87" s="12" t="s">
        <v>452</v>
      </c>
      <c r="J87" s="12" t="s">
        <v>454</v>
      </c>
      <c r="K87" s="12">
        <v>1</v>
      </c>
      <c r="L87" s="13">
        <v>1</v>
      </c>
      <c r="M87" s="13" t="s">
        <v>457</v>
      </c>
      <c r="N87" s="13">
        <v>0</v>
      </c>
      <c r="O87" s="14" t="s">
        <v>462</v>
      </c>
      <c r="P87" s="14">
        <v>3</v>
      </c>
      <c r="Q87" s="14" t="s">
        <v>484</v>
      </c>
      <c r="R87" s="14" t="s">
        <v>484</v>
      </c>
      <c r="S87" s="15">
        <v>0</v>
      </c>
      <c r="T87" s="15">
        <v>0</v>
      </c>
      <c r="U87" s="16" t="s">
        <v>464</v>
      </c>
      <c r="V87" s="16" t="s">
        <v>493</v>
      </c>
      <c r="W87" s="17">
        <v>0</v>
      </c>
      <c r="X87" s="17">
        <v>0</v>
      </c>
      <c r="Y87" s="17" t="s">
        <v>484</v>
      </c>
      <c r="Z87" s="17" t="s">
        <v>514</v>
      </c>
      <c r="AA87" s="31">
        <v>0</v>
      </c>
      <c r="AB87" s="18" t="s">
        <v>469</v>
      </c>
      <c r="AC87" s="156" t="s">
        <v>467</v>
      </c>
      <c r="AD87" s="125" t="str">
        <f t="shared" si="9"/>
        <v/>
      </c>
      <c r="AE87" s="160" t="s">
        <v>505</v>
      </c>
      <c r="AF87" t="s">
        <v>505</v>
      </c>
      <c r="AG87" s="18" t="s">
        <v>487</v>
      </c>
      <c r="AH87" s="18" t="s">
        <v>474</v>
      </c>
      <c r="AI87" s="132"/>
      <c r="AK87" s="77">
        <f t="shared" si="8"/>
        <v>1</v>
      </c>
      <c r="AL87" t="str">
        <f t="shared" si="10"/>
        <v>non-LVC</v>
      </c>
      <c r="AM87" s="105" t="str" cm="1">
        <f t="array" ref="AM87">IF(OR(O87:O244="zero_recoverable", "zero_exalt", "zero_other", "zero_uncertain"),
   "Yes","No")</f>
        <v>Yes</v>
      </c>
      <c r="AN87">
        <f>1 + COUNTIF($V$2:V86,"main")</f>
        <v>27</v>
      </c>
      <c r="AO87" t="str">
        <f t="shared" si="11"/>
        <v>subordinate</v>
      </c>
      <c r="AP87">
        <f t="shared" si="12"/>
        <v>1</v>
      </c>
      <c r="AQ87">
        <f>IF(AP88=0,"",COUNTIFS($AN$2:$AN88,$AN88,$AP$2:$AP88,1))</f>
        <v>2</v>
      </c>
      <c r="AR87">
        <f t="shared" si="13"/>
        <v>0</v>
      </c>
      <c r="AS87" t="s">
        <v>461</v>
      </c>
      <c r="AT87" t="s">
        <v>484</v>
      </c>
      <c r="AU87">
        <f t="shared" si="14"/>
        <v>1</v>
      </c>
      <c r="AV87">
        <f t="shared" si="15"/>
        <v>0</v>
      </c>
    </row>
    <row r="88" spans="1:48">
      <c r="A88" s="28" t="s">
        <v>113</v>
      </c>
      <c r="B88" s="11" t="s">
        <v>564</v>
      </c>
      <c r="C88" s="110" t="s">
        <v>566</v>
      </c>
      <c r="D88" s="12" t="s">
        <v>381</v>
      </c>
      <c r="E88" s="12" t="s">
        <v>1056</v>
      </c>
      <c r="F88" s="12" t="s">
        <v>550</v>
      </c>
      <c r="G88" s="74" t="s">
        <v>434</v>
      </c>
      <c r="H88" s="12" t="s">
        <v>442</v>
      </c>
      <c r="I88" s="12" t="s">
        <v>452</v>
      </c>
      <c r="J88" s="12" t="s">
        <v>454</v>
      </c>
      <c r="K88" s="12">
        <v>1</v>
      </c>
      <c r="L88" s="13">
        <v>0</v>
      </c>
      <c r="M88" s="13" t="s">
        <v>484</v>
      </c>
      <c r="N88" s="13">
        <v>0</v>
      </c>
      <c r="O88" s="14" t="s">
        <v>461</v>
      </c>
      <c r="P88" s="14">
        <v>3</v>
      </c>
      <c r="Q88" s="14" t="s">
        <v>484</v>
      </c>
      <c r="R88" s="14" t="s">
        <v>484</v>
      </c>
      <c r="S88" s="15">
        <v>0</v>
      </c>
      <c r="T88" s="15">
        <v>0</v>
      </c>
      <c r="U88" s="16" t="s">
        <v>464</v>
      </c>
      <c r="V88" s="16" t="s">
        <v>493</v>
      </c>
      <c r="W88" s="17">
        <v>0</v>
      </c>
      <c r="X88" s="17">
        <v>1</v>
      </c>
      <c r="Y88" s="17" t="s">
        <v>521</v>
      </c>
      <c r="Z88" s="17" t="s">
        <v>512</v>
      </c>
      <c r="AA88" s="31">
        <v>0</v>
      </c>
      <c r="AB88" s="18" t="s">
        <v>469</v>
      </c>
      <c r="AC88" s="156" t="s">
        <v>493</v>
      </c>
      <c r="AD88" s="125" t="str">
        <f t="shared" si="9"/>
        <v/>
      </c>
      <c r="AE88" s="160" t="s">
        <v>505</v>
      </c>
      <c r="AF88" t="s">
        <v>507</v>
      </c>
      <c r="AG88" s="18" t="s">
        <v>525</v>
      </c>
      <c r="AH88" s="18" t="s">
        <v>474</v>
      </c>
      <c r="AI88" s="132"/>
      <c r="AK88" s="77">
        <f t="shared" si="8"/>
        <v>0</v>
      </c>
      <c r="AL88" t="str">
        <f t="shared" si="10"/>
        <v>non-LVC</v>
      </c>
      <c r="AM88" s="105" t="str" cm="1">
        <f t="array" ref="AM88">IF(OR(O88:O245="zero_recoverable", "zero_exalt", "zero_other", "zero_uncertain"),
   "Yes","No")</f>
        <v>Yes</v>
      </c>
      <c r="AN88">
        <f>1 + COUNTIF($V$2:V87,"main")</f>
        <v>27</v>
      </c>
      <c r="AO88" t="str">
        <f t="shared" si="11"/>
        <v/>
      </c>
      <c r="AP88">
        <f t="shared" si="12"/>
        <v>1</v>
      </c>
      <c r="AQ88">
        <f>IF(AP89=0,"",COUNTIFS($AN$2:$AN89,$AN89,$AP$2:$AP89,1))</f>
        <v>3</v>
      </c>
      <c r="AR88">
        <f t="shared" si="13"/>
        <v>0</v>
      </c>
      <c r="AS88" t="s">
        <v>462</v>
      </c>
      <c r="AT88" t="s">
        <v>462</v>
      </c>
      <c r="AU88">
        <f t="shared" si="14"/>
        <v>0</v>
      </c>
      <c r="AV88">
        <f t="shared" si="15"/>
        <v>0</v>
      </c>
    </row>
    <row r="89" spans="1:48">
      <c r="A89" s="28" t="s">
        <v>114</v>
      </c>
      <c r="B89" s="11" t="s">
        <v>203</v>
      </c>
      <c r="C89" s="110" t="s">
        <v>310</v>
      </c>
      <c r="D89" s="12" t="s">
        <v>382</v>
      </c>
      <c r="E89" s="12" t="s">
        <v>1056</v>
      </c>
      <c r="F89" s="12" t="s">
        <v>446</v>
      </c>
      <c r="G89" s="74" t="s">
        <v>434</v>
      </c>
      <c r="H89" s="12" t="s">
        <v>441</v>
      </c>
      <c r="I89" s="12" t="s">
        <v>452</v>
      </c>
      <c r="J89" s="12" t="s">
        <v>454</v>
      </c>
      <c r="K89" s="12">
        <v>1</v>
      </c>
      <c r="L89" s="13">
        <v>2</v>
      </c>
      <c r="M89" s="13" t="s">
        <v>459</v>
      </c>
      <c r="N89" s="13">
        <v>0</v>
      </c>
      <c r="O89" s="14" t="s">
        <v>462</v>
      </c>
      <c r="P89" s="14">
        <v>3</v>
      </c>
      <c r="Q89" s="14" t="s">
        <v>462</v>
      </c>
      <c r="R89" s="14" t="s">
        <v>484</v>
      </c>
      <c r="S89" s="15">
        <v>0</v>
      </c>
      <c r="T89" s="15">
        <v>0</v>
      </c>
      <c r="U89" s="16" t="s">
        <v>484</v>
      </c>
      <c r="V89" s="16" t="s">
        <v>537</v>
      </c>
      <c r="W89" s="17">
        <v>0</v>
      </c>
      <c r="X89" s="17">
        <v>0</v>
      </c>
      <c r="Y89" s="17" t="s">
        <v>484</v>
      </c>
      <c r="Z89" s="17" t="s">
        <v>484</v>
      </c>
      <c r="AA89" s="31">
        <v>0</v>
      </c>
      <c r="AB89" s="18" t="s">
        <v>470</v>
      </c>
      <c r="AC89" s="156" t="s">
        <v>493</v>
      </c>
      <c r="AD89" s="125" t="s">
        <v>1134</v>
      </c>
      <c r="AE89" s="160" t="s">
        <v>507</v>
      </c>
      <c r="AF89" t="s">
        <v>505</v>
      </c>
      <c r="AG89" s="18" t="s">
        <v>525</v>
      </c>
      <c r="AH89" s="18" t="s">
        <v>485</v>
      </c>
      <c r="AI89" s="132"/>
      <c r="AK89" s="77">
        <f t="shared" si="8"/>
        <v>2</v>
      </c>
      <c r="AL89" t="str">
        <f t="shared" si="10"/>
        <v>non-LVC</v>
      </c>
      <c r="AM89" s="105" t="str" cm="1">
        <f t="array" ref="AM89">IF(OR(O89:O246="zero_recoverable", "zero_exalt", "zero_other", "zero_uncertain"),
   "Yes","No")</f>
        <v>Yes</v>
      </c>
      <c r="AN89">
        <f>1 + COUNTIF($V$2:V88,"main")</f>
        <v>27</v>
      </c>
      <c r="AO89" t="str">
        <f t="shared" si="11"/>
        <v>main</v>
      </c>
      <c r="AP89">
        <f t="shared" si="12"/>
        <v>1</v>
      </c>
      <c r="AQ89">
        <f>IF(AP90=0,"",COUNTIFS($AN$2:$AN90,$AN90,$AP$2:$AP90,1))</f>
        <v>4</v>
      </c>
      <c r="AR89">
        <f t="shared" si="13"/>
        <v>0</v>
      </c>
      <c r="AS89" t="s">
        <v>462</v>
      </c>
      <c r="AT89" t="s">
        <v>484</v>
      </c>
      <c r="AU89">
        <f t="shared" si="14"/>
        <v>0</v>
      </c>
      <c r="AV89">
        <f t="shared" si="15"/>
        <v>0</v>
      </c>
    </row>
    <row r="90" spans="1:48">
      <c r="A90" s="28" t="s">
        <v>115</v>
      </c>
      <c r="B90" s="11" t="s">
        <v>223</v>
      </c>
      <c r="C90" s="110" t="s">
        <v>311</v>
      </c>
      <c r="D90" s="12" t="s">
        <v>410</v>
      </c>
      <c r="E90" s="12" t="s">
        <v>1056</v>
      </c>
      <c r="F90" s="12" t="s">
        <v>446</v>
      </c>
      <c r="G90" s="74" t="s">
        <v>439</v>
      </c>
      <c r="H90" s="12" t="s">
        <v>442</v>
      </c>
      <c r="I90" s="12"/>
      <c r="J90" s="12"/>
      <c r="K90" s="12">
        <v>0</v>
      </c>
      <c r="L90" s="13">
        <v>1</v>
      </c>
      <c r="M90" s="13" t="s">
        <v>457</v>
      </c>
      <c r="N90" s="13">
        <v>0</v>
      </c>
      <c r="O90" s="14" t="s">
        <v>462</v>
      </c>
      <c r="P90" s="14">
        <v>3</v>
      </c>
      <c r="Q90" s="14" t="s">
        <v>484</v>
      </c>
      <c r="R90" s="14" t="s">
        <v>484</v>
      </c>
      <c r="S90" s="15">
        <v>0</v>
      </c>
      <c r="T90" s="15">
        <v>0</v>
      </c>
      <c r="U90" s="16" t="s">
        <v>484</v>
      </c>
      <c r="V90" s="16" t="s">
        <v>467</v>
      </c>
      <c r="W90" s="17">
        <v>0</v>
      </c>
      <c r="X90" s="17">
        <v>0</v>
      </c>
      <c r="Y90" s="17" t="s">
        <v>484</v>
      </c>
      <c r="Z90" s="17" t="s">
        <v>484</v>
      </c>
      <c r="AA90" s="31">
        <v>0</v>
      </c>
      <c r="AB90" s="18" t="s">
        <v>439</v>
      </c>
      <c r="AC90" s="156" t="s">
        <v>537</v>
      </c>
      <c r="AD90" s="125" t="str">
        <f t="shared" si="9"/>
        <v/>
      </c>
      <c r="AE90" s="160" t="s">
        <v>505</v>
      </c>
      <c r="AF90" t="s">
        <v>507</v>
      </c>
      <c r="AG90" s="18" t="s">
        <v>525</v>
      </c>
      <c r="AH90" s="18" t="s">
        <v>485</v>
      </c>
      <c r="AI90" s="132"/>
      <c r="AL90" t="str">
        <f t="shared" si="10"/>
        <v>non-LVC</v>
      </c>
      <c r="AM90" s="105" t="str" cm="1">
        <f t="array" ref="AM90">IF(OR(O90:O247="zero_recoverable", "zero_exalt", "zero_other", "zero_uncertain"),
   "Yes","No")</f>
        <v>Yes</v>
      </c>
      <c r="AN90">
        <f>1 + COUNTIF($V$2:V89,"main")</f>
        <v>27</v>
      </c>
      <c r="AO90" t="str">
        <f t="shared" si="11"/>
        <v>complement</v>
      </c>
      <c r="AP90">
        <f t="shared" si="12"/>
        <v>1</v>
      </c>
      <c r="AQ90">
        <f>IF(AP91=0,"",COUNTIFS($AN$2:$AN91,$AN91,$AP$2:$AP91,1))</f>
        <v>1</v>
      </c>
      <c r="AR90">
        <v>0</v>
      </c>
      <c r="AS90" t="s">
        <v>462</v>
      </c>
      <c r="AT90" t="s">
        <v>462</v>
      </c>
      <c r="AU90">
        <f t="shared" si="14"/>
        <v>0</v>
      </c>
      <c r="AV90">
        <f t="shared" si="15"/>
        <v>0</v>
      </c>
    </row>
    <row r="91" spans="1:48">
      <c r="A91" s="28" t="s">
        <v>116</v>
      </c>
      <c r="B91" s="11" t="s">
        <v>1089</v>
      </c>
      <c r="C91" s="110" t="s">
        <v>312</v>
      </c>
      <c r="D91" s="12" t="s">
        <v>411</v>
      </c>
      <c r="E91" s="12" t="s">
        <v>1057</v>
      </c>
      <c r="F91" s="12" t="s">
        <v>446</v>
      </c>
      <c r="G91" s="74" t="s">
        <v>434</v>
      </c>
      <c r="H91" s="12" t="s">
        <v>441</v>
      </c>
      <c r="I91" s="12" t="s">
        <v>452</v>
      </c>
      <c r="J91" s="12" t="s">
        <v>454</v>
      </c>
      <c r="K91" s="12">
        <v>1</v>
      </c>
      <c r="L91" s="13">
        <v>2</v>
      </c>
      <c r="M91" s="13" t="s">
        <v>459</v>
      </c>
      <c r="N91" s="13">
        <v>0</v>
      </c>
      <c r="O91" s="14" t="s">
        <v>462</v>
      </c>
      <c r="P91" s="14">
        <v>3</v>
      </c>
      <c r="Q91" s="14" t="s">
        <v>462</v>
      </c>
      <c r="R91" s="14" t="s">
        <v>484</v>
      </c>
      <c r="S91" s="15">
        <v>0</v>
      </c>
      <c r="T91" s="15">
        <v>0</v>
      </c>
      <c r="U91" s="16" t="s">
        <v>484</v>
      </c>
      <c r="V91" s="16" t="s">
        <v>1064</v>
      </c>
      <c r="W91" s="17">
        <v>0</v>
      </c>
      <c r="X91" s="17">
        <v>0</v>
      </c>
      <c r="Y91" s="17" t="s">
        <v>484</v>
      </c>
      <c r="Z91" s="17" t="s">
        <v>484</v>
      </c>
      <c r="AA91" s="31">
        <v>0</v>
      </c>
      <c r="AB91" s="18" t="s">
        <v>471</v>
      </c>
      <c r="AC91" s="156" t="s">
        <v>467</v>
      </c>
      <c r="AD91" s="125" t="str">
        <f t="shared" si="9"/>
        <v/>
      </c>
      <c r="AE91" s="160" t="s">
        <v>507</v>
      </c>
      <c r="AF91" t="s">
        <v>507</v>
      </c>
      <c r="AG91" s="18" t="s">
        <v>525</v>
      </c>
      <c r="AH91" s="18" t="s">
        <v>485</v>
      </c>
      <c r="AI91" s="132"/>
      <c r="AK91" s="77">
        <f t="shared" si="8"/>
        <v>2</v>
      </c>
      <c r="AL91" t="str">
        <f t="shared" si="10"/>
        <v>non-LVC</v>
      </c>
      <c r="AM91" s="105" t="str" cm="1">
        <f t="array" ref="AM91">IF(OR(O91:O248="zero_recoverable", "zero_exalt", "zero_other", "zero_uncertain"),
   "Yes","No")</f>
        <v>Yes</v>
      </c>
      <c r="AN91">
        <f>1 + COUNTIF($V$2:V90,"main")</f>
        <v>28</v>
      </c>
      <c r="AO91" t="str">
        <f t="shared" si="11"/>
        <v/>
      </c>
      <c r="AP91">
        <f t="shared" si="12"/>
        <v>1</v>
      </c>
      <c r="AQ91">
        <f>IF(AP92=0,"",COUNTIFS($AN$2:$AN92,$AN92,$AP$2:$AP92,1))</f>
        <v>2</v>
      </c>
      <c r="AR91">
        <v>1</v>
      </c>
      <c r="AS91" t="s">
        <v>461</v>
      </c>
      <c r="AT91" t="s">
        <v>462</v>
      </c>
      <c r="AU91">
        <f t="shared" si="14"/>
        <v>1</v>
      </c>
      <c r="AV91">
        <f t="shared" si="15"/>
        <v>0</v>
      </c>
    </row>
    <row r="92" spans="1:48">
      <c r="A92" s="28" t="s">
        <v>117</v>
      </c>
      <c r="B92" s="11" t="s">
        <v>1088</v>
      </c>
      <c r="C92" s="110" t="s">
        <v>313</v>
      </c>
      <c r="D92" s="12" t="s">
        <v>384</v>
      </c>
      <c r="E92" s="12" t="s">
        <v>1056</v>
      </c>
      <c r="F92" s="12" t="s">
        <v>449</v>
      </c>
      <c r="G92" s="74" t="s">
        <v>434</v>
      </c>
      <c r="H92" s="12" t="s">
        <v>441</v>
      </c>
      <c r="I92" s="12" t="s">
        <v>452</v>
      </c>
      <c r="J92" s="12" t="s">
        <v>454</v>
      </c>
      <c r="K92" s="12">
        <v>1</v>
      </c>
      <c r="L92" s="13">
        <v>1</v>
      </c>
      <c r="M92" s="13" t="s">
        <v>458</v>
      </c>
      <c r="N92" s="13">
        <v>0</v>
      </c>
      <c r="O92" s="14" t="s">
        <v>461</v>
      </c>
      <c r="P92" s="14">
        <v>3</v>
      </c>
      <c r="Q92" s="14" t="s">
        <v>462</v>
      </c>
      <c r="R92" s="14" t="s">
        <v>484</v>
      </c>
      <c r="S92" s="15">
        <v>0</v>
      </c>
      <c r="T92" s="15">
        <v>0</v>
      </c>
      <c r="U92" s="16" t="s">
        <v>484</v>
      </c>
      <c r="V92" s="16" t="s">
        <v>467</v>
      </c>
      <c r="W92" s="17">
        <v>0</v>
      </c>
      <c r="X92" s="17">
        <v>1</v>
      </c>
      <c r="Y92" s="17" t="s">
        <v>521</v>
      </c>
      <c r="Z92" s="17" t="s">
        <v>514</v>
      </c>
      <c r="AA92" s="31">
        <v>0</v>
      </c>
      <c r="AB92" s="18" t="s">
        <v>439</v>
      </c>
      <c r="AC92" s="156" t="s">
        <v>1064</v>
      </c>
      <c r="AD92" s="125" t="str">
        <f t="shared" si="9"/>
        <v/>
      </c>
      <c r="AE92" s="160" t="s">
        <v>507</v>
      </c>
      <c r="AF92" t="s">
        <v>507</v>
      </c>
      <c r="AG92" s="18" t="s">
        <v>525</v>
      </c>
      <c r="AH92" s="18" t="s">
        <v>474</v>
      </c>
      <c r="AI92" s="132"/>
      <c r="AK92" s="77">
        <f t="shared" si="8"/>
        <v>1</v>
      </c>
      <c r="AL92" t="str">
        <f t="shared" si="10"/>
        <v>non-LVC</v>
      </c>
      <c r="AM92" s="105" t="str" cm="1">
        <f t="array" ref="AM92">IF(OR(O92:O249="zero_recoverable", "zero_exalt", "zero_other", "zero_uncertain"),
   "Yes","No")</f>
        <v>Yes</v>
      </c>
      <c r="AN92">
        <f>1 + COUNTIF($V$2:V91,"main")</f>
        <v>28</v>
      </c>
      <c r="AO92" t="str">
        <f t="shared" si="11"/>
        <v/>
      </c>
      <c r="AP92">
        <f t="shared" si="12"/>
        <v>1</v>
      </c>
      <c r="AQ92">
        <f>IF(AP93=0,"",COUNTIFS($AN$2:$AN93,$AN93,$AP$2:$AP93,1))</f>
        <v>1</v>
      </c>
      <c r="AR92">
        <v>0</v>
      </c>
      <c r="AS92" t="s">
        <v>462</v>
      </c>
      <c r="AT92" t="s">
        <v>484</v>
      </c>
      <c r="AU92">
        <f t="shared" si="14"/>
        <v>0</v>
      </c>
      <c r="AV92">
        <f t="shared" si="15"/>
        <v>0</v>
      </c>
    </row>
    <row r="93" spans="1:48">
      <c r="A93" s="28" t="s">
        <v>118</v>
      </c>
      <c r="B93" s="11" t="s">
        <v>224</v>
      </c>
      <c r="C93" s="110" t="s">
        <v>314</v>
      </c>
      <c r="D93" s="12" t="s">
        <v>412</v>
      </c>
      <c r="E93" s="12" t="s">
        <v>1056</v>
      </c>
      <c r="F93" s="12" t="s">
        <v>550</v>
      </c>
      <c r="G93" s="74" t="s">
        <v>434</v>
      </c>
      <c r="H93" s="12" t="s">
        <v>442</v>
      </c>
      <c r="I93" s="12" t="s">
        <v>452</v>
      </c>
      <c r="J93" s="12" t="s">
        <v>454</v>
      </c>
      <c r="K93" s="12">
        <v>1</v>
      </c>
      <c r="L93" s="13">
        <v>1</v>
      </c>
      <c r="M93" s="13" t="s">
        <v>457</v>
      </c>
      <c r="N93" s="13">
        <v>1</v>
      </c>
      <c r="O93" s="14" t="s">
        <v>462</v>
      </c>
      <c r="P93" s="14">
        <v>3</v>
      </c>
      <c r="Q93" s="14" t="s">
        <v>484</v>
      </c>
      <c r="R93" s="14" t="s">
        <v>484</v>
      </c>
      <c r="S93" s="15">
        <v>0</v>
      </c>
      <c r="T93" s="15">
        <v>0</v>
      </c>
      <c r="U93" s="16" t="s">
        <v>484</v>
      </c>
      <c r="V93" s="16" t="s">
        <v>493</v>
      </c>
      <c r="W93" s="17">
        <v>1</v>
      </c>
      <c r="X93" s="17">
        <v>0</v>
      </c>
      <c r="Y93" s="17" t="s">
        <v>521</v>
      </c>
      <c r="Z93" s="17" t="s">
        <v>513</v>
      </c>
      <c r="AA93" s="31">
        <v>0</v>
      </c>
      <c r="AB93" s="18" t="s">
        <v>469</v>
      </c>
      <c r="AC93" s="156" t="s">
        <v>467</v>
      </c>
      <c r="AD93" s="125" t="str">
        <f t="shared" si="9"/>
        <v/>
      </c>
      <c r="AE93" s="160" t="s">
        <v>507</v>
      </c>
      <c r="AF93" t="s">
        <v>505</v>
      </c>
      <c r="AG93" s="18" t="s">
        <v>486</v>
      </c>
      <c r="AH93" s="18" t="s">
        <v>485</v>
      </c>
      <c r="AI93" s="132"/>
      <c r="AK93" s="77">
        <f t="shared" si="8"/>
        <v>1</v>
      </c>
      <c r="AL93" t="str">
        <f t="shared" si="10"/>
        <v>non-LVC</v>
      </c>
      <c r="AM93" s="105" t="str" cm="1">
        <f t="array" ref="AM93">IF(OR(O93:O250="zero_recoverable", "zero_exalt", "zero_other", "zero_uncertain"),
   "Yes","No")</f>
        <v>Yes</v>
      </c>
      <c r="AN93">
        <f>1 + COUNTIF($V$2:V92,"main")</f>
        <v>29</v>
      </c>
      <c r="AO93" t="str">
        <f t="shared" si="11"/>
        <v>te</v>
      </c>
      <c r="AP93">
        <f t="shared" si="12"/>
        <v>1</v>
      </c>
      <c r="AQ93">
        <f>IF(AP94=0,"",COUNTIFS($AN$2:$AN94,$AN94,$AP$2:$AP94,1))</f>
        <v>2</v>
      </c>
      <c r="AR93">
        <v>1</v>
      </c>
      <c r="AS93" t="s">
        <v>461</v>
      </c>
      <c r="AT93" t="s">
        <v>484</v>
      </c>
      <c r="AU93">
        <f t="shared" si="14"/>
        <v>1</v>
      </c>
      <c r="AV93">
        <f t="shared" si="15"/>
        <v>0</v>
      </c>
    </row>
    <row r="94" spans="1:48">
      <c r="A94" s="28" t="s">
        <v>119</v>
      </c>
      <c r="B94" s="11" t="s">
        <v>225</v>
      </c>
      <c r="C94" s="110" t="s">
        <v>315</v>
      </c>
      <c r="D94" s="12" t="s">
        <v>413</v>
      </c>
      <c r="E94" s="12" t="s">
        <v>1056</v>
      </c>
      <c r="F94" s="12" t="s">
        <v>550</v>
      </c>
      <c r="G94" s="74" t="s">
        <v>434</v>
      </c>
      <c r="H94" s="12" t="s">
        <v>442</v>
      </c>
      <c r="I94" s="12" t="s">
        <v>452</v>
      </c>
      <c r="J94" s="12" t="s">
        <v>454</v>
      </c>
      <c r="K94" s="12">
        <v>1</v>
      </c>
      <c r="L94" s="13">
        <v>1</v>
      </c>
      <c r="M94" s="13" t="s">
        <v>456</v>
      </c>
      <c r="N94" s="13">
        <v>0</v>
      </c>
      <c r="O94" s="14" t="s">
        <v>461</v>
      </c>
      <c r="P94" s="14">
        <v>3</v>
      </c>
      <c r="Q94" s="14" t="s">
        <v>484</v>
      </c>
      <c r="R94" s="14" t="s">
        <v>462</v>
      </c>
      <c r="S94" s="15">
        <v>0</v>
      </c>
      <c r="T94" s="15">
        <v>0</v>
      </c>
      <c r="U94" s="16" t="s">
        <v>484</v>
      </c>
      <c r="V94" s="16" t="s">
        <v>537</v>
      </c>
      <c r="W94" s="17">
        <v>0</v>
      </c>
      <c r="X94" s="17">
        <v>1</v>
      </c>
      <c r="Y94" s="17" t="s">
        <v>521</v>
      </c>
      <c r="Z94" s="17" t="s">
        <v>512</v>
      </c>
      <c r="AA94" s="31">
        <v>0</v>
      </c>
      <c r="AB94" s="18" t="s">
        <v>470</v>
      </c>
      <c r="AC94" s="156" t="s">
        <v>493</v>
      </c>
      <c r="AD94" s="125" t="s">
        <v>1134</v>
      </c>
      <c r="AE94" s="160" t="s">
        <v>505</v>
      </c>
      <c r="AF94" t="s">
        <v>505</v>
      </c>
      <c r="AG94" s="18" t="s">
        <v>486</v>
      </c>
      <c r="AH94" s="18" t="s">
        <v>485</v>
      </c>
      <c r="AI94" s="132"/>
      <c r="AK94" s="77">
        <f t="shared" si="8"/>
        <v>1</v>
      </c>
      <c r="AL94" t="str">
        <f t="shared" si="10"/>
        <v>non-LVC</v>
      </c>
      <c r="AM94" s="105" t="str" cm="1">
        <f t="array" ref="AM94">IF(OR(O94:O251="zero_recoverable", "zero_exalt", "zero_other", "zero_uncertain"),
   "Yes","No")</f>
        <v>Yes</v>
      </c>
      <c r="AN94">
        <f>1 + COUNTIF($V$2:V93,"main")</f>
        <v>29</v>
      </c>
      <c r="AO94" t="str">
        <f t="shared" si="11"/>
        <v>subordinate</v>
      </c>
      <c r="AP94">
        <f t="shared" si="12"/>
        <v>1</v>
      </c>
      <c r="AQ94">
        <f>IF(AP95=0,"",COUNTIFS($AN$2:$AN95,$AN95,$AP$2:$AP95,1))</f>
        <v>3</v>
      </c>
      <c r="AR94">
        <f t="shared" si="13"/>
        <v>0</v>
      </c>
      <c r="AS94" t="s">
        <v>461</v>
      </c>
      <c r="AT94" t="s">
        <v>484</v>
      </c>
      <c r="AU94">
        <f t="shared" si="14"/>
        <v>0</v>
      </c>
      <c r="AV94">
        <f t="shared" si="15"/>
        <v>0</v>
      </c>
    </row>
    <row r="95" spans="1:48">
      <c r="A95" s="28" t="s">
        <v>120</v>
      </c>
      <c r="B95" s="11" t="s">
        <v>226</v>
      </c>
      <c r="C95" s="110" t="s">
        <v>316</v>
      </c>
      <c r="D95" s="12" t="s">
        <v>414</v>
      </c>
      <c r="E95" s="12" t="s">
        <v>1056</v>
      </c>
      <c r="F95" s="12" t="s">
        <v>550</v>
      </c>
      <c r="G95" s="74" t="s">
        <v>437</v>
      </c>
      <c r="H95" s="12" t="s">
        <v>442</v>
      </c>
      <c r="I95" s="12" t="s">
        <v>452</v>
      </c>
      <c r="J95" s="12" t="s">
        <v>454</v>
      </c>
      <c r="K95" s="12">
        <v>1</v>
      </c>
      <c r="L95" s="13">
        <v>0</v>
      </c>
      <c r="M95" s="13" t="s">
        <v>484</v>
      </c>
      <c r="N95" s="13">
        <v>0</v>
      </c>
      <c r="O95" s="14" t="s">
        <v>461</v>
      </c>
      <c r="P95" s="14">
        <v>3</v>
      </c>
      <c r="Q95" s="14" t="s">
        <v>484</v>
      </c>
      <c r="R95" s="14" t="s">
        <v>484</v>
      </c>
      <c r="S95" s="15">
        <v>0</v>
      </c>
      <c r="T95" s="15">
        <v>0</v>
      </c>
      <c r="U95" s="16" t="s">
        <v>464</v>
      </c>
      <c r="V95" s="16" t="s">
        <v>493</v>
      </c>
      <c r="W95" s="17">
        <v>0</v>
      </c>
      <c r="X95" s="17">
        <v>1</v>
      </c>
      <c r="Y95" s="17" t="s">
        <v>521</v>
      </c>
      <c r="Z95" s="17" t="s">
        <v>512</v>
      </c>
      <c r="AA95" s="31">
        <v>0</v>
      </c>
      <c r="AB95" s="18" t="s">
        <v>473</v>
      </c>
      <c r="AC95" s="156" t="s">
        <v>537</v>
      </c>
      <c r="AD95" s="125" t="str">
        <f t="shared" si="9"/>
        <v/>
      </c>
      <c r="AE95" s="160" t="s">
        <v>505</v>
      </c>
      <c r="AF95" t="s">
        <v>507</v>
      </c>
      <c r="AG95" s="18" t="s">
        <v>525</v>
      </c>
      <c r="AH95" s="18" t="s">
        <v>485</v>
      </c>
      <c r="AI95" s="132"/>
      <c r="AK95" s="77">
        <f t="shared" si="8"/>
        <v>0</v>
      </c>
      <c r="AL95" t="str">
        <f t="shared" si="10"/>
        <v>non-LVC</v>
      </c>
      <c r="AM95" s="105" t="str" cm="1">
        <f t="array" ref="AM95">IF(OR(O95:O252="zero_recoverable", "zero_exalt", "zero_other", "zero_uncertain"),
   "Yes","No")</f>
        <v>Yes</v>
      </c>
      <c r="AN95">
        <f>1 + COUNTIF($V$2:V94,"main")</f>
        <v>29</v>
      </c>
      <c r="AO95" t="str">
        <f t="shared" si="11"/>
        <v>subordinate</v>
      </c>
      <c r="AP95">
        <f t="shared" si="12"/>
        <v>1</v>
      </c>
      <c r="AQ95">
        <f>IF(AP96=0,"",COUNTIFS($AN$2:$AN96,$AN96,$AP$2:$AP96,1))</f>
        <v>4</v>
      </c>
      <c r="AR95">
        <f t="shared" si="13"/>
        <v>0</v>
      </c>
      <c r="AS95" t="s">
        <v>462</v>
      </c>
      <c r="AT95" t="s">
        <v>484</v>
      </c>
      <c r="AU95">
        <f t="shared" si="14"/>
        <v>0</v>
      </c>
      <c r="AV95">
        <f t="shared" si="15"/>
        <v>0</v>
      </c>
    </row>
    <row r="96" spans="1:48">
      <c r="A96" s="28" t="s">
        <v>121</v>
      </c>
      <c r="B96" s="11" t="s">
        <v>569</v>
      </c>
      <c r="C96" s="110" t="s">
        <v>572</v>
      </c>
      <c r="D96" s="12" t="s">
        <v>575</v>
      </c>
      <c r="E96" s="12" t="s">
        <v>1056</v>
      </c>
      <c r="F96" s="12" t="s">
        <v>445</v>
      </c>
      <c r="G96" s="74" t="s">
        <v>436</v>
      </c>
      <c r="H96" s="12" t="s">
        <v>442</v>
      </c>
      <c r="I96" s="12" t="s">
        <v>452</v>
      </c>
      <c r="J96" s="12" t="s">
        <v>454</v>
      </c>
      <c r="K96" s="12">
        <v>1</v>
      </c>
      <c r="L96" s="13">
        <v>1</v>
      </c>
      <c r="M96" s="13" t="s">
        <v>457</v>
      </c>
      <c r="N96" s="13">
        <v>1</v>
      </c>
      <c r="O96" s="14" t="s">
        <v>462</v>
      </c>
      <c r="P96" s="14">
        <v>3</v>
      </c>
      <c r="Q96" s="14" t="s">
        <v>484</v>
      </c>
      <c r="R96" s="14" t="s">
        <v>484</v>
      </c>
      <c r="S96" s="15">
        <v>0</v>
      </c>
      <c r="T96" s="15">
        <v>0</v>
      </c>
      <c r="U96" s="16" t="s">
        <v>464</v>
      </c>
      <c r="V96" s="16" t="s">
        <v>493</v>
      </c>
      <c r="W96" s="17">
        <v>1</v>
      </c>
      <c r="X96" s="17">
        <v>0</v>
      </c>
      <c r="Y96" s="17" t="s">
        <v>521</v>
      </c>
      <c r="Z96" s="17" t="s">
        <v>512</v>
      </c>
      <c r="AA96" s="31">
        <v>0</v>
      </c>
      <c r="AB96" s="18" t="s">
        <v>473</v>
      </c>
      <c r="AC96" s="156" t="s">
        <v>493</v>
      </c>
      <c r="AD96" s="125" t="str">
        <f t="shared" si="9"/>
        <v/>
      </c>
      <c r="AE96" s="160" t="s">
        <v>507</v>
      </c>
      <c r="AF96" t="s">
        <v>505</v>
      </c>
      <c r="AG96" s="18" t="s">
        <v>486</v>
      </c>
      <c r="AH96" s="18" t="s">
        <v>485</v>
      </c>
      <c r="AI96" s="132"/>
      <c r="AK96" s="77">
        <f t="shared" si="8"/>
        <v>1</v>
      </c>
      <c r="AL96" t="str">
        <f t="shared" si="10"/>
        <v>non-LVC</v>
      </c>
      <c r="AM96" s="105" t="str" cm="1">
        <f t="array" ref="AM96">IF(OR(O96:O253="zero_recoverable", "zero_exalt", "zero_other", "zero_uncertain"),
   "Yes","No")</f>
        <v>Yes</v>
      </c>
      <c r="AN96">
        <f>1 + COUNTIF($V$2:V95,"main")</f>
        <v>29</v>
      </c>
      <c r="AO96" t="str">
        <f t="shared" si="11"/>
        <v>te</v>
      </c>
      <c r="AP96">
        <f t="shared" si="12"/>
        <v>1</v>
      </c>
      <c r="AQ96">
        <f>IF(AP97=0,"",COUNTIFS($AN$2:$AN97,$AN97,$AP$2:$AP97,1))</f>
        <v>5</v>
      </c>
      <c r="AR96">
        <f t="shared" si="13"/>
        <v>0</v>
      </c>
      <c r="AS96" t="s">
        <v>526</v>
      </c>
      <c r="AT96" t="s">
        <v>526</v>
      </c>
      <c r="AU96">
        <f t="shared" si="14"/>
        <v>1</v>
      </c>
      <c r="AV96">
        <f t="shared" si="15"/>
        <v>0</v>
      </c>
    </row>
    <row r="97" spans="1:48">
      <c r="A97" s="28" t="s">
        <v>122</v>
      </c>
      <c r="B97" s="11" t="s">
        <v>567</v>
      </c>
      <c r="C97" s="110" t="s">
        <v>571</v>
      </c>
      <c r="D97" s="12" t="s">
        <v>573</v>
      </c>
      <c r="E97" s="12" t="s">
        <v>1056</v>
      </c>
      <c r="F97" s="12" t="s">
        <v>550</v>
      </c>
      <c r="G97" s="74" t="s">
        <v>434</v>
      </c>
      <c r="H97" s="12" t="s">
        <v>441</v>
      </c>
      <c r="I97" s="29" t="s">
        <v>452</v>
      </c>
      <c r="J97" s="12" t="s">
        <v>454</v>
      </c>
      <c r="K97" s="12">
        <v>1</v>
      </c>
      <c r="L97" s="13">
        <v>1</v>
      </c>
      <c r="M97" s="13" t="s">
        <v>456</v>
      </c>
      <c r="N97" s="13">
        <v>0</v>
      </c>
      <c r="O97" s="14" t="s">
        <v>526</v>
      </c>
      <c r="P97" s="14">
        <v>3</v>
      </c>
      <c r="Q97" s="14" t="s">
        <v>526</v>
      </c>
      <c r="R97" s="14" t="s">
        <v>462</v>
      </c>
      <c r="S97" s="15">
        <v>0</v>
      </c>
      <c r="T97" s="15">
        <v>0</v>
      </c>
      <c r="U97" s="16" t="s">
        <v>484</v>
      </c>
      <c r="V97" s="16" t="s">
        <v>537</v>
      </c>
      <c r="W97" s="17">
        <v>0</v>
      </c>
      <c r="X97" s="17">
        <v>0</v>
      </c>
      <c r="Y97" s="17" t="s">
        <v>484</v>
      </c>
      <c r="Z97" s="17" t="s">
        <v>484</v>
      </c>
      <c r="AA97" s="31">
        <v>0</v>
      </c>
      <c r="AB97" s="18" t="s">
        <v>439</v>
      </c>
      <c r="AC97" s="156" t="s">
        <v>493</v>
      </c>
      <c r="AD97" s="125" t="s">
        <v>1134</v>
      </c>
      <c r="AE97" s="160" t="s">
        <v>505</v>
      </c>
      <c r="AF97" t="s">
        <v>505</v>
      </c>
      <c r="AG97" s="18" t="s">
        <v>525</v>
      </c>
      <c r="AH97" s="18" t="s">
        <v>485</v>
      </c>
      <c r="AI97" s="132"/>
      <c r="AK97" s="77">
        <f t="shared" si="8"/>
        <v>1</v>
      </c>
      <c r="AL97" t="str">
        <f t="shared" si="10"/>
        <v>non-LVC</v>
      </c>
      <c r="AM97" s="105" t="str" cm="1">
        <f t="array" ref="AM97">IF(OR(O97:O254="zero_recoverable", "zero_exalt", "zero_other", "zero_uncertain"),
   "Yes","No")</f>
        <v>Yes</v>
      </c>
      <c r="AN97">
        <f>1 + COUNTIF($V$2:V96,"main")</f>
        <v>29</v>
      </c>
      <c r="AO97" t="str">
        <f t="shared" si="11"/>
        <v>subordinate</v>
      </c>
      <c r="AP97">
        <f t="shared" si="12"/>
        <v>1</v>
      </c>
      <c r="AQ97">
        <f>IF(AP98=0,"",COUNTIFS($AN$2:$AN98,$AN98,$AP$2:$AP98,1))</f>
        <v>6</v>
      </c>
      <c r="AR97">
        <f t="shared" si="13"/>
        <v>0</v>
      </c>
      <c r="AS97" t="s">
        <v>526</v>
      </c>
      <c r="AT97" t="s">
        <v>484</v>
      </c>
      <c r="AU97">
        <f t="shared" si="14"/>
        <v>0</v>
      </c>
      <c r="AV97">
        <f t="shared" si="15"/>
        <v>0</v>
      </c>
    </row>
    <row r="98" spans="1:48">
      <c r="A98" s="28" t="s">
        <v>123</v>
      </c>
      <c r="B98" s="11" t="s">
        <v>568</v>
      </c>
      <c r="C98" s="110" t="s">
        <v>570</v>
      </c>
      <c r="D98" s="12" t="s">
        <v>574</v>
      </c>
      <c r="E98" s="12" t="s">
        <v>1056</v>
      </c>
      <c r="F98" s="12" t="s">
        <v>550</v>
      </c>
      <c r="G98" s="74" t="s">
        <v>434</v>
      </c>
      <c r="H98" s="12" t="s">
        <v>442</v>
      </c>
      <c r="I98" s="12" t="s">
        <v>453</v>
      </c>
      <c r="J98" s="12" t="s">
        <v>454</v>
      </c>
      <c r="K98" s="12">
        <v>1</v>
      </c>
      <c r="L98" s="13">
        <v>0</v>
      </c>
      <c r="M98" s="13" t="s">
        <v>484</v>
      </c>
      <c r="N98" s="13">
        <v>0</v>
      </c>
      <c r="O98" s="14" t="s">
        <v>526</v>
      </c>
      <c r="P98" s="14">
        <v>3</v>
      </c>
      <c r="Q98" s="14" t="s">
        <v>484</v>
      </c>
      <c r="R98" s="14" t="s">
        <v>526</v>
      </c>
      <c r="S98" s="15">
        <v>0</v>
      </c>
      <c r="T98" s="15">
        <v>0</v>
      </c>
      <c r="U98" s="16" t="s">
        <v>484</v>
      </c>
      <c r="V98" s="16" t="s">
        <v>493</v>
      </c>
      <c r="W98" s="17">
        <v>0</v>
      </c>
      <c r="X98" s="17">
        <v>0</v>
      </c>
      <c r="Y98" s="17" t="s">
        <v>484</v>
      </c>
      <c r="Z98" s="17" t="s">
        <v>484</v>
      </c>
      <c r="AA98" s="31">
        <v>0</v>
      </c>
      <c r="AB98" s="18" t="s">
        <v>508</v>
      </c>
      <c r="AC98" s="156" t="s">
        <v>537</v>
      </c>
      <c r="AD98" s="125" t="str">
        <f t="shared" si="9"/>
        <v/>
      </c>
      <c r="AE98" s="160" t="s">
        <v>505</v>
      </c>
      <c r="AF98" t="s">
        <v>507</v>
      </c>
      <c r="AG98" s="18" t="s">
        <v>525</v>
      </c>
      <c r="AH98" s="18" t="s">
        <v>485</v>
      </c>
      <c r="AI98" s="131" t="s">
        <v>576</v>
      </c>
      <c r="AK98" s="77">
        <f t="shared" si="8"/>
        <v>0</v>
      </c>
      <c r="AL98" t="str">
        <f t="shared" si="10"/>
        <v>non-LVC</v>
      </c>
      <c r="AM98" s="105" t="str" cm="1">
        <f t="array" ref="AM98">IF(OR(O98:O255="zero_recoverable", "zero_exalt", "zero_other", "zero_uncertain"),
   "Yes","No")</f>
        <v>Yes</v>
      </c>
      <c r="AN98">
        <f>1 + COUNTIF($V$2:V97,"main")</f>
        <v>29</v>
      </c>
      <c r="AO98" t="str">
        <f t="shared" si="11"/>
        <v>complement</v>
      </c>
      <c r="AP98">
        <f t="shared" si="12"/>
        <v>1</v>
      </c>
      <c r="AQ98">
        <f>IF(AP99=0,"",COUNTIFS($AN$2:$AN99,$AN99,$AP$2:$AP99,1))</f>
        <v>7</v>
      </c>
      <c r="AR98">
        <f t="shared" si="13"/>
        <v>0</v>
      </c>
      <c r="AS98" t="s">
        <v>462</v>
      </c>
      <c r="AT98" t="s">
        <v>462</v>
      </c>
      <c r="AU98">
        <f t="shared" si="14"/>
        <v>0</v>
      </c>
      <c r="AV98">
        <f t="shared" si="15"/>
        <v>0</v>
      </c>
    </row>
    <row r="99" spans="1:48">
      <c r="A99" s="28" t="s">
        <v>124</v>
      </c>
      <c r="B99" s="11" t="s">
        <v>1091</v>
      </c>
      <c r="C99" s="110" t="s">
        <v>577</v>
      </c>
      <c r="D99" s="12" t="s">
        <v>579</v>
      </c>
      <c r="E99" s="12" t="s">
        <v>1056</v>
      </c>
      <c r="F99" s="12" t="s">
        <v>550</v>
      </c>
      <c r="G99" s="74" t="s">
        <v>434</v>
      </c>
      <c r="H99" s="12" t="s">
        <v>441</v>
      </c>
      <c r="I99" s="12" t="s">
        <v>452</v>
      </c>
      <c r="J99" s="12" t="s">
        <v>454</v>
      </c>
      <c r="K99" s="12">
        <v>1</v>
      </c>
      <c r="L99" s="13">
        <v>2</v>
      </c>
      <c r="M99" s="13" t="s">
        <v>459</v>
      </c>
      <c r="N99" s="13">
        <v>1</v>
      </c>
      <c r="O99" s="14" t="s">
        <v>462</v>
      </c>
      <c r="P99" s="14">
        <v>3</v>
      </c>
      <c r="Q99" s="14" t="s">
        <v>462</v>
      </c>
      <c r="R99" s="14" t="s">
        <v>484</v>
      </c>
      <c r="S99" s="15">
        <v>0</v>
      </c>
      <c r="T99" s="15">
        <v>0</v>
      </c>
      <c r="U99" s="16" t="s">
        <v>464</v>
      </c>
      <c r="V99" s="16" t="s">
        <v>1064</v>
      </c>
      <c r="W99" s="17">
        <v>0</v>
      </c>
      <c r="X99" s="17">
        <v>0</v>
      </c>
      <c r="Y99" s="17" t="s">
        <v>484</v>
      </c>
      <c r="Z99" s="17" t="s">
        <v>514</v>
      </c>
      <c r="AA99" s="31">
        <v>0</v>
      </c>
      <c r="AB99" s="18" t="s">
        <v>439</v>
      </c>
      <c r="AC99" s="156" t="s">
        <v>493</v>
      </c>
      <c r="AD99" s="125" t="str">
        <f t="shared" si="9"/>
        <v/>
      </c>
      <c r="AE99" s="160" t="s">
        <v>507</v>
      </c>
      <c r="AF99" t="s">
        <v>507</v>
      </c>
      <c r="AG99" s="18" t="s">
        <v>525</v>
      </c>
      <c r="AH99" s="18" t="s">
        <v>485</v>
      </c>
      <c r="AI99" s="132"/>
      <c r="AK99" s="77">
        <f t="shared" si="8"/>
        <v>2</v>
      </c>
      <c r="AL99" t="str">
        <f t="shared" si="10"/>
        <v>non-LVC</v>
      </c>
      <c r="AM99" s="105" t="str" cm="1">
        <f t="array" ref="AM99">IF(OR(O99:O256="zero_recoverable", "zero_exalt", "zero_other", "zero_uncertain"),
   "Yes","No")</f>
        <v>Yes</v>
      </c>
      <c r="AN99">
        <f>1 + COUNTIF($V$2:V98,"main")</f>
        <v>29</v>
      </c>
      <c r="AO99" t="str">
        <f t="shared" si="11"/>
        <v/>
      </c>
      <c r="AP99">
        <f t="shared" si="12"/>
        <v>1</v>
      </c>
      <c r="AQ99">
        <f>IF(AP100=0,"",COUNTIFS($AN$2:$AN100,$AN100,$AP$2:$AP100,1))</f>
        <v>8</v>
      </c>
      <c r="AR99">
        <f t="shared" si="13"/>
        <v>0</v>
      </c>
      <c r="AS99" t="s">
        <v>526</v>
      </c>
      <c r="AT99" t="s">
        <v>484</v>
      </c>
      <c r="AU99">
        <f t="shared" si="14"/>
        <v>1</v>
      </c>
      <c r="AV99">
        <f t="shared" si="15"/>
        <v>0</v>
      </c>
    </row>
    <row r="100" spans="1:48">
      <c r="A100" s="28" t="s">
        <v>125</v>
      </c>
      <c r="B100" s="11" t="s">
        <v>1090</v>
      </c>
      <c r="C100" s="110" t="s">
        <v>578</v>
      </c>
      <c r="D100" s="12" t="s">
        <v>384</v>
      </c>
      <c r="E100" s="12" t="s">
        <v>1056</v>
      </c>
      <c r="F100" s="12" t="s">
        <v>550</v>
      </c>
      <c r="G100" s="74" t="s">
        <v>434</v>
      </c>
      <c r="H100" s="12" t="s">
        <v>442</v>
      </c>
      <c r="I100" s="12" t="s">
        <v>453</v>
      </c>
      <c r="J100" s="12" t="s">
        <v>454</v>
      </c>
      <c r="K100" s="12">
        <v>1</v>
      </c>
      <c r="L100" s="13">
        <v>0</v>
      </c>
      <c r="M100" s="13" t="s">
        <v>484</v>
      </c>
      <c r="N100" s="13">
        <v>1</v>
      </c>
      <c r="O100" s="14" t="s">
        <v>526</v>
      </c>
      <c r="P100" s="14">
        <v>3</v>
      </c>
      <c r="Q100" s="14" t="s">
        <v>484</v>
      </c>
      <c r="R100" s="14" t="s">
        <v>484</v>
      </c>
      <c r="S100" s="15">
        <v>0</v>
      </c>
      <c r="T100" s="15">
        <v>0</v>
      </c>
      <c r="U100" s="16" t="s">
        <v>1063</v>
      </c>
      <c r="V100" s="16" t="s">
        <v>467</v>
      </c>
      <c r="W100" s="17">
        <v>0</v>
      </c>
      <c r="X100" s="17">
        <v>0</v>
      </c>
      <c r="Y100" s="17" t="s">
        <v>484</v>
      </c>
      <c r="Z100" s="17" t="s">
        <v>484</v>
      </c>
      <c r="AA100" s="31">
        <v>0</v>
      </c>
      <c r="AB100" s="18" t="s">
        <v>471</v>
      </c>
      <c r="AC100" s="156" t="s">
        <v>1064</v>
      </c>
      <c r="AD100" s="125" t="str">
        <f t="shared" si="9"/>
        <v/>
      </c>
      <c r="AE100" s="160" t="s">
        <v>507</v>
      </c>
      <c r="AF100" t="s">
        <v>507</v>
      </c>
      <c r="AG100" s="18" t="s">
        <v>525</v>
      </c>
      <c r="AH100" s="18" t="s">
        <v>474</v>
      </c>
      <c r="AI100" s="132"/>
      <c r="AK100" s="77">
        <f t="shared" si="8"/>
        <v>0</v>
      </c>
      <c r="AL100" t="str">
        <f t="shared" si="10"/>
        <v>non-LVC</v>
      </c>
      <c r="AM100" s="105" t="str" cm="1">
        <f t="array" ref="AM100">IF(OR(O100:O257="zero_recoverable", "zero_exalt", "zero_other", "zero_uncertain"),
   "Yes","No")</f>
        <v>Yes</v>
      </c>
      <c r="AN100">
        <f>1 + COUNTIF($V$2:V99,"main")</f>
        <v>29</v>
      </c>
      <c r="AO100" t="str">
        <f t="shared" si="11"/>
        <v/>
      </c>
      <c r="AP100">
        <f t="shared" si="12"/>
        <v>1</v>
      </c>
      <c r="AQ100">
        <f>IF(AP101=0,"",COUNTIFS($AN$2:$AN101,$AN101,$AP$2:$AP101,1))</f>
        <v>1</v>
      </c>
      <c r="AR100">
        <v>0</v>
      </c>
      <c r="AS100" t="s">
        <v>549</v>
      </c>
      <c r="AT100" t="s">
        <v>484</v>
      </c>
      <c r="AU100">
        <f t="shared" si="14"/>
        <v>0</v>
      </c>
      <c r="AV100">
        <f t="shared" si="15"/>
        <v>0</v>
      </c>
    </row>
    <row r="101" spans="1:48">
      <c r="A101" s="28" t="s">
        <v>126</v>
      </c>
      <c r="B101" s="11" t="s">
        <v>582</v>
      </c>
      <c r="C101" s="110" t="s">
        <v>580</v>
      </c>
      <c r="D101" s="12" t="s">
        <v>415</v>
      </c>
      <c r="E101" s="12" t="s">
        <v>1056</v>
      </c>
      <c r="F101" s="12" t="s">
        <v>550</v>
      </c>
      <c r="G101" s="74" t="s">
        <v>437</v>
      </c>
      <c r="H101" s="12" t="s">
        <v>442</v>
      </c>
      <c r="I101" s="12" t="s">
        <v>452</v>
      </c>
      <c r="J101" s="12" t="s">
        <v>454</v>
      </c>
      <c r="K101" s="12">
        <v>1</v>
      </c>
      <c r="L101" s="13">
        <v>0</v>
      </c>
      <c r="M101" s="13" t="s">
        <v>484</v>
      </c>
      <c r="N101" s="13">
        <v>2</v>
      </c>
      <c r="O101" s="14" t="s">
        <v>549</v>
      </c>
      <c r="P101" s="14">
        <v>0</v>
      </c>
      <c r="Q101" s="14" t="s">
        <v>484</v>
      </c>
      <c r="R101" s="14" t="s">
        <v>484</v>
      </c>
      <c r="S101" s="15">
        <v>0</v>
      </c>
      <c r="T101" s="15">
        <v>0</v>
      </c>
      <c r="U101" s="16" t="s">
        <v>484</v>
      </c>
      <c r="V101" s="16" t="s">
        <v>493</v>
      </c>
      <c r="W101" s="17">
        <v>0</v>
      </c>
      <c r="X101" s="17">
        <v>0</v>
      </c>
      <c r="Y101" s="17" t="s">
        <v>484</v>
      </c>
      <c r="Z101" s="17" t="s">
        <v>484</v>
      </c>
      <c r="AA101" s="31">
        <v>0</v>
      </c>
      <c r="AB101" s="18" t="s">
        <v>473</v>
      </c>
      <c r="AC101" s="156" t="s">
        <v>467</v>
      </c>
      <c r="AD101" s="125" t="str">
        <f t="shared" si="9"/>
        <v/>
      </c>
      <c r="AE101" s="160" t="s">
        <v>507</v>
      </c>
      <c r="AF101" t="s">
        <v>507</v>
      </c>
      <c r="AG101" s="18" t="s">
        <v>506</v>
      </c>
      <c r="AH101" s="18" t="s">
        <v>485</v>
      </c>
      <c r="AI101" s="132"/>
      <c r="AK101" s="77">
        <f t="shared" si="8"/>
        <v>0</v>
      </c>
      <c r="AL101" t="str">
        <f t="shared" si="10"/>
        <v>non-LVC</v>
      </c>
      <c r="AM101" s="105" t="str" cm="1">
        <f t="array" ref="AM101">IF(OR(O101:O258="zero_recoverable", "zero_exalt", "zero_other", "zero_uncertain"),
   "Yes","No")</f>
        <v>Yes</v>
      </c>
      <c r="AN101">
        <f>1 + COUNTIF($V$2:V100,"main")</f>
        <v>30</v>
      </c>
      <c r="AO101" t="str">
        <f t="shared" si="11"/>
        <v>subordinate</v>
      </c>
      <c r="AP101">
        <f t="shared" si="12"/>
        <v>1</v>
      </c>
      <c r="AQ101">
        <f>IF(AP102=0,"",COUNTIFS($AN$2:$AN102,$AN102,$AP$2:$AP102,1))</f>
        <v>2</v>
      </c>
      <c r="AR101">
        <v>1</v>
      </c>
      <c r="AS101" t="s">
        <v>462</v>
      </c>
      <c r="AT101" t="s">
        <v>484</v>
      </c>
      <c r="AU101">
        <f t="shared" si="14"/>
        <v>0</v>
      </c>
      <c r="AV101">
        <f t="shared" si="15"/>
        <v>0</v>
      </c>
    </row>
    <row r="102" spans="1:48">
      <c r="A102" s="28" t="s">
        <v>127</v>
      </c>
      <c r="B102" s="11" t="s">
        <v>583</v>
      </c>
      <c r="C102" s="110" t="s">
        <v>581</v>
      </c>
      <c r="D102" s="12" t="s">
        <v>584</v>
      </c>
      <c r="E102" s="12" t="s">
        <v>1056</v>
      </c>
      <c r="F102" s="12" t="s">
        <v>445</v>
      </c>
      <c r="G102" s="74" t="s">
        <v>476</v>
      </c>
      <c r="H102" s="12" t="s">
        <v>442</v>
      </c>
      <c r="I102" s="12" t="s">
        <v>452</v>
      </c>
      <c r="J102" s="12" t="s">
        <v>455</v>
      </c>
      <c r="K102" s="12">
        <v>1</v>
      </c>
      <c r="L102" s="13">
        <v>1</v>
      </c>
      <c r="M102" s="13" t="s">
        <v>457</v>
      </c>
      <c r="N102" s="13">
        <v>0</v>
      </c>
      <c r="O102" s="14" t="s">
        <v>462</v>
      </c>
      <c r="P102" s="14">
        <v>3</v>
      </c>
      <c r="Q102" s="14" t="s">
        <v>484</v>
      </c>
      <c r="R102" s="14" t="s">
        <v>484</v>
      </c>
      <c r="S102" s="15">
        <v>0</v>
      </c>
      <c r="T102" s="15">
        <v>0</v>
      </c>
      <c r="U102" s="16" t="s">
        <v>484</v>
      </c>
      <c r="V102" s="16" t="s">
        <v>493</v>
      </c>
      <c r="W102" s="17">
        <v>0</v>
      </c>
      <c r="X102" s="17">
        <v>0</v>
      </c>
      <c r="Y102" s="17" t="s">
        <v>484</v>
      </c>
      <c r="Z102" s="17" t="s">
        <v>484</v>
      </c>
      <c r="AA102" s="31">
        <v>0</v>
      </c>
      <c r="AB102" s="18" t="s">
        <v>439</v>
      </c>
      <c r="AC102" s="156" t="s">
        <v>493</v>
      </c>
      <c r="AD102" s="125" t="str">
        <f t="shared" si="9"/>
        <v/>
      </c>
      <c r="AE102" s="160" t="s">
        <v>507</v>
      </c>
      <c r="AF102">
        <v>0</v>
      </c>
      <c r="AG102" s="18" t="s">
        <v>525</v>
      </c>
      <c r="AH102" s="18" t="s">
        <v>485</v>
      </c>
      <c r="AI102" s="132"/>
      <c r="AK102" s="77">
        <f t="shared" si="8"/>
        <v>1</v>
      </c>
      <c r="AL102" t="str">
        <f t="shared" si="10"/>
        <v>non-LVC</v>
      </c>
      <c r="AM102" s="105" t="str" cm="1">
        <f t="array" ref="AM102">IF(OR(O102:O259="zero_recoverable", "zero_exalt", "zero_other", "zero_uncertain"),
   "Yes","No")</f>
        <v>Yes</v>
      </c>
      <c r="AN102">
        <f>1 + COUNTIF($V$2:V101,"main")</f>
        <v>30</v>
      </c>
      <c r="AO102" t="str">
        <f t="shared" si="11"/>
        <v/>
      </c>
      <c r="AP102">
        <f t="shared" si="12"/>
        <v>1</v>
      </c>
      <c r="AQ102">
        <f>IF(AP103=0,"",COUNTIFS($AN$2:$AN103,$AN103,$AP$2:$AP103,1))</f>
        <v>3</v>
      </c>
      <c r="AR102">
        <f t="shared" si="13"/>
        <v>0</v>
      </c>
      <c r="AU102">
        <f t="shared" si="14"/>
        <v>0</v>
      </c>
      <c r="AV102">
        <f t="shared" si="15"/>
        <v>0</v>
      </c>
    </row>
    <row r="103" spans="1:48">
      <c r="A103" s="28" t="s">
        <v>128</v>
      </c>
      <c r="B103" s="11" t="s">
        <v>585</v>
      </c>
      <c r="C103" s="110" t="s">
        <v>586</v>
      </c>
      <c r="D103" s="12" t="s">
        <v>588</v>
      </c>
      <c r="E103" s="12" t="s">
        <v>1057</v>
      </c>
      <c r="F103" s="12" t="s">
        <v>445</v>
      </c>
      <c r="G103" s="74" t="s">
        <v>476</v>
      </c>
      <c r="H103" s="12"/>
      <c r="I103" s="12"/>
      <c r="J103" s="12"/>
      <c r="K103" s="12"/>
      <c r="L103" s="13"/>
      <c r="M103" s="13"/>
      <c r="N103" s="13"/>
      <c r="O103" s="14"/>
      <c r="P103" s="14"/>
      <c r="Q103" s="14" t="s">
        <v>484</v>
      </c>
      <c r="R103" s="14" t="s">
        <v>484</v>
      </c>
      <c r="S103" s="15"/>
      <c r="T103" s="15"/>
      <c r="U103" s="16"/>
      <c r="V103" s="16"/>
      <c r="W103" s="17"/>
      <c r="X103" s="17"/>
      <c r="Y103" s="17" t="s">
        <v>484</v>
      </c>
      <c r="Z103" s="17" t="s">
        <v>484</v>
      </c>
      <c r="AA103" s="31"/>
      <c r="AB103" s="18"/>
      <c r="AC103" s="156" t="s">
        <v>493</v>
      </c>
      <c r="AD103" s="125" t="str">
        <f t="shared" si="9"/>
        <v/>
      </c>
      <c r="AE103" s="160"/>
      <c r="AF103" t="s">
        <v>507</v>
      </c>
      <c r="AG103" s="18"/>
      <c r="AH103" s="18"/>
      <c r="AI103" s="132"/>
      <c r="AL103" t="str">
        <f t="shared" si="10"/>
        <v>non-LVC</v>
      </c>
      <c r="AM103" s="105" t="str" cm="1">
        <f t="array" ref="AM103">IF(OR(O103:O260="zero_recoverable", "zero_exalt", "zero_other", "zero_uncertain"),
   "Yes","No")</f>
        <v>Yes</v>
      </c>
      <c r="AN103">
        <f>1 + COUNTIF($V$2:V102,"main")</f>
        <v>30</v>
      </c>
      <c r="AO103" t="str">
        <f t="shared" si="11"/>
        <v/>
      </c>
      <c r="AP103">
        <f t="shared" si="12"/>
        <v>1</v>
      </c>
      <c r="AQ103">
        <f>IF(AP104=0,"",COUNTIFS($AN$2:$AN104,$AN104,$AP$2:$AP104,1))</f>
        <v>4</v>
      </c>
      <c r="AR103">
        <f t="shared" si="13"/>
        <v>0</v>
      </c>
      <c r="AS103" t="s">
        <v>549</v>
      </c>
      <c r="AT103" t="s">
        <v>484</v>
      </c>
      <c r="AU103">
        <f t="shared" si="14"/>
        <v>0</v>
      </c>
      <c r="AV103">
        <f t="shared" si="15"/>
        <v>0</v>
      </c>
    </row>
    <row r="104" spans="1:48">
      <c r="A104" s="28" t="s">
        <v>129</v>
      </c>
      <c r="B104" s="11" t="s">
        <v>416</v>
      </c>
      <c r="C104" s="110" t="s">
        <v>587</v>
      </c>
      <c r="D104" s="12" t="s">
        <v>416</v>
      </c>
      <c r="E104" s="12" t="s">
        <v>1056</v>
      </c>
      <c r="F104" s="12" t="s">
        <v>448</v>
      </c>
      <c r="G104" s="74" t="s">
        <v>438</v>
      </c>
      <c r="H104" s="12" t="s">
        <v>442</v>
      </c>
      <c r="I104" s="12" t="s">
        <v>452</v>
      </c>
      <c r="J104" s="12" t="s">
        <v>455</v>
      </c>
      <c r="K104" s="12">
        <v>1</v>
      </c>
      <c r="L104" s="13">
        <v>0</v>
      </c>
      <c r="M104" s="13" t="s">
        <v>484</v>
      </c>
      <c r="N104" s="13">
        <v>0</v>
      </c>
      <c r="O104" s="14" t="s">
        <v>549</v>
      </c>
      <c r="P104" s="14">
        <v>0</v>
      </c>
      <c r="Q104" s="14" t="s">
        <v>484</v>
      </c>
      <c r="R104" s="14" t="s">
        <v>484</v>
      </c>
      <c r="S104" s="15">
        <v>0</v>
      </c>
      <c r="T104" s="15">
        <v>0</v>
      </c>
      <c r="U104" s="16" t="s">
        <v>484</v>
      </c>
      <c r="V104" s="16" t="s">
        <v>467</v>
      </c>
      <c r="W104" s="17">
        <v>0</v>
      </c>
      <c r="X104" s="17">
        <v>0</v>
      </c>
      <c r="Y104" s="17" t="s">
        <v>484</v>
      </c>
      <c r="Z104" s="17" t="s">
        <v>484</v>
      </c>
      <c r="AA104" s="31">
        <v>0</v>
      </c>
      <c r="AB104" s="18" t="s">
        <v>439</v>
      </c>
      <c r="AC104" s="156">
        <v>0</v>
      </c>
      <c r="AD104" s="125" t="str">
        <f t="shared" si="9"/>
        <v/>
      </c>
      <c r="AE104" s="160" t="s">
        <v>507</v>
      </c>
      <c r="AF104" t="s">
        <v>507</v>
      </c>
      <c r="AG104" s="18" t="s">
        <v>525</v>
      </c>
      <c r="AH104" s="18" t="s">
        <v>474</v>
      </c>
      <c r="AI104" s="132"/>
      <c r="AK104" s="77">
        <f t="shared" si="8"/>
        <v>0</v>
      </c>
      <c r="AL104" t="str">
        <f t="shared" si="10"/>
        <v>non-LVC</v>
      </c>
      <c r="AM104" s="105" t="str" cm="1">
        <f t="array" ref="AM104">IF(OR(O104:O261="zero_recoverable", "zero_exalt", "zero_other", "zero_uncertain"),
   "Yes","No")</f>
        <v>Yes</v>
      </c>
      <c r="AN104">
        <f>1 + COUNTIF($V$2:V103,"main")</f>
        <v>30</v>
      </c>
      <c r="AO104" t="str">
        <f t="shared" si="11"/>
        <v/>
      </c>
      <c r="AP104">
        <f t="shared" si="12"/>
        <v>1</v>
      </c>
      <c r="AQ104">
        <f>IF(AP105=0,"",COUNTIFS($AN$2:$AN105,$AN105,$AP$2:$AP105,1))</f>
        <v>1</v>
      </c>
      <c r="AR104">
        <v>0</v>
      </c>
      <c r="AS104" t="s">
        <v>462</v>
      </c>
      <c r="AT104" t="s">
        <v>484</v>
      </c>
      <c r="AU104">
        <f t="shared" si="14"/>
        <v>0</v>
      </c>
      <c r="AV104">
        <f t="shared" si="15"/>
        <v>0</v>
      </c>
    </row>
    <row r="105" spans="1:48">
      <c r="A105" s="28" t="s">
        <v>130</v>
      </c>
      <c r="B105" s="11" t="s">
        <v>589</v>
      </c>
      <c r="C105" s="110" t="s">
        <v>317</v>
      </c>
      <c r="D105" s="12" t="s">
        <v>417</v>
      </c>
      <c r="E105" s="12" t="s">
        <v>1056</v>
      </c>
      <c r="F105" s="12" t="s">
        <v>446</v>
      </c>
      <c r="G105" s="74" t="s">
        <v>434</v>
      </c>
      <c r="H105" s="12" t="s">
        <v>442</v>
      </c>
      <c r="I105" s="12" t="s">
        <v>452</v>
      </c>
      <c r="J105" s="12" t="s">
        <v>454</v>
      </c>
      <c r="K105" s="12">
        <v>1</v>
      </c>
      <c r="L105" s="13">
        <v>1</v>
      </c>
      <c r="M105" s="13" t="s">
        <v>457</v>
      </c>
      <c r="N105" s="13">
        <v>1</v>
      </c>
      <c r="O105" s="14" t="s">
        <v>462</v>
      </c>
      <c r="P105" s="14">
        <v>3</v>
      </c>
      <c r="Q105" s="14" t="s">
        <v>484</v>
      </c>
      <c r="R105" s="14" t="s">
        <v>484</v>
      </c>
      <c r="S105" s="15">
        <v>0</v>
      </c>
      <c r="T105" s="15">
        <v>0</v>
      </c>
      <c r="U105" s="16" t="s">
        <v>484</v>
      </c>
      <c r="V105" s="16" t="s">
        <v>493</v>
      </c>
      <c r="W105" s="17">
        <v>0</v>
      </c>
      <c r="X105" s="17">
        <v>0</v>
      </c>
      <c r="Y105" s="17" t="s">
        <v>484</v>
      </c>
      <c r="Z105" s="17" t="s">
        <v>484</v>
      </c>
      <c r="AA105" s="31">
        <v>0</v>
      </c>
      <c r="AB105" s="18" t="s">
        <v>469</v>
      </c>
      <c r="AC105" s="156" t="s">
        <v>467</v>
      </c>
      <c r="AD105" s="125" t="str">
        <f t="shared" si="9"/>
        <v/>
      </c>
      <c r="AE105" s="160" t="s">
        <v>507</v>
      </c>
      <c r="AF105" t="s">
        <v>507</v>
      </c>
      <c r="AG105" s="18" t="s">
        <v>506</v>
      </c>
      <c r="AH105" s="18" t="s">
        <v>485</v>
      </c>
      <c r="AI105" s="132"/>
      <c r="AK105" s="77">
        <f t="shared" si="8"/>
        <v>1</v>
      </c>
      <c r="AL105" t="str">
        <f t="shared" si="10"/>
        <v>non-LVC</v>
      </c>
      <c r="AM105" s="105" t="str" cm="1">
        <f t="array" ref="AM105">IF(OR(O105:O262="zero_recoverable", "zero_exalt", "zero_other", "zero_uncertain"),
   "Yes","No")</f>
        <v>Yes</v>
      </c>
      <c r="AN105">
        <f>1 + COUNTIF($V$2:V104,"main")</f>
        <v>31</v>
      </c>
      <c r="AO105" t="str">
        <f t="shared" si="11"/>
        <v>subordinate</v>
      </c>
      <c r="AP105">
        <f t="shared" si="12"/>
        <v>1</v>
      </c>
      <c r="AQ105">
        <f>IF(AP106=0,"",COUNTIFS($AN$2:$AN106,$AN106,$AP$2:$AP106,1))</f>
        <v>2</v>
      </c>
      <c r="AR105">
        <v>1</v>
      </c>
      <c r="AS105" t="s">
        <v>462</v>
      </c>
      <c r="AT105" t="s">
        <v>460</v>
      </c>
      <c r="AU105">
        <f t="shared" si="14"/>
        <v>0</v>
      </c>
      <c r="AV105">
        <f t="shared" si="15"/>
        <v>0</v>
      </c>
    </row>
    <row r="106" spans="1:48">
      <c r="A106" s="28" t="s">
        <v>131</v>
      </c>
      <c r="B106" s="11" t="s">
        <v>227</v>
      </c>
      <c r="C106" s="110" t="s">
        <v>318</v>
      </c>
      <c r="D106" s="12" t="s">
        <v>418</v>
      </c>
      <c r="E106" s="12" t="s">
        <v>1056</v>
      </c>
      <c r="F106" s="12" t="s">
        <v>446</v>
      </c>
      <c r="G106" s="74" t="s">
        <v>434</v>
      </c>
      <c r="H106" s="12" t="s">
        <v>441</v>
      </c>
      <c r="I106" s="12" t="s">
        <v>452</v>
      </c>
      <c r="J106" s="12" t="s">
        <v>454</v>
      </c>
      <c r="K106" s="12">
        <v>1</v>
      </c>
      <c r="L106" s="13">
        <v>1</v>
      </c>
      <c r="M106" s="13" t="s">
        <v>457</v>
      </c>
      <c r="N106" s="13">
        <v>1</v>
      </c>
      <c r="O106" s="14" t="s">
        <v>462</v>
      </c>
      <c r="P106" s="14">
        <v>3</v>
      </c>
      <c r="Q106" s="14" t="s">
        <v>460</v>
      </c>
      <c r="R106" s="14" t="s">
        <v>484</v>
      </c>
      <c r="S106" s="15">
        <v>0</v>
      </c>
      <c r="T106" s="15">
        <v>0</v>
      </c>
      <c r="U106" s="16" t="s">
        <v>457</v>
      </c>
      <c r="V106" s="16" t="s">
        <v>493</v>
      </c>
      <c r="W106" s="17">
        <v>1</v>
      </c>
      <c r="X106" s="17">
        <v>0</v>
      </c>
      <c r="Y106" s="17" t="s">
        <v>521</v>
      </c>
      <c r="Z106" s="17" t="s">
        <v>535</v>
      </c>
      <c r="AA106" s="31">
        <v>0</v>
      </c>
      <c r="AB106" s="18" t="s">
        <v>439</v>
      </c>
      <c r="AC106" s="156" t="s">
        <v>493</v>
      </c>
      <c r="AD106" s="125" t="str">
        <f t="shared" si="9"/>
        <v/>
      </c>
      <c r="AE106" s="160" t="s">
        <v>507</v>
      </c>
      <c r="AF106" t="s">
        <v>507</v>
      </c>
      <c r="AG106" s="18" t="s">
        <v>525</v>
      </c>
      <c r="AH106" s="18" t="s">
        <v>485</v>
      </c>
      <c r="AI106" s="132" t="s">
        <v>1073</v>
      </c>
      <c r="AK106" s="77">
        <f t="shared" si="8"/>
        <v>1</v>
      </c>
      <c r="AL106" t="str">
        <f t="shared" si="10"/>
        <v>non-LVC</v>
      </c>
      <c r="AM106" s="105" t="str" cm="1">
        <f t="array" ref="AM106">IF(OR(O106:O263="zero_recoverable", "zero_exalt", "zero_other", "zero_uncertain"),
   "Yes","No")</f>
        <v>Yes</v>
      </c>
      <c r="AN106">
        <f>1 + COUNTIF($V$2:V105,"main")</f>
        <v>31</v>
      </c>
      <c r="AO106" t="str">
        <f t="shared" si="11"/>
        <v>te</v>
      </c>
      <c r="AP106">
        <f t="shared" si="12"/>
        <v>1</v>
      </c>
      <c r="AQ106">
        <f>IF(AP107=0,"",COUNTIFS($AN$2:$AN107,$AN107,$AP$2:$AP107,1))</f>
        <v>3</v>
      </c>
      <c r="AR106">
        <f t="shared" si="13"/>
        <v>0</v>
      </c>
      <c r="AS106" t="s">
        <v>526</v>
      </c>
      <c r="AT106" t="s">
        <v>462</v>
      </c>
      <c r="AU106">
        <f t="shared" si="14"/>
        <v>1</v>
      </c>
      <c r="AV106">
        <f t="shared" si="15"/>
        <v>0</v>
      </c>
    </row>
    <row r="107" spans="1:48">
      <c r="A107" s="28" t="s">
        <v>132</v>
      </c>
      <c r="B107" s="11" t="s">
        <v>1092</v>
      </c>
      <c r="C107" s="110" t="s">
        <v>590</v>
      </c>
      <c r="D107" s="12" t="s">
        <v>596</v>
      </c>
      <c r="E107" s="12" t="s">
        <v>1056</v>
      </c>
      <c r="F107" s="12" t="s">
        <v>550</v>
      </c>
      <c r="G107" s="74" t="s">
        <v>435</v>
      </c>
      <c r="H107" s="12" t="s">
        <v>441</v>
      </c>
      <c r="I107" s="12" t="s">
        <v>452</v>
      </c>
      <c r="J107" s="12" t="s">
        <v>454</v>
      </c>
      <c r="K107" s="12">
        <v>1</v>
      </c>
      <c r="L107" s="13">
        <v>1</v>
      </c>
      <c r="M107" s="13" t="s">
        <v>465</v>
      </c>
      <c r="N107" s="13">
        <v>0</v>
      </c>
      <c r="O107" s="14" t="s">
        <v>526</v>
      </c>
      <c r="P107" s="14">
        <v>3</v>
      </c>
      <c r="Q107" s="14" t="s">
        <v>462</v>
      </c>
      <c r="R107" s="14" t="s">
        <v>484</v>
      </c>
      <c r="S107" s="15">
        <v>0</v>
      </c>
      <c r="T107" s="15">
        <v>0</v>
      </c>
      <c r="U107" s="16" t="s">
        <v>484</v>
      </c>
      <c r="V107" s="16" t="s">
        <v>537</v>
      </c>
      <c r="W107" s="17">
        <v>0</v>
      </c>
      <c r="X107" s="17">
        <v>0</v>
      </c>
      <c r="Y107" s="17" t="s">
        <v>484</v>
      </c>
      <c r="Z107" s="17" t="s">
        <v>484</v>
      </c>
      <c r="AA107" s="31">
        <v>0</v>
      </c>
      <c r="AB107" s="18" t="s">
        <v>439</v>
      </c>
      <c r="AC107" s="156" t="s">
        <v>493</v>
      </c>
      <c r="AD107" s="125" t="s">
        <v>1134</v>
      </c>
      <c r="AE107" s="160" t="s">
        <v>507</v>
      </c>
      <c r="AF107" t="s">
        <v>505</v>
      </c>
      <c r="AG107" s="18" t="s">
        <v>525</v>
      </c>
      <c r="AH107" s="18" t="s">
        <v>485</v>
      </c>
      <c r="AI107" s="132"/>
      <c r="AK107" s="77">
        <f t="shared" si="8"/>
        <v>1</v>
      </c>
      <c r="AL107" t="str">
        <f t="shared" si="10"/>
        <v>LVC</v>
      </c>
      <c r="AM107" s="105" t="str" cm="1">
        <f t="array" ref="AM107">IF(OR(O107:O264="zero_recoverable", "zero_exalt", "zero_other", "zero_uncertain"),
   "Yes","No")</f>
        <v>Yes</v>
      </c>
      <c r="AN107">
        <f>1 + COUNTIF($V$2:V106,"main")</f>
        <v>31</v>
      </c>
      <c r="AO107" t="str">
        <f t="shared" si="11"/>
        <v>te</v>
      </c>
      <c r="AP107">
        <f t="shared" si="12"/>
        <v>1</v>
      </c>
      <c r="AQ107">
        <f>IF(AP108=0,"",COUNTIFS($AN$2:$AN108,$AN108,$AP$2:$AP108,1))</f>
        <v>4</v>
      </c>
      <c r="AR107">
        <f t="shared" si="13"/>
        <v>0</v>
      </c>
      <c r="AS107" t="s">
        <v>526</v>
      </c>
      <c r="AT107" t="s">
        <v>439</v>
      </c>
      <c r="AU107">
        <f t="shared" si="14"/>
        <v>0</v>
      </c>
      <c r="AV107">
        <f t="shared" si="15"/>
        <v>0</v>
      </c>
    </row>
    <row r="108" spans="1:48">
      <c r="A108" s="28" t="s">
        <v>133</v>
      </c>
      <c r="B108" s="11" t="s">
        <v>600</v>
      </c>
      <c r="C108" s="110" t="s">
        <v>591</v>
      </c>
      <c r="D108" s="12" t="s">
        <v>595</v>
      </c>
      <c r="E108" s="12" t="s">
        <v>1056</v>
      </c>
      <c r="F108" s="12" t="s">
        <v>447</v>
      </c>
      <c r="G108" s="74" t="s">
        <v>435</v>
      </c>
      <c r="H108" s="12" t="s">
        <v>442</v>
      </c>
      <c r="I108" s="12" t="s">
        <v>452</v>
      </c>
      <c r="J108" s="12" t="s">
        <v>454</v>
      </c>
      <c r="K108" s="12">
        <v>1</v>
      </c>
      <c r="L108" s="13">
        <v>1</v>
      </c>
      <c r="M108" s="13" t="s">
        <v>456</v>
      </c>
      <c r="N108" s="13">
        <v>0</v>
      </c>
      <c r="O108" s="14" t="s">
        <v>526</v>
      </c>
      <c r="P108" s="14">
        <v>3</v>
      </c>
      <c r="Q108" s="14" t="s">
        <v>484</v>
      </c>
      <c r="R108" s="14" t="s">
        <v>462</v>
      </c>
      <c r="S108" s="15">
        <v>0</v>
      </c>
      <c r="T108" s="15">
        <v>0</v>
      </c>
      <c r="U108" s="16" t="s">
        <v>484</v>
      </c>
      <c r="V108" s="16" t="s">
        <v>537</v>
      </c>
      <c r="W108" s="17">
        <v>0</v>
      </c>
      <c r="X108" s="17">
        <v>0</v>
      </c>
      <c r="Y108" s="17" t="s">
        <v>484</v>
      </c>
      <c r="Z108" s="17" t="s">
        <v>484</v>
      </c>
      <c r="AA108" s="31">
        <v>0</v>
      </c>
      <c r="AB108" s="18" t="s">
        <v>439</v>
      </c>
      <c r="AC108" s="156" t="s">
        <v>537</v>
      </c>
      <c r="AD108" s="125" t="str">
        <f t="shared" si="9"/>
        <v>te_medial</v>
      </c>
      <c r="AE108" s="160" t="s">
        <v>505</v>
      </c>
      <c r="AF108" t="s">
        <v>505</v>
      </c>
      <c r="AG108" s="18" t="s">
        <v>525</v>
      </c>
      <c r="AH108" s="18" t="s">
        <v>485</v>
      </c>
      <c r="AI108" s="132"/>
      <c r="AK108" s="77">
        <f t="shared" si="8"/>
        <v>1</v>
      </c>
      <c r="AL108" t="str">
        <f t="shared" si="10"/>
        <v>LVC</v>
      </c>
      <c r="AM108" s="105" t="str" cm="1">
        <f t="array" ref="AM108">IF(OR(O108:O265="zero_recoverable", "zero_exalt", "zero_other", "zero_uncertain"),
   "Yes","No")</f>
        <v>Yes</v>
      </c>
      <c r="AN108">
        <f>1 + COUNTIF($V$2:V107,"main")</f>
        <v>31</v>
      </c>
      <c r="AO108" t="str">
        <f t="shared" si="11"/>
        <v>te</v>
      </c>
      <c r="AP108">
        <f t="shared" si="12"/>
        <v>1</v>
      </c>
      <c r="AQ108">
        <f>IF(AP109=0,"",COUNTIFS($AN$2:$AN109,$AN109,$AP$2:$AP109,1))</f>
        <v>5</v>
      </c>
      <c r="AR108">
        <f t="shared" si="13"/>
        <v>0</v>
      </c>
      <c r="AS108" t="s">
        <v>461</v>
      </c>
      <c r="AT108" t="s">
        <v>462</v>
      </c>
      <c r="AU108">
        <f t="shared" si="14"/>
        <v>0</v>
      </c>
      <c r="AV108">
        <f t="shared" si="15"/>
        <v>0</v>
      </c>
    </row>
    <row r="109" spans="1:48">
      <c r="A109" s="28" t="s">
        <v>134</v>
      </c>
      <c r="B109" s="11" t="s">
        <v>601</v>
      </c>
      <c r="C109" s="110" t="s">
        <v>592</v>
      </c>
      <c r="D109" s="12" t="s">
        <v>597</v>
      </c>
      <c r="E109" s="12" t="s">
        <v>1056</v>
      </c>
      <c r="F109" s="12" t="s">
        <v>550</v>
      </c>
      <c r="G109" s="74" t="s">
        <v>434</v>
      </c>
      <c r="H109" s="12" t="s">
        <v>441</v>
      </c>
      <c r="I109" s="12" t="s">
        <v>452</v>
      </c>
      <c r="J109" s="12" t="s">
        <v>454</v>
      </c>
      <c r="K109" s="12">
        <v>1</v>
      </c>
      <c r="L109" s="13">
        <v>1</v>
      </c>
      <c r="M109" s="13" t="s">
        <v>465</v>
      </c>
      <c r="N109" s="13">
        <v>0</v>
      </c>
      <c r="O109" s="14" t="s">
        <v>461</v>
      </c>
      <c r="P109" s="14">
        <v>3</v>
      </c>
      <c r="Q109" s="14" t="s">
        <v>462</v>
      </c>
      <c r="R109" s="14" t="s">
        <v>484</v>
      </c>
      <c r="S109" s="15">
        <v>0</v>
      </c>
      <c r="T109" s="15">
        <v>0</v>
      </c>
      <c r="U109" s="16" t="s">
        <v>484</v>
      </c>
      <c r="V109" s="16" t="s">
        <v>537</v>
      </c>
      <c r="W109" s="17">
        <v>0</v>
      </c>
      <c r="X109" s="17">
        <v>1</v>
      </c>
      <c r="Y109" s="17" t="s">
        <v>521</v>
      </c>
      <c r="Z109" s="17" t="s">
        <v>513</v>
      </c>
      <c r="AA109" s="31">
        <v>0</v>
      </c>
      <c r="AB109" s="18" t="s">
        <v>439</v>
      </c>
      <c r="AC109" s="156" t="s">
        <v>537</v>
      </c>
      <c r="AD109" s="125" t="str">
        <f t="shared" si="9"/>
        <v>te_medial</v>
      </c>
      <c r="AE109" s="160" t="s">
        <v>505</v>
      </c>
      <c r="AF109" t="s">
        <v>505</v>
      </c>
      <c r="AG109" s="18" t="s">
        <v>525</v>
      </c>
      <c r="AH109" s="18" t="s">
        <v>485</v>
      </c>
      <c r="AI109" s="132"/>
      <c r="AK109" s="77">
        <f t="shared" si="8"/>
        <v>1</v>
      </c>
      <c r="AL109" t="str">
        <f t="shared" si="10"/>
        <v>non-LVC</v>
      </c>
      <c r="AM109" s="105" t="str" cm="1">
        <f t="array" ref="AM109">IF(OR(O109:O266="zero_recoverable", "zero_exalt", "zero_other", "zero_uncertain"),
   "Yes","No")</f>
        <v>Yes</v>
      </c>
      <c r="AN109">
        <f>1 + COUNTIF($V$2:V108,"main")</f>
        <v>31</v>
      </c>
      <c r="AO109" t="str">
        <f t="shared" si="11"/>
        <v>subordinate</v>
      </c>
      <c r="AP109">
        <f t="shared" si="12"/>
        <v>1</v>
      </c>
      <c r="AQ109">
        <f>IF(AP110=0,"",COUNTIFS($AN$2:$AN110,$AN110,$AP$2:$AP110,1))</f>
        <v>6</v>
      </c>
      <c r="AR109">
        <f t="shared" si="13"/>
        <v>0</v>
      </c>
      <c r="AS109" t="s">
        <v>526</v>
      </c>
      <c r="AT109" t="s">
        <v>462</v>
      </c>
      <c r="AU109">
        <f t="shared" si="14"/>
        <v>0</v>
      </c>
      <c r="AV109">
        <f t="shared" si="15"/>
        <v>0</v>
      </c>
    </row>
    <row r="110" spans="1:48">
      <c r="A110" s="28" t="s">
        <v>135</v>
      </c>
      <c r="B110" s="11" t="s">
        <v>1065</v>
      </c>
      <c r="C110" s="110" t="s">
        <v>593</v>
      </c>
      <c r="D110" s="12" t="s">
        <v>1059</v>
      </c>
      <c r="E110" s="12" t="s">
        <v>1056</v>
      </c>
      <c r="F110" s="12" t="s">
        <v>447</v>
      </c>
      <c r="G110" s="74" t="s">
        <v>434</v>
      </c>
      <c r="H110" s="12" t="s">
        <v>441</v>
      </c>
      <c r="I110" s="12" t="s">
        <v>452</v>
      </c>
      <c r="J110" s="12" t="s">
        <v>454</v>
      </c>
      <c r="K110" s="12">
        <v>1</v>
      </c>
      <c r="L110" s="13">
        <v>1</v>
      </c>
      <c r="M110" s="13" t="s">
        <v>465</v>
      </c>
      <c r="N110" s="13">
        <v>0</v>
      </c>
      <c r="O110" s="14" t="s">
        <v>526</v>
      </c>
      <c r="P110" s="14">
        <v>3</v>
      </c>
      <c r="Q110" s="14" t="s">
        <v>462</v>
      </c>
      <c r="R110" s="14" t="s">
        <v>484</v>
      </c>
      <c r="S110" s="15">
        <v>0</v>
      </c>
      <c r="T110" s="15">
        <v>0</v>
      </c>
      <c r="U110" s="16" t="s">
        <v>457</v>
      </c>
      <c r="V110" s="16" t="s">
        <v>493</v>
      </c>
      <c r="W110" s="17">
        <v>0</v>
      </c>
      <c r="X110" s="17">
        <v>0</v>
      </c>
      <c r="Y110" s="17" t="s">
        <v>484</v>
      </c>
      <c r="Z110" s="17" t="s">
        <v>484</v>
      </c>
      <c r="AA110" s="31">
        <v>0</v>
      </c>
      <c r="AB110" s="18" t="s">
        <v>439</v>
      </c>
      <c r="AC110" s="156" t="s">
        <v>537</v>
      </c>
      <c r="AD110" s="125" t="str">
        <f t="shared" si="9"/>
        <v/>
      </c>
      <c r="AE110" s="160" t="s">
        <v>505</v>
      </c>
      <c r="AF110" t="s">
        <v>507</v>
      </c>
      <c r="AG110" s="18" t="s">
        <v>525</v>
      </c>
      <c r="AH110" s="18" t="s">
        <v>485</v>
      </c>
      <c r="AI110" s="132" t="s">
        <v>1073</v>
      </c>
      <c r="AK110" s="77">
        <f t="shared" si="8"/>
        <v>1</v>
      </c>
      <c r="AL110" t="str">
        <f t="shared" si="10"/>
        <v>non-LVC</v>
      </c>
      <c r="AM110" s="105" t="str" cm="1">
        <f t="array" ref="AM110">IF(OR(O110:O267="zero_recoverable", "zero_exalt", "zero_other", "zero_uncertain"),
   "Yes","No")</f>
        <v>Yes</v>
      </c>
      <c r="AN110">
        <f>1 + COUNTIF($V$2:V109,"main")</f>
        <v>31</v>
      </c>
      <c r="AO110" t="str">
        <f t="shared" si="11"/>
        <v>relative</v>
      </c>
      <c r="AP110">
        <f t="shared" si="12"/>
        <v>1</v>
      </c>
      <c r="AQ110" t="str">
        <f>IF(AP111=0,"",COUNTIFS($AN$2:$AN111,$AN111,$AP$2:$AP111,1))</f>
        <v/>
      </c>
      <c r="AR110">
        <f t="shared" si="13"/>
        <v>0</v>
      </c>
      <c r="AS110" t="s">
        <v>462</v>
      </c>
      <c r="AT110" t="s">
        <v>462</v>
      </c>
      <c r="AU110">
        <f t="shared" si="14"/>
        <v>0</v>
      </c>
      <c r="AV110">
        <f t="shared" si="15"/>
        <v>0</v>
      </c>
    </row>
    <row r="111" spans="1:48">
      <c r="A111" s="28" t="s">
        <v>136</v>
      </c>
      <c r="B111" s="11" t="s">
        <v>602</v>
      </c>
      <c r="C111" s="110" t="s">
        <v>594</v>
      </c>
      <c r="D111" s="12" t="s">
        <v>598</v>
      </c>
      <c r="E111" s="12" t="s">
        <v>1056</v>
      </c>
      <c r="F111" s="12" t="s">
        <v>550</v>
      </c>
      <c r="G111" s="74" t="s">
        <v>434</v>
      </c>
      <c r="H111" s="12" t="s">
        <v>441</v>
      </c>
      <c r="I111" s="12" t="s">
        <v>452</v>
      </c>
      <c r="J111" s="12" t="s">
        <v>454</v>
      </c>
      <c r="K111" s="12">
        <v>1</v>
      </c>
      <c r="L111" s="13">
        <v>2</v>
      </c>
      <c r="M111" s="13" t="s">
        <v>459</v>
      </c>
      <c r="N111" s="13">
        <v>0</v>
      </c>
      <c r="O111" s="14" t="s">
        <v>462</v>
      </c>
      <c r="P111" s="14">
        <v>3</v>
      </c>
      <c r="Q111" s="14" t="s">
        <v>462</v>
      </c>
      <c r="R111" s="14" t="s">
        <v>484</v>
      </c>
      <c r="S111" s="15">
        <v>0</v>
      </c>
      <c r="T111" s="15">
        <v>1</v>
      </c>
      <c r="U111" s="16" t="s">
        <v>464</v>
      </c>
      <c r="V111" s="16" t="s">
        <v>466</v>
      </c>
      <c r="W111" s="17">
        <v>0</v>
      </c>
      <c r="X111" s="17">
        <v>0</v>
      </c>
      <c r="Y111" s="17" t="s">
        <v>484</v>
      </c>
      <c r="Z111" s="17" t="s">
        <v>484</v>
      </c>
      <c r="AA111" s="31">
        <v>0</v>
      </c>
      <c r="AB111" s="18" t="s">
        <v>439</v>
      </c>
      <c r="AC111" s="156" t="s">
        <v>493</v>
      </c>
      <c r="AD111" s="125" t="str">
        <f t="shared" si="9"/>
        <v/>
      </c>
      <c r="AE111" s="160" t="s">
        <v>507</v>
      </c>
      <c r="AF111" t="s">
        <v>507</v>
      </c>
      <c r="AG111" s="18" t="s">
        <v>525</v>
      </c>
      <c r="AH111" s="18" t="s">
        <v>485</v>
      </c>
      <c r="AI111" s="132"/>
      <c r="AK111" s="77">
        <f t="shared" si="8"/>
        <v>2</v>
      </c>
      <c r="AL111" t="str">
        <f t="shared" si="10"/>
        <v>non-LVC</v>
      </c>
      <c r="AM111" s="105" t="str" cm="1">
        <f t="array" ref="AM111">IF(OR(O111:O268="zero_recoverable", "zero_exalt", "zero_other", "zero_uncertain"),
   "Yes","No")</f>
        <v>Yes</v>
      </c>
      <c r="AN111">
        <f>1 + COUNTIF($V$2:V110,"main")</f>
        <v>31</v>
      </c>
      <c r="AO111" t="str">
        <f t="shared" si="11"/>
        <v>relative</v>
      </c>
      <c r="AP111">
        <f t="shared" si="12"/>
        <v>0</v>
      </c>
      <c r="AQ111" t="str">
        <f>IF(AP112=0,"",COUNTIFS($AN$2:$AN112,$AN112,$AP$2:$AP112,1))</f>
        <v/>
      </c>
      <c r="AR111">
        <f t="shared" si="13"/>
        <v>0</v>
      </c>
      <c r="AS111" t="s">
        <v>462</v>
      </c>
      <c r="AT111" t="s">
        <v>484</v>
      </c>
      <c r="AU111">
        <f t="shared" si="14"/>
        <v>0</v>
      </c>
      <c r="AV111">
        <f t="shared" si="15"/>
        <v>0</v>
      </c>
    </row>
    <row r="112" spans="1:48">
      <c r="A112" s="28" t="s">
        <v>137</v>
      </c>
      <c r="B112" s="11" t="s">
        <v>603</v>
      </c>
      <c r="C112" s="110"/>
      <c r="D112" s="12" t="s">
        <v>405</v>
      </c>
      <c r="E112" s="12" t="s">
        <v>1056</v>
      </c>
      <c r="F112" s="12" t="s">
        <v>445</v>
      </c>
      <c r="G112" s="74" t="s">
        <v>437</v>
      </c>
      <c r="H112" s="12" t="s">
        <v>442</v>
      </c>
      <c r="I112" s="12" t="s">
        <v>452</v>
      </c>
      <c r="J112" s="12" t="s">
        <v>454</v>
      </c>
      <c r="K112" s="12">
        <v>1</v>
      </c>
      <c r="L112" s="13">
        <v>1</v>
      </c>
      <c r="M112" s="13" t="s">
        <v>457</v>
      </c>
      <c r="N112" s="13">
        <v>0</v>
      </c>
      <c r="O112" s="14" t="s">
        <v>462</v>
      </c>
      <c r="P112" s="14">
        <v>3</v>
      </c>
      <c r="Q112" s="14" t="s">
        <v>484</v>
      </c>
      <c r="R112" s="14" t="s">
        <v>484</v>
      </c>
      <c r="S112" s="15">
        <v>0</v>
      </c>
      <c r="T112" s="15">
        <v>1</v>
      </c>
      <c r="U112" s="16" t="s">
        <v>464</v>
      </c>
      <c r="V112" s="16" t="s">
        <v>466</v>
      </c>
      <c r="W112" s="17">
        <v>0</v>
      </c>
      <c r="X112" s="17">
        <v>0</v>
      </c>
      <c r="Y112" s="17" t="s">
        <v>484</v>
      </c>
      <c r="Z112" s="17" t="s">
        <v>484</v>
      </c>
      <c r="AA112" s="31">
        <v>0</v>
      </c>
      <c r="AB112" s="18" t="s">
        <v>439</v>
      </c>
      <c r="AC112" s="156" t="s">
        <v>466</v>
      </c>
      <c r="AD112" s="125" t="str">
        <f t="shared" si="9"/>
        <v/>
      </c>
      <c r="AE112" s="160" t="s">
        <v>507</v>
      </c>
      <c r="AF112" t="s">
        <v>484</v>
      </c>
      <c r="AG112" s="18" t="s">
        <v>525</v>
      </c>
      <c r="AH112" s="18" t="s">
        <v>485</v>
      </c>
      <c r="AI112" s="132"/>
      <c r="AK112" s="77">
        <f t="shared" si="8"/>
        <v>1</v>
      </c>
      <c r="AL112" t="str">
        <f t="shared" si="10"/>
        <v>non-LVC</v>
      </c>
      <c r="AM112" s="105" t="str" cm="1">
        <f t="array" ref="AM112">IF(OR(O112:O269="zero_recoverable", "zero_exalt", "zero_other", "zero_uncertain"),
   "Yes","No")</f>
        <v>Yes</v>
      </c>
      <c r="AN112">
        <f>1 + COUNTIF($V$2:V111,"main")</f>
        <v>31</v>
      </c>
      <c r="AO112" t="str">
        <f t="shared" si="11"/>
        <v/>
      </c>
      <c r="AP112">
        <f t="shared" si="12"/>
        <v>0</v>
      </c>
      <c r="AQ112">
        <f>IF(AP113=0,"",COUNTIFS($AN$2:$AN113,$AN113,$AP$2:$AP113,1))</f>
        <v>7</v>
      </c>
      <c r="AR112">
        <f t="shared" si="13"/>
        <v>0</v>
      </c>
      <c r="AS112" t="s">
        <v>439</v>
      </c>
      <c r="AT112" t="s">
        <v>484</v>
      </c>
      <c r="AU112">
        <f t="shared" si="14"/>
        <v>0</v>
      </c>
      <c r="AV112">
        <f t="shared" si="15"/>
        <v>0</v>
      </c>
    </row>
    <row r="113" spans="1:48">
      <c r="A113" s="28" t="s">
        <v>138</v>
      </c>
      <c r="B113" s="11" t="s">
        <v>604</v>
      </c>
      <c r="C113" s="110"/>
      <c r="D113" s="12" t="s">
        <v>338</v>
      </c>
      <c r="E113" s="12" t="s">
        <v>1056</v>
      </c>
      <c r="F113" s="12" t="s">
        <v>445</v>
      </c>
      <c r="G113" s="74" t="s">
        <v>436</v>
      </c>
      <c r="H113" s="12" t="s">
        <v>442</v>
      </c>
      <c r="I113" s="12" t="s">
        <v>452</v>
      </c>
      <c r="J113" s="12" t="s">
        <v>454</v>
      </c>
      <c r="K113" s="12">
        <v>1</v>
      </c>
      <c r="L113" s="13">
        <v>0</v>
      </c>
      <c r="M113" s="13" t="s">
        <v>484</v>
      </c>
      <c r="N113" s="13">
        <v>0</v>
      </c>
      <c r="O113" s="14" t="s">
        <v>439</v>
      </c>
      <c r="P113" s="14">
        <v>0</v>
      </c>
      <c r="Q113" s="14" t="s">
        <v>484</v>
      </c>
      <c r="R113" s="14" t="s">
        <v>484</v>
      </c>
      <c r="S113" s="15">
        <v>0</v>
      </c>
      <c r="T113" s="15">
        <v>0</v>
      </c>
      <c r="U113" s="16" t="s">
        <v>484</v>
      </c>
      <c r="V113" s="16" t="s">
        <v>439</v>
      </c>
      <c r="W113" s="17">
        <v>0</v>
      </c>
      <c r="X113" s="17">
        <v>0</v>
      </c>
      <c r="Y113" s="17" t="s">
        <v>484</v>
      </c>
      <c r="Z113" s="17" t="s">
        <v>484</v>
      </c>
      <c r="AA113" s="31">
        <v>0</v>
      </c>
      <c r="AB113" s="18" t="s">
        <v>439</v>
      </c>
      <c r="AC113" s="156" t="s">
        <v>466</v>
      </c>
      <c r="AD113" s="125" t="str">
        <f t="shared" si="9"/>
        <v/>
      </c>
      <c r="AE113" s="159" t="s">
        <v>484</v>
      </c>
      <c r="AF113" t="s">
        <v>507</v>
      </c>
      <c r="AG113" s="18" t="s">
        <v>525</v>
      </c>
      <c r="AH113" s="18" t="s">
        <v>474</v>
      </c>
      <c r="AI113" s="132"/>
      <c r="AK113" s="77">
        <f t="shared" si="8"/>
        <v>0</v>
      </c>
      <c r="AL113" t="str">
        <f t="shared" si="10"/>
        <v>non-LVC</v>
      </c>
      <c r="AM113" s="105" t="str" cm="1">
        <f t="array" ref="AM113">IF(OR(O113:O270="zero_recoverable", "zero_exalt", "zero_other", "zero_uncertain"),
   "Yes","No")</f>
        <v>Yes</v>
      </c>
      <c r="AN113">
        <f>1 + COUNTIF($V$2:V112,"main")</f>
        <v>31</v>
      </c>
      <c r="AO113" t="str">
        <f t="shared" si="11"/>
        <v/>
      </c>
      <c r="AP113">
        <f t="shared" si="12"/>
        <v>1</v>
      </c>
      <c r="AQ113">
        <f>IF(AP114=0,"",COUNTIFS($AN$2:$AN114,$AN114,$AP$2:$AP114,1))</f>
        <v>8</v>
      </c>
      <c r="AR113">
        <f t="shared" si="13"/>
        <v>0</v>
      </c>
      <c r="AS113" t="s">
        <v>462</v>
      </c>
      <c r="AT113" t="s">
        <v>462</v>
      </c>
      <c r="AU113">
        <f t="shared" si="14"/>
        <v>0</v>
      </c>
      <c r="AV113">
        <f t="shared" si="15"/>
        <v>0</v>
      </c>
    </row>
    <row r="114" spans="1:48">
      <c r="A114" s="28" t="s">
        <v>139</v>
      </c>
      <c r="B114" s="11" t="s">
        <v>605</v>
      </c>
      <c r="C114" s="110" t="s">
        <v>607</v>
      </c>
      <c r="D114" s="12" t="s">
        <v>609</v>
      </c>
      <c r="E114" s="12" t="s">
        <v>1056</v>
      </c>
      <c r="F114" s="12" t="s">
        <v>550</v>
      </c>
      <c r="G114" s="74" t="s">
        <v>434</v>
      </c>
      <c r="H114" s="12" t="s">
        <v>441</v>
      </c>
      <c r="I114" s="12" t="s">
        <v>452</v>
      </c>
      <c r="J114" s="12" t="s">
        <v>454</v>
      </c>
      <c r="K114" s="12">
        <v>1</v>
      </c>
      <c r="L114" s="13">
        <v>2</v>
      </c>
      <c r="M114" s="13" t="s">
        <v>459</v>
      </c>
      <c r="N114" s="13">
        <v>1</v>
      </c>
      <c r="O114" s="14" t="s">
        <v>462</v>
      </c>
      <c r="P114" s="14">
        <v>3</v>
      </c>
      <c r="Q114" s="14" t="s">
        <v>462</v>
      </c>
      <c r="R114" s="14" t="s">
        <v>484</v>
      </c>
      <c r="S114" s="15">
        <v>0</v>
      </c>
      <c r="T114" s="15">
        <v>0</v>
      </c>
      <c r="U114" s="16" t="s">
        <v>484</v>
      </c>
      <c r="V114" s="16" t="s">
        <v>537</v>
      </c>
      <c r="W114" s="17">
        <v>0</v>
      </c>
      <c r="X114" s="17">
        <v>0</v>
      </c>
      <c r="Y114" s="17" t="s">
        <v>484</v>
      </c>
      <c r="Z114" s="17" t="s">
        <v>484</v>
      </c>
      <c r="AA114" s="31">
        <v>0</v>
      </c>
      <c r="AB114" s="18" t="s">
        <v>473</v>
      </c>
      <c r="AC114" s="156" t="s">
        <v>439</v>
      </c>
      <c r="AD114" s="125" t="s">
        <v>1134</v>
      </c>
      <c r="AE114" s="160" t="s">
        <v>507</v>
      </c>
      <c r="AF114" t="s">
        <v>505</v>
      </c>
      <c r="AG114" s="18" t="s">
        <v>506</v>
      </c>
      <c r="AH114" s="18" t="s">
        <v>485</v>
      </c>
      <c r="AI114" s="132"/>
      <c r="AK114" s="77">
        <f t="shared" si="8"/>
        <v>2</v>
      </c>
      <c r="AL114" t="str">
        <f t="shared" si="10"/>
        <v>non-LVC</v>
      </c>
      <c r="AM114" s="105" t="str" cm="1">
        <f t="array" ref="AM114">IF(OR(O114:O271="zero_recoverable", "zero_exalt", "zero_other", "zero_uncertain"),
   "Yes","No")</f>
        <v>Yes</v>
      </c>
      <c r="AN114">
        <f>1 + COUNTIF($V$2:V113,"main")</f>
        <v>31</v>
      </c>
      <c r="AO114" t="str">
        <f t="shared" si="11"/>
        <v>inf</v>
      </c>
      <c r="AP114">
        <f t="shared" si="12"/>
        <v>1</v>
      </c>
      <c r="AQ114">
        <f>IF(AP115=0,"",COUNTIFS($AN$2:$AN115,$AN115,$AP$2:$AP115,1))</f>
        <v>9</v>
      </c>
      <c r="AR114">
        <v>1</v>
      </c>
      <c r="AS114" t="s">
        <v>461</v>
      </c>
      <c r="AT114" t="s">
        <v>462</v>
      </c>
      <c r="AU114">
        <f t="shared" si="14"/>
        <v>1</v>
      </c>
      <c r="AV114">
        <f t="shared" si="15"/>
        <v>0</v>
      </c>
    </row>
    <row r="115" spans="1:48">
      <c r="A115" s="28" t="s">
        <v>140</v>
      </c>
      <c r="B115" s="11" t="s">
        <v>606</v>
      </c>
      <c r="C115" s="110" t="s">
        <v>608</v>
      </c>
      <c r="D115" s="12" t="s">
        <v>610</v>
      </c>
      <c r="E115" s="12" t="s">
        <v>1056</v>
      </c>
      <c r="F115" s="12" t="s">
        <v>550</v>
      </c>
      <c r="G115" s="74" t="s">
        <v>434</v>
      </c>
      <c r="H115" s="12" t="s">
        <v>441</v>
      </c>
      <c r="I115" s="12" t="s">
        <v>452</v>
      </c>
      <c r="J115" s="12" t="s">
        <v>454</v>
      </c>
      <c r="K115" s="12">
        <v>1</v>
      </c>
      <c r="L115" s="13">
        <v>2</v>
      </c>
      <c r="M115" s="13" t="s">
        <v>542</v>
      </c>
      <c r="N115" s="13">
        <v>0</v>
      </c>
      <c r="O115" s="14" t="s">
        <v>461</v>
      </c>
      <c r="P115" s="14">
        <v>3</v>
      </c>
      <c r="Q115" s="14" t="s">
        <v>462</v>
      </c>
      <c r="R115" s="14" t="s">
        <v>462</v>
      </c>
      <c r="S115" s="15">
        <v>0</v>
      </c>
      <c r="T115" s="15">
        <v>0</v>
      </c>
      <c r="U115" s="16" t="s">
        <v>484</v>
      </c>
      <c r="V115" s="16" t="s">
        <v>539</v>
      </c>
      <c r="W115" s="17">
        <v>0</v>
      </c>
      <c r="X115" s="17">
        <v>1</v>
      </c>
      <c r="Y115" s="17" t="s">
        <v>521</v>
      </c>
      <c r="Z115" s="17" t="s">
        <v>512</v>
      </c>
      <c r="AA115" s="31">
        <v>0</v>
      </c>
      <c r="AB115" s="18" t="s">
        <v>439</v>
      </c>
      <c r="AC115" s="156" t="s">
        <v>537</v>
      </c>
      <c r="AD115" s="125" t="str">
        <f t="shared" si="9"/>
        <v/>
      </c>
      <c r="AE115" s="160" t="s">
        <v>505</v>
      </c>
      <c r="AF115" t="s">
        <v>505</v>
      </c>
      <c r="AG115" s="18" t="s">
        <v>525</v>
      </c>
      <c r="AH115" s="18" t="s">
        <v>485</v>
      </c>
      <c r="AI115" s="132"/>
      <c r="AK115" s="77">
        <f t="shared" si="8"/>
        <v>2</v>
      </c>
      <c r="AL115" t="str">
        <f t="shared" si="10"/>
        <v>non-LVC</v>
      </c>
      <c r="AM115" s="105" t="str" cm="1">
        <f t="array" ref="AM115">IF(OR(O115:O272="zero_recoverable", "zero_exalt", "zero_other", "zero_uncertain"),
   "Yes","No")</f>
        <v>Yes</v>
      </c>
      <c r="AN115">
        <f>1 + COUNTIF($V$2:V114,"main")</f>
        <v>31</v>
      </c>
      <c r="AO115" t="str">
        <f t="shared" si="11"/>
        <v>te</v>
      </c>
      <c r="AP115">
        <f t="shared" si="12"/>
        <v>1</v>
      </c>
      <c r="AQ115">
        <f>IF(AP116=0,"",COUNTIFS($AN$2:$AN116,$AN116,$AP$2:$AP116,1))</f>
        <v>10</v>
      </c>
      <c r="AR115">
        <f t="shared" si="13"/>
        <v>0</v>
      </c>
      <c r="AS115" t="s">
        <v>462</v>
      </c>
      <c r="AT115" t="s">
        <v>462</v>
      </c>
      <c r="AU115">
        <f t="shared" si="14"/>
        <v>0</v>
      </c>
      <c r="AV115">
        <f t="shared" si="15"/>
        <v>0</v>
      </c>
    </row>
    <row r="116" spans="1:48">
      <c r="A116" s="28" t="s">
        <v>141</v>
      </c>
      <c r="B116" s="11" t="s">
        <v>611</v>
      </c>
      <c r="C116" s="110" t="s">
        <v>613</v>
      </c>
      <c r="D116" s="12" t="s">
        <v>615</v>
      </c>
      <c r="E116" s="12" t="s">
        <v>1056</v>
      </c>
      <c r="F116" s="12" t="s">
        <v>446</v>
      </c>
      <c r="G116" s="74" t="s">
        <v>434</v>
      </c>
      <c r="H116" s="12" t="s">
        <v>441</v>
      </c>
      <c r="I116" s="12" t="s">
        <v>452</v>
      </c>
      <c r="J116" s="12" t="s">
        <v>454</v>
      </c>
      <c r="K116" s="12">
        <v>1</v>
      </c>
      <c r="L116" s="13">
        <v>3</v>
      </c>
      <c r="M116" s="37" t="s">
        <v>616</v>
      </c>
      <c r="N116" s="13">
        <v>2</v>
      </c>
      <c r="O116" s="14" t="s">
        <v>462</v>
      </c>
      <c r="P116" s="14">
        <v>3</v>
      </c>
      <c r="Q116" s="14" t="s">
        <v>462</v>
      </c>
      <c r="R116" s="14" t="s">
        <v>462</v>
      </c>
      <c r="S116" s="15">
        <v>0</v>
      </c>
      <c r="T116" s="15">
        <v>0</v>
      </c>
      <c r="U116" s="16" t="s">
        <v>484</v>
      </c>
      <c r="V116" s="16" t="s">
        <v>537</v>
      </c>
      <c r="W116" s="17">
        <v>0</v>
      </c>
      <c r="X116" s="17">
        <v>0</v>
      </c>
      <c r="Y116" s="17" t="s">
        <v>484</v>
      </c>
      <c r="Z116" s="17" t="s">
        <v>484</v>
      </c>
      <c r="AA116" s="31">
        <v>0</v>
      </c>
      <c r="AB116" s="18" t="s">
        <v>439</v>
      </c>
      <c r="AC116" s="156" t="s">
        <v>539</v>
      </c>
      <c r="AD116" s="125" t="s">
        <v>1134</v>
      </c>
      <c r="AE116" s="160" t="s">
        <v>505</v>
      </c>
      <c r="AF116" t="s">
        <v>505</v>
      </c>
      <c r="AG116" s="18" t="s">
        <v>525</v>
      </c>
      <c r="AH116" s="18" t="s">
        <v>485</v>
      </c>
      <c r="AI116" s="132"/>
      <c r="AK116" s="77">
        <f t="shared" si="8"/>
        <v>3</v>
      </c>
      <c r="AL116" t="str">
        <f t="shared" si="10"/>
        <v>non-LVC</v>
      </c>
      <c r="AM116" s="105" t="str" cm="1">
        <f t="array" ref="AM116">IF(OR(O116:O273="zero_recoverable", "zero_exalt", "zero_other", "zero_uncertain"),
   "Yes","No")</f>
        <v>Yes</v>
      </c>
      <c r="AN116">
        <f>1 + COUNTIF($V$2:V115,"main")</f>
        <v>31</v>
      </c>
      <c r="AO116" t="str">
        <f t="shared" si="11"/>
        <v>relative</v>
      </c>
      <c r="AP116">
        <f t="shared" si="12"/>
        <v>1</v>
      </c>
      <c r="AQ116" t="str">
        <f>IF(AP117=0,"",COUNTIFS($AN$2:$AN117,$AN117,$AP$2:$AP117,1))</f>
        <v/>
      </c>
      <c r="AR116">
        <f t="shared" si="13"/>
        <v>0</v>
      </c>
      <c r="AS116" t="s">
        <v>526</v>
      </c>
      <c r="AT116" t="s">
        <v>439</v>
      </c>
      <c r="AU116">
        <f t="shared" si="14"/>
        <v>1</v>
      </c>
      <c r="AV116">
        <f t="shared" si="15"/>
        <v>0</v>
      </c>
    </row>
    <row r="117" spans="1:48">
      <c r="A117" s="28" t="s">
        <v>142</v>
      </c>
      <c r="B117" s="11" t="s">
        <v>612</v>
      </c>
      <c r="C117" s="110" t="s">
        <v>614</v>
      </c>
      <c r="D117" s="12" t="s">
        <v>1060</v>
      </c>
      <c r="E117" s="12" t="s">
        <v>1056</v>
      </c>
      <c r="F117" s="12" t="s">
        <v>446</v>
      </c>
      <c r="G117" s="74" t="s">
        <v>434</v>
      </c>
      <c r="H117" s="12" t="s">
        <v>442</v>
      </c>
      <c r="I117" s="12" t="s">
        <v>452</v>
      </c>
      <c r="J117" s="12" t="s">
        <v>454</v>
      </c>
      <c r="K117" s="12">
        <v>1</v>
      </c>
      <c r="L117" s="13">
        <v>1</v>
      </c>
      <c r="M117" s="13" t="s">
        <v>456</v>
      </c>
      <c r="N117" s="13">
        <v>0</v>
      </c>
      <c r="O117" s="14" t="s">
        <v>526</v>
      </c>
      <c r="P117" s="14">
        <v>3</v>
      </c>
      <c r="Q117" s="14" t="s">
        <v>484</v>
      </c>
      <c r="R117" s="14" t="s">
        <v>462</v>
      </c>
      <c r="S117" s="15">
        <v>0</v>
      </c>
      <c r="T117" s="15">
        <v>1</v>
      </c>
      <c r="U117" s="16" t="s">
        <v>464</v>
      </c>
      <c r="V117" s="16" t="s">
        <v>466</v>
      </c>
      <c r="W117" s="17">
        <v>0</v>
      </c>
      <c r="X117" s="17">
        <v>0</v>
      </c>
      <c r="Y117" s="17" t="s">
        <v>484</v>
      </c>
      <c r="Z117" s="17" t="s">
        <v>484</v>
      </c>
      <c r="AA117" s="31">
        <v>0</v>
      </c>
      <c r="AB117" s="18" t="s">
        <v>439</v>
      </c>
      <c r="AC117" s="156" t="s">
        <v>537</v>
      </c>
      <c r="AD117" s="125" t="str">
        <f t="shared" si="9"/>
        <v/>
      </c>
      <c r="AE117" s="160" t="s">
        <v>505</v>
      </c>
      <c r="AF117" t="s">
        <v>484</v>
      </c>
      <c r="AG117" s="18" t="s">
        <v>525</v>
      </c>
      <c r="AH117" s="18" t="s">
        <v>485</v>
      </c>
      <c r="AI117" s="132"/>
      <c r="AK117" s="77">
        <f t="shared" si="8"/>
        <v>1</v>
      </c>
      <c r="AL117" t="str">
        <f t="shared" si="10"/>
        <v>non-LVC</v>
      </c>
      <c r="AM117" s="105" t="str" cm="1">
        <f t="array" ref="AM117">IF(OR(O117:O274="zero_recoverable", "zero_exalt", "zero_other", "zero_uncertain"),
   "Yes","No")</f>
        <v>Yes</v>
      </c>
      <c r="AN117">
        <f>1 + COUNTIF($V$2:V116,"main")</f>
        <v>31</v>
      </c>
      <c r="AO117" t="str">
        <f t="shared" si="11"/>
        <v>relative</v>
      </c>
      <c r="AP117">
        <f t="shared" si="12"/>
        <v>0</v>
      </c>
      <c r="AQ117" t="str">
        <f>IF(AP118=0,"",COUNTIFS($AN$2:$AN118,$AN118,$AP$2:$AP118,1))</f>
        <v/>
      </c>
      <c r="AR117">
        <f t="shared" si="13"/>
        <v>0</v>
      </c>
      <c r="AS117" t="s">
        <v>460</v>
      </c>
      <c r="AT117" t="s">
        <v>484</v>
      </c>
      <c r="AU117">
        <f t="shared" si="14"/>
        <v>0</v>
      </c>
      <c r="AV117">
        <f t="shared" si="15"/>
        <v>0</v>
      </c>
    </row>
    <row r="118" spans="1:48">
      <c r="A118" s="28" t="s">
        <v>143</v>
      </c>
      <c r="B118" s="11" t="s">
        <v>621</v>
      </c>
      <c r="C118" s="110" t="s">
        <v>619</v>
      </c>
      <c r="D118" s="12" t="s">
        <v>618</v>
      </c>
      <c r="E118" s="12" t="s">
        <v>1056</v>
      </c>
      <c r="F118" s="12" t="s">
        <v>550</v>
      </c>
      <c r="G118" s="74" t="s">
        <v>434</v>
      </c>
      <c r="H118" s="12" t="s">
        <v>441</v>
      </c>
      <c r="I118" s="12" t="s">
        <v>452</v>
      </c>
      <c r="J118" s="12" t="s">
        <v>455</v>
      </c>
      <c r="K118" s="12">
        <v>1</v>
      </c>
      <c r="L118" s="13">
        <v>0</v>
      </c>
      <c r="M118" s="13" t="s">
        <v>484</v>
      </c>
      <c r="N118" s="13">
        <v>1</v>
      </c>
      <c r="O118" s="14" t="s">
        <v>460</v>
      </c>
      <c r="P118" s="14">
        <v>3</v>
      </c>
      <c r="Q118" s="14" t="s">
        <v>484</v>
      </c>
      <c r="R118" s="14" t="s">
        <v>484</v>
      </c>
      <c r="S118" s="15">
        <v>1</v>
      </c>
      <c r="T118" s="15">
        <v>0</v>
      </c>
      <c r="U118" s="16" t="s">
        <v>464</v>
      </c>
      <c r="V118" s="16" t="s">
        <v>466</v>
      </c>
      <c r="W118" s="17">
        <v>0</v>
      </c>
      <c r="X118" s="17">
        <v>0</v>
      </c>
      <c r="Y118" s="17" t="s">
        <v>484</v>
      </c>
      <c r="Z118" s="17" t="s">
        <v>484</v>
      </c>
      <c r="AA118" s="31">
        <v>0</v>
      </c>
      <c r="AB118" s="18" t="s">
        <v>439</v>
      </c>
      <c r="AC118" s="156" t="s">
        <v>466</v>
      </c>
      <c r="AD118" s="125" t="str">
        <f t="shared" si="9"/>
        <v/>
      </c>
      <c r="AE118" s="159" t="s">
        <v>484</v>
      </c>
      <c r="AF118" t="s">
        <v>507</v>
      </c>
      <c r="AG118" s="18" t="s">
        <v>525</v>
      </c>
      <c r="AH118" s="18" t="s">
        <v>485</v>
      </c>
      <c r="AI118" s="132"/>
      <c r="AK118" s="77">
        <f t="shared" si="8"/>
        <v>0</v>
      </c>
      <c r="AL118" t="str">
        <f t="shared" si="10"/>
        <v>non-LVC</v>
      </c>
      <c r="AM118" s="105" t="str" cm="1">
        <f t="array" ref="AM118">IF(OR(O118:O275="zero_recoverable", "zero_exalt", "zero_other", "zero_uncertain"),
   "Yes","No")</f>
        <v>Yes</v>
      </c>
      <c r="AN118">
        <f>1 + COUNTIF($V$2:V117,"main")</f>
        <v>31</v>
      </c>
      <c r="AO118" t="str">
        <f t="shared" si="11"/>
        <v>main</v>
      </c>
      <c r="AP118">
        <f t="shared" si="12"/>
        <v>0</v>
      </c>
      <c r="AQ118">
        <f>IF(AP119=0,"",COUNTIFS($AN$2:$AN119,$AN119,$AP$2:$AP119,1))</f>
        <v>11</v>
      </c>
      <c r="AR118">
        <f t="shared" si="13"/>
        <v>0</v>
      </c>
      <c r="AS118" t="s">
        <v>462</v>
      </c>
      <c r="AT118" t="s">
        <v>484</v>
      </c>
      <c r="AU118">
        <f t="shared" si="14"/>
        <v>0</v>
      </c>
      <c r="AV118">
        <f t="shared" si="15"/>
        <v>0</v>
      </c>
    </row>
    <row r="119" spans="1:48">
      <c r="A119" s="28" t="s">
        <v>144</v>
      </c>
      <c r="B119" s="11" t="s">
        <v>617</v>
      </c>
      <c r="C119" s="110" t="s">
        <v>620</v>
      </c>
      <c r="D119" s="12" t="s">
        <v>419</v>
      </c>
      <c r="E119" s="12" t="s">
        <v>1056</v>
      </c>
      <c r="F119" s="12" t="s">
        <v>445</v>
      </c>
      <c r="G119" s="74" t="s">
        <v>436</v>
      </c>
      <c r="H119" s="12" t="s">
        <v>442</v>
      </c>
      <c r="I119" s="12" t="s">
        <v>452</v>
      </c>
      <c r="J119" s="12" t="s">
        <v>454</v>
      </c>
      <c r="K119" s="12">
        <v>1</v>
      </c>
      <c r="L119" s="13">
        <v>1</v>
      </c>
      <c r="M119" s="13" t="s">
        <v>457</v>
      </c>
      <c r="N119" s="13">
        <v>0</v>
      </c>
      <c r="O119" s="14" t="s">
        <v>462</v>
      </c>
      <c r="P119" s="14">
        <v>3</v>
      </c>
      <c r="Q119" s="14" t="s">
        <v>484</v>
      </c>
      <c r="R119" s="14" t="s">
        <v>484</v>
      </c>
      <c r="S119" s="15">
        <v>0</v>
      </c>
      <c r="T119" s="15">
        <v>0</v>
      </c>
      <c r="U119" s="16" t="s">
        <v>484</v>
      </c>
      <c r="V119" s="16" t="s">
        <v>467</v>
      </c>
      <c r="W119" s="17">
        <v>0</v>
      </c>
      <c r="X119" s="17">
        <v>0</v>
      </c>
      <c r="Y119" s="17" t="s">
        <v>484</v>
      </c>
      <c r="Z119" s="17" t="s">
        <v>484</v>
      </c>
      <c r="AA119" s="31">
        <v>0</v>
      </c>
      <c r="AB119" s="18" t="s">
        <v>439</v>
      </c>
      <c r="AC119" s="156" t="s">
        <v>466</v>
      </c>
      <c r="AD119" s="125" t="str">
        <f t="shared" si="9"/>
        <v/>
      </c>
      <c r="AE119" s="160" t="s">
        <v>507</v>
      </c>
      <c r="AF119" t="s">
        <v>507</v>
      </c>
      <c r="AG119" s="18" t="s">
        <v>525</v>
      </c>
      <c r="AH119" s="18" t="s">
        <v>485</v>
      </c>
      <c r="AI119" s="132"/>
      <c r="AK119" s="77">
        <f t="shared" si="8"/>
        <v>1</v>
      </c>
      <c r="AL119" t="str">
        <f t="shared" si="10"/>
        <v>non-LVC</v>
      </c>
      <c r="AM119" s="105" t="str" cm="1">
        <f t="array" ref="AM119">IF(OR(O119:O276="zero_recoverable", "zero_exalt", "zero_other", "zero_uncertain"),
   "Yes","No")</f>
        <v>Yes</v>
      </c>
      <c r="AN119">
        <f>1 + COUNTIF($V$2:V118,"main")</f>
        <v>31</v>
      </c>
      <c r="AO119" t="str">
        <f t="shared" si="11"/>
        <v/>
      </c>
      <c r="AP119">
        <f t="shared" si="12"/>
        <v>1</v>
      </c>
      <c r="AQ119">
        <f>IF(AP120=0,"",COUNTIFS($AN$2:$AN120,$AN120,$AP$2:$AP120,1))</f>
        <v>1</v>
      </c>
      <c r="AR119">
        <v>0</v>
      </c>
      <c r="AS119" t="s">
        <v>462</v>
      </c>
      <c r="AT119" t="s">
        <v>484</v>
      </c>
      <c r="AU119">
        <f t="shared" si="14"/>
        <v>0</v>
      </c>
      <c r="AV119">
        <f t="shared" si="15"/>
        <v>0</v>
      </c>
    </row>
    <row r="120" spans="1:48">
      <c r="A120" s="28" t="s">
        <v>145</v>
      </c>
      <c r="B120" s="11" t="s">
        <v>228</v>
      </c>
      <c r="C120" s="110" t="s">
        <v>319</v>
      </c>
      <c r="D120" s="12" t="s">
        <v>420</v>
      </c>
      <c r="E120" s="12" t="s">
        <v>1056</v>
      </c>
      <c r="F120" s="12" t="s">
        <v>446</v>
      </c>
      <c r="G120" s="74" t="s">
        <v>435</v>
      </c>
      <c r="H120" s="12" t="s">
        <v>442</v>
      </c>
      <c r="I120" s="12" t="s">
        <v>452</v>
      </c>
      <c r="J120" s="12" t="s">
        <v>454</v>
      </c>
      <c r="K120" s="12">
        <v>1</v>
      </c>
      <c r="L120" s="13">
        <v>1</v>
      </c>
      <c r="M120" s="13" t="s">
        <v>457</v>
      </c>
      <c r="N120" s="13">
        <v>1</v>
      </c>
      <c r="O120" s="14" t="s">
        <v>462</v>
      </c>
      <c r="P120" s="14">
        <v>3</v>
      </c>
      <c r="Q120" s="14" t="s">
        <v>484</v>
      </c>
      <c r="R120" s="14" t="s">
        <v>484</v>
      </c>
      <c r="S120" s="15">
        <v>0</v>
      </c>
      <c r="T120" s="15">
        <v>0</v>
      </c>
      <c r="U120" s="16" t="s">
        <v>484</v>
      </c>
      <c r="V120" s="16" t="s">
        <v>539</v>
      </c>
      <c r="W120" s="17">
        <v>0</v>
      </c>
      <c r="X120" s="17">
        <v>0</v>
      </c>
      <c r="Y120" s="17" t="s">
        <v>484</v>
      </c>
      <c r="Z120" s="17" t="s">
        <v>484</v>
      </c>
      <c r="AA120" s="31">
        <v>0</v>
      </c>
      <c r="AB120" s="18" t="s">
        <v>439</v>
      </c>
      <c r="AC120" s="156" t="s">
        <v>467</v>
      </c>
      <c r="AD120" s="125" t="str">
        <f t="shared" si="9"/>
        <v/>
      </c>
      <c r="AE120" s="160" t="s">
        <v>507</v>
      </c>
      <c r="AF120" t="s">
        <v>505</v>
      </c>
      <c r="AG120" s="18" t="s">
        <v>525</v>
      </c>
      <c r="AH120" s="18" t="s">
        <v>533</v>
      </c>
      <c r="AI120" s="132"/>
      <c r="AK120" s="77">
        <f t="shared" si="8"/>
        <v>1</v>
      </c>
      <c r="AL120" t="str">
        <f t="shared" si="10"/>
        <v>LVC</v>
      </c>
      <c r="AM120" s="105" t="str" cm="1">
        <f t="array" ref="AM120">IF(OR(O120:O277="zero_recoverable", "zero_exalt", "zero_other", "zero_uncertain"),
   "Yes","No")</f>
        <v>Yes</v>
      </c>
      <c r="AN120">
        <f>1 + COUNTIF($V$2:V119,"main")</f>
        <v>32</v>
      </c>
      <c r="AO120" t="str">
        <f t="shared" si="11"/>
        <v/>
      </c>
      <c r="AP120">
        <f t="shared" si="12"/>
        <v>1</v>
      </c>
      <c r="AQ120">
        <f>IF(AP121=0,"",COUNTIFS($AN$2:$AN121,$AN121,$AP$2:$AP121,1))</f>
        <v>2</v>
      </c>
      <c r="AR120">
        <v>1</v>
      </c>
      <c r="AS120" t="s">
        <v>462</v>
      </c>
      <c r="AT120" t="s">
        <v>462</v>
      </c>
      <c r="AU120">
        <f t="shared" si="14"/>
        <v>0</v>
      </c>
      <c r="AV120">
        <f t="shared" si="15"/>
        <v>0</v>
      </c>
    </row>
    <row r="121" spans="1:48">
      <c r="A121" s="28" t="s">
        <v>146</v>
      </c>
      <c r="B121" s="11" t="s">
        <v>622</v>
      </c>
      <c r="C121" s="110" t="s">
        <v>320</v>
      </c>
      <c r="D121" s="12" t="s">
        <v>421</v>
      </c>
      <c r="E121" s="12" t="s">
        <v>715</v>
      </c>
      <c r="F121" s="12" t="s">
        <v>445</v>
      </c>
      <c r="G121" s="74" t="s">
        <v>434</v>
      </c>
      <c r="H121" s="12" t="s">
        <v>441</v>
      </c>
      <c r="I121" s="12" t="s">
        <v>452</v>
      </c>
      <c r="J121" s="12" t="s">
        <v>454</v>
      </c>
      <c r="K121" s="12">
        <v>1</v>
      </c>
      <c r="L121" s="13">
        <v>1</v>
      </c>
      <c r="M121" s="13" t="s">
        <v>457</v>
      </c>
      <c r="N121" s="13">
        <v>0</v>
      </c>
      <c r="O121" s="14" t="s">
        <v>462</v>
      </c>
      <c r="P121" s="14">
        <v>3</v>
      </c>
      <c r="Q121" s="38" t="s">
        <v>462</v>
      </c>
      <c r="R121" s="14" t="s">
        <v>484</v>
      </c>
      <c r="S121" s="15">
        <v>0</v>
      </c>
      <c r="T121" s="15">
        <v>0</v>
      </c>
      <c r="U121" s="16" t="s">
        <v>484</v>
      </c>
      <c r="V121" s="16" t="s">
        <v>467</v>
      </c>
      <c r="W121" s="17">
        <v>0</v>
      </c>
      <c r="X121" s="17">
        <v>0</v>
      </c>
      <c r="Y121" s="17" t="s">
        <v>484</v>
      </c>
      <c r="Z121" s="17" t="s">
        <v>484</v>
      </c>
      <c r="AA121" s="31">
        <v>0</v>
      </c>
      <c r="AB121" s="18" t="s">
        <v>439</v>
      </c>
      <c r="AC121" s="156" t="s">
        <v>539</v>
      </c>
      <c r="AD121" s="125" t="str">
        <f t="shared" si="9"/>
        <v/>
      </c>
      <c r="AE121" s="160" t="s">
        <v>505</v>
      </c>
      <c r="AF121" t="s">
        <v>507</v>
      </c>
      <c r="AG121" s="18" t="s">
        <v>525</v>
      </c>
      <c r="AH121" s="18" t="s">
        <v>485</v>
      </c>
      <c r="AI121" s="132"/>
      <c r="AK121" s="77">
        <f t="shared" si="8"/>
        <v>1</v>
      </c>
      <c r="AL121" t="str">
        <f t="shared" si="10"/>
        <v>non-LVC</v>
      </c>
      <c r="AM121" s="105" t="str" cm="1">
        <f t="array" ref="AM121">IF(OR(O121:O278="zero_recoverable", "zero_exalt", "zero_other", "zero_uncertain"),
   "Yes","No")</f>
        <v>Yes</v>
      </c>
      <c r="AN121">
        <f>1 + COUNTIF($V$2:V120,"main")</f>
        <v>32</v>
      </c>
      <c r="AO121" t="str">
        <f t="shared" si="11"/>
        <v>te</v>
      </c>
      <c r="AP121">
        <f t="shared" si="12"/>
        <v>1</v>
      </c>
      <c r="AQ121">
        <f>IF(AP122=0,"",COUNTIFS($AN$2:$AN122,$AN122,$AP$2:$AP122,1))</f>
        <v>1</v>
      </c>
      <c r="AR121">
        <v>0</v>
      </c>
      <c r="AS121" t="s">
        <v>460</v>
      </c>
      <c r="AT121" t="s">
        <v>462</v>
      </c>
      <c r="AU121">
        <f t="shared" si="14"/>
        <v>1</v>
      </c>
      <c r="AV121">
        <f t="shared" si="15"/>
        <v>0</v>
      </c>
    </row>
    <row r="122" spans="1:48">
      <c r="A122" s="28" t="s">
        <v>147</v>
      </c>
      <c r="B122" s="11" t="s">
        <v>624</v>
      </c>
      <c r="C122" s="110" t="s">
        <v>627</v>
      </c>
      <c r="D122" s="12" t="s">
        <v>625</v>
      </c>
      <c r="E122" s="12" t="s">
        <v>1056</v>
      </c>
      <c r="F122" s="12" t="s">
        <v>550</v>
      </c>
      <c r="G122" s="74" t="s">
        <v>434</v>
      </c>
      <c r="H122" s="12" t="s">
        <v>441</v>
      </c>
      <c r="I122" s="12" t="s">
        <v>452</v>
      </c>
      <c r="J122" s="12" t="s">
        <v>454</v>
      </c>
      <c r="K122" s="12">
        <v>1</v>
      </c>
      <c r="L122" s="13">
        <v>1</v>
      </c>
      <c r="M122" s="13" t="s">
        <v>465</v>
      </c>
      <c r="N122" s="13">
        <v>0</v>
      </c>
      <c r="O122" s="14" t="s">
        <v>460</v>
      </c>
      <c r="P122" s="14">
        <v>3</v>
      </c>
      <c r="Q122" s="14" t="s">
        <v>462</v>
      </c>
      <c r="R122" s="14" t="s">
        <v>484</v>
      </c>
      <c r="S122" s="15">
        <v>0</v>
      </c>
      <c r="T122" s="15">
        <v>0</v>
      </c>
      <c r="U122" s="16" t="s">
        <v>484</v>
      </c>
      <c r="V122" s="16" t="s">
        <v>537</v>
      </c>
      <c r="W122" s="17">
        <v>0</v>
      </c>
      <c r="X122" s="17">
        <v>0</v>
      </c>
      <c r="Y122" s="17" t="s">
        <v>484</v>
      </c>
      <c r="Z122" s="17" t="s">
        <v>484</v>
      </c>
      <c r="AA122" s="31">
        <v>0</v>
      </c>
      <c r="AB122" s="18" t="s">
        <v>439</v>
      </c>
      <c r="AC122" s="156" t="s">
        <v>467</v>
      </c>
      <c r="AD122" s="125" t="s">
        <v>1134</v>
      </c>
      <c r="AE122" s="160" t="s">
        <v>507</v>
      </c>
      <c r="AF122" t="s">
        <v>505</v>
      </c>
      <c r="AG122" s="18" t="s">
        <v>525</v>
      </c>
      <c r="AH122" s="18" t="s">
        <v>485</v>
      </c>
      <c r="AI122" s="132"/>
      <c r="AK122" s="77">
        <f t="shared" si="8"/>
        <v>1</v>
      </c>
      <c r="AL122" t="str">
        <f t="shared" si="10"/>
        <v>non-LVC</v>
      </c>
      <c r="AM122" s="105" t="str" cm="1">
        <f t="array" ref="AM122">IF(OR(O122:O279="zero_recoverable", "zero_exalt", "zero_other", "zero_uncertain"),
   "Yes","No")</f>
        <v>Yes</v>
      </c>
      <c r="AN122">
        <f>1 + COUNTIF($V$2:V121,"main")</f>
        <v>33</v>
      </c>
      <c r="AO122" t="str">
        <f t="shared" si="11"/>
        <v/>
      </c>
      <c r="AP122">
        <f t="shared" si="12"/>
        <v>1</v>
      </c>
      <c r="AQ122" t="str">
        <f>IF(AP123=0,"",COUNTIFS($AN$2:$AN123,$AN123,$AP$2:$AP123,1))</f>
        <v/>
      </c>
      <c r="AR122">
        <f t="shared" si="13"/>
        <v>0</v>
      </c>
      <c r="AS122" t="s">
        <v>526</v>
      </c>
      <c r="AT122" t="s">
        <v>484</v>
      </c>
      <c r="AU122">
        <f t="shared" si="14"/>
        <v>0</v>
      </c>
      <c r="AV122">
        <f t="shared" si="15"/>
        <v>0</v>
      </c>
    </row>
    <row r="123" spans="1:48">
      <c r="A123" s="28" t="s">
        <v>148</v>
      </c>
      <c r="B123" s="11" t="s">
        <v>629</v>
      </c>
      <c r="C123" s="110" t="s">
        <v>628</v>
      </c>
      <c r="D123" s="12" t="s">
        <v>626</v>
      </c>
      <c r="E123" s="12" t="s">
        <v>713</v>
      </c>
      <c r="F123" s="12" t="s">
        <v>550</v>
      </c>
      <c r="G123" s="74" t="s">
        <v>435</v>
      </c>
      <c r="H123" s="12" t="s">
        <v>442</v>
      </c>
      <c r="I123" s="12" t="s">
        <v>453</v>
      </c>
      <c r="J123" s="12" t="s">
        <v>454</v>
      </c>
      <c r="K123" s="12">
        <v>1</v>
      </c>
      <c r="L123" s="13">
        <v>0</v>
      </c>
      <c r="M123" s="13" t="s">
        <v>484</v>
      </c>
      <c r="N123" s="13">
        <v>0</v>
      </c>
      <c r="O123" s="14" t="s">
        <v>526</v>
      </c>
      <c r="P123" s="14">
        <v>3</v>
      </c>
      <c r="Q123" s="14" t="s">
        <v>484</v>
      </c>
      <c r="R123" s="14" t="s">
        <v>484</v>
      </c>
      <c r="S123" s="15">
        <v>0</v>
      </c>
      <c r="T123" s="15">
        <v>1</v>
      </c>
      <c r="U123" s="16" t="s">
        <v>464</v>
      </c>
      <c r="V123" s="16" t="s">
        <v>466</v>
      </c>
      <c r="W123" s="17">
        <v>0</v>
      </c>
      <c r="X123" s="17">
        <v>0</v>
      </c>
      <c r="Y123" s="17" t="s">
        <v>484</v>
      </c>
      <c r="Z123" s="17" t="s">
        <v>484</v>
      </c>
      <c r="AA123" s="31">
        <v>0</v>
      </c>
      <c r="AB123" s="18" t="s">
        <v>439</v>
      </c>
      <c r="AC123" s="156" t="s">
        <v>537</v>
      </c>
      <c r="AD123" s="125" t="str">
        <f t="shared" si="9"/>
        <v/>
      </c>
      <c r="AE123" s="160" t="s">
        <v>505</v>
      </c>
      <c r="AF123" t="s">
        <v>507</v>
      </c>
      <c r="AG123" s="18" t="s">
        <v>525</v>
      </c>
      <c r="AH123" s="18" t="s">
        <v>474</v>
      </c>
      <c r="AI123" s="132"/>
      <c r="AK123" s="77">
        <f t="shared" si="8"/>
        <v>0</v>
      </c>
      <c r="AL123" t="str">
        <f t="shared" si="10"/>
        <v>LVC</v>
      </c>
      <c r="AM123" s="105" t="str" cm="1">
        <f t="array" ref="AM123">IF(OR(O123:O280="zero_recoverable", "zero_exalt", "zero_other", "zero_uncertain"),
   "Yes","No")</f>
        <v>Yes</v>
      </c>
      <c r="AN123">
        <f>1 + COUNTIF($V$2:V122,"main")</f>
        <v>33</v>
      </c>
      <c r="AO123" t="str">
        <f t="shared" si="11"/>
        <v/>
      </c>
      <c r="AP123">
        <f t="shared" si="12"/>
        <v>0</v>
      </c>
      <c r="AQ123">
        <f>IF(AP124=0,"",COUNTIFS($AN$2:$AN124,$AN124,$AP$2:$AP124,1))</f>
        <v>2</v>
      </c>
      <c r="AR123">
        <f t="shared" si="13"/>
        <v>0</v>
      </c>
      <c r="AS123" t="s">
        <v>462</v>
      </c>
      <c r="AT123" t="s">
        <v>462</v>
      </c>
      <c r="AU123">
        <f t="shared" si="14"/>
        <v>0</v>
      </c>
      <c r="AV123">
        <f t="shared" si="15"/>
        <v>0</v>
      </c>
    </row>
    <row r="124" spans="1:48">
      <c r="A124" s="28" t="s">
        <v>149</v>
      </c>
      <c r="B124" s="11" t="s">
        <v>229</v>
      </c>
      <c r="C124" s="110" t="s">
        <v>321</v>
      </c>
      <c r="D124" s="12" t="s">
        <v>422</v>
      </c>
      <c r="E124" s="12" t="s">
        <v>1056</v>
      </c>
      <c r="F124" s="12" t="s">
        <v>550</v>
      </c>
      <c r="G124" s="74" t="s">
        <v>434</v>
      </c>
      <c r="H124" s="12" t="s">
        <v>441</v>
      </c>
      <c r="I124" s="12" t="s">
        <v>452</v>
      </c>
      <c r="J124" s="12" t="s">
        <v>454</v>
      </c>
      <c r="K124" s="12">
        <v>1</v>
      </c>
      <c r="L124" s="13">
        <v>2</v>
      </c>
      <c r="M124" s="13" t="s">
        <v>459</v>
      </c>
      <c r="N124" s="13">
        <v>1</v>
      </c>
      <c r="O124" s="14" t="s">
        <v>462</v>
      </c>
      <c r="P124" s="14">
        <v>3</v>
      </c>
      <c r="Q124" s="14" t="s">
        <v>462</v>
      </c>
      <c r="R124" s="14" t="s">
        <v>484</v>
      </c>
      <c r="S124" s="15">
        <v>0</v>
      </c>
      <c r="T124" s="15">
        <v>0</v>
      </c>
      <c r="U124" s="16" t="s">
        <v>484</v>
      </c>
      <c r="V124" s="16" t="s">
        <v>493</v>
      </c>
      <c r="W124" s="17">
        <v>1</v>
      </c>
      <c r="X124" s="17">
        <v>0</v>
      </c>
      <c r="Y124" s="17" t="s">
        <v>521</v>
      </c>
      <c r="Z124" s="17" t="s">
        <v>534</v>
      </c>
      <c r="AA124" s="31">
        <v>0</v>
      </c>
      <c r="AB124" s="18" t="s">
        <v>469</v>
      </c>
      <c r="AC124" s="156" t="s">
        <v>466</v>
      </c>
      <c r="AD124" s="125" t="str">
        <f t="shared" si="9"/>
        <v/>
      </c>
      <c r="AE124" s="160" t="s">
        <v>507</v>
      </c>
      <c r="AF124" t="s">
        <v>507</v>
      </c>
      <c r="AG124" s="18" t="s">
        <v>525</v>
      </c>
      <c r="AH124" s="18" t="s">
        <v>485</v>
      </c>
      <c r="AI124" s="132"/>
      <c r="AK124" s="77">
        <f t="shared" si="8"/>
        <v>2</v>
      </c>
      <c r="AL124" t="str">
        <f t="shared" si="10"/>
        <v>non-LVC</v>
      </c>
      <c r="AM124" s="105" t="str" cm="1">
        <f t="array" ref="AM124">IF(OR(O124:O281="zero_recoverable", "zero_exalt", "zero_other", "zero_uncertain"),
   "Yes","No")</f>
        <v>Yes</v>
      </c>
      <c r="AN124">
        <f>1 + COUNTIF($V$2:V123,"main")</f>
        <v>33</v>
      </c>
      <c r="AO124" t="str">
        <f t="shared" si="11"/>
        <v>te</v>
      </c>
      <c r="AP124">
        <f t="shared" si="12"/>
        <v>1</v>
      </c>
      <c r="AQ124">
        <f>IF(AP125=0,"",COUNTIFS($AN$2:$AN125,$AN125,$AP$2:$AP125,1))</f>
        <v>3</v>
      </c>
      <c r="AR124">
        <f t="shared" si="13"/>
        <v>0</v>
      </c>
      <c r="AS124" t="s">
        <v>462</v>
      </c>
      <c r="AT124" t="s">
        <v>484</v>
      </c>
      <c r="AU124">
        <f t="shared" si="14"/>
        <v>0</v>
      </c>
      <c r="AV124">
        <f t="shared" si="15"/>
        <v>0</v>
      </c>
    </row>
    <row r="125" spans="1:48">
      <c r="A125" s="28" t="s">
        <v>150</v>
      </c>
      <c r="B125" s="11" t="s">
        <v>230</v>
      </c>
      <c r="C125" s="110" t="s">
        <v>322</v>
      </c>
      <c r="D125" s="12" t="s">
        <v>423</v>
      </c>
      <c r="E125" s="12" t="s">
        <v>1056</v>
      </c>
      <c r="F125" s="12" t="s">
        <v>550</v>
      </c>
      <c r="G125" s="74" t="s">
        <v>434</v>
      </c>
      <c r="H125" s="12" t="s">
        <v>442</v>
      </c>
      <c r="I125" s="12" t="s">
        <v>452</v>
      </c>
      <c r="J125" s="12" t="s">
        <v>454</v>
      </c>
      <c r="K125" s="12">
        <v>1</v>
      </c>
      <c r="L125" s="13">
        <v>1</v>
      </c>
      <c r="M125" s="13" t="s">
        <v>457</v>
      </c>
      <c r="N125" s="13">
        <v>0</v>
      </c>
      <c r="O125" s="14" t="s">
        <v>462</v>
      </c>
      <c r="P125" s="14">
        <v>3</v>
      </c>
      <c r="Q125" s="14" t="s">
        <v>484</v>
      </c>
      <c r="R125" s="14" t="s">
        <v>484</v>
      </c>
      <c r="S125" s="15">
        <v>0</v>
      </c>
      <c r="T125" s="15">
        <v>0</v>
      </c>
      <c r="U125" s="16" t="s">
        <v>484</v>
      </c>
      <c r="V125" s="16" t="s">
        <v>537</v>
      </c>
      <c r="W125" s="17">
        <v>1</v>
      </c>
      <c r="X125" s="17">
        <v>0</v>
      </c>
      <c r="Y125" s="17" t="s">
        <v>521</v>
      </c>
      <c r="Z125" s="17" t="s">
        <v>534</v>
      </c>
      <c r="AA125" s="31">
        <v>0</v>
      </c>
      <c r="AB125" s="18" t="s">
        <v>439</v>
      </c>
      <c r="AC125" s="156" t="s">
        <v>493</v>
      </c>
      <c r="AD125" s="125" t="s">
        <v>1134</v>
      </c>
      <c r="AE125" s="160" t="s">
        <v>507</v>
      </c>
      <c r="AF125" t="s">
        <v>505</v>
      </c>
      <c r="AG125" s="18" t="s">
        <v>525</v>
      </c>
      <c r="AH125" s="18" t="s">
        <v>485</v>
      </c>
      <c r="AI125" s="132"/>
      <c r="AK125" s="77">
        <f t="shared" si="8"/>
        <v>1</v>
      </c>
      <c r="AL125" t="str">
        <f t="shared" si="10"/>
        <v>non-LVC</v>
      </c>
      <c r="AM125" s="105" t="str" cm="1">
        <f t="array" ref="AM125">IF(OR(O125:O282="zero_recoverable", "zero_exalt", "zero_other", "zero_uncertain"),
   "Yes","No")</f>
        <v>Yes</v>
      </c>
      <c r="AN125">
        <f>1 + COUNTIF($V$2:V124,"main")</f>
        <v>33</v>
      </c>
      <c r="AO125" t="str">
        <f t="shared" si="11"/>
        <v>te</v>
      </c>
      <c r="AP125">
        <f t="shared" si="12"/>
        <v>1</v>
      </c>
      <c r="AQ125">
        <f>IF(AP126=0,"",COUNTIFS($AN$2:$AN126,$AN126,$AP$2:$AP126,1))</f>
        <v>4</v>
      </c>
      <c r="AR125">
        <f t="shared" si="13"/>
        <v>0</v>
      </c>
      <c r="AS125" t="s">
        <v>461</v>
      </c>
      <c r="AT125" t="s">
        <v>462</v>
      </c>
      <c r="AU125">
        <f t="shared" si="14"/>
        <v>1</v>
      </c>
      <c r="AV125">
        <f t="shared" si="15"/>
        <v>0</v>
      </c>
    </row>
    <row r="126" spans="1:48">
      <c r="A126" s="28" t="s">
        <v>151</v>
      </c>
      <c r="B126" s="39" t="s">
        <v>1093</v>
      </c>
      <c r="C126" s="111" t="s">
        <v>631</v>
      </c>
      <c r="D126" s="12" t="s">
        <v>633</v>
      </c>
      <c r="E126" s="12" t="s">
        <v>1056</v>
      </c>
      <c r="F126" s="12" t="s">
        <v>550</v>
      </c>
      <c r="G126" s="40" t="s">
        <v>434</v>
      </c>
      <c r="H126" s="40" t="s">
        <v>442</v>
      </c>
      <c r="I126" s="40" t="s">
        <v>452</v>
      </c>
      <c r="J126" s="40" t="s">
        <v>454</v>
      </c>
      <c r="K126" s="40">
        <v>1</v>
      </c>
      <c r="L126" s="41">
        <v>1</v>
      </c>
      <c r="M126" s="41" t="s">
        <v>465</v>
      </c>
      <c r="N126" s="41">
        <v>0</v>
      </c>
      <c r="O126" s="42" t="s">
        <v>461</v>
      </c>
      <c r="P126" s="42">
        <v>3</v>
      </c>
      <c r="Q126" s="42" t="s">
        <v>462</v>
      </c>
      <c r="R126" s="42" t="s">
        <v>484</v>
      </c>
      <c r="S126" s="43">
        <v>0</v>
      </c>
      <c r="T126" s="43">
        <v>0</v>
      </c>
      <c r="U126" s="16" t="s">
        <v>484</v>
      </c>
      <c r="V126" s="44" t="s">
        <v>537</v>
      </c>
      <c r="W126" s="45">
        <v>0</v>
      </c>
      <c r="X126" s="45">
        <v>1</v>
      </c>
      <c r="Y126" s="45" t="s">
        <v>521</v>
      </c>
      <c r="Z126" s="45" t="s">
        <v>512</v>
      </c>
      <c r="AA126" s="46">
        <v>0</v>
      </c>
      <c r="AB126" s="47" t="s">
        <v>439</v>
      </c>
      <c r="AC126" s="156" t="s">
        <v>537</v>
      </c>
      <c r="AD126" s="125" t="str">
        <f t="shared" si="9"/>
        <v>te_medial</v>
      </c>
      <c r="AE126" s="47" t="s">
        <v>505</v>
      </c>
      <c r="AF126" t="s">
        <v>507</v>
      </c>
      <c r="AG126" s="47" t="s">
        <v>525</v>
      </c>
      <c r="AH126" s="47" t="s">
        <v>485</v>
      </c>
      <c r="AI126" s="133"/>
      <c r="AK126" s="77">
        <f t="shared" si="8"/>
        <v>1</v>
      </c>
      <c r="AL126" t="str">
        <f t="shared" si="10"/>
        <v>non-LVC</v>
      </c>
      <c r="AM126" s="105" t="str" cm="1">
        <f t="array" ref="AM126">IF(OR(O126:O283="zero_recoverable", "zero_exalt", "zero_other", "zero_uncertain"),
   "Yes","No")</f>
        <v>Yes</v>
      </c>
      <c r="AN126">
        <f>1 + COUNTIF($V$2:V125,"main")</f>
        <v>33</v>
      </c>
      <c r="AO126" t="str">
        <f t="shared" si="11"/>
        <v>main</v>
      </c>
      <c r="AP126">
        <f t="shared" si="12"/>
        <v>1</v>
      </c>
      <c r="AQ126">
        <f>IF(AP127=0,"",COUNTIFS($AN$2:$AN127,$AN127,$AP$2:$AP127,1))</f>
        <v>5</v>
      </c>
      <c r="AR126">
        <f t="shared" si="13"/>
        <v>0</v>
      </c>
      <c r="AS126" t="s">
        <v>462</v>
      </c>
      <c r="AT126" t="s">
        <v>484</v>
      </c>
      <c r="AU126">
        <f t="shared" si="14"/>
        <v>0</v>
      </c>
      <c r="AV126">
        <f t="shared" si="15"/>
        <v>0</v>
      </c>
    </row>
    <row r="127" spans="1:48">
      <c r="A127" s="28" t="s">
        <v>152</v>
      </c>
      <c r="B127" s="11" t="s">
        <v>1094</v>
      </c>
      <c r="C127" s="110" t="s">
        <v>632</v>
      </c>
      <c r="D127" s="12" t="s">
        <v>630</v>
      </c>
      <c r="E127" s="12" t="s">
        <v>1056</v>
      </c>
      <c r="F127" s="12" t="s">
        <v>550</v>
      </c>
      <c r="G127" s="74" t="s">
        <v>434</v>
      </c>
      <c r="H127" s="12" t="s">
        <v>442</v>
      </c>
      <c r="I127" s="12" t="s">
        <v>452</v>
      </c>
      <c r="J127" s="12" t="s">
        <v>454</v>
      </c>
      <c r="K127" s="12">
        <v>1</v>
      </c>
      <c r="L127" s="13">
        <v>1</v>
      </c>
      <c r="M127" s="13" t="s">
        <v>457</v>
      </c>
      <c r="N127" s="13">
        <v>0</v>
      </c>
      <c r="O127" s="14" t="s">
        <v>462</v>
      </c>
      <c r="P127" s="14">
        <v>3</v>
      </c>
      <c r="Q127" s="14" t="s">
        <v>484</v>
      </c>
      <c r="R127" s="14" t="s">
        <v>484</v>
      </c>
      <c r="S127" s="15">
        <v>0</v>
      </c>
      <c r="T127" s="15">
        <v>0</v>
      </c>
      <c r="U127" s="16" t="s">
        <v>484</v>
      </c>
      <c r="V127" s="16" t="s">
        <v>467</v>
      </c>
      <c r="W127" s="17">
        <v>1</v>
      </c>
      <c r="X127" s="17">
        <v>0</v>
      </c>
      <c r="Y127" s="17" t="s">
        <v>521</v>
      </c>
      <c r="Z127" s="17" t="s">
        <v>711</v>
      </c>
      <c r="AA127" s="31">
        <v>1</v>
      </c>
      <c r="AB127" s="18" t="s">
        <v>439</v>
      </c>
      <c r="AC127" s="156" t="s">
        <v>537</v>
      </c>
      <c r="AD127" s="125" t="str">
        <f t="shared" si="9"/>
        <v/>
      </c>
      <c r="AE127" s="160" t="s">
        <v>507</v>
      </c>
      <c r="AF127" t="s">
        <v>507</v>
      </c>
      <c r="AG127" s="18" t="s">
        <v>525</v>
      </c>
      <c r="AH127" s="18" t="s">
        <v>485</v>
      </c>
      <c r="AI127" s="132"/>
      <c r="AK127" s="77">
        <f t="shared" si="8"/>
        <v>1</v>
      </c>
      <c r="AL127" t="str">
        <f t="shared" si="10"/>
        <v>non-LVC</v>
      </c>
      <c r="AM127" s="105" t="str" cm="1">
        <f t="array" ref="AM127">IF(OR(O127:O284="zero_recoverable", "zero_exalt", "zero_other", "zero_uncertain"),
   "Yes","No")</f>
        <v>Yes</v>
      </c>
      <c r="AN127">
        <f>1 + COUNTIF($V$2:V126,"main")</f>
        <v>33</v>
      </c>
      <c r="AO127" t="str">
        <f t="shared" si="11"/>
        <v/>
      </c>
      <c r="AP127">
        <f t="shared" si="12"/>
        <v>1</v>
      </c>
      <c r="AQ127">
        <f>IF(AP128=0,"",COUNTIFS($AN$2:$AN128,$AN128,$AP$2:$AP128,1))</f>
        <v>1</v>
      </c>
      <c r="AR127">
        <v>0</v>
      </c>
      <c r="AS127" t="s">
        <v>461</v>
      </c>
      <c r="AT127" t="s">
        <v>460</v>
      </c>
      <c r="AU127">
        <f t="shared" si="14"/>
        <v>1</v>
      </c>
      <c r="AV127">
        <f t="shared" si="15"/>
        <v>0</v>
      </c>
    </row>
    <row r="128" spans="1:48">
      <c r="A128" s="28" t="s">
        <v>153</v>
      </c>
      <c r="B128" s="11" t="s">
        <v>231</v>
      </c>
      <c r="C128" s="110" t="s">
        <v>323</v>
      </c>
      <c r="D128" s="12" t="s">
        <v>400</v>
      </c>
      <c r="E128" s="12" t="s">
        <v>1056</v>
      </c>
      <c r="F128" s="12" t="s">
        <v>550</v>
      </c>
      <c r="G128" s="74" t="s">
        <v>434</v>
      </c>
      <c r="H128" s="12" t="s">
        <v>441</v>
      </c>
      <c r="I128" s="12" t="s">
        <v>452</v>
      </c>
      <c r="J128" s="12" t="s">
        <v>454</v>
      </c>
      <c r="K128" s="12">
        <v>1</v>
      </c>
      <c r="L128" s="13">
        <v>0</v>
      </c>
      <c r="M128" s="13" t="s">
        <v>484</v>
      </c>
      <c r="N128" s="13">
        <v>0</v>
      </c>
      <c r="O128" s="14" t="s">
        <v>461</v>
      </c>
      <c r="P128" s="14">
        <v>3</v>
      </c>
      <c r="Q128" s="14" t="s">
        <v>460</v>
      </c>
      <c r="R128" s="14" t="s">
        <v>484</v>
      </c>
      <c r="S128" s="15">
        <v>0</v>
      </c>
      <c r="T128" s="15">
        <v>0</v>
      </c>
      <c r="U128" s="16" t="s">
        <v>457</v>
      </c>
      <c r="V128" s="16" t="s">
        <v>493</v>
      </c>
      <c r="W128" s="17">
        <v>0</v>
      </c>
      <c r="X128" s="17">
        <v>1</v>
      </c>
      <c r="Y128" s="17" t="s">
        <v>521</v>
      </c>
      <c r="Z128" s="17" t="s">
        <v>535</v>
      </c>
      <c r="AA128" s="31">
        <v>0</v>
      </c>
      <c r="AB128" s="18" t="s">
        <v>439</v>
      </c>
      <c r="AC128" s="156" t="s">
        <v>467</v>
      </c>
      <c r="AD128" s="125" t="str">
        <f t="shared" si="9"/>
        <v/>
      </c>
      <c r="AE128" s="160" t="s">
        <v>507</v>
      </c>
      <c r="AF128" t="s">
        <v>505</v>
      </c>
      <c r="AG128" s="18" t="s">
        <v>525</v>
      </c>
      <c r="AH128" s="18" t="s">
        <v>474</v>
      </c>
      <c r="AI128" s="132" t="s">
        <v>1073</v>
      </c>
      <c r="AK128" s="77">
        <f t="shared" si="8"/>
        <v>0</v>
      </c>
      <c r="AL128" t="str">
        <f t="shared" si="10"/>
        <v>non-LVC</v>
      </c>
      <c r="AM128" s="105" t="str" cm="1">
        <f t="array" ref="AM128">IF(OR(O128:O285="zero_recoverable", "zero_exalt", "zero_other", "zero_uncertain"),
   "Yes","No")</f>
        <v>Yes</v>
      </c>
      <c r="AN128">
        <f>1 + COUNTIF($V$2:V127,"main")</f>
        <v>34</v>
      </c>
      <c r="AO128" t="str">
        <f t="shared" si="11"/>
        <v/>
      </c>
      <c r="AP128">
        <f t="shared" si="12"/>
        <v>1</v>
      </c>
      <c r="AQ128">
        <f>IF(AP129=0,"",COUNTIFS($AN$2:$AN129,$AN129,$AP$2:$AP129,1))</f>
        <v>2</v>
      </c>
      <c r="AR128">
        <v>1</v>
      </c>
      <c r="AS128" t="s">
        <v>461</v>
      </c>
      <c r="AT128" t="s">
        <v>462</v>
      </c>
      <c r="AU128">
        <f t="shared" si="14"/>
        <v>0</v>
      </c>
      <c r="AV128">
        <f t="shared" si="15"/>
        <v>0</v>
      </c>
    </row>
    <row r="129" spans="1:48">
      <c r="A129" s="28" t="s">
        <v>154</v>
      </c>
      <c r="B129" s="11" t="s">
        <v>232</v>
      </c>
      <c r="C129" s="110" t="s">
        <v>324</v>
      </c>
      <c r="D129" s="12" t="s">
        <v>424</v>
      </c>
      <c r="E129" s="12" t="s">
        <v>1056</v>
      </c>
      <c r="F129" s="12" t="s">
        <v>550</v>
      </c>
      <c r="G129" s="74" t="s">
        <v>435</v>
      </c>
      <c r="H129" s="12" t="s">
        <v>441</v>
      </c>
      <c r="I129" s="12" t="s">
        <v>452</v>
      </c>
      <c r="J129" s="12" t="s">
        <v>455</v>
      </c>
      <c r="K129" s="12">
        <v>1</v>
      </c>
      <c r="L129" s="13">
        <v>1</v>
      </c>
      <c r="M129" s="13" t="s">
        <v>465</v>
      </c>
      <c r="N129" s="13">
        <v>2</v>
      </c>
      <c r="O129" s="14" t="s">
        <v>461</v>
      </c>
      <c r="P129" s="14">
        <v>3</v>
      </c>
      <c r="Q129" s="14" t="s">
        <v>462</v>
      </c>
      <c r="R129" s="14" t="s">
        <v>484</v>
      </c>
      <c r="S129" s="15">
        <v>0</v>
      </c>
      <c r="T129" s="15">
        <v>0</v>
      </c>
      <c r="U129" s="16" t="s">
        <v>484</v>
      </c>
      <c r="V129" s="16" t="s">
        <v>493</v>
      </c>
      <c r="W129" s="17">
        <v>0</v>
      </c>
      <c r="X129" s="17">
        <v>1</v>
      </c>
      <c r="Y129" s="17" t="s">
        <v>521</v>
      </c>
      <c r="Z129" s="17" t="s">
        <v>513</v>
      </c>
      <c r="AA129" s="31">
        <v>0</v>
      </c>
      <c r="AB129" s="18" t="s">
        <v>439</v>
      </c>
      <c r="AC129" s="156" t="s">
        <v>493</v>
      </c>
      <c r="AD129" s="125" t="str">
        <f t="shared" si="9"/>
        <v/>
      </c>
      <c r="AE129" s="160" t="s">
        <v>505</v>
      </c>
      <c r="AF129" t="s">
        <v>507</v>
      </c>
      <c r="AG129" s="18" t="s">
        <v>525</v>
      </c>
      <c r="AH129" s="18" t="s">
        <v>485</v>
      </c>
      <c r="AI129" s="132"/>
      <c r="AK129" s="77">
        <f t="shared" si="8"/>
        <v>1</v>
      </c>
      <c r="AL129" t="str">
        <f t="shared" si="10"/>
        <v>LVC</v>
      </c>
      <c r="AM129" s="105" t="str" cm="1">
        <f t="array" ref="AM129">IF(OR(O129:O286="zero_recoverable", "zero_exalt", "zero_other", "zero_uncertain"),
   "Yes","No")</f>
        <v>Yes</v>
      </c>
      <c r="AN129">
        <f>1 + COUNTIF($V$2:V128,"main")</f>
        <v>34</v>
      </c>
      <c r="AO129" t="str">
        <f t="shared" si="11"/>
        <v>relative</v>
      </c>
      <c r="AP129">
        <f t="shared" si="12"/>
        <v>1</v>
      </c>
      <c r="AQ129" t="str">
        <f>IF(AP130=0,"",COUNTIFS($AN$2:$AN130,$AN130,$AP$2:$AP130,1))</f>
        <v/>
      </c>
      <c r="AR129">
        <v>1</v>
      </c>
      <c r="AS129" t="s">
        <v>462</v>
      </c>
      <c r="AT129" t="s">
        <v>460</v>
      </c>
      <c r="AU129">
        <f t="shared" si="14"/>
        <v>0</v>
      </c>
      <c r="AV129">
        <f t="shared" si="15"/>
        <v>1</v>
      </c>
    </row>
    <row r="130" spans="1:48">
      <c r="A130" s="28" t="s">
        <v>155</v>
      </c>
      <c r="B130" s="11" t="s">
        <v>634</v>
      </c>
      <c r="C130" s="110" t="s">
        <v>637</v>
      </c>
      <c r="D130" s="12" t="s">
        <v>635</v>
      </c>
      <c r="E130" s="12" t="s">
        <v>1056</v>
      </c>
      <c r="F130" s="12" t="s">
        <v>550</v>
      </c>
      <c r="G130" s="74" t="s">
        <v>434</v>
      </c>
      <c r="H130" s="12" t="s">
        <v>441</v>
      </c>
      <c r="I130" s="12" t="s">
        <v>452</v>
      </c>
      <c r="J130" s="12" t="s">
        <v>454</v>
      </c>
      <c r="K130" s="12">
        <v>1</v>
      </c>
      <c r="L130" s="13">
        <v>1</v>
      </c>
      <c r="M130" s="13" t="s">
        <v>457</v>
      </c>
      <c r="N130" s="13">
        <v>1</v>
      </c>
      <c r="O130" s="14" t="s">
        <v>462</v>
      </c>
      <c r="P130" s="14">
        <v>3</v>
      </c>
      <c r="Q130" s="14" t="s">
        <v>460</v>
      </c>
      <c r="R130" s="14" t="s">
        <v>484</v>
      </c>
      <c r="S130" s="15">
        <v>0</v>
      </c>
      <c r="T130" s="15">
        <v>0</v>
      </c>
      <c r="U130" s="16" t="s">
        <v>464</v>
      </c>
      <c r="V130" s="16" t="s">
        <v>466</v>
      </c>
      <c r="W130" s="17">
        <v>1</v>
      </c>
      <c r="X130" s="17">
        <v>0</v>
      </c>
      <c r="Y130" s="17" t="s">
        <v>521</v>
      </c>
      <c r="Z130" s="17" t="s">
        <v>514</v>
      </c>
      <c r="AA130" s="31">
        <v>0</v>
      </c>
      <c r="AB130" s="18" t="s">
        <v>439</v>
      </c>
      <c r="AC130" s="156" t="s">
        <v>493</v>
      </c>
      <c r="AD130" s="125" t="str">
        <f t="shared" si="9"/>
        <v/>
      </c>
      <c r="AE130" s="160" t="s">
        <v>507</v>
      </c>
      <c r="AF130" t="s">
        <v>507</v>
      </c>
      <c r="AG130" s="18" t="s">
        <v>525</v>
      </c>
      <c r="AH130" s="18" t="s">
        <v>485</v>
      </c>
      <c r="AI130" s="132"/>
      <c r="AK130" s="77">
        <f t="shared" ref="AK130:AK159" si="16">L130/K130</f>
        <v>1</v>
      </c>
      <c r="AL130" t="str">
        <f t="shared" si="10"/>
        <v>non-LVC</v>
      </c>
      <c r="AM130" s="105" t="str" cm="1">
        <f t="array" ref="AM130">IF(OR(O130:O287="zero_recoverable", "zero_exalt", "zero_other", "zero_uncertain"),
   "Yes","No")</f>
        <v>Yes</v>
      </c>
      <c r="AN130">
        <f>1 + COUNTIF($V$2:V129,"main")</f>
        <v>34</v>
      </c>
      <c r="AO130" t="str">
        <f t="shared" si="11"/>
        <v>subordinate</v>
      </c>
      <c r="AP130">
        <f t="shared" si="12"/>
        <v>0</v>
      </c>
      <c r="AQ130">
        <f>IF(AP131=0,"",COUNTIFS($AN$2:$AN131,$AN131,$AP$2:$AP131,1))</f>
        <v>3</v>
      </c>
      <c r="AR130">
        <f t="shared" si="13"/>
        <v>0</v>
      </c>
      <c r="AS130" t="s">
        <v>462</v>
      </c>
      <c r="AT130" t="s">
        <v>484</v>
      </c>
      <c r="AU130">
        <f t="shared" si="14"/>
        <v>0</v>
      </c>
      <c r="AV130">
        <f t="shared" si="15"/>
        <v>0</v>
      </c>
    </row>
    <row r="131" spans="1:48">
      <c r="A131" s="28" t="s">
        <v>156</v>
      </c>
      <c r="B131" s="11" t="s">
        <v>636</v>
      </c>
      <c r="C131" s="110" t="s">
        <v>638</v>
      </c>
      <c r="D131" s="12" t="s">
        <v>405</v>
      </c>
      <c r="E131" s="12" t="s">
        <v>1056</v>
      </c>
      <c r="F131" s="12" t="s">
        <v>445</v>
      </c>
      <c r="G131" s="74" t="s">
        <v>437</v>
      </c>
      <c r="H131" s="12" t="s">
        <v>442</v>
      </c>
      <c r="I131" s="12" t="s">
        <v>452</v>
      </c>
      <c r="J131" s="12" t="s">
        <v>454</v>
      </c>
      <c r="K131" s="12">
        <v>1</v>
      </c>
      <c r="L131" s="13">
        <v>1</v>
      </c>
      <c r="M131" s="13" t="s">
        <v>457</v>
      </c>
      <c r="N131" s="13">
        <v>1</v>
      </c>
      <c r="O131" s="14" t="s">
        <v>462</v>
      </c>
      <c r="P131" s="14">
        <v>3</v>
      </c>
      <c r="Q131" s="14" t="s">
        <v>484</v>
      </c>
      <c r="R131" s="14" t="s">
        <v>484</v>
      </c>
      <c r="S131" s="15">
        <v>0</v>
      </c>
      <c r="T131" s="15">
        <v>0</v>
      </c>
      <c r="U131" s="16" t="s">
        <v>484</v>
      </c>
      <c r="V131" s="16" t="s">
        <v>493</v>
      </c>
      <c r="W131" s="17">
        <v>0</v>
      </c>
      <c r="X131" s="17">
        <v>0</v>
      </c>
      <c r="Y131" s="17" t="s">
        <v>484</v>
      </c>
      <c r="Z131" s="17" t="s">
        <v>484</v>
      </c>
      <c r="AA131" s="31">
        <v>0</v>
      </c>
      <c r="AB131" s="18" t="s">
        <v>469</v>
      </c>
      <c r="AC131" s="156" t="s">
        <v>466</v>
      </c>
      <c r="AD131" s="125" t="str">
        <f t="shared" ref="AD131:AD159" si="17">IF(V131&lt;&gt;"te","",
   IF(OR(AC131="",AC131&lt;&gt;"te"),
      "te_initial",
      "te_medial"))</f>
        <v/>
      </c>
      <c r="AE131" s="160" t="s">
        <v>507</v>
      </c>
      <c r="AF131" t="s">
        <v>505</v>
      </c>
      <c r="AG131" s="18" t="s">
        <v>525</v>
      </c>
      <c r="AH131" s="18" t="s">
        <v>485</v>
      </c>
      <c r="AI131" s="132"/>
      <c r="AK131" s="77">
        <f t="shared" si="16"/>
        <v>1</v>
      </c>
      <c r="AL131" t="str">
        <f t="shared" ref="AL131:AL159" si="18">IF(OR(G131="LVC",
 G131="LVC (j)",
  G131="LVC (inf)"),
   "LVC","non-LVC")</f>
        <v>non-LVC</v>
      </c>
      <c r="AM131" s="105" t="str" cm="1">
        <f t="array" ref="AM131">IF(OR(O131:O288="zero_recoverable", "zero_exalt", "zero_other", "zero_uncertain"),
   "Yes","No")</f>
        <v>Yes</v>
      </c>
      <c r="AN131">
        <f>1 + COUNTIF($V$2:V130,"main")</f>
        <v>34</v>
      </c>
      <c r="AO131" t="str">
        <f t="shared" ref="AO131:AO159" si="19">IF($A131="","",IF($AH131=$AH132,$V132,""))</f>
        <v>subordinate</v>
      </c>
      <c r="AP131">
        <f t="shared" ref="AP131:AP159" si="20">IF(OR($V131="relative",$V131="nominalised"),0,1)</f>
        <v>1</v>
      </c>
      <c r="AQ131">
        <f>IF(AP132=0,"",COUNTIFS($AN$2:$AN132,$AN132,$AP$2:$AP132,1))</f>
        <v>4</v>
      </c>
      <c r="AR131">
        <f t="shared" ref="AR131:AR159" si="21">IF(AQ131=1,1,0)</f>
        <v>0</v>
      </c>
      <c r="AS131" t="s">
        <v>462</v>
      </c>
      <c r="AT131" t="s">
        <v>462</v>
      </c>
      <c r="AU131">
        <f t="shared" ref="AU131:AU159" si="22">IF(AND($O131="overt",LEFT($AS131,5)="zero_"),1,0)</f>
        <v>0</v>
      </c>
      <c r="AV131">
        <f t="shared" ref="AV131:AV159" si="23">IF(AND($Q131="overt",LEFT($AT131,5)="zero_"),1,0)</f>
        <v>0</v>
      </c>
    </row>
    <row r="132" spans="1:48">
      <c r="A132" s="28" t="s">
        <v>562</v>
      </c>
      <c r="B132" s="11" t="s">
        <v>233</v>
      </c>
      <c r="C132" s="110" t="s">
        <v>639</v>
      </c>
      <c r="D132" s="12" t="s">
        <v>425</v>
      </c>
      <c r="E132" s="12" t="s">
        <v>1056</v>
      </c>
      <c r="F132" s="12" t="s">
        <v>450</v>
      </c>
      <c r="G132" s="74" t="s">
        <v>440</v>
      </c>
      <c r="H132" s="12" t="s">
        <v>441</v>
      </c>
      <c r="I132" s="12" t="s">
        <v>452</v>
      </c>
      <c r="J132" s="12" t="s">
        <v>454</v>
      </c>
      <c r="K132" s="12">
        <v>1</v>
      </c>
      <c r="L132" s="13">
        <v>2</v>
      </c>
      <c r="M132" s="13" t="s">
        <v>459</v>
      </c>
      <c r="N132" s="13">
        <v>1</v>
      </c>
      <c r="O132" s="14" t="s">
        <v>462</v>
      </c>
      <c r="P132" s="14">
        <v>3</v>
      </c>
      <c r="Q132" s="14" t="s">
        <v>462</v>
      </c>
      <c r="R132" s="14" t="s">
        <v>484</v>
      </c>
      <c r="S132" s="15">
        <v>0</v>
      </c>
      <c r="T132" s="15">
        <v>0</v>
      </c>
      <c r="U132" s="16" t="s">
        <v>484</v>
      </c>
      <c r="V132" s="16" t="s">
        <v>493</v>
      </c>
      <c r="W132" s="17">
        <v>0</v>
      </c>
      <c r="X132" s="17">
        <v>0</v>
      </c>
      <c r="Y132" s="17" t="s">
        <v>484</v>
      </c>
      <c r="Z132" s="17" t="s">
        <v>484</v>
      </c>
      <c r="AA132" s="31">
        <v>0</v>
      </c>
      <c r="AB132" s="18" t="s">
        <v>470</v>
      </c>
      <c r="AC132" s="156" t="s">
        <v>493</v>
      </c>
      <c r="AD132" s="125" t="str">
        <f t="shared" si="17"/>
        <v/>
      </c>
      <c r="AE132" s="160" t="s">
        <v>505</v>
      </c>
      <c r="AF132" t="s">
        <v>505</v>
      </c>
      <c r="AG132" s="18" t="s">
        <v>525</v>
      </c>
      <c r="AH132" s="18" t="s">
        <v>485</v>
      </c>
      <c r="AI132" s="132"/>
      <c r="AK132" s="77">
        <f t="shared" si="16"/>
        <v>2</v>
      </c>
      <c r="AL132" t="str">
        <f t="shared" si="18"/>
        <v>non-LVC</v>
      </c>
      <c r="AM132" s="105" t="str" cm="1">
        <f t="array" ref="AM132">IF(OR(O132:O289="zero_recoverable", "zero_exalt", "zero_other", "zero_uncertain"),
   "Yes","No")</f>
        <v>Yes</v>
      </c>
      <c r="AN132">
        <f>1 + COUNTIF($V$2:V131,"main")</f>
        <v>34</v>
      </c>
      <c r="AO132" t="str">
        <f t="shared" si="19"/>
        <v>subordinate</v>
      </c>
      <c r="AP132">
        <f t="shared" si="20"/>
        <v>1</v>
      </c>
      <c r="AQ132">
        <f>IF(AP133=0,"",COUNTIFS($AN$2:$AN133,$AN133,$AP$2:$AP133,1))</f>
        <v>5</v>
      </c>
      <c r="AR132">
        <f t="shared" si="21"/>
        <v>0</v>
      </c>
      <c r="AS132" t="s">
        <v>526</v>
      </c>
      <c r="AT132" t="s">
        <v>462</v>
      </c>
      <c r="AU132">
        <f t="shared" si="22"/>
        <v>1</v>
      </c>
      <c r="AV132">
        <f t="shared" si="23"/>
        <v>0</v>
      </c>
    </row>
    <row r="133" spans="1:48">
      <c r="A133" s="28" t="s">
        <v>655</v>
      </c>
      <c r="B133" s="11" t="s">
        <v>1096</v>
      </c>
      <c r="C133" s="110" t="s">
        <v>640</v>
      </c>
      <c r="D133" s="12" t="s">
        <v>642</v>
      </c>
      <c r="E133" s="12" t="s">
        <v>715</v>
      </c>
      <c r="F133" s="12" t="s">
        <v>446</v>
      </c>
      <c r="G133" s="74" t="s">
        <v>434</v>
      </c>
      <c r="H133" s="12" t="s">
        <v>441</v>
      </c>
      <c r="I133" s="12" t="s">
        <v>452</v>
      </c>
      <c r="J133" s="12" t="s">
        <v>454</v>
      </c>
      <c r="K133" s="12">
        <v>1</v>
      </c>
      <c r="L133" s="13">
        <v>1</v>
      </c>
      <c r="M133" s="13" t="s">
        <v>465</v>
      </c>
      <c r="N133" s="13">
        <v>0</v>
      </c>
      <c r="O133" s="14" t="s">
        <v>526</v>
      </c>
      <c r="P133" s="14">
        <v>3</v>
      </c>
      <c r="Q133" s="14" t="s">
        <v>462</v>
      </c>
      <c r="R133" s="14" t="s">
        <v>484</v>
      </c>
      <c r="S133" s="15">
        <v>0</v>
      </c>
      <c r="T133" s="15">
        <v>0</v>
      </c>
      <c r="U133" s="16" t="s">
        <v>484</v>
      </c>
      <c r="V133" s="16" t="s">
        <v>493</v>
      </c>
      <c r="W133" s="17">
        <v>0</v>
      </c>
      <c r="X133" s="17">
        <v>0</v>
      </c>
      <c r="Y133" s="17" t="s">
        <v>484</v>
      </c>
      <c r="Z133" s="17" t="s">
        <v>484</v>
      </c>
      <c r="AA133" s="31">
        <v>0</v>
      </c>
      <c r="AB133" s="18" t="s">
        <v>547</v>
      </c>
      <c r="AC133" s="156" t="s">
        <v>493</v>
      </c>
      <c r="AD133" s="125" t="str">
        <f t="shared" si="17"/>
        <v/>
      </c>
      <c r="AE133" s="160" t="s">
        <v>505</v>
      </c>
      <c r="AF133" t="s">
        <v>505</v>
      </c>
      <c r="AG133" s="18" t="s">
        <v>525</v>
      </c>
      <c r="AH133" s="18" t="s">
        <v>485</v>
      </c>
      <c r="AI133" s="132"/>
      <c r="AK133" s="77">
        <f t="shared" si="16"/>
        <v>1</v>
      </c>
      <c r="AL133" t="str">
        <f t="shared" si="18"/>
        <v>non-LVC</v>
      </c>
      <c r="AM133" s="105" t="str" cm="1">
        <f t="array" ref="AM133">IF(OR(O133:O290="zero_recoverable", "zero_exalt", "zero_other", "zero_uncertain"),
   "Yes","No")</f>
        <v>Yes</v>
      </c>
      <c r="AN133">
        <f>1 + COUNTIF($V$2:V132,"main")</f>
        <v>34</v>
      </c>
      <c r="AO133" t="str">
        <f t="shared" si="19"/>
        <v>te</v>
      </c>
      <c r="AP133">
        <f t="shared" si="20"/>
        <v>1</v>
      </c>
      <c r="AQ133">
        <f>IF(AP134=0,"",COUNTIFS($AN$2:$AN134,$AN134,$AP$2:$AP134,1))</f>
        <v>6</v>
      </c>
      <c r="AR133">
        <f t="shared" si="21"/>
        <v>0</v>
      </c>
      <c r="AS133" t="s">
        <v>526</v>
      </c>
      <c r="AT133" t="s">
        <v>526</v>
      </c>
      <c r="AU133">
        <f t="shared" si="22"/>
        <v>0</v>
      </c>
      <c r="AV133">
        <f t="shared" si="23"/>
        <v>1</v>
      </c>
    </row>
    <row r="134" spans="1:48">
      <c r="A134" s="28" t="s">
        <v>656</v>
      </c>
      <c r="B134" s="11" t="s">
        <v>1095</v>
      </c>
      <c r="C134" s="110" t="s">
        <v>641</v>
      </c>
      <c r="D134" s="12" t="s">
        <v>426</v>
      </c>
      <c r="E134" s="12" t="s">
        <v>1056</v>
      </c>
      <c r="F134" s="12" t="s">
        <v>446</v>
      </c>
      <c r="G134" s="74" t="s">
        <v>434</v>
      </c>
      <c r="H134" s="12" t="s">
        <v>444</v>
      </c>
      <c r="I134" s="12" t="s">
        <v>452</v>
      </c>
      <c r="J134" s="12" t="s">
        <v>455</v>
      </c>
      <c r="K134" s="12">
        <v>1</v>
      </c>
      <c r="L134" s="13">
        <v>2</v>
      </c>
      <c r="M134" s="13" t="s">
        <v>456</v>
      </c>
      <c r="N134" s="13">
        <v>1</v>
      </c>
      <c r="O134" s="14" t="s">
        <v>526</v>
      </c>
      <c r="P134" s="14">
        <v>3</v>
      </c>
      <c r="Q134" s="14" t="s">
        <v>526</v>
      </c>
      <c r="R134" s="14" t="s">
        <v>462</v>
      </c>
      <c r="S134" s="15">
        <v>0</v>
      </c>
      <c r="T134" s="15">
        <v>0</v>
      </c>
      <c r="U134" s="16" t="s">
        <v>484</v>
      </c>
      <c r="V134" s="16" t="s">
        <v>537</v>
      </c>
      <c r="W134" s="17">
        <v>0</v>
      </c>
      <c r="X134" s="17">
        <v>0</v>
      </c>
      <c r="Y134" s="17" t="s">
        <v>484</v>
      </c>
      <c r="Z134" s="17" t="s">
        <v>484</v>
      </c>
      <c r="AA134" s="31">
        <v>0</v>
      </c>
      <c r="AB134" s="18" t="s">
        <v>470</v>
      </c>
      <c r="AC134" s="156" t="s">
        <v>493</v>
      </c>
      <c r="AD134" s="125" t="s">
        <v>1134</v>
      </c>
      <c r="AE134" s="160" t="s">
        <v>505</v>
      </c>
      <c r="AF134">
        <v>0</v>
      </c>
      <c r="AG134" s="18" t="s">
        <v>487</v>
      </c>
      <c r="AH134" s="18" t="s">
        <v>485</v>
      </c>
      <c r="AI134" s="132"/>
      <c r="AK134" s="77">
        <f t="shared" si="16"/>
        <v>2</v>
      </c>
      <c r="AL134" t="str">
        <f t="shared" si="18"/>
        <v>non-LVC</v>
      </c>
      <c r="AM134" s="105" t="str" cm="1">
        <f t="array" ref="AM134">IF(OR(O134:O291="zero_recoverable", "zero_exalt", "zero_other", "zero_uncertain"),
   "Yes","No")</f>
        <v>Yes</v>
      </c>
      <c r="AN134">
        <f>1 + COUNTIF($V$2:V133,"main")</f>
        <v>34</v>
      </c>
      <c r="AO134" t="str">
        <f t="shared" si="19"/>
        <v/>
      </c>
      <c r="AP134">
        <f t="shared" si="20"/>
        <v>1</v>
      </c>
      <c r="AQ134">
        <f>IF(AP135=0,"",COUNTIFS($AN$2:$AN135,$AN135,$AP$2:$AP135,1))</f>
        <v>7</v>
      </c>
      <c r="AR134">
        <f t="shared" si="21"/>
        <v>0</v>
      </c>
      <c r="AU134">
        <f t="shared" si="22"/>
        <v>0</v>
      </c>
      <c r="AV134">
        <f t="shared" si="23"/>
        <v>0</v>
      </c>
    </row>
    <row r="135" spans="1:48">
      <c r="A135" s="28" t="s">
        <v>657</v>
      </c>
      <c r="B135" s="48" t="s">
        <v>1098</v>
      </c>
      <c r="C135" s="110" t="s">
        <v>646</v>
      </c>
      <c r="D135" s="12" t="s">
        <v>433</v>
      </c>
      <c r="E135" s="12" t="s">
        <v>1056</v>
      </c>
      <c r="F135" s="12" t="s">
        <v>446</v>
      </c>
      <c r="G135" s="74" t="s">
        <v>439</v>
      </c>
      <c r="H135" s="12"/>
      <c r="I135" s="12"/>
      <c r="J135" s="12"/>
      <c r="K135" s="12"/>
      <c r="L135" s="13"/>
      <c r="M135" s="13"/>
      <c r="N135" s="13"/>
      <c r="O135" s="14"/>
      <c r="P135" s="14"/>
      <c r="Q135" s="14" t="s">
        <v>484</v>
      </c>
      <c r="R135" s="14" t="s">
        <v>484</v>
      </c>
      <c r="S135" s="15"/>
      <c r="T135" s="15"/>
      <c r="U135" s="16"/>
      <c r="V135" s="16"/>
      <c r="W135" s="17"/>
      <c r="X135" s="17"/>
      <c r="Y135" s="17" t="s">
        <v>484</v>
      </c>
      <c r="Z135" s="17" t="s">
        <v>484</v>
      </c>
      <c r="AA135" s="31"/>
      <c r="AB135" s="18"/>
      <c r="AC135" s="156" t="s">
        <v>537</v>
      </c>
      <c r="AD135" s="125" t="str">
        <f t="shared" si="17"/>
        <v/>
      </c>
      <c r="AE135" s="160"/>
      <c r="AF135" t="s">
        <v>507</v>
      </c>
      <c r="AG135" s="18"/>
      <c r="AH135" s="18"/>
      <c r="AI135" s="131" t="s">
        <v>1097</v>
      </c>
      <c r="AL135" t="str">
        <f t="shared" si="18"/>
        <v>non-LVC</v>
      </c>
      <c r="AM135" s="105" t="str" cm="1">
        <f t="array" ref="AM135">IF(OR(O135:O292="zero_recoverable", "zero_exalt", "zero_other", "zero_uncertain"),
   "Yes","No")</f>
        <v>Yes</v>
      </c>
      <c r="AN135">
        <f>1 + COUNTIF($V$2:V134,"main")</f>
        <v>34</v>
      </c>
      <c r="AO135" t="str">
        <f t="shared" si="19"/>
        <v/>
      </c>
      <c r="AP135">
        <f t="shared" si="20"/>
        <v>1</v>
      </c>
      <c r="AQ135" t="str">
        <f>IF(AP136=0,"",COUNTIFS($AN$2:$AN136,$AN136,$AP$2:$AP136,1))</f>
        <v/>
      </c>
      <c r="AR135">
        <f t="shared" si="21"/>
        <v>0</v>
      </c>
      <c r="AS135" t="s">
        <v>462</v>
      </c>
      <c r="AT135" t="s">
        <v>484</v>
      </c>
      <c r="AU135">
        <f t="shared" si="22"/>
        <v>0</v>
      </c>
      <c r="AV135">
        <f t="shared" si="23"/>
        <v>0</v>
      </c>
    </row>
    <row r="136" spans="1:48">
      <c r="A136" s="28" t="s">
        <v>658</v>
      </c>
      <c r="B136" s="11" t="s">
        <v>1099</v>
      </c>
      <c r="C136" s="110" t="s">
        <v>646</v>
      </c>
      <c r="D136" s="12" t="s">
        <v>645</v>
      </c>
      <c r="E136" s="12" t="s">
        <v>1056</v>
      </c>
      <c r="F136" s="12" t="s">
        <v>446</v>
      </c>
      <c r="G136" s="74" t="s">
        <v>434</v>
      </c>
      <c r="H136" s="12" t="s">
        <v>442</v>
      </c>
      <c r="I136" s="12" t="s">
        <v>452</v>
      </c>
      <c r="J136" s="12" t="s">
        <v>455</v>
      </c>
      <c r="K136" s="12">
        <v>1</v>
      </c>
      <c r="L136" s="13">
        <v>1</v>
      </c>
      <c r="M136" s="13" t="s">
        <v>457</v>
      </c>
      <c r="N136" s="13">
        <v>0</v>
      </c>
      <c r="O136" s="14" t="s">
        <v>462</v>
      </c>
      <c r="P136" s="14">
        <v>3</v>
      </c>
      <c r="Q136" s="14" t="s">
        <v>484</v>
      </c>
      <c r="R136" s="14" t="s">
        <v>484</v>
      </c>
      <c r="S136" s="15">
        <v>0</v>
      </c>
      <c r="T136" s="15">
        <v>1</v>
      </c>
      <c r="U136" s="16" t="s">
        <v>464</v>
      </c>
      <c r="V136" s="16" t="s">
        <v>466</v>
      </c>
      <c r="W136" s="17">
        <v>0</v>
      </c>
      <c r="X136" s="17">
        <v>0</v>
      </c>
      <c r="Y136" s="17" t="s">
        <v>484</v>
      </c>
      <c r="Z136" s="17" t="s">
        <v>484</v>
      </c>
      <c r="AA136" s="31">
        <v>0</v>
      </c>
      <c r="AB136" s="18" t="s">
        <v>439</v>
      </c>
      <c r="AC136" s="156">
        <v>0</v>
      </c>
      <c r="AD136" s="125" t="str">
        <f t="shared" si="17"/>
        <v/>
      </c>
      <c r="AE136" s="160" t="s">
        <v>507</v>
      </c>
      <c r="AF136" t="s">
        <v>507</v>
      </c>
      <c r="AG136" s="18" t="s">
        <v>525</v>
      </c>
      <c r="AH136" s="18" t="s">
        <v>485</v>
      </c>
      <c r="AI136" s="132"/>
      <c r="AK136" s="77">
        <f t="shared" si="16"/>
        <v>1</v>
      </c>
      <c r="AL136" t="str">
        <f t="shared" si="18"/>
        <v>non-LVC</v>
      </c>
      <c r="AM136" s="105" t="str" cm="1">
        <f t="array" ref="AM136">IF(OR(O136:O293="zero_recoverable", "zero_exalt", "zero_other", "zero_uncertain"),
   "Yes","No")</f>
        <v>Yes</v>
      </c>
      <c r="AN136">
        <f>1 + COUNTIF($V$2:V135,"main")</f>
        <v>34</v>
      </c>
      <c r="AO136" t="str">
        <f t="shared" si="19"/>
        <v/>
      </c>
      <c r="AP136">
        <f t="shared" si="20"/>
        <v>0</v>
      </c>
      <c r="AQ136">
        <f>IF(AP137=0,"",COUNTIFS($AN$2:$AN137,$AN137,$AP$2:$AP137,1))</f>
        <v>8</v>
      </c>
      <c r="AR136">
        <f t="shared" si="21"/>
        <v>0</v>
      </c>
      <c r="AS136" t="s">
        <v>526</v>
      </c>
      <c r="AT136" t="s">
        <v>484</v>
      </c>
      <c r="AU136">
        <f t="shared" si="22"/>
        <v>1</v>
      </c>
      <c r="AV136">
        <f t="shared" si="23"/>
        <v>0</v>
      </c>
    </row>
    <row r="137" spans="1:48">
      <c r="A137" s="28" t="s">
        <v>659</v>
      </c>
      <c r="B137" s="11" t="s">
        <v>643</v>
      </c>
      <c r="C137" s="110" t="s">
        <v>644</v>
      </c>
      <c r="D137" s="12" t="s">
        <v>338</v>
      </c>
      <c r="E137" s="12" t="s">
        <v>1056</v>
      </c>
      <c r="F137" s="12" t="s">
        <v>445</v>
      </c>
      <c r="G137" s="74" t="s">
        <v>436</v>
      </c>
      <c r="H137" s="12" t="s">
        <v>442</v>
      </c>
      <c r="I137" s="12" t="s">
        <v>452</v>
      </c>
      <c r="J137" s="12" t="s">
        <v>454</v>
      </c>
      <c r="K137" s="12">
        <v>1</v>
      </c>
      <c r="L137" s="13">
        <v>0</v>
      </c>
      <c r="M137" s="13" t="s">
        <v>484</v>
      </c>
      <c r="N137" s="13">
        <v>0</v>
      </c>
      <c r="O137" s="14" t="s">
        <v>526</v>
      </c>
      <c r="P137" s="14">
        <v>3</v>
      </c>
      <c r="Q137" s="14" t="s">
        <v>484</v>
      </c>
      <c r="R137" s="14" t="s">
        <v>484</v>
      </c>
      <c r="S137" s="15">
        <v>0</v>
      </c>
      <c r="T137" s="15">
        <v>0</v>
      </c>
      <c r="U137" s="16" t="s">
        <v>484</v>
      </c>
      <c r="V137" s="16" t="s">
        <v>467</v>
      </c>
      <c r="W137" s="17">
        <v>0</v>
      </c>
      <c r="X137" s="17">
        <v>0</v>
      </c>
      <c r="Y137" s="17" t="s">
        <v>484</v>
      </c>
      <c r="Z137" s="17" t="s">
        <v>484</v>
      </c>
      <c r="AA137" s="31">
        <v>0</v>
      </c>
      <c r="AB137" s="18" t="s">
        <v>439</v>
      </c>
      <c r="AC137" s="156" t="s">
        <v>466</v>
      </c>
      <c r="AD137" s="125" t="str">
        <f t="shared" si="17"/>
        <v/>
      </c>
      <c r="AE137" s="160" t="s">
        <v>507</v>
      </c>
      <c r="AF137" t="s">
        <v>507</v>
      </c>
      <c r="AG137" s="18" t="s">
        <v>525</v>
      </c>
      <c r="AH137" s="18" t="s">
        <v>474</v>
      </c>
      <c r="AI137" s="132"/>
      <c r="AK137" s="77">
        <f t="shared" si="16"/>
        <v>0</v>
      </c>
      <c r="AL137" t="str">
        <f t="shared" si="18"/>
        <v>non-LVC</v>
      </c>
      <c r="AM137" s="105" t="str" cm="1">
        <f t="array" ref="AM137">IF(OR(O137:O294="zero_recoverable", "zero_exalt", "zero_other", "zero_uncertain"),
   "Yes","No")</f>
        <v>Yes</v>
      </c>
      <c r="AN137">
        <f>1 + COUNTIF($V$2:V136,"main")</f>
        <v>34</v>
      </c>
      <c r="AO137" t="str">
        <f t="shared" si="19"/>
        <v/>
      </c>
      <c r="AP137">
        <f t="shared" si="20"/>
        <v>1</v>
      </c>
      <c r="AQ137">
        <f>IF(AP138=0,"",COUNTIFS($AN$2:$AN138,$AN138,$AP$2:$AP138,1))</f>
        <v>1</v>
      </c>
      <c r="AR137">
        <v>0</v>
      </c>
      <c r="AS137" t="s">
        <v>462</v>
      </c>
      <c r="AT137" t="s">
        <v>484</v>
      </c>
      <c r="AU137">
        <f t="shared" si="22"/>
        <v>0</v>
      </c>
      <c r="AV137">
        <f t="shared" si="23"/>
        <v>0</v>
      </c>
    </row>
    <row r="138" spans="1:48">
      <c r="A138" s="28" t="s">
        <v>660</v>
      </c>
      <c r="B138" s="11" t="s">
        <v>647</v>
      </c>
      <c r="C138" s="110" t="s">
        <v>649</v>
      </c>
      <c r="D138" s="12" t="s">
        <v>405</v>
      </c>
      <c r="E138" s="12" t="s">
        <v>1056</v>
      </c>
      <c r="F138" s="12" t="s">
        <v>445</v>
      </c>
      <c r="G138" s="74" t="s">
        <v>437</v>
      </c>
      <c r="H138" s="12" t="s">
        <v>442</v>
      </c>
      <c r="I138" s="12" t="s">
        <v>452</v>
      </c>
      <c r="J138" s="12" t="s">
        <v>454</v>
      </c>
      <c r="K138" s="12">
        <v>1</v>
      </c>
      <c r="L138" s="13">
        <v>1</v>
      </c>
      <c r="M138" s="13" t="s">
        <v>457</v>
      </c>
      <c r="N138" s="13">
        <v>0</v>
      </c>
      <c r="O138" s="14" t="s">
        <v>462</v>
      </c>
      <c r="P138" s="14">
        <v>3</v>
      </c>
      <c r="Q138" s="14" t="s">
        <v>484</v>
      </c>
      <c r="R138" s="14" t="s">
        <v>484</v>
      </c>
      <c r="S138" s="15">
        <v>0</v>
      </c>
      <c r="T138" s="15">
        <v>0</v>
      </c>
      <c r="U138" s="16" t="s">
        <v>484</v>
      </c>
      <c r="V138" s="16" t="s">
        <v>493</v>
      </c>
      <c r="W138" s="17">
        <v>0</v>
      </c>
      <c r="X138" s="17">
        <v>0</v>
      </c>
      <c r="Y138" s="17" t="s">
        <v>484</v>
      </c>
      <c r="Z138" s="17" t="s">
        <v>484</v>
      </c>
      <c r="AA138" s="31">
        <v>0</v>
      </c>
      <c r="AB138" s="18" t="s">
        <v>472</v>
      </c>
      <c r="AC138" s="156" t="s">
        <v>467</v>
      </c>
      <c r="AD138" s="125" t="str">
        <f t="shared" si="17"/>
        <v/>
      </c>
      <c r="AE138" s="160" t="s">
        <v>507</v>
      </c>
      <c r="AF138" t="s">
        <v>507</v>
      </c>
      <c r="AG138" s="18" t="s">
        <v>506</v>
      </c>
      <c r="AH138" s="18" t="s">
        <v>485</v>
      </c>
      <c r="AI138" s="132"/>
      <c r="AK138" s="77">
        <f t="shared" si="16"/>
        <v>1</v>
      </c>
      <c r="AL138" t="str">
        <f t="shared" si="18"/>
        <v>non-LVC</v>
      </c>
      <c r="AM138" s="105" t="str" cm="1">
        <f t="array" ref="AM138">IF(OR(O138:O295="zero_recoverable", "zero_exalt", "zero_other", "zero_uncertain"),
   "Yes","No")</f>
        <v>Yes</v>
      </c>
      <c r="AN138">
        <f>1 + COUNTIF($V$2:V137,"main")</f>
        <v>35</v>
      </c>
      <c r="AO138" t="str">
        <f t="shared" si="19"/>
        <v>main</v>
      </c>
      <c r="AP138">
        <f t="shared" si="20"/>
        <v>1</v>
      </c>
      <c r="AQ138">
        <f>IF(AP139=0,"",COUNTIFS($AN$2:$AN139,$AN139,$AP$2:$AP139,1))</f>
        <v>2</v>
      </c>
      <c r="AR138">
        <v>1</v>
      </c>
      <c r="AS138" t="s">
        <v>461</v>
      </c>
      <c r="AT138" t="s">
        <v>462</v>
      </c>
      <c r="AU138">
        <f t="shared" si="22"/>
        <v>1</v>
      </c>
      <c r="AV138">
        <f t="shared" si="23"/>
        <v>0</v>
      </c>
    </row>
    <row r="139" spans="1:48">
      <c r="A139" s="28" t="s">
        <v>661</v>
      </c>
      <c r="B139" s="11" t="s">
        <v>648</v>
      </c>
      <c r="C139" s="110" t="s">
        <v>650</v>
      </c>
      <c r="D139" s="12" t="s">
        <v>651</v>
      </c>
      <c r="E139" s="12" t="s">
        <v>713</v>
      </c>
      <c r="F139" s="12" t="s">
        <v>550</v>
      </c>
      <c r="G139" s="74" t="s">
        <v>435</v>
      </c>
      <c r="H139" s="12"/>
      <c r="I139" s="12" t="s">
        <v>452</v>
      </c>
      <c r="J139" s="12" t="s">
        <v>454</v>
      </c>
      <c r="K139" s="12">
        <v>1</v>
      </c>
      <c r="L139" s="13">
        <v>1</v>
      </c>
      <c r="M139" s="13" t="s">
        <v>465</v>
      </c>
      <c r="N139" s="13">
        <v>0</v>
      </c>
      <c r="O139" s="14" t="s">
        <v>461</v>
      </c>
      <c r="P139" s="14">
        <v>1</v>
      </c>
      <c r="Q139" s="14" t="s">
        <v>462</v>
      </c>
      <c r="R139" s="14" t="s">
        <v>484</v>
      </c>
      <c r="S139" s="15">
        <v>0</v>
      </c>
      <c r="T139" s="15">
        <v>0</v>
      </c>
      <c r="U139" s="16" t="s">
        <v>484</v>
      </c>
      <c r="V139" s="16" t="s">
        <v>467</v>
      </c>
      <c r="W139" s="17">
        <v>0</v>
      </c>
      <c r="X139" s="17">
        <v>1</v>
      </c>
      <c r="Y139" s="17" t="s">
        <v>521</v>
      </c>
      <c r="Z139" s="17" t="s">
        <v>512</v>
      </c>
      <c r="AA139" s="31">
        <v>0</v>
      </c>
      <c r="AB139" s="18" t="s">
        <v>439</v>
      </c>
      <c r="AC139" s="156" t="s">
        <v>493</v>
      </c>
      <c r="AD139" s="125" t="str">
        <f t="shared" si="17"/>
        <v/>
      </c>
      <c r="AE139" s="160" t="s">
        <v>507</v>
      </c>
      <c r="AF139" t="s">
        <v>505</v>
      </c>
      <c r="AG139" s="18" t="s">
        <v>525</v>
      </c>
      <c r="AH139" s="18" t="s">
        <v>485</v>
      </c>
      <c r="AI139" s="132"/>
      <c r="AK139" s="77">
        <f t="shared" si="16"/>
        <v>1</v>
      </c>
      <c r="AL139" t="str">
        <f t="shared" si="18"/>
        <v>LVC</v>
      </c>
      <c r="AM139" s="105" t="str" cm="1">
        <f t="array" ref="AM139">IF(OR(O139:O296="zero_recoverable", "zero_exalt", "zero_other", "zero_uncertain"),
   "Yes","No")</f>
        <v>Yes</v>
      </c>
      <c r="AN139">
        <f>1 + COUNTIF($V$2:V138,"main")</f>
        <v>35</v>
      </c>
      <c r="AO139" t="str">
        <f t="shared" si="19"/>
        <v>main</v>
      </c>
      <c r="AP139">
        <f t="shared" si="20"/>
        <v>1</v>
      </c>
      <c r="AQ139">
        <f>IF(AP140=0,"",COUNTIFS($AN$2:$AN140,$AN140,$AP$2:$AP140,1))</f>
        <v>1</v>
      </c>
      <c r="AR139">
        <v>0</v>
      </c>
      <c r="AS139" t="s">
        <v>526</v>
      </c>
      <c r="AT139" t="s">
        <v>462</v>
      </c>
      <c r="AU139">
        <f t="shared" si="22"/>
        <v>0</v>
      </c>
      <c r="AV139">
        <f t="shared" si="23"/>
        <v>0</v>
      </c>
    </row>
    <row r="140" spans="1:48">
      <c r="A140" s="28" t="s">
        <v>662</v>
      </c>
      <c r="B140" s="11" t="s">
        <v>652</v>
      </c>
      <c r="C140" s="110" t="s">
        <v>325</v>
      </c>
      <c r="D140" s="12" t="s">
        <v>427</v>
      </c>
      <c r="E140" s="12" t="s">
        <v>1056</v>
      </c>
      <c r="F140" s="12" t="s">
        <v>550</v>
      </c>
      <c r="G140" s="74" t="s">
        <v>440</v>
      </c>
      <c r="H140" s="12" t="s">
        <v>441</v>
      </c>
      <c r="I140" s="12" t="s">
        <v>452</v>
      </c>
      <c r="J140" s="12" t="s">
        <v>454</v>
      </c>
      <c r="K140" s="12">
        <v>1</v>
      </c>
      <c r="L140" s="13">
        <v>2</v>
      </c>
      <c r="M140" s="13" t="s">
        <v>542</v>
      </c>
      <c r="N140" s="13">
        <v>0</v>
      </c>
      <c r="O140" s="14" t="s">
        <v>526</v>
      </c>
      <c r="P140" s="14">
        <v>1</v>
      </c>
      <c r="Q140" s="14" t="s">
        <v>462</v>
      </c>
      <c r="R140" s="14" t="s">
        <v>462</v>
      </c>
      <c r="S140" s="15">
        <v>0</v>
      </c>
      <c r="T140" s="15">
        <v>0</v>
      </c>
      <c r="U140" s="16" t="s">
        <v>484</v>
      </c>
      <c r="V140" s="16" t="s">
        <v>467</v>
      </c>
      <c r="W140" s="17">
        <v>0</v>
      </c>
      <c r="X140" s="17">
        <v>0</v>
      </c>
      <c r="Y140" s="17" t="s">
        <v>484</v>
      </c>
      <c r="Z140" s="49" t="s">
        <v>516</v>
      </c>
      <c r="AA140" s="31">
        <v>0</v>
      </c>
      <c r="AB140" s="18" t="s">
        <v>439</v>
      </c>
      <c r="AC140" s="156" t="s">
        <v>467</v>
      </c>
      <c r="AD140" s="125" t="str">
        <f t="shared" si="17"/>
        <v/>
      </c>
      <c r="AE140" s="160" t="s">
        <v>505</v>
      </c>
      <c r="AF140" t="s">
        <v>507</v>
      </c>
      <c r="AG140" s="18" t="s">
        <v>506</v>
      </c>
      <c r="AH140" s="18" t="s">
        <v>485</v>
      </c>
      <c r="AI140" s="132"/>
      <c r="AK140" s="77">
        <f t="shared" si="16"/>
        <v>2</v>
      </c>
      <c r="AL140" t="str">
        <f t="shared" si="18"/>
        <v>non-LVC</v>
      </c>
      <c r="AM140" s="105" t="str" cm="1">
        <f t="array" ref="AM140">IF(OR(O140:O297="zero_recoverable", "zero_exalt", "zero_other", "zero_uncertain"),
   "Yes","No")</f>
        <v>Yes</v>
      </c>
      <c r="AN140">
        <f>1 + COUNTIF($V$2:V139,"main")</f>
        <v>36</v>
      </c>
      <c r="AO140" t="str">
        <f t="shared" si="19"/>
        <v/>
      </c>
      <c r="AP140">
        <f t="shared" si="20"/>
        <v>1</v>
      </c>
      <c r="AQ140">
        <f>IF(AP141=0,"",COUNTIFS($AN$2:$AN141,$AN141,$AP$2:$AP141,1))</f>
        <v>1</v>
      </c>
      <c r="AR140">
        <v>0</v>
      </c>
      <c r="AS140" t="s">
        <v>461</v>
      </c>
      <c r="AT140" t="s">
        <v>526</v>
      </c>
      <c r="AU140">
        <f t="shared" si="22"/>
        <v>0</v>
      </c>
      <c r="AV140">
        <f t="shared" si="23"/>
        <v>1</v>
      </c>
    </row>
    <row r="141" spans="1:48">
      <c r="A141" s="28" t="s">
        <v>685</v>
      </c>
      <c r="B141" s="11" t="s">
        <v>653</v>
      </c>
      <c r="C141" s="110" t="s">
        <v>654</v>
      </c>
      <c r="D141" s="12" t="s">
        <v>663</v>
      </c>
      <c r="E141" s="12" t="s">
        <v>1056</v>
      </c>
      <c r="F141" s="12" t="s">
        <v>550</v>
      </c>
      <c r="G141" s="74" t="s">
        <v>434</v>
      </c>
      <c r="H141" s="12" t="s">
        <v>442</v>
      </c>
      <c r="I141" s="12" t="s">
        <v>453</v>
      </c>
      <c r="J141" s="12" t="s">
        <v>454</v>
      </c>
      <c r="K141" s="12">
        <v>1</v>
      </c>
      <c r="L141" s="13">
        <v>0</v>
      </c>
      <c r="M141" s="13" t="s">
        <v>484</v>
      </c>
      <c r="N141" s="13">
        <v>0</v>
      </c>
      <c r="O141" s="14" t="s">
        <v>461</v>
      </c>
      <c r="P141" s="14">
        <v>3</v>
      </c>
      <c r="Q141" s="14" t="s">
        <v>526</v>
      </c>
      <c r="R141" s="14" t="s">
        <v>526</v>
      </c>
      <c r="S141" s="15">
        <v>0</v>
      </c>
      <c r="T141" s="15">
        <v>0</v>
      </c>
      <c r="U141" s="16" t="s">
        <v>484</v>
      </c>
      <c r="V141" s="16" t="s">
        <v>467</v>
      </c>
      <c r="W141" s="17">
        <v>0</v>
      </c>
      <c r="X141" s="17">
        <v>1</v>
      </c>
      <c r="Y141" s="17" t="s">
        <v>521</v>
      </c>
      <c r="Z141" s="17" t="s">
        <v>512</v>
      </c>
      <c r="AA141" s="31">
        <v>0</v>
      </c>
      <c r="AB141" s="18" t="s">
        <v>439</v>
      </c>
      <c r="AC141" s="156" t="s">
        <v>467</v>
      </c>
      <c r="AD141" s="125" t="str">
        <f t="shared" si="17"/>
        <v/>
      </c>
      <c r="AE141" s="160" t="s">
        <v>507</v>
      </c>
      <c r="AF141" t="s">
        <v>505</v>
      </c>
      <c r="AG141" s="18" t="s">
        <v>525</v>
      </c>
      <c r="AH141" s="18" t="s">
        <v>474</v>
      </c>
      <c r="AI141" s="132"/>
      <c r="AK141" s="77">
        <f t="shared" si="16"/>
        <v>0</v>
      </c>
      <c r="AL141" t="str">
        <f t="shared" si="18"/>
        <v>non-LVC</v>
      </c>
      <c r="AM141" s="105" t="str" cm="1">
        <f t="array" ref="AM141">IF(OR(O141:O298="zero_recoverable", "zero_exalt", "zero_other", "zero_uncertain"),
   "Yes","No")</f>
        <v>Yes</v>
      </c>
      <c r="AN141">
        <f>1 + COUNTIF($V$2:V140,"main")</f>
        <v>37</v>
      </c>
      <c r="AO141" t="str">
        <f t="shared" si="19"/>
        <v/>
      </c>
      <c r="AP141">
        <f t="shared" si="20"/>
        <v>1</v>
      </c>
      <c r="AQ141">
        <f>IF(AP142=0,"",COUNTIFS($AN$2:$AN142,$AN142,$AP$2:$AP142,1))</f>
        <v>1</v>
      </c>
      <c r="AR141">
        <v>0</v>
      </c>
      <c r="AS141" t="s">
        <v>462</v>
      </c>
      <c r="AT141" t="s">
        <v>484</v>
      </c>
      <c r="AU141">
        <f t="shared" si="22"/>
        <v>0</v>
      </c>
      <c r="AV141">
        <f t="shared" si="23"/>
        <v>0</v>
      </c>
    </row>
    <row r="142" spans="1:48">
      <c r="A142" s="28" t="s">
        <v>686</v>
      </c>
      <c r="B142" s="11" t="s">
        <v>664</v>
      </c>
      <c r="C142" s="110" t="s">
        <v>665</v>
      </c>
      <c r="D142" s="12" t="s">
        <v>666</v>
      </c>
      <c r="E142" s="12" t="s">
        <v>713</v>
      </c>
      <c r="F142" s="12" t="s">
        <v>445</v>
      </c>
      <c r="G142" s="74" t="s">
        <v>437</v>
      </c>
      <c r="H142" s="12" t="s">
        <v>442</v>
      </c>
      <c r="I142" s="12" t="s">
        <v>452</v>
      </c>
      <c r="J142" s="12" t="s">
        <v>454</v>
      </c>
      <c r="K142" s="12">
        <v>1</v>
      </c>
      <c r="L142" s="13">
        <v>1</v>
      </c>
      <c r="M142" s="13" t="s">
        <v>457</v>
      </c>
      <c r="N142" s="13">
        <v>1</v>
      </c>
      <c r="O142" s="14" t="s">
        <v>462</v>
      </c>
      <c r="P142" s="14">
        <v>3</v>
      </c>
      <c r="Q142" s="14" t="s">
        <v>484</v>
      </c>
      <c r="R142" s="14" t="s">
        <v>484</v>
      </c>
      <c r="S142" s="15">
        <v>0</v>
      </c>
      <c r="T142" s="15">
        <v>0</v>
      </c>
      <c r="U142" s="16" t="s">
        <v>484</v>
      </c>
      <c r="V142" s="16" t="s">
        <v>467</v>
      </c>
      <c r="W142" s="17">
        <v>0</v>
      </c>
      <c r="X142" s="17">
        <v>0</v>
      </c>
      <c r="Y142" s="17" t="s">
        <v>484</v>
      </c>
      <c r="Z142" s="17" t="s">
        <v>484</v>
      </c>
      <c r="AA142" s="31">
        <v>0</v>
      </c>
      <c r="AB142" s="18" t="s">
        <v>439</v>
      </c>
      <c r="AC142" s="156" t="s">
        <v>467</v>
      </c>
      <c r="AD142" s="125" t="str">
        <f t="shared" si="17"/>
        <v/>
      </c>
      <c r="AE142" s="160" t="s">
        <v>505</v>
      </c>
      <c r="AF142" t="s">
        <v>507</v>
      </c>
      <c r="AG142" s="18" t="s">
        <v>525</v>
      </c>
      <c r="AH142" s="18" t="s">
        <v>485</v>
      </c>
      <c r="AI142" s="132"/>
      <c r="AK142" s="77">
        <f t="shared" si="16"/>
        <v>1</v>
      </c>
      <c r="AL142" t="str">
        <f t="shared" si="18"/>
        <v>non-LVC</v>
      </c>
      <c r="AM142" s="105" t="str" cm="1">
        <f t="array" ref="AM142">IF(OR(O142:O299="zero_recoverable", "zero_exalt", "zero_other", "zero_uncertain"),
   "Yes","No")</f>
        <v>Yes</v>
      </c>
      <c r="AN142">
        <f>1 + COUNTIF($V$2:V141,"main")</f>
        <v>38</v>
      </c>
      <c r="AO142" t="str">
        <f t="shared" si="19"/>
        <v>subordinate</v>
      </c>
      <c r="AP142">
        <f t="shared" si="20"/>
        <v>1</v>
      </c>
      <c r="AQ142">
        <f>IF(AP143=0,"",COUNTIFS($AN$2:$AN143,$AN143,$AP$2:$AP143,1))</f>
        <v>1</v>
      </c>
      <c r="AR142">
        <f t="shared" si="21"/>
        <v>1</v>
      </c>
      <c r="AS142" t="s">
        <v>462</v>
      </c>
      <c r="AT142" t="s">
        <v>484</v>
      </c>
      <c r="AU142">
        <f t="shared" si="22"/>
        <v>0</v>
      </c>
      <c r="AV142">
        <f t="shared" si="23"/>
        <v>0</v>
      </c>
    </row>
    <row r="143" spans="1:48">
      <c r="A143" s="28" t="s">
        <v>687</v>
      </c>
      <c r="B143" s="11" t="s">
        <v>1101</v>
      </c>
      <c r="C143" s="110" t="s">
        <v>326</v>
      </c>
      <c r="D143" s="12" t="s">
        <v>428</v>
      </c>
      <c r="E143" s="12" t="s">
        <v>713</v>
      </c>
      <c r="F143" s="12" t="s">
        <v>445</v>
      </c>
      <c r="G143" s="74" t="s">
        <v>438</v>
      </c>
      <c r="H143" s="12" t="s">
        <v>442</v>
      </c>
      <c r="I143" s="12" t="s">
        <v>452</v>
      </c>
      <c r="J143" s="12" t="s">
        <v>454</v>
      </c>
      <c r="K143" s="12">
        <v>1</v>
      </c>
      <c r="L143" s="13">
        <v>1</v>
      </c>
      <c r="M143" s="13" t="s">
        <v>457</v>
      </c>
      <c r="N143" s="13">
        <v>0</v>
      </c>
      <c r="O143" s="14" t="s">
        <v>462</v>
      </c>
      <c r="P143" s="14">
        <v>3</v>
      </c>
      <c r="Q143" s="14" t="s">
        <v>484</v>
      </c>
      <c r="R143" s="14" t="s">
        <v>484</v>
      </c>
      <c r="S143" s="15">
        <v>0</v>
      </c>
      <c r="T143" s="15">
        <v>0</v>
      </c>
      <c r="U143" s="16" t="s">
        <v>484</v>
      </c>
      <c r="V143" s="16" t="s">
        <v>493</v>
      </c>
      <c r="W143" s="17">
        <v>0</v>
      </c>
      <c r="X143" s="17">
        <v>0</v>
      </c>
      <c r="Y143" s="17" t="s">
        <v>484</v>
      </c>
      <c r="Z143" s="17" t="s">
        <v>484</v>
      </c>
      <c r="AA143" s="31">
        <v>0</v>
      </c>
      <c r="AB143" s="18" t="s">
        <v>508</v>
      </c>
      <c r="AC143" s="156" t="s">
        <v>467</v>
      </c>
      <c r="AD143" s="125" t="str">
        <f t="shared" si="17"/>
        <v/>
      </c>
      <c r="AE143" s="160" t="s">
        <v>507</v>
      </c>
      <c r="AF143" t="s">
        <v>507</v>
      </c>
      <c r="AG143" s="18" t="s">
        <v>525</v>
      </c>
      <c r="AH143" s="18" t="s">
        <v>485</v>
      </c>
      <c r="AI143" s="132"/>
      <c r="AK143" s="77">
        <f t="shared" si="16"/>
        <v>1</v>
      </c>
      <c r="AL143" t="str">
        <f t="shared" si="18"/>
        <v>non-LVC</v>
      </c>
      <c r="AM143" s="105" t="str" cm="1">
        <f t="array" ref="AM143">IF(OR(O143:O300="zero_recoverable", "zero_exalt", "zero_other", "zero_uncertain"),
   "Yes","No")</f>
        <v>Yes</v>
      </c>
      <c r="AN143">
        <f>1 + COUNTIF($V$2:V142,"main")</f>
        <v>39</v>
      </c>
      <c r="AO143" t="str">
        <f t="shared" si="19"/>
        <v/>
      </c>
      <c r="AP143">
        <f t="shared" si="20"/>
        <v>1</v>
      </c>
      <c r="AQ143">
        <f>IF(AP144=0,"",COUNTIFS($AN$2:$AN144,$AN144,$AP$2:$AP144,1))</f>
        <v>2</v>
      </c>
      <c r="AR143">
        <f t="shared" si="21"/>
        <v>0</v>
      </c>
      <c r="AS143" t="s">
        <v>461</v>
      </c>
      <c r="AT143" t="s">
        <v>462</v>
      </c>
      <c r="AU143">
        <f t="shared" si="22"/>
        <v>1</v>
      </c>
      <c r="AV143">
        <f t="shared" si="23"/>
        <v>0</v>
      </c>
    </row>
    <row r="144" spans="1:48">
      <c r="A144" s="28" t="s">
        <v>688</v>
      </c>
      <c r="B144" s="11" t="s">
        <v>1100</v>
      </c>
      <c r="C144" s="110" t="s">
        <v>327</v>
      </c>
      <c r="D144" s="12" t="s">
        <v>429</v>
      </c>
      <c r="E144" s="12" t="s">
        <v>1056</v>
      </c>
      <c r="F144" s="12" t="s">
        <v>550</v>
      </c>
      <c r="G144" s="74" t="s">
        <v>434</v>
      </c>
      <c r="H144" s="12" t="s">
        <v>441</v>
      </c>
      <c r="I144" s="12" t="s">
        <v>452</v>
      </c>
      <c r="J144" s="12" t="s">
        <v>454</v>
      </c>
      <c r="K144" s="12">
        <v>1</v>
      </c>
      <c r="L144" s="13">
        <v>1</v>
      </c>
      <c r="M144" s="13" t="s">
        <v>465</v>
      </c>
      <c r="N144" s="13">
        <v>1</v>
      </c>
      <c r="O144" s="14" t="s">
        <v>461</v>
      </c>
      <c r="P144" s="14">
        <v>3</v>
      </c>
      <c r="Q144" s="14" t="s">
        <v>462</v>
      </c>
      <c r="R144" s="14" t="s">
        <v>484</v>
      </c>
      <c r="S144" s="15">
        <v>0</v>
      </c>
      <c r="T144" s="15">
        <v>0</v>
      </c>
      <c r="U144" s="16" t="s">
        <v>484</v>
      </c>
      <c r="V144" s="16" t="s">
        <v>537</v>
      </c>
      <c r="W144" s="17">
        <v>0</v>
      </c>
      <c r="X144" s="17">
        <v>1</v>
      </c>
      <c r="Y144" s="17" t="s">
        <v>521</v>
      </c>
      <c r="Z144" s="17" t="s">
        <v>512</v>
      </c>
      <c r="AA144" s="31">
        <v>0</v>
      </c>
      <c r="AB144" s="18" t="s">
        <v>470</v>
      </c>
      <c r="AC144" s="156" t="s">
        <v>493</v>
      </c>
      <c r="AD144" s="125" t="s">
        <v>1134</v>
      </c>
      <c r="AE144" s="160" t="s">
        <v>507</v>
      </c>
      <c r="AF144" t="s">
        <v>505</v>
      </c>
      <c r="AG144" s="18" t="s">
        <v>487</v>
      </c>
      <c r="AH144" s="18" t="s">
        <v>533</v>
      </c>
      <c r="AI144" s="132"/>
      <c r="AK144" s="77">
        <f t="shared" si="16"/>
        <v>1</v>
      </c>
      <c r="AL144" t="str">
        <f t="shared" si="18"/>
        <v>non-LVC</v>
      </c>
      <c r="AM144" s="105" t="str" cm="1">
        <f t="array" ref="AM144">IF(OR(O144:O301="zero_recoverable", "zero_exalt", "zero_other", "zero_uncertain"),
   "Yes","No")</f>
        <v>Yes</v>
      </c>
      <c r="AN144">
        <f>1 + COUNTIF($V$2:V143,"main")</f>
        <v>39</v>
      </c>
      <c r="AO144" t="str">
        <f t="shared" si="19"/>
        <v/>
      </c>
      <c r="AP144">
        <f t="shared" si="20"/>
        <v>1</v>
      </c>
      <c r="AQ144">
        <f>IF(AP145=0,"",COUNTIFS($AN$2:$AN145,$AN145,$AP$2:$AP145,1))</f>
        <v>3</v>
      </c>
      <c r="AR144">
        <f t="shared" si="21"/>
        <v>0</v>
      </c>
      <c r="AS144" t="s">
        <v>461</v>
      </c>
      <c r="AT144" t="s">
        <v>526</v>
      </c>
      <c r="AU144">
        <f t="shared" si="22"/>
        <v>0</v>
      </c>
      <c r="AV144">
        <f t="shared" si="23"/>
        <v>1</v>
      </c>
    </row>
    <row r="145" spans="1:48">
      <c r="A145" s="28" t="s">
        <v>689</v>
      </c>
      <c r="B145" s="11" t="s">
        <v>623</v>
      </c>
      <c r="C145" s="110" t="s">
        <v>328</v>
      </c>
      <c r="D145" s="12" t="s">
        <v>718</v>
      </c>
      <c r="E145" s="12" t="s">
        <v>1056</v>
      </c>
      <c r="F145" s="12" t="s">
        <v>550</v>
      </c>
      <c r="G145" s="114" t="s">
        <v>435</v>
      </c>
      <c r="H145" s="29" t="s">
        <v>441</v>
      </c>
      <c r="I145" s="12" t="s">
        <v>452</v>
      </c>
      <c r="J145" s="12" t="s">
        <v>454</v>
      </c>
      <c r="K145" s="12">
        <v>1</v>
      </c>
      <c r="L145" s="13">
        <v>0</v>
      </c>
      <c r="M145" s="13" t="s">
        <v>484</v>
      </c>
      <c r="N145" s="13">
        <v>0</v>
      </c>
      <c r="O145" s="14" t="s">
        <v>461</v>
      </c>
      <c r="P145" s="14">
        <v>3</v>
      </c>
      <c r="Q145" s="14" t="s">
        <v>526</v>
      </c>
      <c r="R145" s="14" t="s">
        <v>484</v>
      </c>
      <c r="S145" s="15">
        <v>0</v>
      </c>
      <c r="T145" s="15">
        <v>0</v>
      </c>
      <c r="U145" s="16" t="s">
        <v>484</v>
      </c>
      <c r="V145" s="16" t="s">
        <v>493</v>
      </c>
      <c r="W145" s="17">
        <v>0</v>
      </c>
      <c r="X145" s="17">
        <v>1</v>
      </c>
      <c r="Y145" s="17" t="s">
        <v>521</v>
      </c>
      <c r="Z145" s="17" t="s">
        <v>512</v>
      </c>
      <c r="AA145" s="31">
        <v>0</v>
      </c>
      <c r="AB145" s="18" t="s">
        <v>469</v>
      </c>
      <c r="AC145" s="156" t="s">
        <v>537</v>
      </c>
      <c r="AD145" s="125" t="str">
        <f t="shared" si="17"/>
        <v/>
      </c>
      <c r="AE145" s="160" t="s">
        <v>505</v>
      </c>
      <c r="AF145" t="s">
        <v>507</v>
      </c>
      <c r="AG145" s="18" t="s">
        <v>525</v>
      </c>
      <c r="AH145" s="18" t="s">
        <v>474</v>
      </c>
      <c r="AI145" s="132"/>
      <c r="AK145" s="77">
        <f t="shared" si="16"/>
        <v>0</v>
      </c>
      <c r="AL145" t="str">
        <f t="shared" si="18"/>
        <v>LVC</v>
      </c>
      <c r="AM145" s="105" t="str" cm="1">
        <f t="array" ref="AM145">IF(OR(O145:O302="zero_recoverable", "zero_exalt", "zero_other", "zero_uncertain"),
   "Yes","No")</f>
        <v>Yes</v>
      </c>
      <c r="AN145">
        <f>1 + COUNTIF($V$2:V144,"main")</f>
        <v>39</v>
      </c>
      <c r="AO145" t="str">
        <f t="shared" si="19"/>
        <v/>
      </c>
      <c r="AP145">
        <f t="shared" si="20"/>
        <v>1</v>
      </c>
      <c r="AQ145">
        <f>IF(AP146=0,"",COUNTIFS($AN$2:$AN146,$AN146,$AP$2:$AP146,1))</f>
        <v>4</v>
      </c>
      <c r="AR145">
        <f t="shared" si="21"/>
        <v>0</v>
      </c>
      <c r="AS145" t="s">
        <v>462</v>
      </c>
      <c r="AT145" t="s">
        <v>484</v>
      </c>
      <c r="AU145">
        <f t="shared" si="22"/>
        <v>0</v>
      </c>
      <c r="AV145">
        <f t="shared" si="23"/>
        <v>0</v>
      </c>
    </row>
    <row r="146" spans="1:48">
      <c r="A146" s="28" t="s">
        <v>690</v>
      </c>
      <c r="B146" s="11" t="s">
        <v>234</v>
      </c>
      <c r="C146" s="110" t="s">
        <v>329</v>
      </c>
      <c r="D146" s="12" t="s">
        <v>430</v>
      </c>
      <c r="E146" s="12" t="s">
        <v>1056</v>
      </c>
      <c r="F146" s="12" t="s">
        <v>445</v>
      </c>
      <c r="G146" s="74" t="s">
        <v>434</v>
      </c>
      <c r="H146" s="12" t="s">
        <v>442</v>
      </c>
      <c r="I146" s="12" t="s">
        <v>710</v>
      </c>
      <c r="J146" s="12" t="s">
        <v>454</v>
      </c>
      <c r="K146" s="12">
        <v>1</v>
      </c>
      <c r="L146" s="13">
        <v>1</v>
      </c>
      <c r="M146" s="13" t="s">
        <v>457</v>
      </c>
      <c r="N146" s="13">
        <v>0</v>
      </c>
      <c r="O146" s="14" t="s">
        <v>462</v>
      </c>
      <c r="P146" s="14">
        <v>3</v>
      </c>
      <c r="Q146" s="14" t="s">
        <v>484</v>
      </c>
      <c r="R146" s="14" t="s">
        <v>484</v>
      </c>
      <c r="S146" s="15">
        <v>0</v>
      </c>
      <c r="T146" s="15">
        <v>0</v>
      </c>
      <c r="U146" s="16" t="s">
        <v>484</v>
      </c>
      <c r="V146" s="16" t="s">
        <v>493</v>
      </c>
      <c r="W146" s="17">
        <v>0</v>
      </c>
      <c r="X146" s="17">
        <v>0</v>
      </c>
      <c r="Y146" s="17" t="s">
        <v>484</v>
      </c>
      <c r="Z146" s="17" t="s">
        <v>484</v>
      </c>
      <c r="AA146" s="31">
        <v>0</v>
      </c>
      <c r="AB146" s="18" t="s">
        <v>473</v>
      </c>
      <c r="AC146" s="156" t="s">
        <v>493</v>
      </c>
      <c r="AD146" s="125" t="str">
        <f t="shared" si="17"/>
        <v/>
      </c>
      <c r="AE146" s="160" t="s">
        <v>507</v>
      </c>
      <c r="AF146" t="s">
        <v>507</v>
      </c>
      <c r="AG146" s="18" t="s">
        <v>525</v>
      </c>
      <c r="AH146" s="18" t="s">
        <v>485</v>
      </c>
      <c r="AI146" s="132"/>
      <c r="AK146" s="77">
        <f t="shared" si="16"/>
        <v>1</v>
      </c>
      <c r="AL146" t="str">
        <f t="shared" si="18"/>
        <v>non-LVC</v>
      </c>
      <c r="AM146" s="105" t="str" cm="1">
        <f t="array" ref="AM146">IF(OR(O146:O303="zero_recoverable", "zero_exalt", "zero_other", "zero_uncertain"),
   "Yes","No")</f>
        <v>Yes</v>
      </c>
      <c r="AN146">
        <f>1 + COUNTIF($V$2:V145,"main")</f>
        <v>39</v>
      </c>
      <c r="AO146" t="str">
        <f t="shared" si="19"/>
        <v>main</v>
      </c>
      <c r="AP146">
        <f t="shared" si="20"/>
        <v>1</v>
      </c>
      <c r="AQ146">
        <f>IF(AP147=0,"",COUNTIFS($AN$2:$AN147,$AN147,$AP$2:$AP147,1))</f>
        <v>5</v>
      </c>
      <c r="AR146">
        <v>0</v>
      </c>
      <c r="AS146" t="s">
        <v>462</v>
      </c>
      <c r="AT146" t="s">
        <v>462</v>
      </c>
      <c r="AU146">
        <f t="shared" si="22"/>
        <v>0</v>
      </c>
      <c r="AV146">
        <f t="shared" si="23"/>
        <v>0</v>
      </c>
    </row>
    <row r="147" spans="1:48">
      <c r="A147" s="28" t="s">
        <v>691</v>
      </c>
      <c r="B147" s="11" t="s">
        <v>235</v>
      </c>
      <c r="C147" s="110" t="s">
        <v>330</v>
      </c>
      <c r="D147" s="12" t="s">
        <v>431</v>
      </c>
      <c r="E147" s="12" t="s">
        <v>1056</v>
      </c>
      <c r="F147" s="12" t="s">
        <v>445</v>
      </c>
      <c r="G147" s="74" t="s">
        <v>434</v>
      </c>
      <c r="H147" s="12" t="s">
        <v>441</v>
      </c>
      <c r="I147" s="12" t="s">
        <v>710</v>
      </c>
      <c r="J147" s="12" t="s">
        <v>454</v>
      </c>
      <c r="K147" s="12">
        <v>1</v>
      </c>
      <c r="L147" s="13">
        <v>3</v>
      </c>
      <c r="M147" s="13" t="s">
        <v>616</v>
      </c>
      <c r="N147" s="13">
        <v>0</v>
      </c>
      <c r="O147" s="14" t="s">
        <v>462</v>
      </c>
      <c r="P147" s="14">
        <v>3</v>
      </c>
      <c r="Q147" s="14" t="s">
        <v>462</v>
      </c>
      <c r="R147" s="14" t="s">
        <v>462</v>
      </c>
      <c r="S147" s="15">
        <v>0</v>
      </c>
      <c r="T147" s="15">
        <v>0</v>
      </c>
      <c r="U147" s="16" t="s">
        <v>484</v>
      </c>
      <c r="V147" s="16" t="s">
        <v>467</v>
      </c>
      <c r="W147" s="17">
        <v>0</v>
      </c>
      <c r="X147" s="17">
        <v>0</v>
      </c>
      <c r="Y147" s="17" t="s">
        <v>484</v>
      </c>
      <c r="Z147" s="17" t="s">
        <v>484</v>
      </c>
      <c r="AA147" s="31">
        <v>0</v>
      </c>
      <c r="AB147" s="18" t="s">
        <v>439</v>
      </c>
      <c r="AC147" s="156" t="s">
        <v>493</v>
      </c>
      <c r="AD147" s="125" t="str">
        <f t="shared" si="17"/>
        <v/>
      </c>
      <c r="AE147" s="160" t="s">
        <v>507</v>
      </c>
      <c r="AF147" t="s">
        <v>507</v>
      </c>
      <c r="AG147" s="18" t="s">
        <v>525</v>
      </c>
      <c r="AH147" s="18" t="s">
        <v>485</v>
      </c>
      <c r="AI147" s="132"/>
      <c r="AK147" s="77">
        <f t="shared" si="16"/>
        <v>3</v>
      </c>
      <c r="AL147" t="str">
        <f t="shared" si="18"/>
        <v>non-LVC</v>
      </c>
      <c r="AM147" s="105" t="str" cm="1">
        <f t="array" ref="AM147">IF(OR(O147:O304="zero_recoverable", "zero_exalt", "zero_other", "zero_uncertain"),
   "Yes","No")</f>
        <v>Yes</v>
      </c>
      <c r="AN147">
        <f>1 + COUNTIF($V$2:V146,"main")</f>
        <v>39</v>
      </c>
      <c r="AO147" t="str">
        <f t="shared" si="19"/>
        <v>subordinate</v>
      </c>
      <c r="AP147">
        <f t="shared" si="20"/>
        <v>1</v>
      </c>
      <c r="AQ147">
        <f>IF(AP148=0,"",COUNTIFS($AN$2:$AN148,$AN148,$AP$2:$AP148,1))</f>
        <v>1</v>
      </c>
      <c r="AR147">
        <v>0</v>
      </c>
      <c r="AS147" t="s">
        <v>526</v>
      </c>
      <c r="AT147" t="s">
        <v>462</v>
      </c>
      <c r="AU147">
        <f t="shared" si="22"/>
        <v>1</v>
      </c>
      <c r="AV147">
        <f t="shared" si="23"/>
        <v>0</v>
      </c>
    </row>
    <row r="148" spans="1:48">
      <c r="A148" s="28" t="s">
        <v>692</v>
      </c>
      <c r="B148" s="11" t="s">
        <v>1103</v>
      </c>
      <c r="C148" s="110" t="s">
        <v>669</v>
      </c>
      <c r="D148" s="12" t="s">
        <v>672</v>
      </c>
      <c r="E148" s="12" t="s">
        <v>715</v>
      </c>
      <c r="F148" s="12" t="s">
        <v>446</v>
      </c>
      <c r="G148" s="74" t="s">
        <v>434</v>
      </c>
      <c r="H148" s="12" t="s">
        <v>441</v>
      </c>
      <c r="I148" s="12" t="s">
        <v>452</v>
      </c>
      <c r="J148" s="12" t="s">
        <v>454</v>
      </c>
      <c r="K148" s="12">
        <v>1</v>
      </c>
      <c r="L148" s="13">
        <v>1</v>
      </c>
      <c r="M148" s="13" t="s">
        <v>465</v>
      </c>
      <c r="N148" s="13">
        <v>0</v>
      </c>
      <c r="O148" s="14" t="s">
        <v>526</v>
      </c>
      <c r="P148" s="14">
        <v>3</v>
      </c>
      <c r="Q148" s="14" t="s">
        <v>462</v>
      </c>
      <c r="R148" s="14" t="s">
        <v>484</v>
      </c>
      <c r="S148" s="15">
        <v>0</v>
      </c>
      <c r="T148" s="15">
        <v>0</v>
      </c>
      <c r="U148" s="16" t="s">
        <v>484</v>
      </c>
      <c r="V148" s="16" t="s">
        <v>493</v>
      </c>
      <c r="W148" s="17">
        <v>0</v>
      </c>
      <c r="X148" s="17">
        <v>0</v>
      </c>
      <c r="Y148" s="17" t="s">
        <v>484</v>
      </c>
      <c r="Z148" s="17" t="s">
        <v>484</v>
      </c>
      <c r="AA148" s="31">
        <v>0</v>
      </c>
      <c r="AB148" s="18" t="s">
        <v>547</v>
      </c>
      <c r="AC148" s="156" t="s">
        <v>467</v>
      </c>
      <c r="AD148" s="125" t="str">
        <f t="shared" si="17"/>
        <v/>
      </c>
      <c r="AE148" s="160" t="s">
        <v>507</v>
      </c>
      <c r="AF148" t="s">
        <v>505</v>
      </c>
      <c r="AG148" s="18" t="s">
        <v>525</v>
      </c>
      <c r="AH148" s="18" t="s">
        <v>485</v>
      </c>
      <c r="AI148" s="132"/>
      <c r="AK148" s="77">
        <f t="shared" si="16"/>
        <v>1</v>
      </c>
      <c r="AL148" t="str">
        <f t="shared" si="18"/>
        <v>non-LVC</v>
      </c>
      <c r="AM148" s="105" t="str" cm="1">
        <f t="array" ref="AM148">IF(OR(O148:O305="zero_recoverable", "zero_exalt", "zero_other", "zero_uncertain"),
   "Yes","No")</f>
        <v>Yes</v>
      </c>
      <c r="AN148">
        <f>1 + COUNTIF($V$2:V147,"main")</f>
        <v>40</v>
      </c>
      <c r="AO148" t="str">
        <f t="shared" si="19"/>
        <v/>
      </c>
      <c r="AP148">
        <f t="shared" si="20"/>
        <v>1</v>
      </c>
      <c r="AQ148" t="str">
        <f>IF(AP149=0,"",COUNTIFS($AN$2:$AN149,$AN149,$AP$2:$AP149,1))</f>
        <v/>
      </c>
      <c r="AR148">
        <f t="shared" si="21"/>
        <v>0</v>
      </c>
      <c r="AS148" t="s">
        <v>526</v>
      </c>
      <c r="AT148" t="s">
        <v>462</v>
      </c>
      <c r="AU148">
        <f t="shared" si="22"/>
        <v>0</v>
      </c>
      <c r="AV148">
        <f t="shared" si="23"/>
        <v>0</v>
      </c>
    </row>
    <row r="149" spans="1:48">
      <c r="A149" s="28" t="s">
        <v>693</v>
      </c>
      <c r="B149" s="11" t="s">
        <v>1102</v>
      </c>
      <c r="C149" s="110" t="s">
        <v>670</v>
      </c>
      <c r="D149" s="12" t="s">
        <v>675</v>
      </c>
      <c r="E149" s="12" t="s">
        <v>1056</v>
      </c>
      <c r="F149" s="12" t="s">
        <v>446</v>
      </c>
      <c r="G149" s="74" t="s">
        <v>435</v>
      </c>
      <c r="H149" s="12" t="s">
        <v>441</v>
      </c>
      <c r="I149" s="12" t="s">
        <v>452</v>
      </c>
      <c r="J149" s="12" t="s">
        <v>454</v>
      </c>
      <c r="K149" s="12">
        <v>1</v>
      </c>
      <c r="L149" s="13">
        <v>1</v>
      </c>
      <c r="M149" s="13" t="s">
        <v>465</v>
      </c>
      <c r="N149" s="13">
        <v>0</v>
      </c>
      <c r="O149" s="14" t="s">
        <v>526</v>
      </c>
      <c r="P149" s="14">
        <v>3</v>
      </c>
      <c r="Q149" s="14" t="s">
        <v>462</v>
      </c>
      <c r="R149" s="14" t="s">
        <v>484</v>
      </c>
      <c r="S149" s="15">
        <v>0</v>
      </c>
      <c r="T149" s="15">
        <v>1</v>
      </c>
      <c r="U149" s="16" t="s">
        <v>464</v>
      </c>
      <c r="V149" s="16" t="s">
        <v>466</v>
      </c>
      <c r="W149" s="17">
        <v>0</v>
      </c>
      <c r="X149" s="17">
        <v>0</v>
      </c>
      <c r="Y149" s="17" t="s">
        <v>484</v>
      </c>
      <c r="Z149" s="17" t="s">
        <v>484</v>
      </c>
      <c r="AA149" s="31">
        <v>0</v>
      </c>
      <c r="AB149" s="18" t="s">
        <v>439</v>
      </c>
      <c r="AC149" s="156" t="s">
        <v>493</v>
      </c>
      <c r="AD149" s="125" t="str">
        <f t="shared" si="17"/>
        <v/>
      </c>
      <c r="AE149" s="160" t="s">
        <v>505</v>
      </c>
      <c r="AF149" t="s">
        <v>505</v>
      </c>
      <c r="AG149" s="18" t="s">
        <v>525</v>
      </c>
      <c r="AH149" s="18" t="s">
        <v>533</v>
      </c>
      <c r="AI149" s="132"/>
      <c r="AK149" s="77">
        <f t="shared" si="16"/>
        <v>1</v>
      </c>
      <c r="AL149" t="str">
        <f t="shared" si="18"/>
        <v>LVC</v>
      </c>
      <c r="AM149" s="105" t="str" cm="1">
        <f t="array" ref="AM149">IF(OR(O149:O306="zero_recoverable", "zero_exalt", "zero_other", "zero_uncertain"),
   "Yes","No")</f>
        <v>Yes</v>
      </c>
      <c r="AN149">
        <f>1 + COUNTIF($V$2:V148,"main")</f>
        <v>40</v>
      </c>
      <c r="AO149" t="str">
        <f t="shared" si="19"/>
        <v/>
      </c>
      <c r="AP149">
        <f t="shared" si="20"/>
        <v>0</v>
      </c>
      <c r="AQ149">
        <f>IF(AP150=0,"",COUNTIFS($AN$2:$AN150,$AN150,$AP$2:$AP150,1))</f>
        <v>2</v>
      </c>
      <c r="AR149">
        <f t="shared" si="21"/>
        <v>0</v>
      </c>
      <c r="AS149" t="s">
        <v>526</v>
      </c>
      <c r="AT149" t="s">
        <v>462</v>
      </c>
      <c r="AU149">
        <f t="shared" si="22"/>
        <v>0</v>
      </c>
      <c r="AV149">
        <f t="shared" si="23"/>
        <v>0</v>
      </c>
    </row>
    <row r="150" spans="1:48">
      <c r="A150" s="28" t="s">
        <v>694</v>
      </c>
      <c r="B150" s="11" t="s">
        <v>667</v>
      </c>
      <c r="C150" s="110" t="s">
        <v>671</v>
      </c>
      <c r="D150" s="12" t="s">
        <v>673</v>
      </c>
      <c r="E150" s="12" t="s">
        <v>1056</v>
      </c>
      <c r="F150" s="12" t="s">
        <v>446</v>
      </c>
      <c r="G150" s="74" t="s">
        <v>434</v>
      </c>
      <c r="H150" s="12" t="s">
        <v>441</v>
      </c>
      <c r="I150" s="12" t="s">
        <v>452</v>
      </c>
      <c r="J150" s="12" t="s">
        <v>454</v>
      </c>
      <c r="K150" s="12">
        <v>1</v>
      </c>
      <c r="L150" s="13">
        <v>1</v>
      </c>
      <c r="M150" s="13" t="s">
        <v>465</v>
      </c>
      <c r="N150" s="13">
        <v>0</v>
      </c>
      <c r="O150" s="14" t="s">
        <v>526</v>
      </c>
      <c r="P150" s="14">
        <v>3</v>
      </c>
      <c r="Q150" s="14" t="s">
        <v>462</v>
      </c>
      <c r="R150" s="14" t="s">
        <v>484</v>
      </c>
      <c r="S150" s="15">
        <v>0</v>
      </c>
      <c r="T150" s="15">
        <v>0</v>
      </c>
      <c r="U150" s="16" t="s">
        <v>484</v>
      </c>
      <c r="V150" s="16" t="s">
        <v>493</v>
      </c>
      <c r="W150" s="17">
        <v>0</v>
      </c>
      <c r="X150" s="17">
        <v>0</v>
      </c>
      <c r="Y150" s="17" t="s">
        <v>484</v>
      </c>
      <c r="Z150" s="17" t="s">
        <v>484</v>
      </c>
      <c r="AA150" s="31">
        <v>0</v>
      </c>
      <c r="AB150" s="18" t="s">
        <v>473</v>
      </c>
      <c r="AC150" s="156" t="s">
        <v>466</v>
      </c>
      <c r="AD150" s="125" t="str">
        <f t="shared" si="17"/>
        <v/>
      </c>
      <c r="AE150" s="160" t="s">
        <v>505</v>
      </c>
      <c r="AF150" t="s">
        <v>505</v>
      </c>
      <c r="AG150" s="18" t="s">
        <v>525</v>
      </c>
      <c r="AH150" s="18" t="s">
        <v>485</v>
      </c>
      <c r="AI150" s="132"/>
      <c r="AK150" s="77">
        <f t="shared" si="16"/>
        <v>1</v>
      </c>
      <c r="AL150" t="str">
        <f t="shared" si="18"/>
        <v>non-LVC</v>
      </c>
      <c r="AM150" s="105" t="str" cm="1">
        <f t="array" ref="AM150">IF(OR(O150:O307="zero_recoverable", "zero_exalt", "zero_other", "zero_uncertain"),
   "Yes","No")</f>
        <v>Yes</v>
      </c>
      <c r="AN150">
        <f>1 + COUNTIF($V$2:V149,"main")</f>
        <v>40</v>
      </c>
      <c r="AO150" t="str">
        <f t="shared" si="19"/>
        <v>te</v>
      </c>
      <c r="AP150">
        <f t="shared" si="20"/>
        <v>1</v>
      </c>
      <c r="AQ150">
        <f>IF(AP151=0,"",COUNTIFS($AN$2:$AN151,$AN151,$AP$2:$AP151,1))</f>
        <v>3</v>
      </c>
      <c r="AR150">
        <f t="shared" si="21"/>
        <v>0</v>
      </c>
      <c r="AS150" t="s">
        <v>461</v>
      </c>
      <c r="AT150" t="s">
        <v>462</v>
      </c>
      <c r="AU150">
        <f t="shared" si="22"/>
        <v>0</v>
      </c>
      <c r="AV150">
        <f t="shared" si="23"/>
        <v>0</v>
      </c>
    </row>
    <row r="151" spans="1:48">
      <c r="A151" s="28" t="s">
        <v>695</v>
      </c>
      <c r="B151" s="11" t="s">
        <v>676</v>
      </c>
      <c r="C151" s="110" t="s">
        <v>331</v>
      </c>
      <c r="D151" s="12" t="s">
        <v>678</v>
      </c>
      <c r="E151" s="12" t="s">
        <v>1056</v>
      </c>
      <c r="F151" s="12" t="s">
        <v>450</v>
      </c>
      <c r="G151" s="74" t="s">
        <v>435</v>
      </c>
      <c r="H151" s="12" t="s">
        <v>441</v>
      </c>
      <c r="I151" s="12" t="s">
        <v>452</v>
      </c>
      <c r="J151" s="12" t="s">
        <v>454</v>
      </c>
      <c r="K151" s="12">
        <v>1</v>
      </c>
      <c r="L151" s="13">
        <v>1</v>
      </c>
      <c r="M151" s="13" t="s">
        <v>465</v>
      </c>
      <c r="N151" s="13">
        <v>0</v>
      </c>
      <c r="O151" s="14" t="s">
        <v>461</v>
      </c>
      <c r="P151" s="14">
        <v>3</v>
      </c>
      <c r="Q151" s="14" t="s">
        <v>462</v>
      </c>
      <c r="R151" s="14" t="s">
        <v>484</v>
      </c>
      <c r="S151" s="15">
        <v>0</v>
      </c>
      <c r="T151" s="15">
        <v>0</v>
      </c>
      <c r="U151" s="16" t="s">
        <v>484</v>
      </c>
      <c r="V151" s="16" t="s">
        <v>537</v>
      </c>
      <c r="W151" s="17">
        <v>0</v>
      </c>
      <c r="X151" s="17">
        <v>1</v>
      </c>
      <c r="Y151" s="17" t="s">
        <v>521</v>
      </c>
      <c r="Z151" s="17" t="s">
        <v>513</v>
      </c>
      <c r="AA151" s="31">
        <v>0</v>
      </c>
      <c r="AB151" s="18" t="s">
        <v>439</v>
      </c>
      <c r="AC151" s="156" t="s">
        <v>493</v>
      </c>
      <c r="AD151" s="125" t="s">
        <v>1134</v>
      </c>
      <c r="AE151" s="160" t="s">
        <v>505</v>
      </c>
      <c r="AF151" t="s">
        <v>505</v>
      </c>
      <c r="AG151" s="18" t="s">
        <v>525</v>
      </c>
      <c r="AH151" s="18" t="s">
        <v>485</v>
      </c>
      <c r="AI151" s="132"/>
      <c r="AK151" s="77">
        <f t="shared" si="16"/>
        <v>1</v>
      </c>
      <c r="AL151" t="str">
        <f t="shared" si="18"/>
        <v>LVC</v>
      </c>
      <c r="AM151" s="105" t="str" cm="1">
        <f t="array" ref="AM151">IF(OR(O151:O308="zero_recoverable", "zero_exalt", "zero_other", "zero_uncertain"),
   "Yes","No")</f>
        <v>Yes</v>
      </c>
      <c r="AN151">
        <f>1 + COUNTIF($V$2:V150,"main")</f>
        <v>40</v>
      </c>
      <c r="AO151" t="str">
        <f t="shared" si="19"/>
        <v>relative</v>
      </c>
      <c r="AP151">
        <f t="shared" si="20"/>
        <v>1</v>
      </c>
      <c r="AQ151" t="str">
        <f>IF(AP152=0,"",COUNTIFS($AN$2:$AN152,$AN152,$AP$2:$AP152,1))</f>
        <v/>
      </c>
      <c r="AR151">
        <f t="shared" si="21"/>
        <v>0</v>
      </c>
      <c r="AS151" t="s">
        <v>526</v>
      </c>
      <c r="AT151" t="s">
        <v>462</v>
      </c>
      <c r="AU151">
        <f t="shared" si="22"/>
        <v>0</v>
      </c>
      <c r="AV151">
        <f t="shared" si="23"/>
        <v>0</v>
      </c>
    </row>
    <row r="152" spans="1:48">
      <c r="A152" s="28" t="s">
        <v>696</v>
      </c>
      <c r="B152" s="11" t="s">
        <v>674</v>
      </c>
      <c r="C152" s="110" t="s">
        <v>677</v>
      </c>
      <c r="D152" s="12" t="s">
        <v>679</v>
      </c>
      <c r="E152" s="12" t="s">
        <v>1056</v>
      </c>
      <c r="F152" s="12" t="s">
        <v>550</v>
      </c>
      <c r="G152" s="74" t="s">
        <v>435</v>
      </c>
      <c r="H152" s="12" t="s">
        <v>441</v>
      </c>
      <c r="I152" s="12" t="s">
        <v>452</v>
      </c>
      <c r="J152" s="12" t="s">
        <v>454</v>
      </c>
      <c r="K152" s="12">
        <v>1</v>
      </c>
      <c r="L152" s="13">
        <v>1</v>
      </c>
      <c r="M152" s="13" t="s">
        <v>465</v>
      </c>
      <c r="N152" s="13">
        <v>0</v>
      </c>
      <c r="O152" s="14" t="s">
        <v>526</v>
      </c>
      <c r="P152" s="14">
        <v>3</v>
      </c>
      <c r="Q152" s="14" t="s">
        <v>462</v>
      </c>
      <c r="R152" s="14" t="s">
        <v>484</v>
      </c>
      <c r="S152" s="15">
        <v>0</v>
      </c>
      <c r="T152" s="15">
        <v>1</v>
      </c>
      <c r="U152" s="16" t="s">
        <v>464</v>
      </c>
      <c r="V152" s="16" t="s">
        <v>466</v>
      </c>
      <c r="W152" s="17">
        <v>0</v>
      </c>
      <c r="X152" s="17">
        <v>0</v>
      </c>
      <c r="Y152" s="17" t="s">
        <v>484</v>
      </c>
      <c r="Z152" s="17" t="s">
        <v>484</v>
      </c>
      <c r="AA152" s="31">
        <v>0</v>
      </c>
      <c r="AB152" s="18" t="s">
        <v>439</v>
      </c>
      <c r="AC152" s="156" t="s">
        <v>537</v>
      </c>
      <c r="AD152" s="125" t="str">
        <f t="shared" si="17"/>
        <v/>
      </c>
      <c r="AE152" s="160" t="s">
        <v>505</v>
      </c>
      <c r="AF152" t="s">
        <v>507</v>
      </c>
      <c r="AG152" s="18" t="s">
        <v>525</v>
      </c>
      <c r="AH152" s="18" t="s">
        <v>485</v>
      </c>
      <c r="AI152" s="132"/>
      <c r="AK152" s="77">
        <f t="shared" si="16"/>
        <v>1</v>
      </c>
      <c r="AL152" t="str">
        <f t="shared" si="18"/>
        <v>LVC</v>
      </c>
      <c r="AM152" s="105" t="str" cm="1">
        <f t="array" ref="AM152">IF(OR(O152:O309="zero_recoverable", "zero_exalt", "zero_other", "zero_uncertain"),
   "Yes","No")</f>
        <v>Yes</v>
      </c>
      <c r="AN152">
        <f>1 + COUNTIF($V$2:V151,"main")</f>
        <v>40</v>
      </c>
      <c r="AO152" t="str">
        <f t="shared" si="19"/>
        <v>main</v>
      </c>
      <c r="AP152">
        <f t="shared" si="20"/>
        <v>0</v>
      </c>
      <c r="AQ152">
        <f>IF(AP153=0,"",COUNTIFS($AN$2:$AN153,$AN153,$AP$2:$AP153,1))</f>
        <v>4</v>
      </c>
      <c r="AR152">
        <f t="shared" si="21"/>
        <v>0</v>
      </c>
      <c r="AS152" t="s">
        <v>462</v>
      </c>
      <c r="AT152" t="s">
        <v>484</v>
      </c>
      <c r="AU152">
        <f t="shared" si="22"/>
        <v>0</v>
      </c>
      <c r="AV152">
        <f t="shared" si="23"/>
        <v>0</v>
      </c>
    </row>
    <row r="153" spans="1:48">
      <c r="A153" s="28" t="s">
        <v>697</v>
      </c>
      <c r="B153" s="11" t="s">
        <v>682</v>
      </c>
      <c r="C153" s="110"/>
      <c r="D153" s="12" t="s">
        <v>680</v>
      </c>
      <c r="E153" s="12" t="s">
        <v>1056</v>
      </c>
      <c r="F153" s="12" t="s">
        <v>445</v>
      </c>
      <c r="G153" s="74" t="s">
        <v>436</v>
      </c>
      <c r="H153" s="12" t="s">
        <v>442</v>
      </c>
      <c r="I153" s="12" t="s">
        <v>452</v>
      </c>
      <c r="J153" s="12" t="s">
        <v>454</v>
      </c>
      <c r="K153" s="12">
        <v>1</v>
      </c>
      <c r="L153" s="13">
        <v>1</v>
      </c>
      <c r="M153" s="13" t="s">
        <v>457</v>
      </c>
      <c r="N153" s="13">
        <v>0</v>
      </c>
      <c r="O153" s="14" t="s">
        <v>462</v>
      </c>
      <c r="P153" s="14">
        <v>3</v>
      </c>
      <c r="Q153" s="14" t="s">
        <v>484</v>
      </c>
      <c r="R153" s="14" t="s">
        <v>484</v>
      </c>
      <c r="S153" s="15">
        <v>0</v>
      </c>
      <c r="T153" s="15">
        <v>0</v>
      </c>
      <c r="U153" s="16" t="s">
        <v>484</v>
      </c>
      <c r="V153" s="16" t="s">
        <v>467</v>
      </c>
      <c r="W153" s="17">
        <v>0</v>
      </c>
      <c r="X153" s="17">
        <v>0</v>
      </c>
      <c r="Y153" s="17" t="s">
        <v>484</v>
      </c>
      <c r="Z153" s="17" t="s">
        <v>484</v>
      </c>
      <c r="AA153" s="31">
        <v>0</v>
      </c>
      <c r="AB153" s="18" t="s">
        <v>439</v>
      </c>
      <c r="AC153" s="156" t="s">
        <v>466</v>
      </c>
      <c r="AD153" s="125" t="str">
        <f t="shared" si="17"/>
        <v/>
      </c>
      <c r="AE153" s="160" t="s">
        <v>507</v>
      </c>
      <c r="AF153" t="s">
        <v>507</v>
      </c>
      <c r="AG153" s="18" t="s">
        <v>525</v>
      </c>
      <c r="AH153" s="18" t="s">
        <v>485</v>
      </c>
      <c r="AI153" s="132"/>
      <c r="AK153" s="77">
        <f t="shared" si="16"/>
        <v>1</v>
      </c>
      <c r="AL153" t="str">
        <f t="shared" si="18"/>
        <v>non-LVC</v>
      </c>
      <c r="AM153" s="105" t="str" cm="1">
        <f t="array" ref="AM153">IF(OR(O153:O310="zero_recoverable", "zero_exalt", "zero_other", "zero_uncertain"),
   "Yes","No")</f>
        <v>Yes</v>
      </c>
      <c r="AN153">
        <f>1 + COUNTIF($V$2:V152,"main")</f>
        <v>40</v>
      </c>
      <c r="AO153" t="str">
        <f t="shared" si="19"/>
        <v>relative</v>
      </c>
      <c r="AP153">
        <f t="shared" si="20"/>
        <v>1</v>
      </c>
      <c r="AQ153" t="str">
        <f>IF(AP154=0,"",COUNTIFS($AN$2:$AN154,$AN154,$AP$2:$AP154,1))</f>
        <v/>
      </c>
      <c r="AR153">
        <f t="shared" si="21"/>
        <v>0</v>
      </c>
      <c r="AS153" t="s">
        <v>526</v>
      </c>
      <c r="AT153" t="s">
        <v>484</v>
      </c>
      <c r="AU153">
        <f t="shared" si="22"/>
        <v>1</v>
      </c>
      <c r="AV153">
        <f t="shared" si="23"/>
        <v>0</v>
      </c>
    </row>
    <row r="154" spans="1:48">
      <c r="A154" s="28" t="s">
        <v>698</v>
      </c>
      <c r="B154" s="11" t="s">
        <v>683</v>
      </c>
      <c r="C154" s="110" t="s">
        <v>332</v>
      </c>
      <c r="D154" s="12" t="s">
        <v>684</v>
      </c>
      <c r="E154" s="12" t="s">
        <v>715</v>
      </c>
      <c r="F154" s="12" t="s">
        <v>550</v>
      </c>
      <c r="G154" s="74" t="s">
        <v>434</v>
      </c>
      <c r="H154" s="12" t="s">
        <v>442</v>
      </c>
      <c r="I154" s="12" t="s">
        <v>452</v>
      </c>
      <c r="J154" s="12" t="s">
        <v>454</v>
      </c>
      <c r="K154" s="12">
        <v>1</v>
      </c>
      <c r="L154" s="13">
        <v>1</v>
      </c>
      <c r="M154" s="13" t="s">
        <v>456</v>
      </c>
      <c r="N154" s="13">
        <v>0</v>
      </c>
      <c r="O154" s="14" t="s">
        <v>526</v>
      </c>
      <c r="P154" s="14">
        <v>3</v>
      </c>
      <c r="Q154" s="14" t="s">
        <v>484</v>
      </c>
      <c r="R154" s="14" t="s">
        <v>462</v>
      </c>
      <c r="S154" s="15">
        <v>1</v>
      </c>
      <c r="T154" s="15">
        <v>0</v>
      </c>
      <c r="U154" s="16" t="s">
        <v>464</v>
      </c>
      <c r="V154" s="16" t="s">
        <v>466</v>
      </c>
      <c r="W154" s="17">
        <v>0</v>
      </c>
      <c r="X154" s="17">
        <v>0</v>
      </c>
      <c r="Y154" s="17" t="s">
        <v>484</v>
      </c>
      <c r="Z154" s="17" t="s">
        <v>484</v>
      </c>
      <c r="AA154" s="31">
        <v>0</v>
      </c>
      <c r="AB154" s="18" t="s">
        <v>439</v>
      </c>
      <c r="AC154" s="156" t="s">
        <v>467</v>
      </c>
      <c r="AD154" s="125" t="str">
        <f t="shared" si="17"/>
        <v/>
      </c>
      <c r="AE154" s="160" t="s">
        <v>507</v>
      </c>
      <c r="AF154" t="s">
        <v>507</v>
      </c>
      <c r="AG154" s="18" t="s">
        <v>506</v>
      </c>
      <c r="AH154" s="18" t="s">
        <v>485</v>
      </c>
      <c r="AI154" s="132"/>
      <c r="AK154" s="77">
        <f t="shared" si="16"/>
        <v>1</v>
      </c>
      <c r="AL154" t="str">
        <f t="shared" si="18"/>
        <v>non-LVC</v>
      </c>
      <c r="AM154" s="105" t="str" cm="1">
        <f t="array" ref="AM154">IF(OR(O154:O311="zero_recoverable", "zero_exalt", "zero_other", "zero_uncertain"),
   "Yes","No")</f>
        <v>Yes</v>
      </c>
      <c r="AN154">
        <f>1 + COUNTIF($V$2:V153,"main")</f>
        <v>41</v>
      </c>
      <c r="AO154" t="str">
        <f t="shared" si="19"/>
        <v>main</v>
      </c>
      <c r="AP154">
        <f t="shared" si="20"/>
        <v>0</v>
      </c>
      <c r="AQ154">
        <f>IF(AP155=0,"",COUNTIFS($AN$2:$AN155,$AN155,$AP$2:$AP155,1))</f>
        <v>1</v>
      </c>
      <c r="AR154">
        <f t="shared" si="21"/>
        <v>1</v>
      </c>
      <c r="AS154" t="s">
        <v>462</v>
      </c>
      <c r="AT154" t="s">
        <v>484</v>
      </c>
      <c r="AU154">
        <f t="shared" si="22"/>
        <v>0</v>
      </c>
      <c r="AV154">
        <f t="shared" si="23"/>
        <v>0</v>
      </c>
    </row>
    <row r="155" spans="1:48">
      <c r="A155" s="28" t="s">
        <v>699</v>
      </c>
      <c r="B155" s="11" t="s">
        <v>681</v>
      </c>
      <c r="C155" s="110"/>
      <c r="D155" s="12" t="s">
        <v>432</v>
      </c>
      <c r="E155" s="12" t="s">
        <v>1058</v>
      </c>
      <c r="F155" s="12" t="s">
        <v>448</v>
      </c>
      <c r="G155" s="74" t="s">
        <v>438</v>
      </c>
      <c r="H155" s="12" t="s">
        <v>442</v>
      </c>
      <c r="I155" s="12" t="s">
        <v>452</v>
      </c>
      <c r="J155" s="12" t="s">
        <v>454</v>
      </c>
      <c r="K155" s="12">
        <v>1</v>
      </c>
      <c r="L155" s="13">
        <v>1</v>
      </c>
      <c r="M155" s="13" t="s">
        <v>457</v>
      </c>
      <c r="N155" s="13">
        <v>1</v>
      </c>
      <c r="O155" s="14" t="s">
        <v>462</v>
      </c>
      <c r="P155" s="14">
        <v>3</v>
      </c>
      <c r="Q155" s="14" t="s">
        <v>484</v>
      </c>
      <c r="R155" s="14" t="s">
        <v>484</v>
      </c>
      <c r="S155" s="15">
        <v>0</v>
      </c>
      <c r="T155" s="15">
        <v>0</v>
      </c>
      <c r="U155" s="16" t="s">
        <v>484</v>
      </c>
      <c r="V155" s="16" t="s">
        <v>467</v>
      </c>
      <c r="W155" s="17">
        <v>0</v>
      </c>
      <c r="X155" s="17">
        <v>0</v>
      </c>
      <c r="Y155" s="17" t="s">
        <v>484</v>
      </c>
      <c r="Z155" s="17" t="s">
        <v>484</v>
      </c>
      <c r="AA155" s="31">
        <v>0</v>
      </c>
      <c r="AB155" s="18" t="s">
        <v>439</v>
      </c>
      <c r="AC155" s="156" t="s">
        <v>466</v>
      </c>
      <c r="AD155" s="125" t="str">
        <f t="shared" si="17"/>
        <v/>
      </c>
      <c r="AE155" s="160" t="s">
        <v>507</v>
      </c>
      <c r="AF155" t="s">
        <v>507</v>
      </c>
      <c r="AG155" s="18" t="s">
        <v>506</v>
      </c>
      <c r="AH155" s="18" t="s">
        <v>485</v>
      </c>
      <c r="AI155" s="132"/>
      <c r="AK155" s="77">
        <f t="shared" si="16"/>
        <v>1</v>
      </c>
      <c r="AL155" t="str">
        <f t="shared" si="18"/>
        <v>non-LVC</v>
      </c>
      <c r="AM155" s="105" t="str" cm="1">
        <f t="array" ref="AM155">IF(OR(O155:O312="zero_recoverable", "zero_exalt", "zero_other", "zero_uncertain"),
   "Yes","No")</f>
        <v>Yes</v>
      </c>
      <c r="AN155">
        <f>1 + COUNTIF($V$2:V154,"main")</f>
        <v>41</v>
      </c>
      <c r="AO155" t="str">
        <f t="shared" si="19"/>
        <v>main</v>
      </c>
      <c r="AP155">
        <f t="shared" si="20"/>
        <v>1</v>
      </c>
      <c r="AQ155">
        <f>IF(AP156=0,"",COUNTIFS($AN$2:$AN156,$AN156,$AP$2:$AP156,1))</f>
        <v>1</v>
      </c>
      <c r="AR155">
        <v>0</v>
      </c>
      <c r="AS155" t="s">
        <v>462</v>
      </c>
      <c r="AT155" t="s">
        <v>484</v>
      </c>
      <c r="AU155">
        <f t="shared" si="22"/>
        <v>0</v>
      </c>
      <c r="AV155">
        <f t="shared" si="23"/>
        <v>0</v>
      </c>
    </row>
    <row r="156" spans="1:48">
      <c r="A156" s="28" t="s">
        <v>700</v>
      </c>
      <c r="B156" s="11" t="s">
        <v>704</v>
      </c>
      <c r="C156" s="110" t="s">
        <v>705</v>
      </c>
      <c r="D156" s="12" t="s">
        <v>338</v>
      </c>
      <c r="E156" s="12" t="s">
        <v>1056</v>
      </c>
      <c r="F156" s="12" t="s">
        <v>445</v>
      </c>
      <c r="G156" s="74" t="s">
        <v>436</v>
      </c>
      <c r="H156" s="12" t="s">
        <v>442</v>
      </c>
      <c r="I156" s="12" t="s">
        <v>452</v>
      </c>
      <c r="J156" s="12" t="s">
        <v>454</v>
      </c>
      <c r="K156" s="12">
        <v>1</v>
      </c>
      <c r="L156" s="13">
        <v>1</v>
      </c>
      <c r="M156" s="13" t="s">
        <v>457</v>
      </c>
      <c r="N156" s="13">
        <v>3</v>
      </c>
      <c r="O156" s="14" t="s">
        <v>462</v>
      </c>
      <c r="P156" s="14">
        <v>3</v>
      </c>
      <c r="Q156" s="14" t="s">
        <v>484</v>
      </c>
      <c r="R156" s="14" t="s">
        <v>484</v>
      </c>
      <c r="S156" s="15">
        <v>0</v>
      </c>
      <c r="T156" s="15">
        <v>0</v>
      </c>
      <c r="U156" s="16" t="s">
        <v>484</v>
      </c>
      <c r="V156" s="16" t="s">
        <v>467</v>
      </c>
      <c r="W156" s="17">
        <v>0</v>
      </c>
      <c r="X156" s="17">
        <v>0</v>
      </c>
      <c r="Y156" s="17" t="s">
        <v>484</v>
      </c>
      <c r="Z156" s="17" t="s">
        <v>484</v>
      </c>
      <c r="AA156" s="31">
        <v>0</v>
      </c>
      <c r="AB156" s="18" t="s">
        <v>439</v>
      </c>
      <c r="AC156" s="156" t="s">
        <v>467</v>
      </c>
      <c r="AD156" s="125" t="str">
        <f t="shared" si="17"/>
        <v/>
      </c>
      <c r="AE156" s="160" t="s">
        <v>507</v>
      </c>
      <c r="AF156" t="s">
        <v>507</v>
      </c>
      <c r="AG156" s="18" t="s">
        <v>506</v>
      </c>
      <c r="AH156" s="18" t="s">
        <v>485</v>
      </c>
      <c r="AI156" s="132"/>
      <c r="AK156" s="77">
        <f t="shared" si="16"/>
        <v>1</v>
      </c>
      <c r="AL156" t="str">
        <f t="shared" si="18"/>
        <v>non-LVC</v>
      </c>
      <c r="AM156" s="105" t="str" cm="1">
        <f t="array" ref="AM156">IF(OR(O156:O313="zero_recoverable", "zero_exalt", "zero_other", "zero_uncertain"),
   "Yes","No")</f>
        <v>Yes</v>
      </c>
      <c r="AN156">
        <f>1 + COUNTIF($V$2:V155,"main")</f>
        <v>42</v>
      </c>
      <c r="AO156" t="str">
        <f t="shared" si="19"/>
        <v>subordinate</v>
      </c>
      <c r="AP156">
        <f t="shared" si="20"/>
        <v>1</v>
      </c>
      <c r="AQ156">
        <f>IF(AP157=0,"",COUNTIFS($AN$2:$AN157,$AN157,$AP$2:$AP157,1))</f>
        <v>1</v>
      </c>
      <c r="AR156">
        <f t="shared" si="21"/>
        <v>1</v>
      </c>
      <c r="AS156" t="s">
        <v>462</v>
      </c>
      <c r="AT156" t="s">
        <v>484</v>
      </c>
      <c r="AU156">
        <f t="shared" si="22"/>
        <v>0</v>
      </c>
      <c r="AV156">
        <f t="shared" si="23"/>
        <v>0</v>
      </c>
    </row>
    <row r="157" spans="1:48">
      <c r="A157" s="28" t="s">
        <v>701</v>
      </c>
      <c r="B157" s="11" t="s">
        <v>1104</v>
      </c>
      <c r="C157" s="110" t="s">
        <v>333</v>
      </c>
      <c r="D157" s="12" t="s">
        <v>349</v>
      </c>
      <c r="E157" s="12" t="s">
        <v>1056</v>
      </c>
      <c r="F157" s="12" t="s">
        <v>445</v>
      </c>
      <c r="G157" s="74" t="s">
        <v>436</v>
      </c>
      <c r="H157" s="12" t="s">
        <v>442</v>
      </c>
      <c r="I157" s="12" t="s">
        <v>452</v>
      </c>
      <c r="J157" s="12" t="s">
        <v>455</v>
      </c>
      <c r="K157" s="12">
        <v>1</v>
      </c>
      <c r="L157" s="13">
        <v>1</v>
      </c>
      <c r="M157" s="13" t="s">
        <v>457</v>
      </c>
      <c r="N157" s="13">
        <v>0</v>
      </c>
      <c r="O157" s="14" t="s">
        <v>462</v>
      </c>
      <c r="P157" s="14">
        <v>3</v>
      </c>
      <c r="Q157" s="14" t="s">
        <v>484</v>
      </c>
      <c r="R157" s="14" t="s">
        <v>484</v>
      </c>
      <c r="S157" s="15">
        <v>0</v>
      </c>
      <c r="T157" s="15">
        <v>0</v>
      </c>
      <c r="U157" s="16" t="s">
        <v>484</v>
      </c>
      <c r="V157" s="16" t="s">
        <v>493</v>
      </c>
      <c r="W157" s="17">
        <v>0</v>
      </c>
      <c r="X157" s="17">
        <v>0</v>
      </c>
      <c r="Y157" s="17" t="s">
        <v>484</v>
      </c>
      <c r="Z157" s="17" t="s">
        <v>484</v>
      </c>
      <c r="AA157" s="31">
        <v>0</v>
      </c>
      <c r="AB157" s="18" t="s">
        <v>508</v>
      </c>
      <c r="AC157" s="156" t="s">
        <v>467</v>
      </c>
      <c r="AD157" s="125" t="str">
        <f t="shared" si="17"/>
        <v/>
      </c>
      <c r="AE157" s="160" t="s">
        <v>507</v>
      </c>
      <c r="AF157" t="s">
        <v>505</v>
      </c>
      <c r="AG157" s="18" t="s">
        <v>506</v>
      </c>
      <c r="AH157" s="18" t="s">
        <v>485</v>
      </c>
      <c r="AI157" s="132"/>
      <c r="AK157" s="77">
        <f t="shared" si="16"/>
        <v>1</v>
      </c>
      <c r="AL157" t="str">
        <f t="shared" si="18"/>
        <v>non-LVC</v>
      </c>
      <c r="AM157" s="105" t="str" cm="1">
        <f t="array" ref="AM157">IF(OR(O157:O314="zero_recoverable", "zero_exalt", "zero_other", "zero_uncertain"),
   "Yes","No")</f>
        <v>Yes</v>
      </c>
      <c r="AN157">
        <f>1 + COUNTIF($V$2:V156,"main")</f>
        <v>43</v>
      </c>
      <c r="AO157" t="str">
        <f t="shared" si="19"/>
        <v>subordinate</v>
      </c>
      <c r="AP157">
        <f t="shared" si="20"/>
        <v>1</v>
      </c>
      <c r="AQ157">
        <f>IF(AP158=0,"",COUNTIFS($AN$2:$AN158,$AN158,$AP$2:$AP158,1))</f>
        <v>2</v>
      </c>
      <c r="AR157">
        <f t="shared" si="21"/>
        <v>0</v>
      </c>
      <c r="AS157" t="s">
        <v>526</v>
      </c>
      <c r="AT157" t="s">
        <v>484</v>
      </c>
      <c r="AU157">
        <f t="shared" si="22"/>
        <v>1</v>
      </c>
      <c r="AV157">
        <f t="shared" si="23"/>
        <v>0</v>
      </c>
    </row>
    <row r="158" spans="1:48">
      <c r="A158" s="28" t="s">
        <v>702</v>
      </c>
      <c r="B158" s="11" t="s">
        <v>1106</v>
      </c>
      <c r="C158" s="110" t="s">
        <v>706</v>
      </c>
      <c r="D158" s="12" t="s">
        <v>708</v>
      </c>
      <c r="E158" s="12" t="s">
        <v>1056</v>
      </c>
      <c r="F158" s="12" t="s">
        <v>550</v>
      </c>
      <c r="G158" s="74" t="s">
        <v>434</v>
      </c>
      <c r="H158" s="12" t="s">
        <v>442</v>
      </c>
      <c r="I158" s="12" t="s">
        <v>452</v>
      </c>
      <c r="J158" s="12" t="s">
        <v>454</v>
      </c>
      <c r="K158" s="12">
        <v>1</v>
      </c>
      <c r="L158" s="13">
        <v>1</v>
      </c>
      <c r="M158" s="13" t="s">
        <v>456</v>
      </c>
      <c r="N158" s="13">
        <v>1</v>
      </c>
      <c r="O158" s="14" t="s">
        <v>526</v>
      </c>
      <c r="P158" s="14">
        <v>3</v>
      </c>
      <c r="Q158" s="14" t="s">
        <v>484</v>
      </c>
      <c r="R158" s="14" t="s">
        <v>462</v>
      </c>
      <c r="S158" s="15">
        <v>0</v>
      </c>
      <c r="T158" s="15">
        <v>0</v>
      </c>
      <c r="U158" s="16" t="s">
        <v>464</v>
      </c>
      <c r="V158" s="16" t="s">
        <v>493</v>
      </c>
      <c r="W158" s="17">
        <v>0</v>
      </c>
      <c r="X158" s="17">
        <v>0</v>
      </c>
      <c r="Y158" s="17" t="s">
        <v>484</v>
      </c>
      <c r="Z158" s="17" t="s">
        <v>484</v>
      </c>
      <c r="AA158" s="31">
        <v>1</v>
      </c>
      <c r="AB158" s="121" t="s">
        <v>1075</v>
      </c>
      <c r="AC158" s="156" t="s">
        <v>493</v>
      </c>
      <c r="AD158" s="125" t="str">
        <f t="shared" si="17"/>
        <v/>
      </c>
      <c r="AE158" s="160" t="s">
        <v>505</v>
      </c>
      <c r="AF158" t="s">
        <v>507</v>
      </c>
      <c r="AG158" s="18" t="s">
        <v>525</v>
      </c>
      <c r="AH158" s="18" t="s">
        <v>485</v>
      </c>
      <c r="AI158" s="132"/>
      <c r="AK158" s="77">
        <f t="shared" si="16"/>
        <v>1</v>
      </c>
      <c r="AL158" t="str">
        <f t="shared" si="18"/>
        <v>non-LVC</v>
      </c>
      <c r="AM158" s="105" t="str" cm="1">
        <f t="array" ref="AM158">IF(OR(O158:O315="zero_recoverable", "zero_exalt", "zero_other", "zero_uncertain"),
   "Yes","No")</f>
        <v>Yes</v>
      </c>
      <c r="AN158">
        <f>1 + COUNTIF($V$2:V157,"main")</f>
        <v>43</v>
      </c>
      <c r="AO158" t="str">
        <f t="shared" si="19"/>
        <v>main</v>
      </c>
      <c r="AP158">
        <f t="shared" si="20"/>
        <v>1</v>
      </c>
      <c r="AQ158">
        <f>IF(AP159=0,"",COUNTIFS($AN$2:$AN159,$AN159,$AP$2:$AP159,1))</f>
        <v>3</v>
      </c>
      <c r="AR158">
        <f t="shared" si="21"/>
        <v>0</v>
      </c>
      <c r="AS158" t="s">
        <v>462</v>
      </c>
      <c r="AT158" t="s">
        <v>484</v>
      </c>
      <c r="AU158">
        <f t="shared" si="22"/>
        <v>0</v>
      </c>
      <c r="AV158">
        <f t="shared" si="23"/>
        <v>0</v>
      </c>
    </row>
    <row r="159" spans="1:48" ht="16" thickBot="1">
      <c r="A159" s="50" t="s">
        <v>703</v>
      </c>
      <c r="B159" s="1" t="s">
        <v>1105</v>
      </c>
      <c r="C159" s="1" t="s">
        <v>707</v>
      </c>
      <c r="D159" s="12" t="s">
        <v>380</v>
      </c>
      <c r="E159" s="12" t="s">
        <v>1056</v>
      </c>
      <c r="F159" s="12" t="s">
        <v>451</v>
      </c>
      <c r="G159" s="115" t="s">
        <v>434</v>
      </c>
      <c r="H159" s="60" t="s">
        <v>442</v>
      </c>
      <c r="I159" s="60" t="s">
        <v>452</v>
      </c>
      <c r="J159" s="12" t="s">
        <v>455</v>
      </c>
      <c r="K159" s="60">
        <v>1</v>
      </c>
      <c r="L159" s="61">
        <v>1</v>
      </c>
      <c r="M159" s="61" t="s">
        <v>457</v>
      </c>
      <c r="N159" s="61">
        <v>1</v>
      </c>
      <c r="O159" s="62" t="s">
        <v>462</v>
      </c>
      <c r="P159" s="62">
        <v>3</v>
      </c>
      <c r="Q159" s="62" t="s">
        <v>484</v>
      </c>
      <c r="R159" s="62" t="s">
        <v>484</v>
      </c>
      <c r="S159" s="63">
        <v>0</v>
      </c>
      <c r="T159" s="63">
        <v>0</v>
      </c>
      <c r="U159" s="16" t="s">
        <v>484</v>
      </c>
      <c r="V159" s="64" t="s">
        <v>467</v>
      </c>
      <c r="W159" s="65">
        <v>0</v>
      </c>
      <c r="X159" s="65">
        <v>0</v>
      </c>
      <c r="Y159" s="17" t="s">
        <v>484</v>
      </c>
      <c r="Z159" s="17" t="s">
        <v>484</v>
      </c>
      <c r="AA159" s="66">
        <v>0</v>
      </c>
      <c r="AB159" s="67" t="s">
        <v>467</v>
      </c>
      <c r="AC159" s="156" t="s">
        <v>493</v>
      </c>
      <c r="AD159" s="125" t="str">
        <f t="shared" si="17"/>
        <v/>
      </c>
      <c r="AE159" s="159" t="s">
        <v>507</v>
      </c>
      <c r="AF159">
        <v>0</v>
      </c>
      <c r="AG159" s="67" t="s">
        <v>525</v>
      </c>
      <c r="AH159" s="67" t="s">
        <v>485</v>
      </c>
      <c r="AK159" s="77">
        <f t="shared" si="16"/>
        <v>1</v>
      </c>
      <c r="AL159" t="str">
        <f t="shared" si="18"/>
        <v>non-LVC</v>
      </c>
      <c r="AM159" s="105" t="str" cm="1">
        <f t="array" ref="AM159">IF(OR(O159:O316="zero_recoverable", "zero_exalt", "zero_other", "zero_uncertain"),
   "Yes","No")</f>
        <v>No</v>
      </c>
      <c r="AN159">
        <f>1 + COUNTIF($V$2:V158,"main")</f>
        <v>43</v>
      </c>
      <c r="AO159" t="str">
        <f t="shared" si="19"/>
        <v/>
      </c>
      <c r="AP159">
        <f t="shared" si="20"/>
        <v>1</v>
      </c>
      <c r="AQ159" t="str">
        <f>IF(AP160=0,"",COUNTIFS($AN$2:$AN160,$AN160,$AP$2:$AP160,1))</f>
        <v/>
      </c>
      <c r="AR159">
        <f t="shared" si="21"/>
        <v>0</v>
      </c>
      <c r="AU159">
        <f t="shared" si="22"/>
        <v>0</v>
      </c>
      <c r="AV159">
        <f t="shared" si="23"/>
        <v>0</v>
      </c>
    </row>
    <row r="160" spans="1:48" ht="16" thickBot="1">
      <c r="A160" s="51" t="s">
        <v>709</v>
      </c>
      <c r="B160" s="52"/>
      <c r="C160" s="112"/>
      <c r="G160" s="116"/>
      <c r="H160" s="53"/>
      <c r="I160" s="53"/>
      <c r="J160" s="53"/>
      <c r="K160" s="53">
        <f>SUM(K2:K159)</f>
        <v>154</v>
      </c>
      <c r="L160" s="54">
        <f>SUM(L2:L159)</f>
        <v>150</v>
      </c>
      <c r="M160" s="54"/>
      <c r="N160" s="54">
        <f t="shared" ref="N160:AA160" si="24">SUM(N2:N159)</f>
        <v>72</v>
      </c>
      <c r="O160" s="55">
        <f t="shared" si="24"/>
        <v>0</v>
      </c>
      <c r="P160" s="55">
        <f t="shared" si="24"/>
        <v>426</v>
      </c>
      <c r="Q160" s="55" t="s">
        <v>484</v>
      </c>
      <c r="R160" s="55" t="s">
        <v>484</v>
      </c>
      <c r="S160" s="56">
        <f t="shared" si="24"/>
        <v>7</v>
      </c>
      <c r="T160" s="56">
        <f t="shared" si="24"/>
        <v>17</v>
      </c>
      <c r="U160" s="57">
        <f t="shared" si="24"/>
        <v>0</v>
      </c>
      <c r="V160" s="57">
        <f t="shared" si="24"/>
        <v>0</v>
      </c>
      <c r="W160" s="58">
        <f t="shared" si="24"/>
        <v>19</v>
      </c>
      <c r="X160" s="58">
        <f t="shared" si="24"/>
        <v>32</v>
      </c>
      <c r="Y160" s="58">
        <f t="shared" si="24"/>
        <v>0</v>
      </c>
      <c r="Z160" s="58">
        <f t="shared" si="24"/>
        <v>0</v>
      </c>
      <c r="AA160" s="58">
        <f t="shared" si="24"/>
        <v>6</v>
      </c>
      <c r="AB160" s="59"/>
      <c r="AC160" s="157"/>
      <c r="AE160" s="162"/>
      <c r="AF160" t="s">
        <v>1117</v>
      </c>
      <c r="AG160" s="59"/>
      <c r="AH160" s="59"/>
      <c r="AI160" s="134"/>
      <c r="AK160" s="77">
        <f>L160/K160</f>
        <v>0.97402597402597402</v>
      </c>
      <c r="AM160" s="55"/>
    </row>
    <row r="162" spans="1:34" ht="16">
      <c r="G162" s="5" t="s">
        <v>1070</v>
      </c>
      <c r="H162" s="5" t="s">
        <v>496</v>
      </c>
      <c r="I162" s="5" t="s">
        <v>497</v>
      </c>
      <c r="J162" s="5" t="s">
        <v>498</v>
      </c>
      <c r="M162" s="2" t="s">
        <v>499</v>
      </c>
      <c r="O162" s="3" t="s">
        <v>500</v>
      </c>
      <c r="Q162" s="3" t="s">
        <v>501</v>
      </c>
      <c r="R162" s="3" t="s">
        <v>501</v>
      </c>
      <c r="Y162" s="7" t="s">
        <v>511</v>
      </c>
      <c r="Z162" s="34" t="s">
        <v>512</v>
      </c>
      <c r="AB162" s="8" t="s">
        <v>502</v>
      </c>
      <c r="AE162" s="8" t="s">
        <v>503</v>
      </c>
      <c r="AG162" s="10" t="s">
        <v>488</v>
      </c>
      <c r="AH162" s="35" t="s">
        <v>528</v>
      </c>
    </row>
    <row r="163" spans="1:34">
      <c r="A163" s="75" t="s">
        <v>723</v>
      </c>
      <c r="B163" s="203">
        <f>L160/K160</f>
        <v>0.97402597402597402</v>
      </c>
      <c r="C163" t="s">
        <v>728</v>
      </c>
      <c r="Z163" s="33"/>
      <c r="AG163"/>
      <c r="AH163"/>
    </row>
    <row r="164" spans="1:34" ht="16">
      <c r="A164" s="76" t="s">
        <v>724</v>
      </c>
      <c r="B164" s="204">
        <f>(L160+X160)/K160</f>
        <v>1.1818181818181819</v>
      </c>
      <c r="C164" t="s">
        <v>729</v>
      </c>
      <c r="Z164" s="34" t="s">
        <v>513</v>
      </c>
      <c r="AG164" s="10" t="s">
        <v>489</v>
      </c>
      <c r="AH164" s="35" t="s">
        <v>529</v>
      </c>
    </row>
    <row r="165" spans="1:34">
      <c r="A165" s="77" t="s">
        <v>725</v>
      </c>
      <c r="B165" s="204">
        <f>(L160+S160)/K160</f>
        <v>1.0194805194805194</v>
      </c>
      <c r="C165" t="s">
        <v>730</v>
      </c>
      <c r="Z165" s="33"/>
      <c r="AG165"/>
      <c r="AH165"/>
    </row>
    <row r="166" spans="1:34" ht="16">
      <c r="A166" s="78" t="s">
        <v>726</v>
      </c>
      <c r="B166" s="204">
        <f>(L160+S160+X160)/K160</f>
        <v>1.2272727272727273</v>
      </c>
      <c r="C166" t="s">
        <v>731</v>
      </c>
      <c r="Z166" s="34" t="s">
        <v>514</v>
      </c>
      <c r="AG166" s="10" t="s">
        <v>490</v>
      </c>
      <c r="AH166" s="35" t="s">
        <v>530</v>
      </c>
    </row>
    <row r="167" spans="1:34">
      <c r="A167" t="s">
        <v>727</v>
      </c>
      <c r="B167" s="203">
        <f>X160/K160</f>
        <v>0.20779220779220781</v>
      </c>
      <c r="C167" t="s">
        <v>732</v>
      </c>
      <c r="Z167" s="33"/>
      <c r="AG167"/>
      <c r="AH167"/>
    </row>
    <row r="168" spans="1:34" ht="16">
      <c r="Z168" s="34" t="s">
        <v>515</v>
      </c>
      <c r="AG168" s="10" t="s">
        <v>491</v>
      </c>
      <c r="AH168" s="35" t="s">
        <v>531</v>
      </c>
    </row>
    <row r="169" spans="1:34">
      <c r="Z169" s="33"/>
      <c r="AG169"/>
    </row>
    <row r="170" spans="1:34" ht="16">
      <c r="Z170" s="34" t="s">
        <v>516</v>
      </c>
      <c r="AG170" s="10" t="s">
        <v>492</v>
      </c>
    </row>
    <row r="171" spans="1:34">
      <c r="Z171" s="33"/>
      <c r="AG171"/>
    </row>
    <row r="172" spans="1:34" ht="16">
      <c r="Z172" s="34" t="s">
        <v>517</v>
      </c>
      <c r="AG172" s="10" t="s">
        <v>443</v>
      </c>
    </row>
    <row r="173" spans="1:34">
      <c r="Z173" s="33"/>
    </row>
    <row r="174" spans="1:34">
      <c r="Z174" s="34" t="s">
        <v>518</v>
      </c>
    </row>
    <row r="175" spans="1:34">
      <c r="Z175" s="33"/>
    </row>
    <row r="176" spans="1:34">
      <c r="Z176" s="34" t="s">
        <v>519</v>
      </c>
    </row>
    <row r="177" spans="26:26">
      <c r="Z177" s="33"/>
    </row>
    <row r="178" spans="26:26">
      <c r="Z178" s="34" t="s">
        <v>446</v>
      </c>
    </row>
  </sheetData>
  <autoFilter ref="A1:AK160" xr:uid="{00000000-0001-0000-0000-000000000000}"/>
  <phoneticPr fontId="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6DA31-26FF-A545-A39D-BA6E03B33FC8}">
  <sheetPr>
    <tabColor theme="6"/>
  </sheetPr>
  <dimension ref="A1:AZ173"/>
  <sheetViews>
    <sheetView topLeftCell="M44" zoomScale="125" zoomScaleNormal="84" workbookViewId="0">
      <selection activeCell="F107" sqref="F107"/>
    </sheetView>
  </sheetViews>
  <sheetFormatPr baseColWidth="10" defaultRowHeight="15"/>
  <cols>
    <col min="1" max="1" width="17.83203125" bestFit="1" customWidth="1"/>
    <col min="2" max="5" width="17" bestFit="1" customWidth="1"/>
    <col min="6" max="6" width="20.5" bestFit="1" customWidth="1"/>
    <col min="7" max="7" width="21.5" bestFit="1" customWidth="1"/>
    <col min="8" max="11" width="17" bestFit="1" customWidth="1"/>
    <col min="12" max="12" width="20.33203125" bestFit="1" customWidth="1"/>
    <col min="13" max="13" width="21.5" bestFit="1" customWidth="1"/>
    <col min="14" max="14" width="15.5" bestFit="1" customWidth="1"/>
    <col min="15" max="15" width="14.33203125" bestFit="1" customWidth="1"/>
    <col min="16" max="17" width="13.83203125" bestFit="1" customWidth="1"/>
    <col min="18" max="18" width="12.1640625" bestFit="1" customWidth="1"/>
    <col min="19" max="19" width="17" bestFit="1" customWidth="1"/>
    <col min="20" max="20" width="20.83203125" bestFit="1" customWidth="1"/>
    <col min="21" max="21" width="21.83203125" bestFit="1" customWidth="1"/>
    <col min="22" max="23" width="16.6640625" bestFit="1" customWidth="1"/>
    <col min="24" max="24" width="19.83203125" bestFit="1" customWidth="1"/>
    <col min="25" max="25" width="20.83203125" bestFit="1" customWidth="1"/>
    <col min="26" max="161" width="12.1640625" bestFit="1" customWidth="1"/>
  </cols>
  <sheetData>
    <row r="1" spans="1:25">
      <c r="A1" s="146" t="s">
        <v>1108</v>
      </c>
      <c r="B1" s="140"/>
      <c r="C1" s="140"/>
      <c r="D1" s="140"/>
      <c r="E1" s="147" t="s">
        <v>1111</v>
      </c>
      <c r="F1" s="140"/>
      <c r="G1" s="140"/>
      <c r="H1" s="140"/>
      <c r="I1" s="140"/>
      <c r="J1" s="140"/>
      <c r="K1" s="140"/>
      <c r="L1" s="140"/>
    </row>
    <row r="2" spans="1:25">
      <c r="A2" s="144" t="s">
        <v>14</v>
      </c>
      <c r="B2" s="140" t="s">
        <v>1120</v>
      </c>
      <c r="C2" s="140" t="s">
        <v>1110</v>
      </c>
      <c r="N2" s="140"/>
      <c r="O2" s="140"/>
      <c r="P2" s="140"/>
      <c r="Q2" s="140"/>
      <c r="R2" s="140"/>
      <c r="S2" s="140"/>
      <c r="T2" s="140"/>
      <c r="U2" s="140"/>
      <c r="V2" s="140"/>
      <c r="W2" s="140"/>
      <c r="X2" s="140"/>
      <c r="Y2" s="140"/>
    </row>
    <row r="3" spans="1:25">
      <c r="A3" s="140" t="s">
        <v>484</v>
      </c>
      <c r="B3" s="140">
        <v>0.70129870129870131</v>
      </c>
      <c r="C3" s="140">
        <v>78</v>
      </c>
      <c r="N3" s="140"/>
      <c r="O3" s="140"/>
      <c r="P3" s="140"/>
      <c r="Q3" s="140"/>
      <c r="R3" s="140"/>
      <c r="S3" s="140"/>
      <c r="T3" s="140"/>
      <c r="U3" s="140"/>
      <c r="V3" s="140"/>
      <c r="W3" s="140"/>
      <c r="X3" s="140"/>
      <c r="Y3" s="140"/>
    </row>
    <row r="4" spans="1:25">
      <c r="A4" s="140" t="s">
        <v>463</v>
      </c>
      <c r="B4" s="140">
        <v>0</v>
      </c>
      <c r="C4" s="140">
        <v>2</v>
      </c>
      <c r="N4" s="140"/>
      <c r="O4" s="140"/>
      <c r="P4" s="140"/>
      <c r="Q4" s="140"/>
      <c r="R4" s="140"/>
      <c r="S4" s="140"/>
      <c r="T4" s="140"/>
      <c r="U4" s="140"/>
      <c r="V4" s="140"/>
      <c r="W4" s="140"/>
      <c r="X4" s="140"/>
      <c r="Y4" s="140"/>
    </row>
    <row r="5" spans="1:25">
      <c r="A5" s="140" t="s">
        <v>462</v>
      </c>
      <c r="B5" s="140">
        <v>1.4210526315789473</v>
      </c>
      <c r="C5" s="140">
        <v>56</v>
      </c>
      <c r="N5" s="140"/>
      <c r="O5" s="140"/>
      <c r="P5" s="140"/>
      <c r="Q5" s="140"/>
      <c r="R5" s="140"/>
      <c r="S5" s="140"/>
      <c r="T5" s="140"/>
      <c r="U5" s="140"/>
      <c r="V5" s="140"/>
      <c r="W5" s="140"/>
      <c r="X5" s="140"/>
      <c r="Y5" s="140"/>
    </row>
    <row r="6" spans="1:25">
      <c r="A6" s="140" t="s">
        <v>460</v>
      </c>
      <c r="B6" s="140">
        <v>0.75</v>
      </c>
      <c r="C6" s="140">
        <v>4</v>
      </c>
      <c r="N6" s="140"/>
      <c r="O6" s="140"/>
      <c r="P6" s="140"/>
      <c r="Q6" s="140"/>
      <c r="R6" s="140"/>
      <c r="S6" s="140"/>
      <c r="T6" s="140"/>
      <c r="U6" s="140"/>
      <c r="V6" s="140"/>
      <c r="W6" s="140"/>
      <c r="X6" s="140"/>
      <c r="Y6" s="140"/>
    </row>
    <row r="7" spans="1:25">
      <c r="A7" s="140" t="s">
        <v>526</v>
      </c>
      <c r="B7" s="140">
        <v>0.72727272727272729</v>
      </c>
      <c r="C7" s="140">
        <v>11</v>
      </c>
      <c r="N7" s="140"/>
      <c r="O7" s="140"/>
      <c r="P7" s="140"/>
      <c r="Q7" s="140"/>
      <c r="R7" s="140"/>
      <c r="S7" s="140"/>
      <c r="T7" s="140"/>
      <c r="U7" s="140"/>
      <c r="V7" s="140"/>
      <c r="W7" s="140"/>
      <c r="X7" s="140"/>
      <c r="Y7" s="140"/>
    </row>
    <row r="8" spans="1:25">
      <c r="A8" s="140" t="s">
        <v>549</v>
      </c>
      <c r="B8" s="140">
        <v>1</v>
      </c>
      <c r="C8" s="140">
        <v>1</v>
      </c>
      <c r="N8" s="140"/>
      <c r="O8" s="140"/>
      <c r="P8" s="140"/>
      <c r="Q8" s="140"/>
      <c r="R8" s="140"/>
      <c r="S8" s="140"/>
      <c r="T8" s="140"/>
      <c r="U8" s="140"/>
      <c r="V8" s="140"/>
      <c r="W8" s="140"/>
      <c r="X8" s="140"/>
      <c r="Y8" s="140"/>
    </row>
    <row r="9" spans="1:25">
      <c r="A9" s="140" t="s">
        <v>1067</v>
      </c>
      <c r="B9" s="140">
        <v>0.96710526315789469</v>
      </c>
      <c r="C9" s="140">
        <v>152</v>
      </c>
      <c r="N9" s="140"/>
      <c r="O9" s="140"/>
      <c r="P9" s="140"/>
      <c r="Q9" s="140"/>
      <c r="R9" s="140"/>
      <c r="S9" s="140"/>
      <c r="T9" s="140"/>
      <c r="U9" s="140"/>
      <c r="V9" s="140"/>
      <c r="W9" s="140"/>
      <c r="X9" s="140"/>
      <c r="Y9" s="140"/>
    </row>
    <row r="10" spans="1:25">
      <c r="N10" s="140"/>
      <c r="O10" s="140"/>
      <c r="P10" s="140"/>
      <c r="Q10" s="140"/>
      <c r="R10" s="140"/>
      <c r="S10" s="140"/>
      <c r="T10" s="140"/>
      <c r="U10" s="140"/>
      <c r="V10" s="140"/>
      <c r="W10" s="140"/>
      <c r="X10" s="140"/>
      <c r="Y10" s="140"/>
    </row>
    <row r="11" spans="1:25">
      <c r="N11" s="140"/>
      <c r="O11" s="140"/>
      <c r="P11" s="140"/>
      <c r="Q11" s="140"/>
      <c r="R11" s="140"/>
      <c r="S11" s="140"/>
      <c r="T11" s="140"/>
      <c r="U11" s="140"/>
      <c r="V11" s="140"/>
      <c r="W11" s="140"/>
      <c r="X11" s="140"/>
      <c r="Y11" s="140"/>
    </row>
    <row r="12" spans="1:25">
      <c r="N12" s="140"/>
      <c r="O12" s="140"/>
      <c r="P12" s="140"/>
      <c r="Q12" s="140"/>
      <c r="R12" s="140"/>
      <c r="S12" s="140"/>
      <c r="T12" s="140"/>
      <c r="U12" s="140"/>
      <c r="V12" s="140"/>
      <c r="W12" s="140"/>
      <c r="X12" s="140"/>
      <c r="Y12" s="140"/>
    </row>
    <row r="13" spans="1:25" ht="18">
      <c r="D13" s="147" t="s">
        <v>1111</v>
      </c>
      <c r="E13" s="140"/>
      <c r="F13" s="140"/>
      <c r="G13" s="140"/>
      <c r="H13" s="140"/>
      <c r="I13" s="140"/>
      <c r="J13" s="140"/>
      <c r="K13" s="140"/>
      <c r="L13" s="140"/>
    </row>
    <row r="14" spans="1:25">
      <c r="A14" s="144" t="s">
        <v>11</v>
      </c>
      <c r="B14" s="140" t="s">
        <v>1120</v>
      </c>
      <c r="C14" s="140"/>
      <c r="D14" s="140"/>
      <c r="E14" s="140"/>
      <c r="F14" s="140"/>
      <c r="G14" s="140"/>
      <c r="H14" s="140"/>
      <c r="I14" s="140"/>
      <c r="J14" s="140"/>
      <c r="K14" s="140"/>
      <c r="L14" s="140"/>
    </row>
    <row r="15" spans="1:25">
      <c r="A15" s="140" t="s">
        <v>456</v>
      </c>
      <c r="B15" s="140">
        <v>1.0714285714285714</v>
      </c>
      <c r="C15" s="140"/>
      <c r="D15" s="144" t="s">
        <v>5</v>
      </c>
      <c r="E15" s="140" t="s">
        <v>1120</v>
      </c>
      <c r="F15" s="140"/>
      <c r="G15" s="144" t="s">
        <v>1107</v>
      </c>
      <c r="H15" s="144" t="s">
        <v>5</v>
      </c>
      <c r="I15" s="140"/>
      <c r="J15" s="140"/>
      <c r="K15" s="140"/>
    </row>
    <row r="16" spans="1:25">
      <c r="A16" s="140" t="s">
        <v>484</v>
      </c>
      <c r="B16" s="140">
        <v>0</v>
      </c>
      <c r="C16" s="140"/>
      <c r="D16" s="140" t="s">
        <v>444</v>
      </c>
      <c r="E16" s="140">
        <v>1.5</v>
      </c>
      <c r="F16" s="140"/>
      <c r="G16" s="144" t="s">
        <v>6</v>
      </c>
      <c r="H16" s="140" t="s">
        <v>444</v>
      </c>
      <c r="I16" s="140" t="s">
        <v>442</v>
      </c>
      <c r="J16" s="140" t="s">
        <v>441</v>
      </c>
      <c r="K16" s="140" t="s">
        <v>1067</v>
      </c>
    </row>
    <row r="17" spans="1:16">
      <c r="A17" s="140" t="s">
        <v>458</v>
      </c>
      <c r="B17" s="140">
        <v>1</v>
      </c>
      <c r="C17" s="140"/>
      <c r="D17" s="140" t="s">
        <v>442</v>
      </c>
      <c r="E17" s="140">
        <v>0.71764705882352942</v>
      </c>
      <c r="F17" s="140"/>
      <c r="G17" s="140" t="s">
        <v>550</v>
      </c>
      <c r="H17" s="140"/>
      <c r="I17" s="140">
        <v>12</v>
      </c>
      <c r="J17" s="145">
        <v>32</v>
      </c>
      <c r="K17" s="140">
        <v>44</v>
      </c>
    </row>
    <row r="18" spans="1:16">
      <c r="A18" s="140" t="s">
        <v>719</v>
      </c>
      <c r="B18" s="140">
        <v>2</v>
      </c>
      <c r="C18" s="140"/>
      <c r="D18" s="140" t="s">
        <v>441</v>
      </c>
      <c r="E18" s="145">
        <v>1.2727272727272727</v>
      </c>
      <c r="F18" s="140"/>
      <c r="G18" s="140" t="s">
        <v>451</v>
      </c>
      <c r="H18" s="140"/>
      <c r="I18" s="140">
        <v>2</v>
      </c>
      <c r="J18" s="140"/>
      <c r="K18" s="140">
        <v>2</v>
      </c>
    </row>
    <row r="19" spans="1:16">
      <c r="A19" s="140" t="s">
        <v>542</v>
      </c>
      <c r="B19" s="140">
        <v>2</v>
      </c>
      <c r="C19" s="140"/>
      <c r="D19" s="140" t="s">
        <v>1066</v>
      </c>
      <c r="E19" s="140">
        <v>0.98701298701298701</v>
      </c>
      <c r="F19" s="140"/>
      <c r="G19" s="140" t="s">
        <v>449</v>
      </c>
      <c r="H19" s="140">
        <v>1</v>
      </c>
      <c r="I19" s="140">
        <v>1</v>
      </c>
      <c r="J19" s="140">
        <v>4</v>
      </c>
      <c r="K19" s="148">
        <v>6</v>
      </c>
    </row>
    <row r="20" spans="1:16">
      <c r="A20" s="140" t="s">
        <v>465</v>
      </c>
      <c r="B20" s="145">
        <v>1.0333333333333334</v>
      </c>
      <c r="C20" s="140"/>
      <c r="D20" s="140" t="s">
        <v>1067</v>
      </c>
      <c r="E20" s="140">
        <v>0.96757436112274819</v>
      </c>
      <c r="F20" s="140"/>
      <c r="G20" s="140" t="s">
        <v>447</v>
      </c>
      <c r="H20" s="140"/>
      <c r="I20" s="140">
        <v>2</v>
      </c>
      <c r="J20" s="140">
        <v>3</v>
      </c>
      <c r="K20" s="140">
        <v>5</v>
      </c>
    </row>
    <row r="21" spans="1:16">
      <c r="A21" s="140" t="s">
        <v>532</v>
      </c>
      <c r="B21" s="140">
        <v>1</v>
      </c>
      <c r="C21" s="140"/>
      <c r="D21" s="140"/>
      <c r="E21" s="140"/>
      <c r="F21" s="140"/>
      <c r="G21" s="140" t="s">
        <v>446</v>
      </c>
      <c r="H21" s="140">
        <v>2</v>
      </c>
      <c r="I21" s="140">
        <v>18</v>
      </c>
      <c r="J21" s="145">
        <v>31</v>
      </c>
      <c r="K21" s="140">
        <v>51</v>
      </c>
    </row>
    <row r="22" spans="1:16">
      <c r="A22" s="140" t="s">
        <v>459</v>
      </c>
      <c r="B22" s="145">
        <v>2</v>
      </c>
      <c r="C22" s="140"/>
      <c r="D22" s="140"/>
      <c r="E22" s="140"/>
      <c r="F22" s="140"/>
      <c r="G22" s="140" t="s">
        <v>450</v>
      </c>
      <c r="H22" s="140"/>
      <c r="I22" s="140">
        <v>0</v>
      </c>
      <c r="J22" s="140">
        <v>6</v>
      </c>
      <c r="K22" s="140">
        <v>6</v>
      </c>
    </row>
    <row r="23" spans="1:16">
      <c r="A23" s="140" t="s">
        <v>722</v>
      </c>
      <c r="B23" s="140">
        <v>2</v>
      </c>
      <c r="C23" s="140"/>
      <c r="D23" s="140"/>
      <c r="E23" s="140"/>
      <c r="F23" s="140"/>
      <c r="G23" s="140" t="s">
        <v>448</v>
      </c>
      <c r="H23" s="140"/>
      <c r="I23" s="140">
        <v>4</v>
      </c>
      <c r="J23" s="140">
        <v>4</v>
      </c>
      <c r="K23" s="140">
        <v>8</v>
      </c>
    </row>
    <row r="24" spans="1:16">
      <c r="A24" s="140" t="s">
        <v>616</v>
      </c>
      <c r="B24" s="140">
        <v>3</v>
      </c>
      <c r="C24" s="140"/>
      <c r="D24" s="140"/>
      <c r="E24" s="140"/>
      <c r="F24" s="140"/>
      <c r="G24" s="140" t="s">
        <v>445</v>
      </c>
      <c r="H24" s="140"/>
      <c r="I24" s="145">
        <v>22</v>
      </c>
      <c r="J24" s="140">
        <v>4</v>
      </c>
      <c r="K24" s="140">
        <v>26</v>
      </c>
    </row>
    <row r="25" spans="1:16">
      <c r="A25" s="140" t="s">
        <v>457</v>
      </c>
      <c r="B25" s="145">
        <v>1</v>
      </c>
      <c r="C25" s="140"/>
      <c r="D25" s="140"/>
      <c r="E25" s="140"/>
      <c r="F25" s="140"/>
      <c r="G25" s="140" t="s">
        <v>1067</v>
      </c>
      <c r="H25" s="140">
        <v>3</v>
      </c>
      <c r="I25" s="140">
        <v>61</v>
      </c>
      <c r="J25" s="140">
        <v>84</v>
      </c>
      <c r="K25" s="140">
        <v>148</v>
      </c>
    </row>
    <row r="26" spans="1:16">
      <c r="A26" s="140" t="s">
        <v>1066</v>
      </c>
      <c r="B26" s="140">
        <v>0.97402597402597402</v>
      </c>
      <c r="C26" s="140"/>
      <c r="D26" s="140"/>
      <c r="E26" s="140"/>
      <c r="F26" s="140"/>
    </row>
    <row r="27" spans="1:16">
      <c r="A27" s="140" t="s">
        <v>1067</v>
      </c>
      <c r="B27" s="140">
        <v>0.96757436112274819</v>
      </c>
      <c r="C27" s="140"/>
      <c r="D27" s="140"/>
      <c r="E27" s="140"/>
      <c r="F27" s="140"/>
      <c r="G27" s="140"/>
      <c r="H27" s="140"/>
      <c r="I27" s="140"/>
      <c r="J27" s="140"/>
      <c r="K27" s="140"/>
      <c r="L27" s="140"/>
    </row>
    <row r="31" spans="1:16" ht="18">
      <c r="A31" s="124" t="s">
        <v>1109</v>
      </c>
      <c r="B31" s="120"/>
      <c r="D31" s="123" t="s">
        <v>1112</v>
      </c>
      <c r="O31" s="123" t="s">
        <v>1113</v>
      </c>
    </row>
    <row r="32" spans="1:16">
      <c r="A32" s="119" t="s">
        <v>1120</v>
      </c>
      <c r="B32" s="119" t="s">
        <v>20</v>
      </c>
      <c r="H32" s="119" t="s">
        <v>1120</v>
      </c>
      <c r="I32" s="119" t="s">
        <v>21</v>
      </c>
      <c r="O32" s="119" t="s">
        <v>21</v>
      </c>
      <c r="P32" t="s">
        <v>1120</v>
      </c>
    </row>
    <row r="33" spans="1:16">
      <c r="A33" s="119" t="s">
        <v>11</v>
      </c>
      <c r="B33">
        <v>0</v>
      </c>
      <c r="C33">
        <v>1</v>
      </c>
      <c r="D33" t="s">
        <v>1067</v>
      </c>
      <c r="H33" s="119" t="s">
        <v>11</v>
      </c>
      <c r="I33">
        <v>0</v>
      </c>
      <c r="J33">
        <v>1</v>
      </c>
      <c r="K33" t="s">
        <v>1067</v>
      </c>
      <c r="O33">
        <v>0</v>
      </c>
      <c r="P33">
        <v>1.0491803278688525</v>
      </c>
    </row>
    <row r="34" spans="1:16">
      <c r="A34" t="s">
        <v>456</v>
      </c>
      <c r="B34" s="140">
        <v>1.0769230769230769</v>
      </c>
      <c r="C34" s="140">
        <v>1</v>
      </c>
      <c r="D34" s="140">
        <v>1.0714285714285714</v>
      </c>
      <c r="H34" t="s">
        <v>456</v>
      </c>
      <c r="I34" s="140">
        <v>1.0909090909090908</v>
      </c>
      <c r="J34" s="140">
        <v>1</v>
      </c>
      <c r="K34" s="140">
        <v>1.0714285714285714</v>
      </c>
      <c r="O34">
        <v>1</v>
      </c>
      <c r="P34">
        <v>0.65625</v>
      </c>
    </row>
    <row r="35" spans="1:16">
      <c r="A35" t="s">
        <v>458</v>
      </c>
      <c r="B35" s="140">
        <v>1</v>
      </c>
      <c r="C35" s="140"/>
      <c r="D35" s="140">
        <v>1</v>
      </c>
      <c r="H35" t="s">
        <v>458</v>
      </c>
      <c r="I35" s="140">
        <v>1</v>
      </c>
      <c r="J35" s="140">
        <v>1</v>
      </c>
      <c r="K35" s="140">
        <v>1</v>
      </c>
      <c r="O35">
        <v>32</v>
      </c>
      <c r="P35">
        <v>0.97402597402597402</v>
      </c>
    </row>
    <row r="36" spans="1:16">
      <c r="A36" t="s">
        <v>719</v>
      </c>
      <c r="B36" s="140"/>
      <c r="C36" s="140">
        <v>2</v>
      </c>
      <c r="D36" s="140">
        <v>2</v>
      </c>
      <c r="H36" t="s">
        <v>719</v>
      </c>
      <c r="I36" s="140">
        <v>2</v>
      </c>
      <c r="J36" s="140"/>
      <c r="K36" s="140">
        <v>2</v>
      </c>
      <c r="O36" t="s">
        <v>1066</v>
      </c>
    </row>
    <row r="37" spans="1:16">
      <c r="A37" t="s">
        <v>542</v>
      </c>
      <c r="B37" s="140">
        <v>2</v>
      </c>
      <c r="C37" s="140"/>
      <c r="D37" s="140">
        <v>2</v>
      </c>
      <c r="H37" t="s">
        <v>542</v>
      </c>
      <c r="I37" s="140">
        <v>2</v>
      </c>
      <c r="J37" s="140">
        <v>2</v>
      </c>
      <c r="K37" s="140">
        <v>2</v>
      </c>
      <c r="O37" t="s">
        <v>1067</v>
      </c>
      <c r="P37">
        <v>0.96757436112274819</v>
      </c>
    </row>
    <row r="38" spans="1:16">
      <c r="A38" t="s">
        <v>465</v>
      </c>
      <c r="B38" s="140">
        <v>1.0344827586206897</v>
      </c>
      <c r="C38" s="140">
        <v>1</v>
      </c>
      <c r="D38" s="140">
        <v>1.0333333333333334</v>
      </c>
      <c r="H38" t="s">
        <v>465</v>
      </c>
      <c r="I38" s="145">
        <v>1.0555555555555556</v>
      </c>
      <c r="J38" s="140">
        <v>1</v>
      </c>
      <c r="K38" s="140">
        <v>1.0333333333333334</v>
      </c>
    </row>
    <row r="39" spans="1:16">
      <c r="A39" t="s">
        <v>532</v>
      </c>
      <c r="B39" s="140">
        <v>1</v>
      </c>
      <c r="C39" s="140"/>
      <c r="D39" s="140">
        <v>1</v>
      </c>
      <c r="H39" t="s">
        <v>532</v>
      </c>
      <c r="I39" s="140">
        <v>1</v>
      </c>
      <c r="J39" s="140"/>
      <c r="K39" s="140">
        <v>1</v>
      </c>
      <c r="O39" s="119" t="s">
        <v>20</v>
      </c>
      <c r="P39" t="s">
        <v>1120</v>
      </c>
    </row>
    <row r="40" spans="1:16">
      <c r="A40" t="s">
        <v>459</v>
      </c>
      <c r="B40" s="140">
        <v>2</v>
      </c>
      <c r="C40" s="145">
        <v>2</v>
      </c>
      <c r="D40" s="140">
        <v>2</v>
      </c>
      <c r="H40" t="s">
        <v>459</v>
      </c>
      <c r="I40" s="145">
        <v>2</v>
      </c>
      <c r="J40" s="140"/>
      <c r="K40" s="140">
        <v>2</v>
      </c>
      <c r="O40">
        <v>0</v>
      </c>
      <c r="P40">
        <v>0.92592592592592593</v>
      </c>
    </row>
    <row r="41" spans="1:16">
      <c r="A41" t="s">
        <v>722</v>
      </c>
      <c r="B41" s="140"/>
      <c r="C41" s="140">
        <v>2</v>
      </c>
      <c r="D41" s="140">
        <v>2</v>
      </c>
      <c r="H41" t="s">
        <v>722</v>
      </c>
      <c r="I41" s="140">
        <v>2</v>
      </c>
      <c r="J41" s="140"/>
      <c r="K41" s="140">
        <v>2</v>
      </c>
      <c r="O41">
        <v>1</v>
      </c>
      <c r="P41">
        <v>1.263157894736842</v>
      </c>
    </row>
    <row r="42" spans="1:16">
      <c r="A42" t="s">
        <v>616</v>
      </c>
      <c r="B42" s="140">
        <v>3</v>
      </c>
      <c r="C42" s="140"/>
      <c r="D42" s="140">
        <v>3</v>
      </c>
      <c r="H42" t="s">
        <v>616</v>
      </c>
      <c r="I42" s="140">
        <v>3</v>
      </c>
      <c r="J42" s="140"/>
      <c r="K42" s="140">
        <v>3</v>
      </c>
      <c r="O42">
        <v>19</v>
      </c>
      <c r="P42">
        <v>0.97402597402597402</v>
      </c>
    </row>
    <row r="43" spans="1:16">
      <c r="A43" t="s">
        <v>457</v>
      </c>
      <c r="B43" s="140">
        <v>1</v>
      </c>
      <c r="C43" s="145">
        <v>1</v>
      </c>
      <c r="D43" s="140">
        <v>1</v>
      </c>
      <c r="H43" t="s">
        <v>457</v>
      </c>
      <c r="I43" s="145">
        <v>1</v>
      </c>
      <c r="J43" s="140"/>
      <c r="K43" s="140">
        <v>1</v>
      </c>
      <c r="O43" t="s">
        <v>1066</v>
      </c>
    </row>
    <row r="44" spans="1:16">
      <c r="A44" t="s">
        <v>1067</v>
      </c>
      <c r="B44" s="140">
        <v>1.1904761904761905</v>
      </c>
      <c r="C44" s="140">
        <v>1.263157894736842</v>
      </c>
      <c r="D44" s="140">
        <v>1.2016129032258065</v>
      </c>
      <c r="H44" t="s">
        <v>1067</v>
      </c>
      <c r="I44" s="140">
        <v>1.2307692307692308</v>
      </c>
      <c r="J44" s="140">
        <v>1.05</v>
      </c>
      <c r="K44" s="140">
        <v>1.2016129032258065</v>
      </c>
      <c r="O44" t="s">
        <v>1067</v>
      </c>
      <c r="P44">
        <v>0.96757436112274819</v>
      </c>
    </row>
    <row r="48" spans="1:16" ht="16" thickBot="1"/>
    <row r="49" spans="1:21">
      <c r="A49" s="186"/>
      <c r="B49" s="187" t="s">
        <v>21</v>
      </c>
      <c r="C49" s="187" t="s">
        <v>1128</v>
      </c>
      <c r="D49" s="188"/>
      <c r="E49" s="188"/>
      <c r="F49" s="188"/>
      <c r="G49" s="189"/>
      <c r="O49" s="119" t="s">
        <v>1120</v>
      </c>
      <c r="P49" s="119" t="s">
        <v>1121</v>
      </c>
    </row>
    <row r="50" spans="1:21">
      <c r="A50" s="190"/>
      <c r="B50" s="191">
        <v>0</v>
      </c>
      <c r="C50" s="191"/>
      <c r="D50" s="191">
        <v>1</v>
      </c>
      <c r="E50" s="191"/>
      <c r="F50" s="191" t="s">
        <v>1130</v>
      </c>
      <c r="G50" s="192" t="s">
        <v>1162</v>
      </c>
      <c r="O50" s="119" t="s">
        <v>21</v>
      </c>
      <c r="P50" t="s">
        <v>1123</v>
      </c>
      <c r="Q50" t="s">
        <v>1122</v>
      </c>
      <c r="R50" t="s">
        <v>1067</v>
      </c>
    </row>
    <row r="51" spans="1:21">
      <c r="A51" s="193" t="s">
        <v>24</v>
      </c>
      <c r="B51" s="191" t="s">
        <v>1110</v>
      </c>
      <c r="C51" s="191" t="s">
        <v>1163</v>
      </c>
      <c r="D51" s="191" t="s">
        <v>1110</v>
      </c>
      <c r="E51" s="191" t="s">
        <v>1163</v>
      </c>
      <c r="F51" s="191"/>
      <c r="G51" s="192"/>
      <c r="O51">
        <v>0</v>
      </c>
      <c r="P51" s="140">
        <v>1</v>
      </c>
      <c r="Q51" s="145">
        <v>1.0495867768595042</v>
      </c>
      <c r="R51" s="140">
        <v>1.0491803278688525</v>
      </c>
    </row>
    <row r="52" spans="1:21">
      <c r="A52" s="177" t="s">
        <v>507</v>
      </c>
      <c r="B52" s="184">
        <v>0.86842105263157898</v>
      </c>
      <c r="C52" s="185">
        <v>66</v>
      </c>
      <c r="D52" s="168">
        <v>0.13157894736842105</v>
      </c>
      <c r="E52" s="153">
        <v>10</v>
      </c>
      <c r="F52" s="168">
        <v>1</v>
      </c>
      <c r="G52" s="178">
        <v>76</v>
      </c>
      <c r="O52">
        <v>1</v>
      </c>
      <c r="P52" s="140"/>
      <c r="Q52" s="140">
        <v>0.65625</v>
      </c>
      <c r="R52" s="140">
        <v>0.65625</v>
      </c>
    </row>
    <row r="53" spans="1:21">
      <c r="A53" s="177" t="s">
        <v>505</v>
      </c>
      <c r="B53" s="184">
        <v>0.72</v>
      </c>
      <c r="C53" s="185">
        <v>54</v>
      </c>
      <c r="D53" s="168">
        <v>0.28000000000000003</v>
      </c>
      <c r="E53" s="153">
        <v>21</v>
      </c>
      <c r="F53" s="168">
        <v>1</v>
      </c>
      <c r="G53" s="178">
        <v>75</v>
      </c>
      <c r="O53" t="s">
        <v>1067</v>
      </c>
      <c r="P53" s="138">
        <v>1</v>
      </c>
      <c r="Q53" s="138">
        <v>0.9673202614379085</v>
      </c>
      <c r="R53" s="138">
        <v>0.96753246753246758</v>
      </c>
    </row>
    <row r="54" spans="1:21" ht="16" thickBot="1">
      <c r="A54" s="194" t="s">
        <v>1067</v>
      </c>
      <c r="B54" s="195">
        <v>0.79470198675496684</v>
      </c>
      <c r="C54" s="196">
        <v>120</v>
      </c>
      <c r="D54" s="195">
        <v>0.20529801324503311</v>
      </c>
      <c r="E54" s="196">
        <v>31</v>
      </c>
      <c r="F54" s="195">
        <v>1</v>
      </c>
      <c r="G54" s="197">
        <v>151</v>
      </c>
    </row>
    <row r="58" spans="1:21">
      <c r="P58" s="119" t="s">
        <v>21</v>
      </c>
      <c r="Q58" s="119" t="s">
        <v>1128</v>
      </c>
    </row>
    <row r="59" spans="1:21">
      <c r="H59" s="119" t="s">
        <v>1110</v>
      </c>
      <c r="I59" s="119" t="s">
        <v>21</v>
      </c>
      <c r="P59">
        <v>0</v>
      </c>
      <c r="R59">
        <v>1</v>
      </c>
      <c r="T59" t="s">
        <v>1130</v>
      </c>
      <c r="U59" t="s">
        <v>1162</v>
      </c>
    </row>
    <row r="60" spans="1:21">
      <c r="H60" s="119" t="s">
        <v>26</v>
      </c>
      <c r="I60">
        <v>0</v>
      </c>
      <c r="J60">
        <v>1</v>
      </c>
      <c r="K60" t="s">
        <v>1067</v>
      </c>
      <c r="O60" s="119" t="s">
        <v>25</v>
      </c>
      <c r="P60" s="139" t="s">
        <v>1110</v>
      </c>
      <c r="Q60" t="s">
        <v>1163</v>
      </c>
      <c r="R60" t="s">
        <v>1110</v>
      </c>
      <c r="S60" t="s">
        <v>1163</v>
      </c>
    </row>
    <row r="61" spans="1:21">
      <c r="H61" t="s">
        <v>533</v>
      </c>
      <c r="I61" s="138">
        <v>8</v>
      </c>
      <c r="J61" s="138">
        <v>1</v>
      </c>
      <c r="K61" s="138">
        <v>9</v>
      </c>
      <c r="O61" t="s">
        <v>487</v>
      </c>
      <c r="P61" s="139">
        <v>0.90909090909090906</v>
      </c>
      <c r="Q61" s="138">
        <v>10</v>
      </c>
      <c r="R61" s="139">
        <v>9.0909090909090912E-2</v>
      </c>
      <c r="S61" s="138">
        <v>1</v>
      </c>
      <c r="T61" s="139">
        <v>1</v>
      </c>
      <c r="U61" s="138">
        <v>11</v>
      </c>
    </row>
    <row r="62" spans="1:21">
      <c r="H62" t="s">
        <v>485</v>
      </c>
      <c r="I62" s="138">
        <v>99</v>
      </c>
      <c r="J62" s="138">
        <v>17</v>
      </c>
      <c r="K62" s="138">
        <v>116</v>
      </c>
      <c r="O62" t="s">
        <v>525</v>
      </c>
      <c r="P62" s="183">
        <v>0.75454545454545452</v>
      </c>
      <c r="Q62" s="182">
        <v>83</v>
      </c>
      <c r="R62" s="183">
        <v>0.24545454545454545</v>
      </c>
      <c r="S62" s="182">
        <v>27</v>
      </c>
      <c r="T62" s="139">
        <v>1</v>
      </c>
      <c r="U62" s="138">
        <v>110</v>
      </c>
    </row>
    <row r="63" spans="1:21">
      <c r="H63" t="s">
        <v>474</v>
      </c>
      <c r="I63" s="138">
        <v>16</v>
      </c>
      <c r="J63" s="138">
        <v>13</v>
      </c>
      <c r="K63" s="138">
        <v>29</v>
      </c>
      <c r="O63" t="s">
        <v>486</v>
      </c>
      <c r="P63" s="139">
        <v>0.90909090909090906</v>
      </c>
      <c r="Q63" s="138">
        <v>10</v>
      </c>
      <c r="R63" s="139">
        <v>9.0909090909090912E-2</v>
      </c>
      <c r="S63" s="138">
        <v>1</v>
      </c>
      <c r="T63" s="139">
        <v>1</v>
      </c>
      <c r="U63" s="138">
        <v>11</v>
      </c>
    </row>
    <row r="64" spans="1:21">
      <c r="H64" t="s">
        <v>1067</v>
      </c>
      <c r="I64" s="138">
        <v>123</v>
      </c>
      <c r="J64" s="138">
        <v>31</v>
      </c>
      <c r="K64" s="138">
        <v>154</v>
      </c>
      <c r="O64" t="s">
        <v>506</v>
      </c>
      <c r="P64" s="139">
        <v>0.90909090909090906</v>
      </c>
      <c r="Q64" s="138">
        <v>20</v>
      </c>
      <c r="R64" s="139">
        <v>9.0909090909090912E-2</v>
      </c>
      <c r="S64" s="138">
        <v>2</v>
      </c>
      <c r="T64" s="139">
        <v>1</v>
      </c>
      <c r="U64" s="138">
        <v>22</v>
      </c>
    </row>
    <row r="65" spans="1:21">
      <c r="O65" t="s">
        <v>1067</v>
      </c>
      <c r="P65" s="139">
        <v>0.79870129870129869</v>
      </c>
      <c r="Q65" s="138">
        <v>123</v>
      </c>
      <c r="R65" s="139">
        <v>0.20129870129870131</v>
      </c>
      <c r="S65" s="138">
        <v>31</v>
      </c>
      <c r="T65" s="139">
        <v>1</v>
      </c>
      <c r="U65" s="138">
        <v>154</v>
      </c>
    </row>
    <row r="67" spans="1:21" ht="18">
      <c r="A67" s="124" t="s">
        <v>1114</v>
      </c>
    </row>
    <row r="68" spans="1:21" ht="18">
      <c r="A68" s="123" t="s">
        <v>1118</v>
      </c>
    </row>
    <row r="69" spans="1:21">
      <c r="B69" s="119" t="s">
        <v>1116</v>
      </c>
      <c r="C69" s="119" t="s">
        <v>1128</v>
      </c>
    </row>
    <row r="70" spans="1:21">
      <c r="B70" t="s">
        <v>507</v>
      </c>
      <c r="D70" t="s">
        <v>505</v>
      </c>
      <c r="F70" t="s">
        <v>1130</v>
      </c>
      <c r="G70" t="s">
        <v>1162</v>
      </c>
    </row>
    <row r="71" spans="1:21">
      <c r="A71" s="119" t="s">
        <v>19</v>
      </c>
      <c r="B71" t="s">
        <v>1110</v>
      </c>
      <c r="C71" t="s">
        <v>1163</v>
      </c>
      <c r="D71" t="s">
        <v>1110</v>
      </c>
      <c r="E71" t="s">
        <v>1163</v>
      </c>
    </row>
    <row r="72" spans="1:21">
      <c r="A72" t="s">
        <v>1064</v>
      </c>
      <c r="B72" s="184">
        <v>0.5714285714285714</v>
      </c>
      <c r="C72" s="185">
        <v>4</v>
      </c>
      <c r="D72" s="184">
        <v>0.42857142857142855</v>
      </c>
      <c r="E72" s="185">
        <v>3</v>
      </c>
      <c r="F72" s="184">
        <v>1</v>
      </c>
      <c r="G72" s="185">
        <v>7</v>
      </c>
    </row>
    <row r="73" spans="1:21">
      <c r="A73" t="s">
        <v>539</v>
      </c>
      <c r="B73" s="184">
        <v>0</v>
      </c>
      <c r="C73" s="185"/>
      <c r="D73" s="201">
        <v>1</v>
      </c>
      <c r="E73" s="199">
        <v>6</v>
      </c>
      <c r="F73" s="184">
        <v>1</v>
      </c>
      <c r="G73" s="185">
        <v>6</v>
      </c>
    </row>
    <row r="74" spans="1:21">
      <c r="A74" t="s">
        <v>467</v>
      </c>
      <c r="B74" s="184">
        <v>0.65</v>
      </c>
      <c r="C74" s="185">
        <v>26</v>
      </c>
      <c r="D74" s="184">
        <v>0.35</v>
      </c>
      <c r="E74" s="185">
        <v>14</v>
      </c>
      <c r="F74" s="184">
        <v>1</v>
      </c>
      <c r="G74" s="185">
        <v>40</v>
      </c>
    </row>
    <row r="75" spans="1:21">
      <c r="A75" t="s">
        <v>468</v>
      </c>
      <c r="B75" s="184">
        <v>0.5</v>
      </c>
      <c r="C75" s="185">
        <v>1</v>
      </c>
      <c r="D75" s="184">
        <v>0.5</v>
      </c>
      <c r="E75" s="185">
        <v>1</v>
      </c>
      <c r="F75" s="184">
        <v>1</v>
      </c>
      <c r="G75" s="185">
        <v>2</v>
      </c>
    </row>
    <row r="76" spans="1:21">
      <c r="A76" t="s">
        <v>439</v>
      </c>
      <c r="B76" s="184">
        <v>1</v>
      </c>
      <c r="C76" s="185">
        <v>1</v>
      </c>
      <c r="D76" s="184">
        <v>0</v>
      </c>
      <c r="E76" s="185"/>
      <c r="F76" s="184">
        <v>1</v>
      </c>
      <c r="G76" s="185">
        <v>1</v>
      </c>
    </row>
    <row r="77" spans="1:21">
      <c r="A77" t="s">
        <v>466</v>
      </c>
      <c r="B77" s="184">
        <v>0.55000000000000004</v>
      </c>
      <c r="C77" s="185">
        <v>11</v>
      </c>
      <c r="D77" s="184">
        <v>0.45</v>
      </c>
      <c r="E77" s="185">
        <v>9</v>
      </c>
      <c r="F77" s="184">
        <v>1</v>
      </c>
      <c r="G77" s="185">
        <v>20</v>
      </c>
    </row>
    <row r="78" spans="1:21">
      <c r="A78" t="s">
        <v>493</v>
      </c>
      <c r="B78" s="184">
        <v>0.625</v>
      </c>
      <c r="C78" s="185">
        <v>25</v>
      </c>
      <c r="D78" s="184">
        <v>0.375</v>
      </c>
      <c r="E78" s="185">
        <v>15</v>
      </c>
      <c r="F78" s="184">
        <v>1</v>
      </c>
      <c r="G78" s="185">
        <v>40</v>
      </c>
    </row>
    <row r="79" spans="1:21">
      <c r="A79" t="s">
        <v>537</v>
      </c>
      <c r="B79" s="184">
        <v>0.19354838709677419</v>
      </c>
      <c r="C79" s="185">
        <v>6</v>
      </c>
      <c r="D79" s="201">
        <v>0.80645161290322576</v>
      </c>
      <c r="E79" s="199">
        <v>25</v>
      </c>
      <c r="F79" s="184">
        <v>1</v>
      </c>
      <c r="G79" s="185">
        <v>31</v>
      </c>
    </row>
    <row r="80" spans="1:21">
      <c r="A80" t="s">
        <v>1067</v>
      </c>
      <c r="B80" s="139">
        <v>0.50340136054421769</v>
      </c>
      <c r="C80" s="138">
        <v>74</v>
      </c>
      <c r="D80" s="139">
        <v>0.49659863945578231</v>
      </c>
      <c r="E80" s="138">
        <v>73</v>
      </c>
      <c r="F80" s="139">
        <v>1</v>
      </c>
      <c r="G80" s="138">
        <v>147</v>
      </c>
    </row>
    <row r="83" spans="1:13" ht="18">
      <c r="A83" s="123" t="s">
        <v>1119</v>
      </c>
    </row>
    <row r="84" spans="1:13">
      <c r="B84" s="119" t="s">
        <v>13</v>
      </c>
      <c r="C84" s="119" t="s">
        <v>1128</v>
      </c>
    </row>
    <row r="85" spans="1:13">
      <c r="B85" t="s">
        <v>462</v>
      </c>
      <c r="D85" t="s">
        <v>461</v>
      </c>
      <c r="F85" t="s">
        <v>460</v>
      </c>
      <c r="H85" t="s">
        <v>526</v>
      </c>
      <c r="J85" t="s">
        <v>549</v>
      </c>
      <c r="L85" t="s">
        <v>1130</v>
      </c>
      <c r="M85" t="s">
        <v>1162</v>
      </c>
    </row>
    <row r="86" spans="1:13">
      <c r="A86" s="119" t="s">
        <v>19</v>
      </c>
      <c r="B86" t="s">
        <v>1110</v>
      </c>
      <c r="C86" t="s">
        <v>1163</v>
      </c>
      <c r="D86" t="s">
        <v>1110</v>
      </c>
      <c r="E86" t="s">
        <v>1163</v>
      </c>
      <c r="F86" t="s">
        <v>1110</v>
      </c>
      <c r="G86" t="s">
        <v>1163</v>
      </c>
      <c r="H86" t="s">
        <v>1110</v>
      </c>
      <c r="I86" t="s">
        <v>1163</v>
      </c>
      <c r="J86" t="s">
        <v>1110</v>
      </c>
      <c r="K86" t="s">
        <v>1163</v>
      </c>
    </row>
    <row r="87" spans="1:13">
      <c r="A87" t="s">
        <v>1064</v>
      </c>
      <c r="B87" s="171">
        <v>0.5</v>
      </c>
      <c r="C87" s="138">
        <v>4</v>
      </c>
      <c r="D87" s="171">
        <v>0.125</v>
      </c>
      <c r="E87" s="138">
        <v>1</v>
      </c>
      <c r="F87" s="171">
        <v>0.125</v>
      </c>
      <c r="G87" s="138">
        <v>1</v>
      </c>
      <c r="H87" s="171">
        <v>0.25</v>
      </c>
      <c r="I87" s="138">
        <v>2</v>
      </c>
      <c r="J87" s="171">
        <v>0</v>
      </c>
      <c r="K87" s="138"/>
      <c r="L87" s="171">
        <v>1</v>
      </c>
      <c r="M87" s="138">
        <v>8</v>
      </c>
    </row>
    <row r="88" spans="1:13">
      <c r="A88" t="s">
        <v>539</v>
      </c>
      <c r="B88" s="171">
        <v>0.33333333333333331</v>
      </c>
      <c r="C88" s="138">
        <v>2</v>
      </c>
      <c r="D88" s="171">
        <v>0.16666666666666666</v>
      </c>
      <c r="E88" s="138">
        <v>1</v>
      </c>
      <c r="F88" s="171">
        <v>0</v>
      </c>
      <c r="G88" s="138"/>
      <c r="H88" s="171">
        <v>0.5</v>
      </c>
      <c r="I88" s="138">
        <v>3</v>
      </c>
      <c r="J88" s="171">
        <v>0</v>
      </c>
      <c r="K88" s="138"/>
      <c r="L88" s="171">
        <v>1</v>
      </c>
      <c r="M88" s="138">
        <v>6</v>
      </c>
    </row>
    <row r="89" spans="1:13">
      <c r="A89" t="s">
        <v>467</v>
      </c>
      <c r="B89" s="200">
        <v>0.52380952380952384</v>
      </c>
      <c r="C89" s="198">
        <v>22</v>
      </c>
      <c r="D89" s="171">
        <v>0.21428571428571427</v>
      </c>
      <c r="E89" s="138">
        <v>9</v>
      </c>
      <c r="F89" s="171">
        <v>7.1428571428571425E-2</v>
      </c>
      <c r="G89" s="138">
        <v>3</v>
      </c>
      <c r="H89" s="171">
        <v>0.16666666666666666</v>
      </c>
      <c r="I89" s="138">
        <v>7</v>
      </c>
      <c r="J89" s="171">
        <v>2.3809523809523808E-2</v>
      </c>
      <c r="K89" s="138">
        <v>1</v>
      </c>
      <c r="L89" s="171">
        <v>1</v>
      </c>
      <c r="M89" s="138">
        <v>42</v>
      </c>
    </row>
    <row r="90" spans="1:13">
      <c r="A90" t="s">
        <v>468</v>
      </c>
      <c r="B90" s="171">
        <v>1</v>
      </c>
      <c r="C90" s="138">
        <v>2</v>
      </c>
      <c r="D90" s="171">
        <v>0</v>
      </c>
      <c r="E90" s="138"/>
      <c r="F90" s="171">
        <v>0</v>
      </c>
      <c r="G90" s="138"/>
      <c r="H90" s="171">
        <v>0</v>
      </c>
      <c r="I90" s="138"/>
      <c r="J90" s="171">
        <v>0</v>
      </c>
      <c r="K90" s="138"/>
      <c r="L90" s="171">
        <v>1</v>
      </c>
      <c r="M90" s="138">
        <v>2</v>
      </c>
    </row>
    <row r="91" spans="1:13">
      <c r="A91" t="s">
        <v>466</v>
      </c>
      <c r="B91" s="200">
        <v>0.45454545454545453</v>
      </c>
      <c r="C91" s="198">
        <v>10</v>
      </c>
      <c r="D91" s="171">
        <v>9.0909090909090912E-2</v>
      </c>
      <c r="E91" s="138">
        <v>2</v>
      </c>
      <c r="F91" s="171">
        <v>4.5454545454545456E-2</v>
      </c>
      <c r="G91" s="138">
        <v>1</v>
      </c>
      <c r="H91" s="171">
        <v>0.40909090909090912</v>
      </c>
      <c r="I91" s="138">
        <v>9</v>
      </c>
      <c r="J91" s="171">
        <v>0</v>
      </c>
      <c r="K91" s="138"/>
      <c r="L91" s="171">
        <v>1</v>
      </c>
      <c r="M91" s="138">
        <v>22</v>
      </c>
    </row>
    <row r="92" spans="1:13">
      <c r="A92" t="s">
        <v>493</v>
      </c>
      <c r="B92" s="200">
        <v>0.48780487804878048</v>
      </c>
      <c r="C92" s="198">
        <v>20</v>
      </c>
      <c r="D92" s="171">
        <v>0.21951219512195122</v>
      </c>
      <c r="E92" s="138">
        <v>9</v>
      </c>
      <c r="F92" s="171">
        <v>2.4390243902439025E-2</v>
      </c>
      <c r="G92" s="138">
        <v>1</v>
      </c>
      <c r="H92" s="171">
        <v>0.24390243902439024</v>
      </c>
      <c r="I92" s="138">
        <v>10</v>
      </c>
      <c r="J92" s="171">
        <v>2.4390243902439025E-2</v>
      </c>
      <c r="K92" s="138">
        <v>1</v>
      </c>
      <c r="L92" s="171">
        <v>1</v>
      </c>
      <c r="M92" s="138">
        <v>41</v>
      </c>
    </row>
    <row r="93" spans="1:13">
      <c r="A93" t="s">
        <v>537</v>
      </c>
      <c r="B93" s="171">
        <v>0.28125</v>
      </c>
      <c r="C93" s="138">
        <v>9</v>
      </c>
      <c r="D93" s="171">
        <v>0.1875</v>
      </c>
      <c r="E93" s="138">
        <v>6</v>
      </c>
      <c r="F93" s="171">
        <v>3.125E-2</v>
      </c>
      <c r="G93" s="138">
        <v>1</v>
      </c>
      <c r="H93" s="200">
        <v>0.46875</v>
      </c>
      <c r="I93" s="198">
        <v>15</v>
      </c>
      <c r="J93" s="171">
        <v>3.125E-2</v>
      </c>
      <c r="K93" s="138">
        <v>1</v>
      </c>
      <c r="L93" s="171">
        <v>1</v>
      </c>
      <c r="M93" s="138">
        <v>32</v>
      </c>
    </row>
    <row r="94" spans="1:13">
      <c r="A94" t="s">
        <v>1067</v>
      </c>
      <c r="B94" s="171">
        <v>0.45098039215686275</v>
      </c>
      <c r="C94" s="138">
        <v>69</v>
      </c>
      <c r="D94" s="171">
        <v>0.18300653594771241</v>
      </c>
      <c r="E94" s="138">
        <v>28</v>
      </c>
      <c r="F94" s="171">
        <v>4.5751633986928102E-2</v>
      </c>
      <c r="G94" s="138">
        <v>7</v>
      </c>
      <c r="H94" s="171">
        <v>0.30065359477124182</v>
      </c>
      <c r="I94" s="138">
        <v>46</v>
      </c>
      <c r="J94" s="171">
        <v>1.9607843137254902E-2</v>
      </c>
      <c r="K94" s="138">
        <v>3</v>
      </c>
      <c r="L94" s="171">
        <v>1</v>
      </c>
      <c r="M94" s="138">
        <v>153</v>
      </c>
    </row>
    <row r="98" spans="1:52" ht="18">
      <c r="A98" s="123" t="s">
        <v>1125</v>
      </c>
    </row>
    <row r="99" spans="1:52">
      <c r="A99" s="119" t="s">
        <v>435</v>
      </c>
      <c r="B99" t="s">
        <v>1120</v>
      </c>
      <c r="I99" t="s">
        <v>1127</v>
      </c>
      <c r="O99" t="s">
        <v>0</v>
      </c>
      <c r="P99" t="s">
        <v>1</v>
      </c>
      <c r="Q99" t="s">
        <v>2</v>
      </c>
      <c r="R99" t="s">
        <v>3</v>
      </c>
      <c r="S99" t="s">
        <v>712</v>
      </c>
      <c r="T99" t="s">
        <v>6</v>
      </c>
      <c r="U99" t="s">
        <v>4</v>
      </c>
      <c r="V99" t="s">
        <v>5</v>
      </c>
      <c r="W99" t="s">
        <v>7</v>
      </c>
      <c r="X99" t="s">
        <v>8</v>
      </c>
      <c r="Y99" t="s">
        <v>9</v>
      </c>
      <c r="Z99" t="s">
        <v>10</v>
      </c>
      <c r="AA99" t="s">
        <v>11</v>
      </c>
      <c r="AB99" t="s">
        <v>12</v>
      </c>
      <c r="AC99" t="s">
        <v>13</v>
      </c>
      <c r="AD99" t="s">
        <v>504</v>
      </c>
      <c r="AE99" t="s">
        <v>14</v>
      </c>
      <c r="AF99" t="s">
        <v>15</v>
      </c>
      <c r="AG99" t="s">
        <v>16</v>
      </c>
      <c r="AH99" t="s">
        <v>17</v>
      </c>
      <c r="AI99" t="s">
        <v>1062</v>
      </c>
      <c r="AJ99" t="s">
        <v>19</v>
      </c>
      <c r="AK99" t="s">
        <v>20</v>
      </c>
      <c r="AL99" t="s">
        <v>21</v>
      </c>
      <c r="AM99" t="s">
        <v>510</v>
      </c>
      <c r="AN99" t="s">
        <v>509</v>
      </c>
      <c r="AO99" t="s">
        <v>22</v>
      </c>
      <c r="AP99" t="s">
        <v>23</v>
      </c>
      <c r="AQ99" t="s">
        <v>1115</v>
      </c>
      <c r="AR99" t="s">
        <v>24</v>
      </c>
      <c r="AS99" t="s">
        <v>1116</v>
      </c>
      <c r="AT99" t="s">
        <v>25</v>
      </c>
      <c r="AU99" t="s">
        <v>26</v>
      </c>
      <c r="AV99" t="s">
        <v>27</v>
      </c>
      <c r="AW99" t="s">
        <v>1126</v>
      </c>
      <c r="AX99" t="s">
        <v>723</v>
      </c>
      <c r="AY99" t="s">
        <v>435</v>
      </c>
      <c r="AZ99" t="s">
        <v>1121</v>
      </c>
    </row>
    <row r="100" spans="1:52">
      <c r="A100" t="s">
        <v>435</v>
      </c>
      <c r="B100" s="137">
        <v>0.82352941176470584</v>
      </c>
      <c r="D100" s="119" t="s">
        <v>1120</v>
      </c>
      <c r="E100" s="119" t="s">
        <v>435</v>
      </c>
      <c r="I100" s="119" t="s">
        <v>1110</v>
      </c>
      <c r="J100" s="119" t="s">
        <v>435</v>
      </c>
      <c r="O100" t="s">
        <v>148</v>
      </c>
      <c r="P100" t="s">
        <v>629</v>
      </c>
      <c r="Q100" t="s">
        <v>628</v>
      </c>
      <c r="R100" t="s">
        <v>626</v>
      </c>
      <c r="S100" t="s">
        <v>713</v>
      </c>
      <c r="T100" t="s">
        <v>550</v>
      </c>
      <c r="U100" t="s">
        <v>435</v>
      </c>
      <c r="V100" t="s">
        <v>442</v>
      </c>
      <c r="W100" t="s">
        <v>453</v>
      </c>
      <c r="X100" t="s">
        <v>454</v>
      </c>
      <c r="Y100">
        <v>1</v>
      </c>
      <c r="Z100">
        <v>0</v>
      </c>
      <c r="AA100" t="s">
        <v>484</v>
      </c>
      <c r="AB100">
        <v>0</v>
      </c>
      <c r="AC100" t="s">
        <v>526</v>
      </c>
      <c r="AD100">
        <v>3</v>
      </c>
      <c r="AE100" t="s">
        <v>484</v>
      </c>
      <c r="AF100" t="s">
        <v>484</v>
      </c>
      <c r="AG100">
        <v>0</v>
      </c>
      <c r="AH100">
        <v>1</v>
      </c>
      <c r="AI100" t="s">
        <v>464</v>
      </c>
      <c r="AJ100" t="s">
        <v>466</v>
      </c>
      <c r="AK100">
        <v>0</v>
      </c>
      <c r="AL100">
        <v>0</v>
      </c>
      <c r="AM100" t="s">
        <v>484</v>
      </c>
      <c r="AN100" t="s">
        <v>484</v>
      </c>
      <c r="AO100">
        <v>0</v>
      </c>
      <c r="AP100" t="s">
        <v>439</v>
      </c>
      <c r="AQ100" t="s">
        <v>537</v>
      </c>
      <c r="AR100" t="s">
        <v>505</v>
      </c>
      <c r="AS100" t="s">
        <v>507</v>
      </c>
      <c r="AT100" t="s">
        <v>525</v>
      </c>
      <c r="AU100" t="s">
        <v>474</v>
      </c>
      <c r="AX100">
        <v>0</v>
      </c>
      <c r="AY100" t="s">
        <v>435</v>
      </c>
      <c r="AZ100" t="s">
        <v>1122</v>
      </c>
    </row>
    <row r="101" spans="1:52">
      <c r="A101" t="s">
        <v>1124</v>
      </c>
      <c r="B101" s="137">
        <v>0.98540145985401462</v>
      </c>
      <c r="D101" s="119" t="s">
        <v>5</v>
      </c>
      <c r="E101" t="s">
        <v>435</v>
      </c>
      <c r="F101" t="s">
        <v>1124</v>
      </c>
      <c r="G101" t="s">
        <v>1067</v>
      </c>
      <c r="I101" s="119" t="s">
        <v>5</v>
      </c>
      <c r="J101" t="s">
        <v>435</v>
      </c>
      <c r="K101" t="s">
        <v>1124</v>
      </c>
      <c r="L101" t="s">
        <v>1067</v>
      </c>
      <c r="O101" t="s">
        <v>145</v>
      </c>
      <c r="P101" t="s">
        <v>228</v>
      </c>
      <c r="Q101" t="s">
        <v>319</v>
      </c>
      <c r="R101" t="s">
        <v>420</v>
      </c>
      <c r="S101" t="s">
        <v>1056</v>
      </c>
      <c r="T101" t="s">
        <v>446</v>
      </c>
      <c r="U101" t="s">
        <v>435</v>
      </c>
      <c r="V101" t="s">
        <v>442</v>
      </c>
      <c r="W101" t="s">
        <v>452</v>
      </c>
      <c r="X101" t="s">
        <v>454</v>
      </c>
      <c r="Y101">
        <v>1</v>
      </c>
      <c r="Z101">
        <v>1</v>
      </c>
      <c r="AA101" t="s">
        <v>457</v>
      </c>
      <c r="AB101">
        <v>1</v>
      </c>
      <c r="AC101" t="s">
        <v>462</v>
      </c>
      <c r="AD101">
        <v>3</v>
      </c>
      <c r="AE101" t="s">
        <v>484</v>
      </c>
      <c r="AF101" t="s">
        <v>484</v>
      </c>
      <c r="AG101">
        <v>0</v>
      </c>
      <c r="AH101">
        <v>0</v>
      </c>
      <c r="AI101" t="s">
        <v>484</v>
      </c>
      <c r="AJ101" t="s">
        <v>539</v>
      </c>
      <c r="AK101">
        <v>0</v>
      </c>
      <c r="AL101">
        <v>0</v>
      </c>
      <c r="AM101" t="s">
        <v>484</v>
      </c>
      <c r="AN101" t="s">
        <v>484</v>
      </c>
      <c r="AO101">
        <v>0</v>
      </c>
      <c r="AP101" t="s">
        <v>439</v>
      </c>
      <c r="AQ101" t="s">
        <v>467</v>
      </c>
      <c r="AR101" t="s">
        <v>507</v>
      </c>
      <c r="AS101" t="s">
        <v>505</v>
      </c>
      <c r="AT101" t="s">
        <v>525</v>
      </c>
      <c r="AU101" t="s">
        <v>533</v>
      </c>
      <c r="AX101">
        <v>1</v>
      </c>
      <c r="AY101" t="s">
        <v>435</v>
      </c>
      <c r="AZ101" t="s">
        <v>1122</v>
      </c>
    </row>
    <row r="102" spans="1:52">
      <c r="A102" t="s">
        <v>1067</v>
      </c>
      <c r="B102" s="137">
        <v>0.96753246753246758</v>
      </c>
      <c r="D102" t="s">
        <v>444</v>
      </c>
      <c r="E102" s="137"/>
      <c r="F102" s="137">
        <v>1.5</v>
      </c>
      <c r="G102" s="137">
        <v>1.5</v>
      </c>
      <c r="I102" t="s">
        <v>442</v>
      </c>
      <c r="J102" s="141">
        <v>7</v>
      </c>
      <c r="K102" s="142">
        <v>79</v>
      </c>
      <c r="L102" s="141">
        <v>86</v>
      </c>
      <c r="O102" t="s">
        <v>133</v>
      </c>
      <c r="P102" t="s">
        <v>600</v>
      </c>
      <c r="Q102" t="s">
        <v>591</v>
      </c>
      <c r="R102" t="s">
        <v>595</v>
      </c>
      <c r="S102" t="s">
        <v>1056</v>
      </c>
      <c r="T102" t="s">
        <v>447</v>
      </c>
      <c r="U102" t="s">
        <v>435</v>
      </c>
      <c r="V102" t="s">
        <v>442</v>
      </c>
      <c r="W102" t="s">
        <v>452</v>
      </c>
      <c r="X102" t="s">
        <v>454</v>
      </c>
      <c r="Y102">
        <v>1</v>
      </c>
      <c r="Z102">
        <v>1</v>
      </c>
      <c r="AA102" t="s">
        <v>456</v>
      </c>
      <c r="AB102">
        <v>0</v>
      </c>
      <c r="AC102" t="s">
        <v>526</v>
      </c>
      <c r="AD102">
        <v>3</v>
      </c>
      <c r="AE102" t="s">
        <v>439</v>
      </c>
      <c r="AF102" t="s">
        <v>462</v>
      </c>
      <c r="AG102">
        <v>0</v>
      </c>
      <c r="AH102">
        <v>0</v>
      </c>
      <c r="AI102" t="s">
        <v>484</v>
      </c>
      <c r="AJ102" t="s">
        <v>537</v>
      </c>
      <c r="AK102">
        <v>0</v>
      </c>
      <c r="AL102">
        <v>0</v>
      </c>
      <c r="AM102" t="s">
        <v>484</v>
      </c>
      <c r="AN102" t="s">
        <v>484</v>
      </c>
      <c r="AO102">
        <v>0</v>
      </c>
      <c r="AP102" t="s">
        <v>439</v>
      </c>
      <c r="AQ102" t="s">
        <v>537</v>
      </c>
      <c r="AR102" t="s">
        <v>505</v>
      </c>
      <c r="AS102" t="s">
        <v>505</v>
      </c>
      <c r="AT102" t="s">
        <v>525</v>
      </c>
      <c r="AU102" t="s">
        <v>485</v>
      </c>
      <c r="AX102">
        <v>1</v>
      </c>
      <c r="AY102" t="s">
        <v>435</v>
      </c>
      <c r="AZ102" t="s">
        <v>1122</v>
      </c>
    </row>
    <row r="103" spans="1:52">
      <c r="D103" t="s">
        <v>442</v>
      </c>
      <c r="E103" s="137">
        <v>0.7142857142857143</v>
      </c>
      <c r="F103" s="137">
        <v>0.71794871794871795</v>
      </c>
      <c r="G103" s="137">
        <v>0.71764705882352942</v>
      </c>
      <c r="I103" t="s">
        <v>441</v>
      </c>
      <c r="J103" s="142">
        <v>9</v>
      </c>
      <c r="K103" s="141">
        <v>56</v>
      </c>
      <c r="L103" s="141">
        <v>65</v>
      </c>
      <c r="O103" t="s">
        <v>94</v>
      </c>
      <c r="P103" t="s">
        <v>555</v>
      </c>
      <c r="Q103" t="s">
        <v>295</v>
      </c>
      <c r="R103" t="s">
        <v>556</v>
      </c>
      <c r="S103" t="s">
        <v>1056</v>
      </c>
      <c r="T103" t="s">
        <v>446</v>
      </c>
      <c r="U103" t="s">
        <v>717</v>
      </c>
      <c r="V103" t="s">
        <v>442</v>
      </c>
      <c r="W103" t="s">
        <v>452</v>
      </c>
      <c r="X103" t="s">
        <v>454</v>
      </c>
      <c r="Y103">
        <v>1</v>
      </c>
      <c r="Z103">
        <v>0</v>
      </c>
      <c r="AA103" t="s">
        <v>484</v>
      </c>
      <c r="AB103">
        <v>1</v>
      </c>
      <c r="AC103" t="s">
        <v>526</v>
      </c>
      <c r="AD103">
        <v>3</v>
      </c>
      <c r="AE103" t="s">
        <v>484</v>
      </c>
      <c r="AF103" t="s">
        <v>484</v>
      </c>
      <c r="AG103">
        <v>0</v>
      </c>
      <c r="AH103">
        <v>0</v>
      </c>
      <c r="AI103" t="s">
        <v>484</v>
      </c>
      <c r="AJ103" t="s">
        <v>537</v>
      </c>
      <c r="AK103">
        <v>0</v>
      </c>
      <c r="AL103">
        <v>0</v>
      </c>
      <c r="AM103" t="s">
        <v>484</v>
      </c>
      <c r="AN103" t="s">
        <v>484</v>
      </c>
      <c r="AO103">
        <v>0</v>
      </c>
      <c r="AP103" t="s">
        <v>470</v>
      </c>
      <c r="AQ103" t="s">
        <v>493</v>
      </c>
      <c r="AR103" t="s">
        <v>505</v>
      </c>
      <c r="AS103" t="s">
        <v>507</v>
      </c>
      <c r="AT103" t="s">
        <v>525</v>
      </c>
      <c r="AU103" t="s">
        <v>474</v>
      </c>
      <c r="AX103">
        <v>0</v>
      </c>
      <c r="AY103" t="s">
        <v>435</v>
      </c>
      <c r="AZ103" t="s">
        <v>1122</v>
      </c>
    </row>
    <row r="104" spans="1:52">
      <c r="D104" t="s">
        <v>441</v>
      </c>
      <c r="E104" s="137">
        <v>0.88888888888888884</v>
      </c>
      <c r="F104" s="137">
        <v>1.3333333333333333</v>
      </c>
      <c r="G104" s="137">
        <v>1.2727272727272727</v>
      </c>
      <c r="I104" t="s">
        <v>1067</v>
      </c>
      <c r="J104" s="141">
        <v>16</v>
      </c>
      <c r="K104" s="141">
        <v>135</v>
      </c>
      <c r="L104" s="141">
        <v>151</v>
      </c>
      <c r="O104" t="s">
        <v>71</v>
      </c>
      <c r="P104" t="s">
        <v>195</v>
      </c>
      <c r="Q104" t="s">
        <v>546</v>
      </c>
      <c r="R104" t="s">
        <v>373</v>
      </c>
      <c r="S104" t="s">
        <v>1056</v>
      </c>
      <c r="T104" t="s">
        <v>446</v>
      </c>
      <c r="U104" t="s">
        <v>435</v>
      </c>
      <c r="V104" t="s">
        <v>442</v>
      </c>
      <c r="W104" t="s">
        <v>453</v>
      </c>
      <c r="X104" t="s">
        <v>454</v>
      </c>
      <c r="Y104">
        <v>1</v>
      </c>
      <c r="Z104">
        <v>1</v>
      </c>
      <c r="AA104" t="s">
        <v>457</v>
      </c>
      <c r="AB104">
        <v>1</v>
      </c>
      <c r="AC104" t="s">
        <v>462</v>
      </c>
      <c r="AD104">
        <v>3</v>
      </c>
      <c r="AE104" t="s">
        <v>484</v>
      </c>
      <c r="AF104" t="s">
        <v>484</v>
      </c>
      <c r="AG104">
        <v>0</v>
      </c>
      <c r="AH104">
        <v>1</v>
      </c>
      <c r="AI104" t="s">
        <v>464</v>
      </c>
      <c r="AJ104" t="s">
        <v>466</v>
      </c>
      <c r="AK104">
        <v>1</v>
      </c>
      <c r="AL104">
        <v>0</v>
      </c>
      <c r="AM104" t="s">
        <v>521</v>
      </c>
      <c r="AN104" t="s">
        <v>512</v>
      </c>
      <c r="AO104">
        <v>0</v>
      </c>
      <c r="AP104" t="s">
        <v>439</v>
      </c>
      <c r="AQ104" t="s">
        <v>493</v>
      </c>
      <c r="AR104" t="s">
        <v>507</v>
      </c>
      <c r="AS104" t="s">
        <v>505</v>
      </c>
      <c r="AT104" t="s">
        <v>506</v>
      </c>
      <c r="AU104" t="s">
        <v>485</v>
      </c>
      <c r="AX104">
        <v>1</v>
      </c>
      <c r="AY104" t="s">
        <v>435</v>
      </c>
      <c r="AZ104" t="s">
        <v>1122</v>
      </c>
    </row>
    <row r="105" spans="1:52">
      <c r="D105" t="s">
        <v>1067</v>
      </c>
      <c r="E105" s="137">
        <v>0.8125</v>
      </c>
      <c r="F105" s="137">
        <v>0.98540145985401462</v>
      </c>
      <c r="G105" s="137">
        <v>0.9673202614379085</v>
      </c>
      <c r="O105" t="s">
        <v>41</v>
      </c>
      <c r="P105" t="s">
        <v>170</v>
      </c>
      <c r="Q105" t="s">
        <v>247</v>
      </c>
      <c r="R105" t="s">
        <v>347</v>
      </c>
      <c r="S105" t="s">
        <v>1056</v>
      </c>
      <c r="T105" t="s">
        <v>449</v>
      </c>
      <c r="U105" t="s">
        <v>435</v>
      </c>
      <c r="V105" t="s">
        <v>442</v>
      </c>
      <c r="W105" t="s">
        <v>453</v>
      </c>
      <c r="X105" t="s">
        <v>454</v>
      </c>
      <c r="Y105">
        <v>1</v>
      </c>
      <c r="Z105">
        <v>1</v>
      </c>
      <c r="AA105" t="s">
        <v>532</v>
      </c>
      <c r="AB105">
        <v>0</v>
      </c>
      <c r="AC105" t="s">
        <v>462</v>
      </c>
      <c r="AD105" t="s">
        <v>484</v>
      </c>
      <c r="AE105" t="s">
        <v>484</v>
      </c>
      <c r="AF105" t="s">
        <v>484</v>
      </c>
      <c r="AG105">
        <v>0</v>
      </c>
      <c r="AH105">
        <v>0</v>
      </c>
      <c r="AI105" t="s">
        <v>484</v>
      </c>
      <c r="AJ105" t="s">
        <v>467</v>
      </c>
      <c r="AK105">
        <v>0</v>
      </c>
      <c r="AL105">
        <v>0</v>
      </c>
      <c r="AM105" t="s">
        <v>484</v>
      </c>
      <c r="AN105" t="s">
        <v>484</v>
      </c>
      <c r="AO105">
        <v>0</v>
      </c>
      <c r="AP105" t="s">
        <v>439</v>
      </c>
      <c r="AQ105" t="s">
        <v>1064</v>
      </c>
      <c r="AR105" t="s">
        <v>507</v>
      </c>
      <c r="AS105" t="s">
        <v>507</v>
      </c>
      <c r="AT105" t="s">
        <v>525</v>
      </c>
      <c r="AU105" t="s">
        <v>533</v>
      </c>
      <c r="AX105">
        <v>1</v>
      </c>
      <c r="AY105" t="s">
        <v>435</v>
      </c>
      <c r="AZ105" t="s">
        <v>1122</v>
      </c>
    </row>
    <row r="106" spans="1:52">
      <c r="I106" t="s">
        <v>1110</v>
      </c>
      <c r="J106" t="s">
        <v>435</v>
      </c>
      <c r="O106" t="s">
        <v>38</v>
      </c>
      <c r="P106" t="s">
        <v>167</v>
      </c>
      <c r="Q106" t="s">
        <v>244</v>
      </c>
      <c r="R106" t="s">
        <v>344</v>
      </c>
      <c r="S106" t="s">
        <v>1056</v>
      </c>
      <c r="T106" t="s">
        <v>447</v>
      </c>
      <c r="U106" t="s">
        <v>435</v>
      </c>
      <c r="V106" t="s">
        <v>442</v>
      </c>
      <c r="W106" t="s">
        <v>452</v>
      </c>
      <c r="X106" t="s">
        <v>454</v>
      </c>
      <c r="Y106">
        <v>1</v>
      </c>
      <c r="Z106">
        <v>1</v>
      </c>
      <c r="AA106" t="s">
        <v>457</v>
      </c>
      <c r="AB106">
        <v>2</v>
      </c>
      <c r="AC106" t="s">
        <v>462</v>
      </c>
      <c r="AD106">
        <v>3</v>
      </c>
      <c r="AE106" t="s">
        <v>462</v>
      </c>
      <c r="AF106" t="s">
        <v>484</v>
      </c>
      <c r="AG106">
        <v>0</v>
      </c>
      <c r="AH106">
        <v>0</v>
      </c>
      <c r="AI106" t="s">
        <v>484</v>
      </c>
      <c r="AJ106" t="s">
        <v>467</v>
      </c>
      <c r="AK106">
        <v>0</v>
      </c>
      <c r="AL106">
        <v>0</v>
      </c>
      <c r="AM106" t="s">
        <v>484</v>
      </c>
      <c r="AN106" t="s">
        <v>484</v>
      </c>
      <c r="AO106">
        <v>0</v>
      </c>
      <c r="AP106" t="s">
        <v>439</v>
      </c>
      <c r="AQ106" t="s">
        <v>466</v>
      </c>
      <c r="AR106" t="s">
        <v>507</v>
      </c>
      <c r="AS106" t="s">
        <v>507</v>
      </c>
      <c r="AT106" t="s">
        <v>487</v>
      </c>
      <c r="AU106" t="s">
        <v>485</v>
      </c>
      <c r="AX106">
        <v>1</v>
      </c>
      <c r="AY106" t="s">
        <v>435</v>
      </c>
      <c r="AZ106" t="s">
        <v>1122</v>
      </c>
    </row>
    <row r="107" spans="1:52">
      <c r="I107" t="s">
        <v>5</v>
      </c>
      <c r="J107" t="s">
        <v>435</v>
      </c>
      <c r="K107" t="s">
        <v>1124</v>
      </c>
      <c r="L107" t="s">
        <v>1067</v>
      </c>
    </row>
    <row r="108" spans="1:52">
      <c r="I108" t="s">
        <v>442</v>
      </c>
      <c r="J108">
        <v>4</v>
      </c>
      <c r="K108">
        <v>79</v>
      </c>
      <c r="L108">
        <v>86</v>
      </c>
    </row>
    <row r="109" spans="1:52">
      <c r="I109" t="s">
        <v>441</v>
      </c>
      <c r="J109">
        <v>10</v>
      </c>
      <c r="K109">
        <v>56</v>
      </c>
      <c r="L109">
        <v>65</v>
      </c>
    </row>
    <row r="110" spans="1:52">
      <c r="A110" s="119" t="s">
        <v>1110</v>
      </c>
      <c r="B110" s="119" t="s">
        <v>435</v>
      </c>
      <c r="I110" t="s">
        <v>1067</v>
      </c>
      <c r="J110">
        <v>14</v>
      </c>
      <c r="K110">
        <v>135</v>
      </c>
      <c r="L110">
        <v>151</v>
      </c>
    </row>
    <row r="111" spans="1:52">
      <c r="A111" s="119" t="s">
        <v>19</v>
      </c>
      <c r="B111" t="s">
        <v>435</v>
      </c>
      <c r="C111" t="s">
        <v>1124</v>
      </c>
      <c r="D111" t="s">
        <v>1066</v>
      </c>
      <c r="E111" t="s">
        <v>1067</v>
      </c>
      <c r="J111" s="141"/>
      <c r="K111" s="141"/>
      <c r="L111" s="141"/>
    </row>
    <row r="112" spans="1:52">
      <c r="A112">
        <v>0</v>
      </c>
      <c r="B112" s="141"/>
      <c r="C112" s="141"/>
      <c r="D112" s="141">
        <v>1</v>
      </c>
      <c r="E112" s="141">
        <v>1</v>
      </c>
      <c r="J112" s="141"/>
      <c r="K112" s="141"/>
      <c r="L112" s="141"/>
    </row>
    <row r="113" spans="1:5">
      <c r="A113" t="s">
        <v>1064</v>
      </c>
      <c r="B113" s="141">
        <v>1</v>
      </c>
      <c r="C113" s="141">
        <v>7</v>
      </c>
      <c r="D113" s="141"/>
      <c r="E113" s="141">
        <v>8</v>
      </c>
    </row>
    <row r="114" spans="1:5">
      <c r="A114" t="s">
        <v>539</v>
      </c>
      <c r="B114" s="141">
        <v>2</v>
      </c>
      <c r="C114" s="141">
        <v>4</v>
      </c>
      <c r="D114" s="141"/>
      <c r="E114" s="141">
        <v>6</v>
      </c>
    </row>
    <row r="115" spans="1:5">
      <c r="A115" t="s">
        <v>467</v>
      </c>
      <c r="B115" s="141">
        <v>3</v>
      </c>
      <c r="C115" s="141">
        <v>39</v>
      </c>
      <c r="D115" s="141"/>
      <c r="E115" s="141">
        <v>42</v>
      </c>
    </row>
    <row r="116" spans="1:5">
      <c r="A116" t="s">
        <v>468</v>
      </c>
      <c r="B116" s="141"/>
      <c r="C116" s="141">
        <v>2</v>
      </c>
      <c r="D116" s="141"/>
      <c r="E116" s="141">
        <v>2</v>
      </c>
    </row>
    <row r="117" spans="1:5">
      <c r="A117" t="s">
        <v>439</v>
      </c>
      <c r="B117" s="141"/>
      <c r="C117" s="141">
        <v>1</v>
      </c>
      <c r="D117" s="141"/>
      <c r="E117" s="141">
        <v>1</v>
      </c>
    </row>
    <row r="118" spans="1:5">
      <c r="A118" t="s">
        <v>466</v>
      </c>
      <c r="B118" s="141">
        <v>4</v>
      </c>
      <c r="C118" s="141">
        <v>18</v>
      </c>
      <c r="D118" s="141"/>
      <c r="E118" s="141">
        <v>22</v>
      </c>
    </row>
    <row r="119" spans="1:5">
      <c r="A119" t="s">
        <v>493</v>
      </c>
      <c r="B119" s="141">
        <v>2</v>
      </c>
      <c r="C119" s="141">
        <v>39</v>
      </c>
      <c r="D119" s="141"/>
      <c r="E119" s="141">
        <v>41</v>
      </c>
    </row>
    <row r="120" spans="1:5">
      <c r="A120" t="s">
        <v>537</v>
      </c>
      <c r="B120" s="141">
        <v>5</v>
      </c>
      <c r="C120" s="141">
        <v>27</v>
      </c>
      <c r="D120" s="141"/>
      <c r="E120" s="141">
        <v>32</v>
      </c>
    </row>
    <row r="121" spans="1:5">
      <c r="A121" t="s">
        <v>1066</v>
      </c>
      <c r="B121" s="141"/>
      <c r="C121" s="141">
        <v>3</v>
      </c>
      <c r="D121" s="141">
        <v>5</v>
      </c>
      <c r="E121" s="141">
        <v>8</v>
      </c>
    </row>
    <row r="122" spans="1:5">
      <c r="A122" t="s">
        <v>1067</v>
      </c>
      <c r="B122" s="141">
        <v>17</v>
      </c>
      <c r="C122" s="141">
        <v>140</v>
      </c>
      <c r="D122" s="141">
        <v>6</v>
      </c>
      <c r="E122" s="141">
        <v>163</v>
      </c>
    </row>
    <row r="123" spans="1:5">
      <c r="B123" s="143">
        <f>17/157</f>
        <v>0.10828025477707007</v>
      </c>
      <c r="C123" s="143">
        <f>140/157</f>
        <v>0.89171974522292996</v>
      </c>
    </row>
    <row r="138" spans="8:19" ht="9" customHeight="1"/>
    <row r="141" spans="8:19">
      <c r="H141" s="137"/>
      <c r="I141" s="137"/>
      <c r="J141" s="137"/>
      <c r="K141" s="137"/>
      <c r="L141" s="137"/>
      <c r="M141" s="137"/>
      <c r="N141" s="137"/>
      <c r="O141" s="137"/>
      <c r="P141" s="137"/>
      <c r="Q141" s="137"/>
      <c r="R141" s="137"/>
      <c r="S141" s="137"/>
    </row>
    <row r="142" spans="8:19">
      <c r="H142" s="140"/>
      <c r="I142" s="140"/>
      <c r="J142" s="140"/>
      <c r="K142" s="140"/>
      <c r="L142" s="140"/>
      <c r="M142" s="140"/>
      <c r="N142" s="140"/>
      <c r="O142" s="140"/>
      <c r="P142" s="140"/>
      <c r="Q142" s="140"/>
      <c r="R142" s="140"/>
      <c r="S142" s="140"/>
    </row>
    <row r="143" spans="8:19">
      <c r="H143" s="140"/>
      <c r="I143" s="140"/>
      <c r="J143" s="140"/>
      <c r="K143" s="140"/>
      <c r="L143" s="140"/>
      <c r="M143" s="140"/>
      <c r="N143" s="140"/>
      <c r="O143" s="140"/>
      <c r="P143" s="140"/>
      <c r="Q143" s="140"/>
      <c r="R143" s="140"/>
      <c r="S143" s="140"/>
    </row>
    <row r="144" spans="8:19">
      <c r="H144" s="140"/>
      <c r="I144" s="140"/>
      <c r="J144" s="140"/>
      <c r="K144" s="140"/>
      <c r="L144" s="140"/>
      <c r="M144" s="140"/>
      <c r="N144" s="140"/>
      <c r="O144" s="140"/>
      <c r="P144" s="140"/>
      <c r="Q144" s="140"/>
      <c r="R144" s="140"/>
      <c r="S144" s="140"/>
    </row>
    <row r="145" spans="8:19">
      <c r="H145" s="140"/>
      <c r="I145" s="140"/>
      <c r="J145" s="140"/>
      <c r="K145" s="140"/>
      <c r="L145" s="140"/>
      <c r="M145" s="140"/>
      <c r="N145" s="140"/>
      <c r="O145" s="140"/>
      <c r="P145" s="140"/>
      <c r="Q145" s="140"/>
      <c r="R145" s="140"/>
      <c r="S145" s="140"/>
    </row>
    <row r="146" spans="8:19">
      <c r="H146" s="140"/>
      <c r="I146" s="140"/>
      <c r="J146" s="140"/>
      <c r="K146" s="140"/>
      <c r="L146" s="140"/>
      <c r="M146" s="140"/>
      <c r="N146" s="140"/>
      <c r="O146" s="140"/>
      <c r="P146" s="140"/>
      <c r="Q146" s="140"/>
      <c r="R146" s="140"/>
      <c r="S146" s="140"/>
    </row>
    <row r="147" spans="8:19">
      <c r="H147" s="140"/>
      <c r="I147" s="140"/>
      <c r="J147" s="140"/>
      <c r="K147" s="140"/>
      <c r="L147" s="140"/>
      <c r="M147" s="140"/>
      <c r="N147" s="140"/>
      <c r="O147" s="140"/>
      <c r="P147" s="140"/>
      <c r="Q147" s="140"/>
      <c r="R147" s="140"/>
      <c r="S147" s="140"/>
    </row>
    <row r="164" spans="1:23">
      <c r="A164" s="140"/>
      <c r="B164" s="140"/>
      <c r="C164" s="140"/>
      <c r="D164" s="140"/>
      <c r="E164" s="140"/>
      <c r="F164" s="140"/>
      <c r="G164" s="140"/>
      <c r="H164" s="140"/>
      <c r="I164" s="140"/>
      <c r="J164" s="140"/>
      <c r="K164" s="140"/>
      <c r="L164" s="140"/>
      <c r="M164" s="140"/>
      <c r="N164" s="140"/>
      <c r="O164" s="140"/>
      <c r="P164" s="140"/>
      <c r="Q164" s="140"/>
      <c r="R164" s="140"/>
      <c r="S164" s="140"/>
      <c r="T164" s="140"/>
      <c r="U164" s="140"/>
      <c r="V164" s="140"/>
      <c r="W164" s="140"/>
    </row>
    <row r="165" spans="1:23">
      <c r="A165" s="140"/>
      <c r="B165" s="140"/>
      <c r="C165" s="140"/>
      <c r="D165" s="140"/>
      <c r="E165" s="140"/>
      <c r="F165" s="140"/>
      <c r="G165" s="140"/>
      <c r="H165" s="140"/>
      <c r="I165" s="140"/>
      <c r="J165" s="140"/>
      <c r="K165" s="140"/>
      <c r="L165" s="140"/>
      <c r="M165" s="140"/>
      <c r="N165" s="140"/>
      <c r="O165" s="140"/>
      <c r="P165" s="140"/>
      <c r="Q165" s="140"/>
      <c r="R165" s="140"/>
      <c r="S165" s="140"/>
    </row>
    <row r="166" spans="1:23">
      <c r="A166" s="140"/>
      <c r="B166" s="140"/>
      <c r="C166" s="140"/>
      <c r="D166" s="140"/>
      <c r="E166" s="140"/>
      <c r="F166" s="140"/>
      <c r="G166" s="140"/>
      <c r="H166" s="140"/>
      <c r="I166" s="140"/>
      <c r="J166" s="140"/>
      <c r="K166" s="140"/>
      <c r="L166" s="140"/>
      <c r="M166" s="140"/>
      <c r="N166" s="140"/>
      <c r="O166" s="140"/>
      <c r="P166" s="140"/>
      <c r="Q166" s="140"/>
      <c r="R166" s="140"/>
      <c r="S166" s="140"/>
    </row>
    <row r="167" spans="1:23">
      <c r="A167" s="140"/>
      <c r="B167" s="140"/>
      <c r="C167" s="140"/>
      <c r="D167" s="140"/>
      <c r="E167" s="140"/>
      <c r="F167" s="140"/>
      <c r="G167" s="140"/>
      <c r="H167" s="140"/>
      <c r="I167" s="140"/>
      <c r="J167" s="140"/>
      <c r="K167" s="140"/>
      <c r="L167" s="140"/>
      <c r="M167" s="140"/>
      <c r="N167" s="140"/>
      <c r="O167" s="140"/>
      <c r="P167" s="140"/>
      <c r="Q167" s="140"/>
      <c r="R167" s="140"/>
      <c r="S167" s="140"/>
    </row>
    <row r="168" spans="1:23">
      <c r="A168" s="140"/>
      <c r="B168" s="140"/>
      <c r="C168" s="140"/>
      <c r="D168" s="140"/>
      <c r="E168" s="140"/>
      <c r="F168" s="140"/>
      <c r="G168" s="140"/>
      <c r="H168" s="140"/>
      <c r="I168" s="140"/>
      <c r="J168" s="140"/>
      <c r="K168" s="140"/>
      <c r="L168" s="140"/>
      <c r="M168" s="140"/>
      <c r="N168" s="140"/>
      <c r="O168" s="140"/>
      <c r="P168" s="140"/>
      <c r="Q168" s="140"/>
      <c r="R168" s="140"/>
      <c r="S168" s="140"/>
    </row>
    <row r="169" spans="1:23">
      <c r="A169" s="140"/>
      <c r="B169" s="140"/>
      <c r="C169" s="140"/>
      <c r="D169" s="140"/>
      <c r="E169" s="140"/>
      <c r="F169" s="140"/>
      <c r="G169" s="140"/>
      <c r="H169" s="140"/>
      <c r="I169" s="140"/>
      <c r="J169" s="140"/>
      <c r="K169" s="140"/>
      <c r="L169" s="140"/>
      <c r="M169" s="140"/>
      <c r="N169" s="140"/>
      <c r="O169" s="140"/>
      <c r="P169" s="140"/>
      <c r="Q169" s="140"/>
      <c r="R169" s="140"/>
      <c r="S169" s="140"/>
    </row>
    <row r="170" spans="1:23">
      <c r="A170" s="140"/>
      <c r="B170" s="140"/>
      <c r="C170" s="140"/>
      <c r="D170" s="140"/>
      <c r="E170" s="140"/>
      <c r="F170" s="140"/>
      <c r="G170" s="140"/>
      <c r="H170" s="140"/>
      <c r="I170" s="140"/>
      <c r="J170" s="140"/>
      <c r="K170" s="140"/>
      <c r="L170" s="140"/>
      <c r="M170" s="140"/>
      <c r="N170" s="140"/>
      <c r="O170" s="140"/>
      <c r="P170" s="140"/>
      <c r="Q170" s="140"/>
      <c r="R170" s="140"/>
      <c r="S170" s="140"/>
    </row>
    <row r="171" spans="1:23">
      <c r="A171" s="140"/>
      <c r="B171" s="140"/>
      <c r="C171" s="140"/>
      <c r="D171" s="140"/>
      <c r="E171" s="140"/>
      <c r="F171" s="140"/>
      <c r="G171" s="140"/>
      <c r="H171" s="140"/>
      <c r="I171" s="140"/>
      <c r="J171" s="140"/>
      <c r="K171" s="140"/>
      <c r="L171" s="140"/>
      <c r="M171" s="140"/>
      <c r="N171" s="140"/>
      <c r="O171" s="140"/>
      <c r="P171" s="140"/>
      <c r="Q171" s="140"/>
      <c r="R171" s="140"/>
      <c r="S171" s="140"/>
    </row>
    <row r="172" spans="1:23">
      <c r="A172" s="140"/>
      <c r="B172" s="140"/>
      <c r="C172" s="140"/>
      <c r="D172" s="140"/>
      <c r="E172" s="140"/>
      <c r="F172" s="140"/>
      <c r="G172" s="140"/>
      <c r="H172" s="140"/>
      <c r="I172" s="140"/>
      <c r="J172" s="140"/>
      <c r="K172" s="140"/>
      <c r="L172" s="140"/>
      <c r="M172" s="140"/>
      <c r="N172" s="140"/>
      <c r="O172" s="140"/>
      <c r="P172" s="140"/>
      <c r="Q172" s="140"/>
      <c r="R172" s="140"/>
      <c r="S172" s="140"/>
    </row>
    <row r="173" spans="1:23">
      <c r="A173" s="140"/>
      <c r="B173" s="140"/>
      <c r="C173" s="140"/>
      <c r="D173" s="140"/>
      <c r="E173" s="140"/>
      <c r="F173" s="140"/>
      <c r="G173" s="140"/>
      <c r="H173" s="140"/>
      <c r="I173" s="140"/>
      <c r="J173" s="140"/>
      <c r="K173" s="140"/>
      <c r="L173" s="140"/>
      <c r="M173" s="140"/>
      <c r="N173" s="140"/>
      <c r="O173" s="140"/>
      <c r="P173" s="140"/>
      <c r="Q173" s="140"/>
      <c r="R173" s="140"/>
      <c r="S173" s="140"/>
    </row>
  </sheetData>
  <pageMargins left="0.7" right="0.7" top="0.75" bottom="0.75" header="0.3" footer="0.3"/>
  <pageSetup paperSize="9" orientation="portrait" horizontalDpi="0" verticalDpi="0"/>
  <tableParts count="1">
    <tablePart r:id="rId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5B75E-1EDD-014E-9CCB-11A8E758FEA7}">
  <sheetPr>
    <tabColor theme="6"/>
  </sheetPr>
  <dimension ref="A1:AB78"/>
  <sheetViews>
    <sheetView zoomScale="75" zoomScaleNormal="125" workbookViewId="0">
      <selection activeCell="I70" sqref="I70"/>
    </sheetView>
  </sheetViews>
  <sheetFormatPr baseColWidth="10" defaultRowHeight="15"/>
  <cols>
    <col min="1" max="1" width="19.33203125" bestFit="1" customWidth="1"/>
    <col min="2" max="5" width="17.6640625" bestFit="1" customWidth="1"/>
    <col min="6" max="6" width="20" bestFit="1" customWidth="1"/>
    <col min="7" max="7" width="22" bestFit="1" customWidth="1"/>
    <col min="8" max="8" width="19.83203125" bestFit="1" customWidth="1"/>
    <col min="9" max="9" width="21.83203125" bestFit="1" customWidth="1"/>
    <col min="10" max="10" width="19.83203125" bestFit="1" customWidth="1"/>
    <col min="11" max="11" width="21.83203125" bestFit="1" customWidth="1"/>
    <col min="12" max="12" width="20.33203125" bestFit="1" customWidth="1"/>
    <col min="13" max="13" width="22.33203125" bestFit="1" customWidth="1"/>
    <col min="22" max="22" width="13.1640625" bestFit="1" customWidth="1"/>
    <col min="23" max="23" width="12.83203125" bestFit="1" customWidth="1"/>
    <col min="24" max="24" width="15.5" bestFit="1" customWidth="1"/>
    <col min="26" max="27" width="13.1640625" bestFit="1" customWidth="1"/>
    <col min="28" max="28" width="15.83203125" bestFit="1" customWidth="1"/>
  </cols>
  <sheetData>
    <row r="1" spans="1:28" ht="26">
      <c r="A1" s="149" t="s">
        <v>1108</v>
      </c>
    </row>
    <row r="2" spans="1:28">
      <c r="A2" s="120" t="s">
        <v>1131</v>
      </c>
    </row>
    <row r="3" spans="1:28">
      <c r="A3" s="150"/>
      <c r="B3" s="150" t="s">
        <v>19</v>
      </c>
      <c r="C3" s="150" t="s">
        <v>1128</v>
      </c>
      <c r="D3" s="150"/>
      <c r="E3" s="150"/>
      <c r="F3" s="150"/>
      <c r="G3" s="150"/>
      <c r="H3" s="150"/>
      <c r="I3" s="150"/>
      <c r="J3" s="150"/>
      <c r="K3" s="150"/>
      <c r="L3" s="150"/>
      <c r="M3" s="150"/>
      <c r="N3" s="150"/>
      <c r="O3" s="150"/>
      <c r="P3" s="150"/>
      <c r="Q3" s="150"/>
      <c r="R3" s="150"/>
      <c r="S3" s="150"/>
      <c r="V3" s="173" t="s">
        <v>19</v>
      </c>
      <c r="W3" s="173" t="s">
        <v>1161</v>
      </c>
      <c r="X3" s="173" t="s">
        <v>1160</v>
      </c>
      <c r="Z3" s="144" t="s">
        <v>19</v>
      </c>
      <c r="AA3" s="140" t="s">
        <v>1120</v>
      </c>
      <c r="AB3" s="140" t="s">
        <v>1110</v>
      </c>
    </row>
    <row r="4" spans="1:28">
      <c r="A4" s="150"/>
      <c r="B4" s="150" t="s">
        <v>1064</v>
      </c>
      <c r="C4" s="150"/>
      <c r="D4" s="150" t="s">
        <v>539</v>
      </c>
      <c r="E4" s="150"/>
      <c r="F4" s="150" t="s">
        <v>467</v>
      </c>
      <c r="G4" s="150"/>
      <c r="H4" s="150" t="s">
        <v>468</v>
      </c>
      <c r="I4" s="150"/>
      <c r="J4" s="150" t="s">
        <v>439</v>
      </c>
      <c r="K4" s="150"/>
      <c r="L4" s="150" t="s">
        <v>466</v>
      </c>
      <c r="M4" s="150"/>
      <c r="N4" s="150" t="s">
        <v>493</v>
      </c>
      <c r="O4" s="150"/>
      <c r="P4" s="150" t="s">
        <v>537</v>
      </c>
      <c r="Q4" s="150"/>
      <c r="R4" s="150" t="s">
        <v>1130</v>
      </c>
      <c r="S4" s="150" t="s">
        <v>1129</v>
      </c>
      <c r="V4" s="140" t="s">
        <v>1064</v>
      </c>
      <c r="W4" s="140">
        <v>1</v>
      </c>
      <c r="X4" s="141">
        <v>8</v>
      </c>
      <c r="Z4" s="140">
        <v>0</v>
      </c>
      <c r="AA4" s="140">
        <v>0.97402597402597402</v>
      </c>
      <c r="AB4" s="140">
        <v>1</v>
      </c>
    </row>
    <row r="5" spans="1:28">
      <c r="A5" s="150" t="s">
        <v>13</v>
      </c>
      <c r="B5" s="151" t="s">
        <v>1110</v>
      </c>
      <c r="C5" s="151" t="s">
        <v>1120</v>
      </c>
      <c r="D5" s="151" t="s">
        <v>1110</v>
      </c>
      <c r="E5" s="151" t="s">
        <v>1120</v>
      </c>
      <c r="F5" s="151" t="s">
        <v>1110</v>
      </c>
      <c r="G5" s="151" t="s">
        <v>1120</v>
      </c>
      <c r="H5" s="151" t="s">
        <v>1110</v>
      </c>
      <c r="I5" s="151" t="s">
        <v>1120</v>
      </c>
      <c r="J5" s="151" t="s">
        <v>1110</v>
      </c>
      <c r="K5" s="151" t="s">
        <v>1120</v>
      </c>
      <c r="L5" s="151" t="s">
        <v>1110</v>
      </c>
      <c r="M5" s="151" t="s">
        <v>1120</v>
      </c>
      <c r="N5" s="151" t="s">
        <v>1110</v>
      </c>
      <c r="O5" s="151" t="s">
        <v>1120</v>
      </c>
      <c r="P5" s="151" t="s">
        <v>1110</v>
      </c>
      <c r="Q5" s="151" t="s">
        <v>1120</v>
      </c>
      <c r="R5" s="151"/>
      <c r="S5" s="151"/>
      <c r="V5" s="140" t="s">
        <v>539</v>
      </c>
      <c r="W5" s="140">
        <v>1.3333333333333333</v>
      </c>
      <c r="X5" s="141">
        <v>6</v>
      </c>
      <c r="Z5" s="140" t="s">
        <v>1064</v>
      </c>
      <c r="AA5" s="140">
        <v>1</v>
      </c>
      <c r="AB5" s="140">
        <v>8</v>
      </c>
    </row>
    <row r="6" spans="1:28">
      <c r="A6" s="150" t="s">
        <v>462</v>
      </c>
      <c r="B6" s="152">
        <v>4</v>
      </c>
      <c r="C6" s="152">
        <v>1.5</v>
      </c>
      <c r="D6" s="152">
        <v>2</v>
      </c>
      <c r="E6" s="152">
        <v>1.5</v>
      </c>
      <c r="F6" s="152">
        <v>22</v>
      </c>
      <c r="G6" s="152">
        <v>1.1428571428571428</v>
      </c>
      <c r="H6" s="152">
        <v>2</v>
      </c>
      <c r="I6" s="152">
        <v>1</v>
      </c>
      <c r="J6" s="152"/>
      <c r="K6" s="152"/>
      <c r="L6" s="152">
        <v>10</v>
      </c>
      <c r="M6" s="152">
        <v>1.2</v>
      </c>
      <c r="N6" s="152">
        <v>20</v>
      </c>
      <c r="O6" s="152">
        <v>1.1499999999999999</v>
      </c>
      <c r="P6" s="152">
        <v>9</v>
      </c>
      <c r="Q6" s="152">
        <v>1.8888888888888899</v>
      </c>
      <c r="R6" s="152">
        <f>SUM(B6,D6,F6,H6,J6,L6,N6,P6)</f>
        <v>69</v>
      </c>
      <c r="S6" s="152">
        <f>AVERAGE(Q6,O6,M6,K6,I6,G6,E6,C6)</f>
        <v>1.3402494331065762</v>
      </c>
      <c r="V6" s="140" t="s">
        <v>467</v>
      </c>
      <c r="W6" s="140">
        <v>0.8571428571428571</v>
      </c>
      <c r="X6" s="141">
        <v>42</v>
      </c>
      <c r="Z6" s="140" t="s">
        <v>539</v>
      </c>
      <c r="AA6" s="140">
        <v>1.3333333333333333</v>
      </c>
      <c r="AB6" s="140">
        <v>6</v>
      </c>
    </row>
    <row r="7" spans="1:28">
      <c r="A7" s="150" t="s">
        <v>461</v>
      </c>
      <c r="B7" s="152">
        <v>1</v>
      </c>
      <c r="C7" s="152">
        <v>1</v>
      </c>
      <c r="D7" s="152">
        <v>1</v>
      </c>
      <c r="E7" s="152">
        <v>2</v>
      </c>
      <c r="F7" s="152">
        <v>9</v>
      </c>
      <c r="G7" s="152">
        <v>0.6</v>
      </c>
      <c r="H7" s="152"/>
      <c r="I7" s="152"/>
      <c r="J7" s="152"/>
      <c r="K7" s="152"/>
      <c r="L7" s="152">
        <v>2</v>
      </c>
      <c r="M7" s="152">
        <v>0.5</v>
      </c>
      <c r="N7" s="152">
        <v>9</v>
      </c>
      <c r="O7" s="152">
        <v>0.44444444444444442</v>
      </c>
      <c r="P7" s="152">
        <v>6</v>
      </c>
      <c r="Q7" s="152">
        <v>1</v>
      </c>
      <c r="R7" s="152">
        <f>SUM(B7,D7,F7,H7,J7,L7,N7,P7)</f>
        <v>28</v>
      </c>
      <c r="S7" s="152">
        <f t="shared" ref="S7:S21" si="0">AVERAGE(Q7,O7,M7,K7,I7,G7,E7,C7)</f>
        <v>0.92407407407407405</v>
      </c>
      <c r="V7" s="140" t="s">
        <v>468</v>
      </c>
      <c r="W7" s="140">
        <v>1</v>
      </c>
      <c r="X7" s="141">
        <v>2</v>
      </c>
      <c r="Z7" s="140" t="s">
        <v>467</v>
      </c>
      <c r="AA7" s="140">
        <v>0.8571428571428571</v>
      </c>
      <c r="AB7" s="140">
        <v>42</v>
      </c>
    </row>
    <row r="8" spans="1:28">
      <c r="A8" s="150" t="s">
        <v>460</v>
      </c>
      <c r="B8" s="152">
        <v>1</v>
      </c>
      <c r="C8" s="152">
        <v>0</v>
      </c>
      <c r="D8" s="152"/>
      <c r="E8" s="152"/>
      <c r="F8" s="152">
        <v>3</v>
      </c>
      <c r="G8" s="152">
        <v>0.33333333333333331</v>
      </c>
      <c r="H8" s="152"/>
      <c r="I8" s="152"/>
      <c r="J8" s="152"/>
      <c r="K8" s="152"/>
      <c r="L8" s="152">
        <v>1</v>
      </c>
      <c r="M8" s="152">
        <v>0</v>
      </c>
      <c r="N8" s="152">
        <v>1</v>
      </c>
      <c r="O8" s="152">
        <v>0</v>
      </c>
      <c r="P8" s="152">
        <v>1</v>
      </c>
      <c r="Q8" s="152">
        <v>1</v>
      </c>
      <c r="R8" s="152">
        <f>SUM(B8,D8,F8,H8,J8,L8,N8,P8)</f>
        <v>7</v>
      </c>
      <c r="S8" s="152">
        <f t="shared" si="0"/>
        <v>0.26666666666666666</v>
      </c>
      <c r="V8" s="140" t="s">
        <v>439</v>
      </c>
      <c r="W8" s="140">
        <v>0</v>
      </c>
      <c r="X8" s="141">
        <v>1</v>
      </c>
      <c r="Z8" s="140" t="s">
        <v>468</v>
      </c>
      <c r="AA8" s="140">
        <v>1</v>
      </c>
      <c r="AB8" s="140">
        <v>2</v>
      </c>
    </row>
    <row r="9" spans="1:28">
      <c r="A9" s="150" t="s">
        <v>526</v>
      </c>
      <c r="B9" s="152">
        <v>2</v>
      </c>
      <c r="C9" s="152">
        <v>0.5</v>
      </c>
      <c r="D9" s="152">
        <v>3</v>
      </c>
      <c r="E9" s="152">
        <v>1</v>
      </c>
      <c r="F9" s="152">
        <v>7</v>
      </c>
      <c r="G9" s="152">
        <v>0.7142857142857143</v>
      </c>
      <c r="H9" s="152"/>
      <c r="I9" s="152"/>
      <c r="J9" s="152"/>
      <c r="K9" s="152"/>
      <c r="L9" s="152">
        <v>9</v>
      </c>
      <c r="M9" s="152">
        <v>0.66666666666666663</v>
      </c>
      <c r="N9" s="152">
        <v>10</v>
      </c>
      <c r="O9" s="152">
        <v>0.9</v>
      </c>
      <c r="P9" s="152">
        <v>15</v>
      </c>
      <c r="Q9" s="152">
        <v>1</v>
      </c>
      <c r="R9" s="152">
        <f>SUM(B9,D9,F9,H9,J9,L9,N9,P9)</f>
        <v>46</v>
      </c>
      <c r="S9" s="152">
        <f t="shared" si="0"/>
        <v>0.79682539682539677</v>
      </c>
      <c r="V9" s="140" t="s">
        <v>466</v>
      </c>
      <c r="W9" s="140">
        <v>0.86363636363636365</v>
      </c>
      <c r="X9" s="141">
        <v>22</v>
      </c>
      <c r="Z9" s="140" t="s">
        <v>439</v>
      </c>
      <c r="AA9" s="140">
        <v>0</v>
      </c>
      <c r="AB9" s="140">
        <v>1</v>
      </c>
    </row>
    <row r="10" spans="1:28">
      <c r="A10" s="150" t="s">
        <v>549</v>
      </c>
      <c r="B10" s="152"/>
      <c r="C10" s="152"/>
      <c r="D10" s="152"/>
      <c r="E10" s="152"/>
      <c r="F10" s="152">
        <v>1</v>
      </c>
      <c r="G10" s="152">
        <v>0</v>
      </c>
      <c r="H10" s="152"/>
      <c r="I10" s="152"/>
      <c r="J10" s="152"/>
      <c r="K10" s="152"/>
      <c r="L10" s="152"/>
      <c r="M10" s="152"/>
      <c r="N10" s="152">
        <v>1</v>
      </c>
      <c r="O10" s="152">
        <v>0</v>
      </c>
      <c r="P10" s="152">
        <v>1</v>
      </c>
      <c r="Q10" s="152">
        <v>1</v>
      </c>
      <c r="R10" s="152">
        <f>SUM(B10,D10,F10,H10,J10,L10,N10,P10)</f>
        <v>3</v>
      </c>
      <c r="S10" s="152">
        <f t="shared" si="0"/>
        <v>0.33333333333333331</v>
      </c>
      <c r="V10" s="140" t="s">
        <v>493</v>
      </c>
      <c r="W10" s="140">
        <v>0.87804878048780488</v>
      </c>
      <c r="X10" s="141">
        <v>41</v>
      </c>
      <c r="Z10" s="140" t="s">
        <v>466</v>
      </c>
      <c r="AA10" s="140">
        <v>0.86363636363636365</v>
      </c>
      <c r="AB10" s="140">
        <v>22</v>
      </c>
    </row>
    <row r="11" spans="1:28">
      <c r="A11" s="150" t="s">
        <v>1067</v>
      </c>
      <c r="B11" s="152">
        <f>SUM(B6:B10)</f>
        <v>8</v>
      </c>
      <c r="C11" s="152">
        <f>AVERAGE(C6:C10)</f>
        <v>0.75</v>
      </c>
      <c r="D11" s="152">
        <f t="shared" ref="C11:Q11" si="1">SUM(D6:D10)</f>
        <v>6</v>
      </c>
      <c r="E11" s="152">
        <f>AVERAGE(E6:E10)</f>
        <v>1.5</v>
      </c>
      <c r="F11" s="152">
        <f t="shared" si="1"/>
        <v>42</v>
      </c>
      <c r="G11" s="152">
        <f>AVERAGE(G6:G10)</f>
        <v>0.5580952380952382</v>
      </c>
      <c r="H11" s="152">
        <f t="shared" si="1"/>
        <v>2</v>
      </c>
      <c r="I11" s="152">
        <f>AVERAGE(I6:I10)</f>
        <v>1</v>
      </c>
      <c r="J11" s="152">
        <f t="shared" si="1"/>
        <v>0</v>
      </c>
      <c r="K11" s="152">
        <f t="shared" si="1"/>
        <v>0</v>
      </c>
      <c r="L11" s="152">
        <f t="shared" si="1"/>
        <v>22</v>
      </c>
      <c r="M11" s="152">
        <f>AVERAGE(M6:M10)</f>
        <v>0.59166666666666667</v>
      </c>
      <c r="N11" s="152">
        <f t="shared" si="1"/>
        <v>41</v>
      </c>
      <c r="O11" s="152">
        <f>AVERAGE(O6:O10)</f>
        <v>0.49888888888888888</v>
      </c>
      <c r="P11" s="152">
        <f t="shared" si="1"/>
        <v>32</v>
      </c>
      <c r="Q11" s="152">
        <f>AVERAGE(Q6:Q10)</f>
        <v>1.177777777777778</v>
      </c>
      <c r="R11" s="152">
        <f>SUM(B11,D11,F11,H11,J11,L11,N11,P11)</f>
        <v>153</v>
      </c>
      <c r="S11" s="152">
        <f t="shared" si="0"/>
        <v>0.75955357142857149</v>
      </c>
      <c r="V11" s="140" t="s">
        <v>537</v>
      </c>
      <c r="W11" s="174">
        <v>1.25</v>
      </c>
      <c r="X11" s="141">
        <v>32</v>
      </c>
      <c r="Z11" s="140" t="s">
        <v>493</v>
      </c>
      <c r="AA11" s="140">
        <v>0.87804878048780488</v>
      </c>
      <c r="AB11" s="140">
        <v>41</v>
      </c>
    </row>
    <row r="12" spans="1:28">
      <c r="Z12" s="140" t="s">
        <v>537</v>
      </c>
      <c r="AA12" s="140">
        <v>1.25</v>
      </c>
      <c r="AB12" s="140">
        <v>32</v>
      </c>
    </row>
    <row r="13" spans="1:28">
      <c r="A13" s="120" t="s">
        <v>1132</v>
      </c>
      <c r="Z13" s="140" t="s">
        <v>1066</v>
      </c>
      <c r="AA13" s="140"/>
      <c r="AB13" s="140">
        <v>3</v>
      </c>
    </row>
    <row r="14" spans="1:28">
      <c r="A14" s="152"/>
      <c r="B14" s="152" t="s">
        <v>19</v>
      </c>
      <c r="C14" s="152" t="s">
        <v>1128</v>
      </c>
      <c r="D14" s="152"/>
      <c r="E14" s="152"/>
      <c r="F14" s="152"/>
      <c r="G14" s="152"/>
      <c r="H14" s="152"/>
      <c r="I14" s="152"/>
      <c r="J14" s="152"/>
      <c r="K14" s="152"/>
      <c r="L14" s="152"/>
      <c r="M14" s="152"/>
      <c r="N14" s="152"/>
      <c r="O14" s="152"/>
      <c r="P14" s="152"/>
      <c r="Q14" s="152"/>
      <c r="R14" s="152"/>
      <c r="S14" s="152"/>
      <c r="V14" t="s">
        <v>19</v>
      </c>
      <c r="W14" t="s">
        <v>1120</v>
      </c>
      <c r="X14" t="s">
        <v>1110</v>
      </c>
      <c r="Z14" s="140" t="s">
        <v>1067</v>
      </c>
      <c r="AA14" s="140">
        <v>0.96757436112274819</v>
      </c>
      <c r="AB14" s="140">
        <v>158</v>
      </c>
    </row>
    <row r="15" spans="1:28">
      <c r="A15" s="152"/>
      <c r="B15" s="152" t="s">
        <v>1064</v>
      </c>
      <c r="C15" s="152"/>
      <c r="D15" s="152" t="s">
        <v>539</v>
      </c>
      <c r="E15" s="152"/>
      <c r="F15" s="152" t="s">
        <v>467</v>
      </c>
      <c r="G15" s="152"/>
      <c r="H15" s="152" t="s">
        <v>468</v>
      </c>
      <c r="I15" s="152"/>
      <c r="J15" s="152" t="s">
        <v>439</v>
      </c>
      <c r="K15" s="152"/>
      <c r="L15" s="152" t="s">
        <v>466</v>
      </c>
      <c r="M15" s="152"/>
      <c r="N15" s="152" t="s">
        <v>493</v>
      </c>
      <c r="O15" s="152"/>
      <c r="P15" s="152" t="s">
        <v>537</v>
      </c>
      <c r="Q15" s="152"/>
      <c r="R15" s="152" t="s">
        <v>1129</v>
      </c>
      <c r="S15" s="152" t="s">
        <v>1130</v>
      </c>
    </row>
    <row r="16" spans="1:28">
      <c r="A16" s="152" t="s">
        <v>14</v>
      </c>
      <c r="B16" s="152" t="s">
        <v>1120</v>
      </c>
      <c r="C16" s="152" t="s">
        <v>1110</v>
      </c>
      <c r="D16" s="152" t="s">
        <v>1120</v>
      </c>
      <c r="E16" s="152" t="s">
        <v>1110</v>
      </c>
      <c r="F16" s="152" t="s">
        <v>1120</v>
      </c>
      <c r="G16" s="152" t="s">
        <v>1110</v>
      </c>
      <c r="H16" s="152" t="s">
        <v>1120</v>
      </c>
      <c r="I16" s="152" t="s">
        <v>1110</v>
      </c>
      <c r="J16" s="152" t="s">
        <v>1120</v>
      </c>
      <c r="K16" s="152" t="s">
        <v>1110</v>
      </c>
      <c r="L16" s="152" t="s">
        <v>1120</v>
      </c>
      <c r="M16" s="152" t="s">
        <v>1110</v>
      </c>
      <c r="N16" s="152" t="s">
        <v>1120</v>
      </c>
      <c r="O16" s="152" t="s">
        <v>1110</v>
      </c>
      <c r="P16" s="152" t="s">
        <v>1120</v>
      </c>
      <c r="Q16" s="152" t="s">
        <v>1110</v>
      </c>
      <c r="R16" s="152"/>
      <c r="S16" s="152"/>
      <c r="V16" t="s">
        <v>1064</v>
      </c>
      <c r="W16">
        <v>1</v>
      </c>
      <c r="X16">
        <v>8</v>
      </c>
    </row>
    <row r="17" spans="1:28" ht="16">
      <c r="A17" s="152" t="s">
        <v>462</v>
      </c>
      <c r="B17" s="152">
        <v>1.6666666666666667</v>
      </c>
      <c r="C17" s="152">
        <v>3</v>
      </c>
      <c r="D17" s="152">
        <v>1.5</v>
      </c>
      <c r="E17" s="152">
        <v>4</v>
      </c>
      <c r="F17" s="152">
        <v>1.4166666666666667</v>
      </c>
      <c r="G17" s="152">
        <v>11</v>
      </c>
      <c r="H17" s="152"/>
      <c r="I17" s="152"/>
      <c r="J17" s="152"/>
      <c r="K17" s="152"/>
      <c r="L17" s="152">
        <v>1.3333333333333333</v>
      </c>
      <c r="M17" s="152">
        <v>6</v>
      </c>
      <c r="N17" s="152">
        <v>1.3333333333333333</v>
      </c>
      <c r="O17" s="152">
        <v>12</v>
      </c>
      <c r="P17" s="152">
        <v>1.45</v>
      </c>
      <c r="Q17" s="152">
        <v>20</v>
      </c>
      <c r="R17" s="152">
        <f>AVERAGE(B17,D17,F17,L17,N17,P17)</f>
        <v>1.45</v>
      </c>
      <c r="S17" s="152">
        <f>SUM(C17,E17,G17,M17,O17,Q17)</f>
        <v>56</v>
      </c>
      <c r="V17" t="s">
        <v>539</v>
      </c>
      <c r="W17">
        <v>1.3333333333333333</v>
      </c>
      <c r="X17">
        <v>6</v>
      </c>
      <c r="AB17" s="175">
        <v>1</v>
      </c>
    </row>
    <row r="18" spans="1:28" ht="16">
      <c r="A18" s="152" t="s">
        <v>460</v>
      </c>
      <c r="B18" s="152"/>
      <c r="C18" s="152"/>
      <c r="D18" s="152"/>
      <c r="E18" s="152"/>
      <c r="F18" s="152"/>
      <c r="G18" s="152"/>
      <c r="H18" s="152"/>
      <c r="I18" s="152"/>
      <c r="J18" s="152"/>
      <c r="K18" s="152"/>
      <c r="L18" s="152">
        <v>1</v>
      </c>
      <c r="M18" s="152">
        <v>1</v>
      </c>
      <c r="N18" s="152">
        <v>0.66666666666666663</v>
      </c>
      <c r="O18" s="152">
        <v>3</v>
      </c>
      <c r="P18" s="152"/>
      <c r="Q18" s="152"/>
      <c r="R18" s="152">
        <f t="shared" ref="R18:R21" si="2">AVERAGE(B18,D18,F18,L18,N18,P18)</f>
        <v>0.83333333333333326</v>
      </c>
      <c r="S18" s="152">
        <f t="shared" ref="S18:S21" si="3">SUM(C18,E18,G18,M18,O18,Q18)</f>
        <v>4</v>
      </c>
      <c r="V18" t="s">
        <v>467</v>
      </c>
      <c r="W18">
        <v>0.8571428571428571</v>
      </c>
      <c r="X18">
        <v>42</v>
      </c>
      <c r="AB18" s="175">
        <v>1.3</v>
      </c>
    </row>
    <row r="19" spans="1:28" ht="16">
      <c r="A19" s="152" t="s">
        <v>526</v>
      </c>
      <c r="B19" s="152"/>
      <c r="C19" s="152"/>
      <c r="D19" s="152">
        <v>1</v>
      </c>
      <c r="E19" s="152">
        <v>1</v>
      </c>
      <c r="F19" s="152">
        <v>0.5</v>
      </c>
      <c r="G19" s="152">
        <v>2</v>
      </c>
      <c r="H19" s="152"/>
      <c r="I19" s="152"/>
      <c r="J19" s="152"/>
      <c r="K19" s="152"/>
      <c r="L19" s="152">
        <v>1</v>
      </c>
      <c r="M19" s="152">
        <v>1</v>
      </c>
      <c r="N19" s="152">
        <v>0.33333333333333331</v>
      </c>
      <c r="O19" s="152">
        <v>3</v>
      </c>
      <c r="P19" s="152">
        <v>1</v>
      </c>
      <c r="Q19" s="152">
        <v>4</v>
      </c>
      <c r="R19" s="152">
        <f t="shared" si="2"/>
        <v>0.76666666666666672</v>
      </c>
      <c r="S19" s="152">
        <f t="shared" si="3"/>
        <v>11</v>
      </c>
      <c r="V19" t="s">
        <v>468</v>
      </c>
      <c r="W19">
        <v>1</v>
      </c>
      <c r="X19">
        <v>2</v>
      </c>
      <c r="AB19" s="175">
        <v>0.9</v>
      </c>
    </row>
    <row r="20" spans="1:28" ht="16">
      <c r="A20" s="152" t="s">
        <v>549</v>
      </c>
      <c r="B20" s="152"/>
      <c r="C20" s="152"/>
      <c r="D20" s="152"/>
      <c r="E20" s="152"/>
      <c r="F20" s="152"/>
      <c r="G20" s="152"/>
      <c r="H20" s="152"/>
      <c r="I20" s="152"/>
      <c r="J20" s="152"/>
      <c r="K20" s="152"/>
      <c r="L20" s="152"/>
      <c r="M20" s="152"/>
      <c r="N20" s="152"/>
      <c r="O20" s="152"/>
      <c r="P20" s="152">
        <v>1</v>
      </c>
      <c r="Q20" s="152">
        <v>1</v>
      </c>
      <c r="R20" s="152">
        <f t="shared" si="2"/>
        <v>1</v>
      </c>
      <c r="S20" s="152">
        <f t="shared" si="3"/>
        <v>1</v>
      </c>
      <c r="V20" t="s">
        <v>439</v>
      </c>
      <c r="W20">
        <v>0</v>
      </c>
      <c r="X20">
        <v>1</v>
      </c>
      <c r="AB20" s="175">
        <v>1</v>
      </c>
    </row>
    <row r="21" spans="1:28" ht="16">
      <c r="A21" s="152" t="s">
        <v>1067</v>
      </c>
      <c r="B21" s="152">
        <f>AVERAGE(B17:B20)</f>
        <v>1.6666666666666667</v>
      </c>
      <c r="C21" s="152">
        <f>SUM(C17:C20)</f>
        <v>3</v>
      </c>
      <c r="D21" s="152">
        <f>AVERAGE(D17:D20)</f>
        <v>1.25</v>
      </c>
      <c r="E21" s="152">
        <f>SUM(E17:E20)</f>
        <v>5</v>
      </c>
      <c r="F21" s="152">
        <f>AVERAGE(F17:F20)</f>
        <v>0.95833333333333337</v>
      </c>
      <c r="G21" s="152">
        <f>SUM(G17:G20)</f>
        <v>13</v>
      </c>
      <c r="H21" s="152">
        <v>0</v>
      </c>
      <c r="I21" s="152">
        <f>SUM(I17:I20)</f>
        <v>0</v>
      </c>
      <c r="J21" s="152">
        <v>0</v>
      </c>
      <c r="K21" s="152">
        <f>SUM(K17:K20)</f>
        <v>0</v>
      </c>
      <c r="L21" s="152">
        <f>AVERAGE(L17:L20)</f>
        <v>1.1111111111111109</v>
      </c>
      <c r="M21" s="152">
        <f>SUM(M17:M20)</f>
        <v>8</v>
      </c>
      <c r="N21" s="152">
        <f>AVERAGE(N17:N20)</f>
        <v>0.77777777777777779</v>
      </c>
      <c r="O21" s="152">
        <f>SUM(O17:O19)</f>
        <v>18</v>
      </c>
      <c r="P21" s="152">
        <f>AVERAGE(P17:P20)</f>
        <v>1.1500000000000001</v>
      </c>
      <c r="Q21" s="152">
        <f>SUM(Q17:Q20)</f>
        <v>25</v>
      </c>
      <c r="R21" s="152">
        <f t="shared" si="2"/>
        <v>1.152314814814815</v>
      </c>
      <c r="S21" s="152">
        <f t="shared" si="3"/>
        <v>72</v>
      </c>
      <c r="V21" t="s">
        <v>466</v>
      </c>
      <c r="W21">
        <v>0.86363636363636365</v>
      </c>
      <c r="X21">
        <v>22</v>
      </c>
      <c r="AB21" s="175">
        <v>0.9</v>
      </c>
    </row>
    <row r="22" spans="1:28" ht="16">
      <c r="V22" t="s">
        <v>493</v>
      </c>
      <c r="W22">
        <v>0.87804878048780488</v>
      </c>
      <c r="X22">
        <v>41</v>
      </c>
      <c r="AB22" s="175">
        <v>0.9</v>
      </c>
    </row>
    <row r="23" spans="1:28" ht="18">
      <c r="A23" s="123" t="s">
        <v>1141</v>
      </c>
      <c r="V23" t="s">
        <v>537</v>
      </c>
      <c r="W23">
        <v>1.25</v>
      </c>
      <c r="X23">
        <v>32</v>
      </c>
      <c r="AB23" s="176">
        <v>1.3</v>
      </c>
    </row>
    <row r="24" spans="1:28">
      <c r="A24">
        <v>1.3</v>
      </c>
      <c r="AB24">
        <f>AVERAGE(AB17:AB23)</f>
        <v>1.0428571428571429</v>
      </c>
    </row>
    <row r="25" spans="1:28">
      <c r="B25" s="119" t="s">
        <v>13</v>
      </c>
      <c r="C25" s="119" t="s">
        <v>1128</v>
      </c>
      <c r="V25" t="s">
        <v>1067</v>
      </c>
      <c r="W25">
        <f>AVERAGE(W16:W23)</f>
        <v>0.89777016682504474</v>
      </c>
      <c r="X25">
        <f>SUM(X16:X23)</f>
        <v>154</v>
      </c>
    </row>
    <row r="26" spans="1:28">
      <c r="B26" t="s">
        <v>462</v>
      </c>
      <c r="D26" t="s">
        <v>461</v>
      </c>
      <c r="F26" t="s">
        <v>460</v>
      </c>
      <c r="H26" t="s">
        <v>526</v>
      </c>
      <c r="J26" t="s">
        <v>549</v>
      </c>
      <c r="L26" t="s">
        <v>1157</v>
      </c>
      <c r="M26" t="s">
        <v>1158</v>
      </c>
    </row>
    <row r="27" spans="1:28">
      <c r="A27" s="119" t="s">
        <v>1140</v>
      </c>
      <c r="B27" t="s">
        <v>1142</v>
      </c>
      <c r="C27" t="s">
        <v>1159</v>
      </c>
      <c r="D27" t="s">
        <v>1142</v>
      </c>
      <c r="E27" t="s">
        <v>1159</v>
      </c>
      <c r="F27" t="s">
        <v>1142</v>
      </c>
      <c r="G27" t="s">
        <v>1159</v>
      </c>
      <c r="H27" t="s">
        <v>1142</v>
      </c>
      <c r="I27" t="s">
        <v>1159</v>
      </c>
      <c r="J27" t="s">
        <v>1142</v>
      </c>
      <c r="K27" t="s">
        <v>1159</v>
      </c>
    </row>
    <row r="28" spans="1:28">
      <c r="A28" s="179">
        <v>0</v>
      </c>
      <c r="B28" s="180">
        <v>0.41599999999999998</v>
      </c>
      <c r="C28" s="181">
        <v>52</v>
      </c>
      <c r="D28" s="180">
        <v>0.184</v>
      </c>
      <c r="E28" s="181">
        <v>23</v>
      </c>
      <c r="F28" s="180">
        <v>4.8000000000000001E-2</v>
      </c>
      <c r="G28" s="181">
        <v>6</v>
      </c>
      <c r="H28" s="180">
        <v>0.33600000000000002</v>
      </c>
      <c r="I28" s="181">
        <v>42</v>
      </c>
      <c r="J28" s="180">
        <v>1.6E-2</v>
      </c>
      <c r="K28" s="181">
        <v>2</v>
      </c>
      <c r="L28" s="180">
        <v>1</v>
      </c>
      <c r="M28" s="181">
        <v>125</v>
      </c>
    </row>
    <row r="29" spans="1:28">
      <c r="A29" s="179">
        <v>1</v>
      </c>
      <c r="B29" s="180">
        <v>0.6071428571428571</v>
      </c>
      <c r="C29" s="181">
        <v>17</v>
      </c>
      <c r="D29" s="180">
        <v>0.17857142857142858</v>
      </c>
      <c r="E29" s="181">
        <v>5</v>
      </c>
      <c r="F29" s="180">
        <v>3.5714285714285712E-2</v>
      </c>
      <c r="G29" s="181">
        <v>1</v>
      </c>
      <c r="H29" s="180">
        <v>0.14285714285714285</v>
      </c>
      <c r="I29" s="181">
        <v>4</v>
      </c>
      <c r="J29" s="180">
        <v>3.5714285714285712E-2</v>
      </c>
      <c r="K29" s="181">
        <v>1</v>
      </c>
      <c r="L29" s="180">
        <v>1</v>
      </c>
      <c r="M29" s="181">
        <v>28</v>
      </c>
    </row>
    <row r="30" spans="1:28">
      <c r="A30" s="179" t="s">
        <v>1067</v>
      </c>
      <c r="B30" s="180">
        <v>0.45098039215686275</v>
      </c>
      <c r="C30" s="181">
        <v>69</v>
      </c>
      <c r="D30" s="180">
        <v>0.18300653594771241</v>
      </c>
      <c r="E30" s="181">
        <v>28</v>
      </c>
      <c r="F30" s="180">
        <v>4.5751633986928102E-2</v>
      </c>
      <c r="G30" s="181">
        <v>7</v>
      </c>
      <c r="H30" s="180">
        <v>0.30065359477124182</v>
      </c>
      <c r="I30" s="181">
        <v>46</v>
      </c>
      <c r="J30" s="180">
        <v>1.9607843137254902E-2</v>
      </c>
      <c r="K30" s="181">
        <v>3</v>
      </c>
      <c r="L30" s="180">
        <v>1</v>
      </c>
      <c r="M30" s="181">
        <v>153</v>
      </c>
    </row>
    <row r="31" spans="1:28">
      <c r="A31" s="119" t="s">
        <v>1142</v>
      </c>
      <c r="B31" s="119" t="s">
        <v>14</v>
      </c>
    </row>
    <row r="32" spans="1:28">
      <c r="A32" s="119" t="s">
        <v>1140</v>
      </c>
      <c r="B32" t="s">
        <v>462</v>
      </c>
      <c r="C32" t="s">
        <v>460</v>
      </c>
      <c r="D32" t="s">
        <v>526</v>
      </c>
      <c r="E32" t="s">
        <v>549</v>
      </c>
      <c r="F32" t="s">
        <v>1067</v>
      </c>
    </row>
    <row r="33" spans="1:14">
      <c r="A33">
        <v>0</v>
      </c>
      <c r="B33" s="138">
        <v>45</v>
      </c>
      <c r="C33" s="138">
        <v>3</v>
      </c>
      <c r="D33" s="138">
        <v>10</v>
      </c>
      <c r="E33" s="138">
        <v>1</v>
      </c>
      <c r="F33" s="138">
        <v>59</v>
      </c>
    </row>
    <row r="34" spans="1:14">
      <c r="A34">
        <v>1</v>
      </c>
      <c r="B34" s="138">
        <v>11</v>
      </c>
      <c r="C34" s="138">
        <v>1</v>
      </c>
      <c r="D34" s="138">
        <v>1</v>
      </c>
      <c r="E34" s="138"/>
      <c r="F34" s="138">
        <v>13</v>
      </c>
    </row>
    <row r="35" spans="1:14">
      <c r="A35" t="s">
        <v>1067</v>
      </c>
      <c r="B35" s="138">
        <v>56</v>
      </c>
      <c r="C35" s="138">
        <v>4</v>
      </c>
      <c r="D35" s="138">
        <v>11</v>
      </c>
      <c r="E35" s="138">
        <v>1</v>
      </c>
      <c r="F35" s="138">
        <v>72</v>
      </c>
    </row>
    <row r="37" spans="1:14">
      <c r="C37" s="143"/>
      <c r="D37" s="143"/>
      <c r="E37" s="143"/>
      <c r="F37" s="143"/>
      <c r="G37" s="143"/>
    </row>
    <row r="38" spans="1:14">
      <c r="A38" s="164" t="s">
        <v>1140</v>
      </c>
      <c r="B38" s="150" t="s">
        <v>1122</v>
      </c>
      <c r="C38" s="165" t="s">
        <v>1123</v>
      </c>
      <c r="E38" s="150" t="s">
        <v>1140</v>
      </c>
      <c r="F38" s="150" t="s">
        <v>1122</v>
      </c>
      <c r="G38" s="165" t="s">
        <v>1123</v>
      </c>
    </row>
    <row r="39" spans="1:14">
      <c r="A39" s="166" t="s">
        <v>1143</v>
      </c>
      <c r="B39" s="167">
        <f>GETPIVOTDATA("HeikeCh2",$A$25,"Subject_Class","overt","Is_First_ChainClause",1)/GETPIVOTDATA("HeikeCh2",$A$25,"Is_First_ChainClause",1)</f>
        <v>0.6071428571428571</v>
      </c>
      <c r="C39" s="167">
        <f>GETPIVOTDATA("HeikeCh2",$A$25,"Subject_Class","overt","Is_First_ChainClause",0)/GETPIVOTDATA("HeikeCh2",$A$25,"Is_First_ChainClause",0)</f>
        <v>0.41599999999999998</v>
      </c>
      <c r="E39" s="150" t="s">
        <v>1143</v>
      </c>
      <c r="F39" s="168" t="s">
        <v>1145</v>
      </c>
      <c r="G39" s="168" t="s">
        <v>1149</v>
      </c>
    </row>
    <row r="40" spans="1:14">
      <c r="A40" s="150" t="s">
        <v>1144</v>
      </c>
      <c r="B40" s="168">
        <f>GETPIVOTDATA("HeikeCh2",$A$31,"Object_Class","overt","Is_First_ChainClause",1)/GETPIVOTDATA("HeikeCh2",$A$31,"Is_First_ChainClause",1)</f>
        <v>0.84615384615384615</v>
      </c>
      <c r="C40" s="168">
        <f>GETPIVOTDATA("HeikeCh2",$A$31,"Object_Class","overt","Is_First_ChainClause",0)/GETPIVOTDATA("HeikeCh2",$A$31,"Is_First_ChainClause",0)</f>
        <v>0.76271186440677963</v>
      </c>
      <c r="E40" s="150" t="s">
        <v>1144</v>
      </c>
      <c r="F40" s="168" t="s">
        <v>1147</v>
      </c>
      <c r="G40" s="168" t="s">
        <v>1148</v>
      </c>
    </row>
    <row r="41" spans="1:14">
      <c r="A41" s="35"/>
    </row>
    <row r="42" spans="1:14" ht="18">
      <c r="A42" s="123" t="s">
        <v>1146</v>
      </c>
    </row>
    <row r="44" spans="1:14">
      <c r="A44" s="150" t="s">
        <v>1116</v>
      </c>
      <c r="B44" s="150" t="s">
        <v>1155</v>
      </c>
      <c r="C44" s="150"/>
      <c r="D44" s="150"/>
      <c r="F44" s="150" t="s">
        <v>1116</v>
      </c>
      <c r="G44" s="150" t="s">
        <v>505</v>
      </c>
      <c r="H44" s="150"/>
      <c r="I44" s="150"/>
      <c r="K44" s="150" t="s">
        <v>1116</v>
      </c>
      <c r="L44" s="150" t="s">
        <v>507</v>
      </c>
      <c r="M44" s="150"/>
      <c r="N44" s="150"/>
    </row>
    <row r="45" spans="1:14">
      <c r="A45" s="150"/>
      <c r="B45" s="150"/>
      <c r="C45" s="150"/>
      <c r="D45" s="150"/>
      <c r="F45" s="150"/>
      <c r="G45" s="150"/>
      <c r="H45" s="150"/>
      <c r="I45" s="150"/>
      <c r="K45" s="150"/>
      <c r="L45" s="150"/>
      <c r="M45" s="150"/>
      <c r="N45" s="150"/>
    </row>
    <row r="46" spans="1:14">
      <c r="A46" s="150" t="s">
        <v>1142</v>
      </c>
      <c r="B46" s="150" t="s">
        <v>1140</v>
      </c>
      <c r="C46" s="150"/>
      <c r="D46" s="150"/>
      <c r="F46" s="150" t="s">
        <v>1142</v>
      </c>
      <c r="G46" s="150" t="s">
        <v>1140</v>
      </c>
      <c r="H46" s="150"/>
      <c r="I46" s="150"/>
      <c r="K46" s="150" t="s">
        <v>1142</v>
      </c>
      <c r="L46" s="150" t="s">
        <v>1140</v>
      </c>
      <c r="M46" s="150"/>
      <c r="N46" s="150"/>
    </row>
    <row r="47" spans="1:14">
      <c r="A47" s="150" t="s">
        <v>1152</v>
      </c>
      <c r="B47" s="150">
        <v>0</v>
      </c>
      <c r="C47" s="150">
        <v>1</v>
      </c>
      <c r="D47" s="150" t="s">
        <v>1067</v>
      </c>
      <c r="F47" s="150" t="s">
        <v>1152</v>
      </c>
      <c r="G47" s="150">
        <v>0</v>
      </c>
      <c r="H47" s="150">
        <v>1</v>
      </c>
      <c r="I47" s="150" t="s">
        <v>1067</v>
      </c>
      <c r="K47" s="150" t="s">
        <v>1152</v>
      </c>
      <c r="L47" s="150">
        <v>0</v>
      </c>
      <c r="M47" s="150">
        <v>1</v>
      </c>
      <c r="N47" s="150" t="s">
        <v>1067</v>
      </c>
    </row>
    <row r="48" spans="1:14">
      <c r="A48" s="150">
        <v>0</v>
      </c>
      <c r="B48" s="150">
        <v>95</v>
      </c>
      <c r="C48" s="150">
        <v>20</v>
      </c>
      <c r="D48" s="150">
        <v>115</v>
      </c>
      <c r="F48" s="150">
        <v>0</v>
      </c>
      <c r="G48" s="150">
        <v>49</v>
      </c>
      <c r="H48" s="150">
        <v>5</v>
      </c>
      <c r="I48" s="150">
        <v>54</v>
      </c>
      <c r="K48" s="150">
        <v>0</v>
      </c>
      <c r="L48" s="150">
        <v>46</v>
      </c>
      <c r="M48" s="150">
        <v>15</v>
      </c>
      <c r="N48" s="150">
        <v>61</v>
      </c>
    </row>
    <row r="49" spans="1:14" ht="18">
      <c r="A49" s="170">
        <v>1</v>
      </c>
      <c r="B49" s="150">
        <v>27</v>
      </c>
      <c r="C49" s="150">
        <v>8</v>
      </c>
      <c r="D49" s="150">
        <v>35</v>
      </c>
      <c r="F49" s="150">
        <v>1</v>
      </c>
      <c r="G49" s="150">
        <v>14</v>
      </c>
      <c r="H49" s="150">
        <v>6</v>
      </c>
      <c r="I49" s="150">
        <v>20</v>
      </c>
      <c r="K49" s="150">
        <v>1</v>
      </c>
      <c r="L49" s="150">
        <v>13</v>
      </c>
      <c r="M49" s="150">
        <v>2</v>
      </c>
      <c r="N49" s="150">
        <v>15</v>
      </c>
    </row>
    <row r="50" spans="1:14">
      <c r="A50" s="150" t="s">
        <v>1067</v>
      </c>
      <c r="B50" s="150">
        <v>122</v>
      </c>
      <c r="C50" s="150">
        <v>28</v>
      </c>
      <c r="D50" s="150">
        <v>150</v>
      </c>
      <c r="F50" s="150" t="s">
        <v>1067</v>
      </c>
      <c r="G50" s="150">
        <v>63</v>
      </c>
      <c r="H50" s="150">
        <v>11</v>
      </c>
      <c r="I50" s="150">
        <v>74</v>
      </c>
      <c r="K50" s="150" t="s">
        <v>1067</v>
      </c>
      <c r="L50" s="150">
        <v>59</v>
      </c>
      <c r="M50" s="150">
        <v>17</v>
      </c>
      <c r="N50" s="150">
        <v>76</v>
      </c>
    </row>
    <row r="52" spans="1:14" ht="18">
      <c r="A52" s="123" t="s">
        <v>1156</v>
      </c>
    </row>
    <row r="54" spans="1:14">
      <c r="A54" s="119" t="s">
        <v>1116</v>
      </c>
      <c r="B54" t="s">
        <v>507</v>
      </c>
    </row>
    <row r="56" spans="1:14">
      <c r="B56" s="119" t="s">
        <v>1151</v>
      </c>
      <c r="C56" s="119" t="s">
        <v>1128</v>
      </c>
    </row>
    <row r="57" spans="1:14">
      <c r="B57" t="s">
        <v>462</v>
      </c>
      <c r="D57" t="s">
        <v>461</v>
      </c>
      <c r="F57" t="s">
        <v>460</v>
      </c>
      <c r="H57" t="s">
        <v>526</v>
      </c>
      <c r="J57" t="s">
        <v>549</v>
      </c>
      <c r="L57" t="s">
        <v>1157</v>
      </c>
      <c r="M57" t="s">
        <v>1158</v>
      </c>
    </row>
    <row r="58" spans="1:14">
      <c r="A58" s="119" t="s">
        <v>1140</v>
      </c>
      <c r="B58" t="s">
        <v>1142</v>
      </c>
      <c r="C58" t="s">
        <v>1159</v>
      </c>
      <c r="D58" t="s">
        <v>1142</v>
      </c>
      <c r="E58" t="s">
        <v>1159</v>
      </c>
      <c r="F58" t="s">
        <v>1142</v>
      </c>
      <c r="G58" t="s">
        <v>1159</v>
      </c>
      <c r="H58" t="s">
        <v>1142</v>
      </c>
      <c r="I58" t="s">
        <v>1159</v>
      </c>
      <c r="J58" t="s">
        <v>1142</v>
      </c>
      <c r="K58" t="s">
        <v>1159</v>
      </c>
    </row>
    <row r="59" spans="1:14">
      <c r="A59">
        <v>0</v>
      </c>
      <c r="B59" s="171">
        <v>0.67796610169491522</v>
      </c>
      <c r="C59" s="138">
        <v>40</v>
      </c>
      <c r="D59" s="171">
        <v>0.11864406779661017</v>
      </c>
      <c r="E59" s="138">
        <v>7</v>
      </c>
      <c r="F59" s="171">
        <v>1.6949152542372881E-2</v>
      </c>
      <c r="G59" s="138">
        <v>1</v>
      </c>
      <c r="H59" s="171">
        <v>0.13559322033898305</v>
      </c>
      <c r="I59" s="138">
        <v>8</v>
      </c>
      <c r="J59" s="171">
        <v>5.0847457627118647E-2</v>
      </c>
      <c r="K59" s="138">
        <v>3</v>
      </c>
      <c r="L59" s="171">
        <v>1</v>
      </c>
      <c r="M59" s="138">
        <v>59</v>
      </c>
    </row>
    <row r="60" spans="1:14">
      <c r="A60">
        <v>1</v>
      </c>
      <c r="B60" s="171">
        <v>0.82352941176470584</v>
      </c>
      <c r="C60" s="138">
        <v>14</v>
      </c>
      <c r="D60" s="171">
        <v>0.17647058823529413</v>
      </c>
      <c r="E60" s="138">
        <v>3</v>
      </c>
      <c r="F60" s="171">
        <v>0</v>
      </c>
      <c r="G60" s="138"/>
      <c r="H60" s="171">
        <v>0</v>
      </c>
      <c r="I60" s="138"/>
      <c r="J60" s="171">
        <v>0</v>
      </c>
      <c r="K60" s="138"/>
      <c r="L60" s="171">
        <v>1</v>
      </c>
      <c r="M60" s="138">
        <v>17</v>
      </c>
    </row>
    <row r="61" spans="1:14">
      <c r="A61" t="s">
        <v>1067</v>
      </c>
      <c r="B61" s="171">
        <v>0.71052631578947367</v>
      </c>
      <c r="C61" s="138">
        <v>54</v>
      </c>
      <c r="D61" s="171">
        <v>0.13157894736842105</v>
      </c>
      <c r="E61" s="138">
        <v>10</v>
      </c>
      <c r="F61" s="171">
        <v>1.3157894736842105E-2</v>
      </c>
      <c r="G61" s="138">
        <v>1</v>
      </c>
      <c r="H61" s="171">
        <v>0.10526315789473684</v>
      </c>
      <c r="I61" s="138">
        <v>8</v>
      </c>
      <c r="J61" s="171">
        <v>3.9473684210526314E-2</v>
      </c>
      <c r="K61" s="138">
        <v>3</v>
      </c>
      <c r="L61" s="171">
        <v>1</v>
      </c>
      <c r="M61" s="138">
        <v>76</v>
      </c>
    </row>
    <row r="64" spans="1:14" ht="18">
      <c r="A64" s="123"/>
    </row>
    <row r="65" spans="1:15">
      <c r="A65" s="119" t="s">
        <v>1116</v>
      </c>
      <c r="B65" t="s">
        <v>507</v>
      </c>
    </row>
    <row r="66" spans="1:15">
      <c r="N66" s="150">
        <v>1</v>
      </c>
      <c r="O66" s="150" t="s">
        <v>1067</v>
      </c>
    </row>
    <row r="67" spans="1:15">
      <c r="B67" s="119" t="s">
        <v>1128</v>
      </c>
      <c r="C67" s="119" t="s">
        <v>21</v>
      </c>
      <c r="N67" s="172">
        <v>0.82352941176470584</v>
      </c>
      <c r="O67" s="172">
        <v>0.71052631578947367</v>
      </c>
    </row>
    <row r="68" spans="1:15">
      <c r="B68" t="s">
        <v>1142</v>
      </c>
      <c r="D68" t="s">
        <v>1159</v>
      </c>
      <c r="F68" t="s">
        <v>1157</v>
      </c>
      <c r="G68" t="s">
        <v>1158</v>
      </c>
      <c r="N68" s="153">
        <v>14</v>
      </c>
      <c r="O68" s="153">
        <v>54</v>
      </c>
    </row>
    <row r="69" spans="1:15">
      <c r="A69" s="119" t="s">
        <v>1140</v>
      </c>
      <c r="B69">
        <v>0</v>
      </c>
      <c r="C69">
        <v>1</v>
      </c>
      <c r="D69">
        <v>0</v>
      </c>
      <c r="E69">
        <v>1</v>
      </c>
      <c r="N69" s="172">
        <v>0.17647058823529413</v>
      </c>
      <c r="O69" s="172">
        <v>0.13157894736842105</v>
      </c>
    </row>
    <row r="70" spans="1:15">
      <c r="A70">
        <v>0</v>
      </c>
      <c r="B70" s="139">
        <v>0.78947368421052633</v>
      </c>
      <c r="C70" s="139">
        <v>0.21052631578947367</v>
      </c>
      <c r="D70" s="138">
        <v>45</v>
      </c>
      <c r="E70" s="138">
        <v>12</v>
      </c>
      <c r="F70" s="139">
        <v>1</v>
      </c>
      <c r="G70" s="138">
        <v>57</v>
      </c>
      <c r="N70" s="153">
        <v>3</v>
      </c>
      <c r="O70" s="153">
        <v>10</v>
      </c>
    </row>
    <row r="71" spans="1:15">
      <c r="A71">
        <v>1</v>
      </c>
      <c r="B71" s="139">
        <v>0.76470588235294112</v>
      </c>
      <c r="C71" s="139">
        <v>0.23529411764705882</v>
      </c>
      <c r="D71" s="138">
        <v>13</v>
      </c>
      <c r="E71" s="138">
        <v>4</v>
      </c>
      <c r="F71" s="139">
        <v>1</v>
      </c>
      <c r="G71" s="138">
        <v>17</v>
      </c>
      <c r="N71" s="172">
        <v>0</v>
      </c>
      <c r="O71" s="172">
        <v>1.3157894736842105E-2</v>
      </c>
    </row>
    <row r="72" spans="1:15">
      <c r="A72" t="s">
        <v>1067</v>
      </c>
      <c r="B72" s="139">
        <v>0.78378378378378377</v>
      </c>
      <c r="C72" s="139">
        <v>0.21621621621621623</v>
      </c>
      <c r="D72" s="138">
        <v>58</v>
      </c>
      <c r="E72" s="138">
        <v>16</v>
      </c>
      <c r="F72" s="139">
        <v>1</v>
      </c>
      <c r="G72" s="138">
        <v>74</v>
      </c>
      <c r="N72" s="153"/>
      <c r="O72" s="153">
        <v>1</v>
      </c>
    </row>
    <row r="73" spans="1:15">
      <c r="C73" s="150"/>
      <c r="D73" s="153"/>
      <c r="E73" s="153"/>
      <c r="F73" s="153"/>
      <c r="K73" s="150"/>
      <c r="L73" s="150" t="s">
        <v>526</v>
      </c>
      <c r="M73" s="172">
        <v>0.13559322033898305</v>
      </c>
      <c r="N73" s="172">
        <v>0</v>
      </c>
      <c r="O73" s="172">
        <v>0.10526315789473684</v>
      </c>
    </row>
    <row r="74" spans="1:15">
      <c r="C74" s="150"/>
      <c r="D74" s="172"/>
      <c r="E74" s="172"/>
      <c r="F74" s="172"/>
      <c r="K74" s="150"/>
      <c r="L74" s="150"/>
      <c r="M74" s="153">
        <v>8</v>
      </c>
      <c r="N74" s="153"/>
      <c r="O74" s="153">
        <v>8</v>
      </c>
    </row>
    <row r="75" spans="1:15">
      <c r="C75" s="150"/>
      <c r="D75" s="153"/>
      <c r="E75" s="153"/>
      <c r="F75" s="153"/>
      <c r="K75" s="150"/>
      <c r="L75" s="150" t="s">
        <v>549</v>
      </c>
      <c r="M75" s="172">
        <v>5.0847457627118647E-2</v>
      </c>
      <c r="N75" s="172">
        <v>0</v>
      </c>
      <c r="O75" s="172">
        <v>3.9473684210526314E-2</v>
      </c>
    </row>
    <row r="76" spans="1:15">
      <c r="C76" s="150"/>
      <c r="D76" s="172"/>
      <c r="E76" s="172"/>
      <c r="F76" s="172"/>
      <c r="K76" s="150"/>
      <c r="L76" s="150"/>
      <c r="M76" s="153">
        <v>3</v>
      </c>
      <c r="N76" s="153"/>
      <c r="O76" s="153">
        <v>3</v>
      </c>
    </row>
    <row r="77" spans="1:15">
      <c r="C77" s="150"/>
      <c r="D77" s="153"/>
      <c r="E77" s="153"/>
      <c r="F77" s="153"/>
      <c r="K77" s="150"/>
      <c r="L77" s="150" t="s">
        <v>1157</v>
      </c>
      <c r="M77" s="172">
        <v>1</v>
      </c>
      <c r="N77" s="172">
        <v>1</v>
      </c>
      <c r="O77" s="172">
        <v>1</v>
      </c>
    </row>
    <row r="78" spans="1:15">
      <c r="K78" s="150"/>
      <c r="L78" s="150" t="s">
        <v>1158</v>
      </c>
      <c r="M78" s="153">
        <v>59</v>
      </c>
      <c r="N78" s="153">
        <v>17</v>
      </c>
      <c r="O78" s="153">
        <v>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2B469-E82F-F544-8549-CB71A284555F}">
  <sheetPr>
    <tabColor theme="6"/>
  </sheetPr>
  <dimension ref="A3:K105"/>
  <sheetViews>
    <sheetView zoomScale="119" zoomScaleNormal="140" workbookViewId="0">
      <selection activeCell="B26" sqref="B26"/>
    </sheetView>
  </sheetViews>
  <sheetFormatPr baseColWidth="10" defaultRowHeight="15"/>
  <cols>
    <col min="1" max="1" width="17" bestFit="1" customWidth="1"/>
    <col min="2" max="5" width="17.5" bestFit="1" customWidth="1"/>
    <col min="6" max="6" width="19.83203125" bestFit="1" customWidth="1"/>
    <col min="7" max="7" width="21.83203125" bestFit="1" customWidth="1"/>
    <col min="8" max="8" width="19.83203125" bestFit="1" customWidth="1"/>
    <col min="9" max="9" width="22.1640625" bestFit="1" customWidth="1"/>
    <col min="10" max="11" width="17.5" bestFit="1" customWidth="1"/>
    <col min="12" max="12" width="19.83203125" bestFit="1" customWidth="1"/>
    <col min="13" max="13" width="21.83203125" bestFit="1" customWidth="1"/>
    <col min="14" max="14" width="20.1640625" bestFit="1" customWidth="1"/>
    <col min="15" max="15" width="22" bestFit="1" customWidth="1"/>
    <col min="16" max="16" width="20.1640625" bestFit="1" customWidth="1"/>
    <col min="17" max="17" width="22" bestFit="1" customWidth="1"/>
    <col min="18" max="29" width="14.33203125" bestFit="1" customWidth="1"/>
    <col min="30" max="30" width="6.33203125" bestFit="1" customWidth="1"/>
    <col min="31" max="62" width="10.5" bestFit="1" customWidth="1"/>
    <col min="63" max="63" width="6.33203125" bestFit="1" customWidth="1"/>
    <col min="64" max="64" width="10" bestFit="1" customWidth="1"/>
    <col min="65" max="124" width="14.33203125" bestFit="1" customWidth="1"/>
    <col min="125" max="125" width="6.33203125" bestFit="1" customWidth="1"/>
    <col min="126" max="157" width="10.6640625" bestFit="1" customWidth="1"/>
    <col min="158" max="158" width="6.33203125" bestFit="1" customWidth="1"/>
    <col min="159" max="159" width="10.1640625" bestFit="1" customWidth="1"/>
  </cols>
  <sheetData>
    <row r="3" spans="1:7">
      <c r="B3" s="119" t="s">
        <v>1116</v>
      </c>
      <c r="C3" s="119" t="s">
        <v>1128</v>
      </c>
    </row>
    <row r="4" spans="1:7">
      <c r="B4" t="s">
        <v>507</v>
      </c>
      <c r="D4" t="s">
        <v>505</v>
      </c>
      <c r="F4" t="s">
        <v>1157</v>
      </c>
      <c r="G4" t="s">
        <v>1158</v>
      </c>
    </row>
    <row r="5" spans="1:7">
      <c r="A5" s="119" t="s">
        <v>21</v>
      </c>
      <c r="B5" t="s">
        <v>1142</v>
      </c>
      <c r="C5" t="s">
        <v>1159</v>
      </c>
      <c r="D5" t="s">
        <v>1142</v>
      </c>
      <c r="E5" t="s">
        <v>1159</v>
      </c>
    </row>
    <row r="6" spans="1:7">
      <c r="A6">
        <v>0</v>
      </c>
      <c r="B6" s="171">
        <v>0.5</v>
      </c>
      <c r="C6" s="138">
        <v>58</v>
      </c>
      <c r="D6" s="171">
        <v>0.5</v>
      </c>
      <c r="E6" s="138">
        <v>58</v>
      </c>
      <c r="F6" s="171">
        <v>1</v>
      </c>
      <c r="G6" s="138">
        <v>116</v>
      </c>
    </row>
    <row r="7" spans="1:7">
      <c r="A7">
        <v>1</v>
      </c>
      <c r="B7" s="171">
        <v>0.5161290322580645</v>
      </c>
      <c r="C7" s="138">
        <v>16</v>
      </c>
      <c r="D7" s="171">
        <v>0.4838709677419355</v>
      </c>
      <c r="E7" s="138">
        <v>15</v>
      </c>
      <c r="F7" s="171">
        <v>1</v>
      </c>
      <c r="G7" s="138">
        <v>31</v>
      </c>
    </row>
    <row r="8" spans="1:7">
      <c r="A8" t="s">
        <v>1067</v>
      </c>
      <c r="B8" s="171">
        <v>0.50340136054421769</v>
      </c>
      <c r="C8" s="138">
        <v>74</v>
      </c>
      <c r="D8" s="171">
        <v>0.49659863945578231</v>
      </c>
      <c r="E8" s="138">
        <v>73</v>
      </c>
      <c r="F8" s="171">
        <v>1</v>
      </c>
      <c r="G8" s="138">
        <v>147</v>
      </c>
    </row>
    <row r="10" spans="1:7">
      <c r="A10" s="119" t="s">
        <v>1116</v>
      </c>
      <c r="B10" t="s">
        <v>505</v>
      </c>
    </row>
    <row r="12" spans="1:7">
      <c r="B12" s="119" t="s">
        <v>1152</v>
      </c>
      <c r="C12" s="119" t="s">
        <v>1128</v>
      </c>
    </row>
    <row r="13" spans="1:7">
      <c r="B13">
        <v>0</v>
      </c>
      <c r="D13">
        <v>1</v>
      </c>
      <c r="F13" t="s">
        <v>1157</v>
      </c>
      <c r="G13" t="s">
        <v>1158</v>
      </c>
    </row>
    <row r="14" spans="1:7">
      <c r="A14" s="119" t="s">
        <v>21</v>
      </c>
      <c r="B14" t="s">
        <v>1142</v>
      </c>
      <c r="C14" t="s">
        <v>1159</v>
      </c>
      <c r="D14" t="s">
        <v>1142</v>
      </c>
      <c r="E14" t="s">
        <v>1159</v>
      </c>
    </row>
    <row r="15" spans="1:7">
      <c r="A15">
        <v>0</v>
      </c>
      <c r="B15" s="139">
        <v>0.65517241379310343</v>
      </c>
      <c r="C15" s="138">
        <v>38</v>
      </c>
      <c r="D15" s="139">
        <v>0.34482758620689657</v>
      </c>
      <c r="E15" s="138">
        <v>20</v>
      </c>
      <c r="F15" s="139">
        <v>1</v>
      </c>
      <c r="G15" s="138">
        <v>58</v>
      </c>
    </row>
    <row r="16" spans="1:7">
      <c r="A16">
        <v>1</v>
      </c>
      <c r="B16" s="139">
        <v>1</v>
      </c>
      <c r="C16" s="138">
        <v>15</v>
      </c>
      <c r="D16" s="139">
        <v>0</v>
      </c>
      <c r="E16" s="138"/>
      <c r="F16" s="139">
        <v>1</v>
      </c>
      <c r="G16" s="138">
        <v>15</v>
      </c>
    </row>
    <row r="17" spans="1:11">
      <c r="A17" t="s">
        <v>1067</v>
      </c>
      <c r="B17" s="139">
        <v>0.72602739726027399</v>
      </c>
      <c r="C17" s="138">
        <v>53</v>
      </c>
      <c r="D17" s="139">
        <v>0.27397260273972601</v>
      </c>
      <c r="E17" s="138">
        <v>20</v>
      </c>
      <c r="F17" s="139">
        <v>1</v>
      </c>
      <c r="G17" s="138">
        <v>73</v>
      </c>
    </row>
    <row r="20" spans="1:11">
      <c r="A20" s="119" t="s">
        <v>1116</v>
      </c>
      <c r="B20" t="s">
        <v>505</v>
      </c>
    </row>
    <row r="22" spans="1:11">
      <c r="B22" s="119" t="s">
        <v>1128</v>
      </c>
      <c r="C22" s="119" t="s">
        <v>1151</v>
      </c>
    </row>
    <row r="23" spans="1:11">
      <c r="B23" t="s">
        <v>1142</v>
      </c>
      <c r="F23" t="s">
        <v>1159</v>
      </c>
      <c r="J23" t="s">
        <v>1157</v>
      </c>
      <c r="K23" t="s">
        <v>1158</v>
      </c>
    </row>
    <row r="24" spans="1:11">
      <c r="A24" s="119" t="s">
        <v>21</v>
      </c>
      <c r="B24" t="s">
        <v>462</v>
      </c>
      <c r="C24" t="s">
        <v>461</v>
      </c>
      <c r="D24" t="s">
        <v>460</v>
      </c>
      <c r="E24" t="s">
        <v>526</v>
      </c>
      <c r="F24" t="s">
        <v>462</v>
      </c>
      <c r="G24" t="s">
        <v>461</v>
      </c>
      <c r="H24" t="s">
        <v>460</v>
      </c>
      <c r="I24" t="s">
        <v>526</v>
      </c>
    </row>
    <row r="25" spans="1:11">
      <c r="A25">
        <v>0</v>
      </c>
      <c r="B25" s="139">
        <v>0.15517241379310345</v>
      </c>
      <c r="C25" s="139">
        <v>0.2413793103448276</v>
      </c>
      <c r="D25" s="139">
        <v>6.8965517241379309E-2</v>
      </c>
      <c r="E25" s="139">
        <v>0.53448275862068961</v>
      </c>
      <c r="F25" s="138">
        <v>9</v>
      </c>
      <c r="G25" s="138">
        <v>14</v>
      </c>
      <c r="H25" s="138">
        <v>4</v>
      </c>
      <c r="I25" s="138">
        <v>31</v>
      </c>
      <c r="J25" s="139">
        <v>1</v>
      </c>
      <c r="K25" s="138">
        <v>58</v>
      </c>
    </row>
    <row r="26" spans="1:11">
      <c r="A26">
        <v>1</v>
      </c>
      <c r="B26" s="139">
        <v>0.26666666666666666</v>
      </c>
      <c r="C26" s="139">
        <v>0.26666666666666666</v>
      </c>
      <c r="D26" s="139">
        <v>6.6666666666666666E-2</v>
      </c>
      <c r="E26" s="139">
        <v>0.4</v>
      </c>
      <c r="F26" s="138">
        <v>4</v>
      </c>
      <c r="G26" s="138">
        <v>4</v>
      </c>
      <c r="H26" s="138">
        <v>1</v>
      </c>
      <c r="I26" s="138">
        <v>6</v>
      </c>
      <c r="J26" s="139">
        <v>1</v>
      </c>
      <c r="K26" s="138">
        <v>15</v>
      </c>
    </row>
    <row r="27" spans="1:11">
      <c r="A27" t="s">
        <v>1067</v>
      </c>
      <c r="B27" s="139">
        <v>0.17808219178082191</v>
      </c>
      <c r="C27" s="139">
        <v>0.24657534246575341</v>
      </c>
      <c r="D27" s="139">
        <v>6.8493150684931503E-2</v>
      </c>
      <c r="E27" s="139">
        <v>0.50684931506849318</v>
      </c>
      <c r="F27" s="138">
        <v>13</v>
      </c>
      <c r="G27" s="138">
        <v>18</v>
      </c>
      <c r="H27" s="138">
        <v>5</v>
      </c>
      <c r="I27" s="138">
        <v>37</v>
      </c>
      <c r="J27" s="139">
        <v>1</v>
      </c>
      <c r="K27" s="138">
        <v>73</v>
      </c>
    </row>
    <row r="30" spans="1:11" ht="18">
      <c r="A30" s="124" t="s">
        <v>1164</v>
      </c>
    </row>
    <row r="32" spans="1:11">
      <c r="B32" s="119" t="s">
        <v>26</v>
      </c>
      <c r="C32" s="119" t="s">
        <v>1128</v>
      </c>
    </row>
    <row r="33" spans="1:9">
      <c r="B33" t="s">
        <v>533</v>
      </c>
      <c r="D33" t="s">
        <v>485</v>
      </c>
      <c r="F33" t="s">
        <v>474</v>
      </c>
      <c r="H33" t="s">
        <v>1157</v>
      </c>
      <c r="I33" t="s">
        <v>1158</v>
      </c>
    </row>
    <row r="34" spans="1:9">
      <c r="A34" s="119" t="s">
        <v>21</v>
      </c>
      <c r="B34" t="s">
        <v>1142</v>
      </c>
      <c r="C34" t="s">
        <v>1159</v>
      </c>
      <c r="D34" t="s">
        <v>1142</v>
      </c>
      <c r="E34" t="s">
        <v>1159</v>
      </c>
      <c r="F34" t="s">
        <v>1142</v>
      </c>
      <c r="G34" t="s">
        <v>1159</v>
      </c>
    </row>
    <row r="35" spans="1:9">
      <c r="A35">
        <v>0</v>
      </c>
      <c r="B35" s="139">
        <v>6.5040650406504072E-2</v>
      </c>
      <c r="C35" s="138">
        <v>8</v>
      </c>
      <c r="D35" s="139">
        <v>0.80487804878048785</v>
      </c>
      <c r="E35" s="138">
        <v>99</v>
      </c>
      <c r="F35" s="139">
        <v>0.13008130081300814</v>
      </c>
      <c r="G35" s="138">
        <v>16</v>
      </c>
      <c r="H35" s="139">
        <v>1</v>
      </c>
      <c r="I35" s="138">
        <v>123</v>
      </c>
    </row>
    <row r="36" spans="1:9">
      <c r="A36">
        <v>1</v>
      </c>
      <c r="B36" s="139">
        <v>3.2258064516129031E-2</v>
      </c>
      <c r="C36" s="138">
        <v>1</v>
      </c>
      <c r="D36" s="139">
        <v>0.54838709677419351</v>
      </c>
      <c r="E36" s="138">
        <v>17</v>
      </c>
      <c r="F36" s="139">
        <v>0.41935483870967744</v>
      </c>
      <c r="G36" s="138">
        <v>13</v>
      </c>
      <c r="H36" s="139">
        <v>1</v>
      </c>
      <c r="I36" s="138">
        <v>31</v>
      </c>
    </row>
    <row r="37" spans="1:9">
      <c r="A37" t="s">
        <v>1067</v>
      </c>
      <c r="B37" s="139">
        <v>5.844155844155844E-2</v>
      </c>
      <c r="C37" s="138">
        <v>9</v>
      </c>
      <c r="D37" s="139">
        <v>0.75324675324675328</v>
      </c>
      <c r="E37" s="138">
        <v>116</v>
      </c>
      <c r="F37" s="139">
        <v>0.18831168831168832</v>
      </c>
      <c r="G37" s="138">
        <v>29</v>
      </c>
      <c r="H37" s="139">
        <v>1</v>
      </c>
      <c r="I37" s="138">
        <v>154</v>
      </c>
    </row>
    <row r="40" spans="1:9">
      <c r="B40" s="119" t="s">
        <v>26</v>
      </c>
      <c r="C40" s="119" t="s">
        <v>1128</v>
      </c>
    </row>
    <row r="41" spans="1:9">
      <c r="B41" t="s">
        <v>533</v>
      </c>
      <c r="D41" t="s">
        <v>485</v>
      </c>
      <c r="F41" t="s">
        <v>474</v>
      </c>
      <c r="H41" t="s">
        <v>1157</v>
      </c>
      <c r="I41" t="s">
        <v>1165</v>
      </c>
    </row>
    <row r="42" spans="1:9">
      <c r="A42" s="119" t="s">
        <v>25</v>
      </c>
      <c r="B42" s="138" t="s">
        <v>1142</v>
      </c>
      <c r="C42" s="138" t="s">
        <v>1166</v>
      </c>
      <c r="D42" s="138" t="s">
        <v>1142</v>
      </c>
      <c r="E42" s="138" t="s">
        <v>1166</v>
      </c>
      <c r="F42" s="138" t="s">
        <v>1142</v>
      </c>
      <c r="G42" s="138" t="s">
        <v>1166</v>
      </c>
    </row>
    <row r="43" spans="1:9">
      <c r="A43" t="s">
        <v>487</v>
      </c>
      <c r="B43" s="138">
        <v>4</v>
      </c>
      <c r="C43" s="138">
        <v>1</v>
      </c>
      <c r="D43" s="138">
        <v>6</v>
      </c>
      <c r="E43" s="138">
        <v>0</v>
      </c>
      <c r="F43" s="138">
        <v>1</v>
      </c>
      <c r="G43" s="138">
        <v>0</v>
      </c>
      <c r="H43" s="138">
        <v>11</v>
      </c>
      <c r="I43" s="138">
        <v>1</v>
      </c>
    </row>
    <row r="44" spans="1:9">
      <c r="A44" t="s">
        <v>525</v>
      </c>
      <c r="B44" s="138">
        <v>4</v>
      </c>
      <c r="C44" s="138">
        <v>0</v>
      </c>
      <c r="D44" s="138">
        <v>78</v>
      </c>
      <c r="E44" s="138">
        <v>15</v>
      </c>
      <c r="F44" s="138">
        <v>28</v>
      </c>
      <c r="G44" s="138">
        <v>13</v>
      </c>
      <c r="H44" s="138">
        <v>110</v>
      </c>
      <c r="I44" s="138">
        <v>28</v>
      </c>
    </row>
    <row r="45" spans="1:9">
      <c r="A45" t="s">
        <v>486</v>
      </c>
      <c r="B45" s="138"/>
      <c r="C45" s="138"/>
      <c r="D45" s="138">
        <v>11</v>
      </c>
      <c r="E45" s="138">
        <v>1</v>
      </c>
      <c r="F45" s="138"/>
      <c r="G45" s="138"/>
      <c r="H45" s="138">
        <v>11</v>
      </c>
      <c r="I45" s="138">
        <v>1</v>
      </c>
    </row>
    <row r="46" spans="1:9">
      <c r="A46" t="s">
        <v>506</v>
      </c>
      <c r="B46" s="138">
        <v>1</v>
      </c>
      <c r="C46" s="138">
        <v>0</v>
      </c>
      <c r="D46" s="138">
        <v>21</v>
      </c>
      <c r="E46" s="138">
        <v>2</v>
      </c>
      <c r="F46" s="138"/>
      <c r="G46" s="138"/>
      <c r="H46" s="138">
        <v>22</v>
      </c>
      <c r="I46" s="138">
        <v>2</v>
      </c>
    </row>
    <row r="47" spans="1:9">
      <c r="A47" t="s">
        <v>1067</v>
      </c>
      <c r="B47" s="138">
        <v>9</v>
      </c>
      <c r="C47" s="138">
        <v>1</v>
      </c>
      <c r="D47" s="138">
        <v>116</v>
      </c>
      <c r="E47" s="138">
        <v>18</v>
      </c>
      <c r="F47" s="138">
        <v>29</v>
      </c>
      <c r="G47" s="138">
        <v>13</v>
      </c>
      <c r="H47" s="138">
        <v>154</v>
      </c>
      <c r="I47" s="138">
        <v>32</v>
      </c>
    </row>
    <row r="48" spans="1:9" ht="18">
      <c r="A48" s="124" t="s">
        <v>1167</v>
      </c>
    </row>
    <row r="49" spans="1:7">
      <c r="F49" s="138"/>
    </row>
    <row r="50" spans="1:7">
      <c r="A50" s="119" t="s">
        <v>25</v>
      </c>
      <c r="B50" t="s">
        <v>1154</v>
      </c>
    </row>
    <row r="52" spans="1:7">
      <c r="B52" s="119" t="s">
        <v>21</v>
      </c>
      <c r="C52" s="119" t="s">
        <v>1128</v>
      </c>
    </row>
    <row r="53" spans="1:7">
      <c r="B53">
        <v>0</v>
      </c>
      <c r="D53">
        <v>1</v>
      </c>
      <c r="F53" t="s">
        <v>1157</v>
      </c>
      <c r="G53" t="s">
        <v>1158</v>
      </c>
    </row>
    <row r="54" spans="1:7">
      <c r="A54" s="119" t="s">
        <v>19</v>
      </c>
      <c r="B54" t="s">
        <v>1142</v>
      </c>
      <c r="C54" s="138" t="s">
        <v>1159</v>
      </c>
      <c r="D54" t="s">
        <v>1142</v>
      </c>
      <c r="E54" s="138" t="s">
        <v>1159</v>
      </c>
    </row>
    <row r="55" spans="1:7">
      <c r="A55" t="s">
        <v>467</v>
      </c>
      <c r="B55" s="139">
        <v>0.76190476190476186</v>
      </c>
      <c r="C55" s="138">
        <v>32</v>
      </c>
      <c r="D55" s="139">
        <v>0.23809523809523808</v>
      </c>
      <c r="E55" s="138">
        <v>10</v>
      </c>
      <c r="F55" s="139">
        <v>1</v>
      </c>
      <c r="G55" s="138">
        <v>42</v>
      </c>
    </row>
    <row r="56" spans="1:7">
      <c r="A56" t="s">
        <v>493</v>
      </c>
      <c r="B56" s="139">
        <v>0.78048780487804881</v>
      </c>
      <c r="C56" s="138">
        <v>32</v>
      </c>
      <c r="D56" s="139">
        <v>0.21951219512195122</v>
      </c>
      <c r="E56" s="138">
        <v>9</v>
      </c>
      <c r="F56" s="139">
        <v>1</v>
      </c>
      <c r="G56" s="138">
        <v>41</v>
      </c>
    </row>
    <row r="57" spans="1:7">
      <c r="A57" t="s">
        <v>537</v>
      </c>
      <c r="B57" s="139">
        <v>0.78125</v>
      </c>
      <c r="C57" s="138">
        <v>25</v>
      </c>
      <c r="D57" s="139">
        <v>0.21875</v>
      </c>
      <c r="E57" s="138">
        <v>7</v>
      </c>
      <c r="F57" s="139">
        <v>1</v>
      </c>
      <c r="G57" s="138">
        <v>32</v>
      </c>
    </row>
    <row r="58" spans="1:7">
      <c r="A58" t="s">
        <v>466</v>
      </c>
      <c r="B58" s="139">
        <v>0.90909090909090906</v>
      </c>
      <c r="C58" s="138">
        <v>20</v>
      </c>
      <c r="D58" s="139">
        <v>9.0909090909090912E-2</v>
      </c>
      <c r="E58" s="138">
        <v>2</v>
      </c>
      <c r="F58" s="139">
        <v>1</v>
      </c>
      <c r="G58" s="138">
        <v>22</v>
      </c>
    </row>
    <row r="59" spans="1:7">
      <c r="A59" t="s">
        <v>1064</v>
      </c>
      <c r="B59" s="139">
        <v>0.75</v>
      </c>
      <c r="C59" s="138">
        <v>6</v>
      </c>
      <c r="D59" s="139">
        <v>0.25</v>
      </c>
      <c r="E59" s="138">
        <v>2</v>
      </c>
      <c r="F59" s="139">
        <v>1</v>
      </c>
      <c r="G59" s="138">
        <v>8</v>
      </c>
    </row>
    <row r="60" spans="1:7">
      <c r="A60" t="s">
        <v>539</v>
      </c>
      <c r="B60" s="139">
        <v>0.83333333333333337</v>
      </c>
      <c r="C60" s="138">
        <v>5</v>
      </c>
      <c r="D60" s="139">
        <v>0.16666666666666666</v>
      </c>
      <c r="E60" s="138">
        <v>1</v>
      </c>
      <c r="F60" s="139">
        <v>1</v>
      </c>
      <c r="G60" s="138">
        <v>6</v>
      </c>
    </row>
    <row r="61" spans="1:7">
      <c r="A61" t="s">
        <v>468</v>
      </c>
      <c r="B61" s="139">
        <v>1</v>
      </c>
      <c r="C61" s="138">
        <v>2</v>
      </c>
      <c r="D61" s="139">
        <v>0</v>
      </c>
      <c r="E61" s="138"/>
      <c r="F61" s="139">
        <v>1</v>
      </c>
      <c r="G61" s="138">
        <v>2</v>
      </c>
    </row>
    <row r="62" spans="1:7">
      <c r="A62" t="s">
        <v>1067</v>
      </c>
      <c r="B62" s="139">
        <v>0.79738562091503273</v>
      </c>
      <c r="C62" s="138">
        <v>122</v>
      </c>
      <c r="D62" s="139">
        <v>0.20261437908496732</v>
      </c>
      <c r="E62" s="138">
        <v>31</v>
      </c>
      <c r="F62" s="139">
        <v>1</v>
      </c>
      <c r="G62" s="138">
        <v>153</v>
      </c>
    </row>
    <row r="64" spans="1:7">
      <c r="B64" s="119" t="s">
        <v>21</v>
      </c>
      <c r="C64" s="119" t="s">
        <v>1128</v>
      </c>
    </row>
    <row r="65" spans="1:7">
      <c r="B65">
        <v>0</v>
      </c>
      <c r="D65">
        <v>1</v>
      </c>
      <c r="F65" t="s">
        <v>1157</v>
      </c>
      <c r="G65" t="s">
        <v>1158</v>
      </c>
    </row>
    <row r="66" spans="1:7">
      <c r="A66" s="119" t="s">
        <v>23</v>
      </c>
      <c r="B66" t="s">
        <v>1142</v>
      </c>
      <c r="C66" s="138" t="s">
        <v>1159</v>
      </c>
      <c r="D66" t="s">
        <v>1142</v>
      </c>
      <c r="E66" s="138" t="s">
        <v>1159</v>
      </c>
    </row>
    <row r="67" spans="1:7">
      <c r="A67" t="s">
        <v>547</v>
      </c>
      <c r="B67" s="139">
        <v>1</v>
      </c>
      <c r="C67" s="138">
        <v>3</v>
      </c>
      <c r="D67" s="139">
        <v>0</v>
      </c>
      <c r="E67" s="138"/>
      <c r="F67" s="139">
        <v>1</v>
      </c>
      <c r="G67" s="138">
        <v>3</v>
      </c>
    </row>
    <row r="68" spans="1:7">
      <c r="A68" t="s">
        <v>472</v>
      </c>
      <c r="B68" s="139">
        <v>1</v>
      </c>
      <c r="C68" s="138">
        <v>2</v>
      </c>
      <c r="D68" s="139">
        <v>0</v>
      </c>
      <c r="E68" s="138"/>
      <c r="F68" s="139">
        <v>1</v>
      </c>
      <c r="G68" s="138">
        <v>2</v>
      </c>
    </row>
    <row r="69" spans="1:7">
      <c r="A69" t="s">
        <v>467</v>
      </c>
      <c r="B69" s="139">
        <v>0.5</v>
      </c>
      <c r="C69" s="138">
        <v>1</v>
      </c>
      <c r="D69" s="139">
        <v>0.5</v>
      </c>
      <c r="E69" s="138">
        <v>1</v>
      </c>
      <c r="F69" s="139">
        <v>1</v>
      </c>
      <c r="G69" s="138">
        <v>2</v>
      </c>
    </row>
    <row r="70" spans="1:7">
      <c r="A70" t="s">
        <v>508</v>
      </c>
      <c r="B70" s="139">
        <v>0.8571428571428571</v>
      </c>
      <c r="C70" s="138">
        <v>6</v>
      </c>
      <c r="D70" s="139">
        <v>0.14285714285714285</v>
      </c>
      <c r="E70" s="138">
        <v>1</v>
      </c>
      <c r="F70" s="139">
        <v>1</v>
      </c>
      <c r="G70" s="138">
        <v>7</v>
      </c>
    </row>
    <row r="71" spans="1:7">
      <c r="A71" t="s">
        <v>471</v>
      </c>
      <c r="B71" s="139">
        <v>0.8571428571428571</v>
      </c>
      <c r="C71" s="138">
        <v>6</v>
      </c>
      <c r="D71" s="139">
        <v>0.14285714285714285</v>
      </c>
      <c r="E71" s="138">
        <v>1</v>
      </c>
      <c r="F71" s="139">
        <v>1</v>
      </c>
      <c r="G71" s="138">
        <v>7</v>
      </c>
    </row>
    <row r="72" spans="1:7">
      <c r="A72" t="s">
        <v>1075</v>
      </c>
      <c r="B72" s="139">
        <v>0.66666666666666663</v>
      </c>
      <c r="C72" s="138">
        <v>2</v>
      </c>
      <c r="D72" s="139">
        <v>0.33333333333333331</v>
      </c>
      <c r="E72" s="138">
        <v>1</v>
      </c>
      <c r="F72" s="139">
        <v>1</v>
      </c>
      <c r="G72" s="138">
        <v>3</v>
      </c>
    </row>
    <row r="73" spans="1:7">
      <c r="A73" t="s">
        <v>473</v>
      </c>
      <c r="B73" s="139">
        <v>0.75</v>
      </c>
      <c r="C73" s="138">
        <v>6</v>
      </c>
      <c r="D73" s="139">
        <v>0.25</v>
      </c>
      <c r="E73" s="138">
        <v>2</v>
      </c>
      <c r="F73" s="139">
        <v>1</v>
      </c>
      <c r="G73" s="138">
        <v>8</v>
      </c>
    </row>
    <row r="74" spans="1:7">
      <c r="A74" t="s">
        <v>470</v>
      </c>
      <c r="B74" s="139">
        <v>0.81818181818181823</v>
      </c>
      <c r="C74" s="138">
        <v>18</v>
      </c>
      <c r="D74" s="139">
        <v>0.18181818181818182</v>
      </c>
      <c r="E74" s="138">
        <v>4</v>
      </c>
      <c r="F74" s="139">
        <v>1</v>
      </c>
      <c r="G74" s="138">
        <v>22</v>
      </c>
    </row>
    <row r="75" spans="1:7">
      <c r="A75" t="s">
        <v>469</v>
      </c>
      <c r="B75" s="139">
        <v>0.7142857142857143</v>
      </c>
      <c r="C75" s="138">
        <v>10</v>
      </c>
      <c r="D75" s="139">
        <v>0.2857142857142857</v>
      </c>
      <c r="E75" s="138">
        <v>4</v>
      </c>
      <c r="F75" s="139">
        <v>1</v>
      </c>
      <c r="G75" s="138">
        <v>14</v>
      </c>
    </row>
    <row r="76" spans="1:7">
      <c r="A76" t="s">
        <v>439</v>
      </c>
      <c r="B76" s="139">
        <v>0.80232558139534882</v>
      </c>
      <c r="C76" s="138">
        <v>69</v>
      </c>
      <c r="D76" s="139">
        <v>0.19767441860465115</v>
      </c>
      <c r="E76" s="138">
        <v>17</v>
      </c>
      <c r="F76" s="139">
        <v>1</v>
      </c>
      <c r="G76" s="138">
        <v>86</v>
      </c>
    </row>
    <row r="77" spans="1:7">
      <c r="A77" t="s">
        <v>1067</v>
      </c>
      <c r="B77" s="139">
        <v>0.79870129870129869</v>
      </c>
      <c r="C77" s="138">
        <v>123</v>
      </c>
      <c r="D77" s="139">
        <v>0.20129870129870131</v>
      </c>
      <c r="E77" s="138">
        <v>31</v>
      </c>
      <c r="F77" s="139">
        <v>1</v>
      </c>
      <c r="G77" s="138">
        <v>154</v>
      </c>
    </row>
    <row r="78" spans="1:7" ht="18">
      <c r="A78" s="124" t="s">
        <v>1168</v>
      </c>
    </row>
    <row r="80" spans="1:7">
      <c r="B80" s="119" t="s">
        <v>21</v>
      </c>
      <c r="C80" s="119" t="s">
        <v>1128</v>
      </c>
    </row>
    <row r="81" spans="1:7">
      <c r="B81">
        <v>0</v>
      </c>
      <c r="D81">
        <v>1</v>
      </c>
      <c r="F81" t="s">
        <v>1157</v>
      </c>
      <c r="G81" t="s">
        <v>1158</v>
      </c>
    </row>
    <row r="82" spans="1:7">
      <c r="A82" s="119" t="s">
        <v>509</v>
      </c>
      <c r="B82" t="s">
        <v>1142</v>
      </c>
      <c r="C82" s="138" t="s">
        <v>1159</v>
      </c>
      <c r="D82" t="s">
        <v>1142</v>
      </c>
      <c r="E82" s="138" t="s">
        <v>1159</v>
      </c>
    </row>
    <row r="83" spans="1:7">
      <c r="A83" t="s">
        <v>711</v>
      </c>
      <c r="B83" s="139">
        <v>1</v>
      </c>
      <c r="C83" s="138">
        <v>1</v>
      </c>
      <c r="D83" s="139">
        <v>0</v>
      </c>
      <c r="E83" s="138"/>
      <c r="F83" s="139">
        <v>1</v>
      </c>
      <c r="G83" s="138">
        <v>1</v>
      </c>
    </row>
    <row r="84" spans="1:7">
      <c r="A84" t="s">
        <v>514</v>
      </c>
      <c r="B84" s="139">
        <v>0.5</v>
      </c>
      <c r="C84" s="138">
        <v>7</v>
      </c>
      <c r="D84" s="139">
        <v>0.5</v>
      </c>
      <c r="E84" s="138">
        <v>7</v>
      </c>
      <c r="F84" s="139">
        <v>1</v>
      </c>
      <c r="G84" s="138">
        <v>14</v>
      </c>
    </row>
    <row r="85" spans="1:7">
      <c r="A85" t="s">
        <v>534</v>
      </c>
      <c r="B85" s="139">
        <v>0.66666666666666663</v>
      </c>
      <c r="C85" s="138">
        <v>2</v>
      </c>
      <c r="D85" s="139">
        <v>0.33333333333333331</v>
      </c>
      <c r="E85" s="138">
        <v>1</v>
      </c>
      <c r="F85" s="139">
        <v>1</v>
      </c>
      <c r="G85" s="138">
        <v>3</v>
      </c>
    </row>
    <row r="86" spans="1:7">
      <c r="A86" t="s">
        <v>535</v>
      </c>
      <c r="B86" s="139">
        <v>0.33333333333333331</v>
      </c>
      <c r="C86" s="138">
        <v>1</v>
      </c>
      <c r="D86" s="139">
        <v>0.66666666666666663</v>
      </c>
      <c r="E86" s="138">
        <v>2</v>
      </c>
      <c r="F86" s="139">
        <v>1</v>
      </c>
      <c r="G86" s="138">
        <v>3</v>
      </c>
    </row>
    <row r="87" spans="1:7">
      <c r="A87" t="s">
        <v>523</v>
      </c>
      <c r="B87" s="139">
        <v>0</v>
      </c>
      <c r="C87" s="138"/>
      <c r="D87" s="139">
        <v>1</v>
      </c>
      <c r="E87" s="138">
        <v>1</v>
      </c>
      <c r="F87" s="139">
        <v>1</v>
      </c>
      <c r="G87" s="138">
        <v>1</v>
      </c>
    </row>
    <row r="88" spans="1:7">
      <c r="A88" t="s">
        <v>512</v>
      </c>
      <c r="B88" s="139">
        <v>0.15384615384615385</v>
      </c>
      <c r="C88" s="138">
        <v>2</v>
      </c>
      <c r="D88" s="139">
        <v>0.84615384615384615</v>
      </c>
      <c r="E88" s="138">
        <v>11</v>
      </c>
      <c r="F88" s="139">
        <v>1</v>
      </c>
      <c r="G88" s="138">
        <v>13</v>
      </c>
    </row>
    <row r="89" spans="1:7">
      <c r="A89" t="s">
        <v>513</v>
      </c>
      <c r="B89" s="139">
        <v>0.42857142857142855</v>
      </c>
      <c r="C89" s="138">
        <v>6</v>
      </c>
      <c r="D89" s="139">
        <v>0.5714285714285714</v>
      </c>
      <c r="E89" s="138">
        <v>8</v>
      </c>
      <c r="F89" s="139">
        <v>1</v>
      </c>
      <c r="G89" s="138">
        <v>14</v>
      </c>
    </row>
    <row r="90" spans="1:7">
      <c r="A90" t="s">
        <v>518</v>
      </c>
      <c r="B90" s="139">
        <v>1</v>
      </c>
      <c r="C90" s="138">
        <v>2</v>
      </c>
      <c r="D90" s="139">
        <v>0</v>
      </c>
      <c r="E90" s="138"/>
      <c r="F90" s="139">
        <v>1</v>
      </c>
      <c r="G90" s="138">
        <v>2</v>
      </c>
    </row>
    <row r="91" spans="1:7">
      <c r="A91" t="s">
        <v>516</v>
      </c>
      <c r="B91" s="139">
        <v>0.66666666666666663</v>
      </c>
      <c r="C91" s="138">
        <v>2</v>
      </c>
      <c r="D91" s="139">
        <v>0.33333333333333331</v>
      </c>
      <c r="E91" s="138">
        <v>1</v>
      </c>
      <c r="F91" s="139">
        <v>1</v>
      </c>
      <c r="G91" s="138">
        <v>3</v>
      </c>
    </row>
    <row r="92" spans="1:7">
      <c r="A92" t="s">
        <v>1067</v>
      </c>
      <c r="B92" s="139">
        <v>0.42592592592592593</v>
      </c>
      <c r="C92" s="138">
        <v>23</v>
      </c>
      <c r="D92" s="139">
        <v>0.57407407407407407</v>
      </c>
      <c r="E92" s="138">
        <v>31</v>
      </c>
      <c r="F92" s="139">
        <v>1</v>
      </c>
      <c r="G92" s="138">
        <v>54</v>
      </c>
    </row>
    <row r="96" spans="1:7">
      <c r="B96" s="119" t="s">
        <v>21</v>
      </c>
      <c r="C96" s="119" t="s">
        <v>1128</v>
      </c>
    </row>
    <row r="97" spans="1:7">
      <c r="B97">
        <v>0</v>
      </c>
      <c r="D97">
        <v>1</v>
      </c>
      <c r="F97" t="s">
        <v>1157</v>
      </c>
      <c r="G97" t="s">
        <v>1158</v>
      </c>
    </row>
    <row r="98" spans="1:7">
      <c r="A98" s="119" t="s">
        <v>510</v>
      </c>
      <c r="B98" t="s">
        <v>1142</v>
      </c>
      <c r="C98" s="138" t="s">
        <v>1159</v>
      </c>
      <c r="D98" t="s">
        <v>1142</v>
      </c>
      <c r="E98" t="s">
        <v>1159</v>
      </c>
    </row>
    <row r="99" spans="1:7">
      <c r="A99" t="s">
        <v>524</v>
      </c>
      <c r="B99" s="139">
        <v>0</v>
      </c>
      <c r="C99" s="138"/>
      <c r="D99" s="139">
        <v>1</v>
      </c>
      <c r="E99" s="138">
        <v>1</v>
      </c>
      <c r="F99" s="139">
        <v>1</v>
      </c>
      <c r="G99" s="138">
        <v>1</v>
      </c>
    </row>
    <row r="100" spans="1:7">
      <c r="A100" t="s">
        <v>520</v>
      </c>
      <c r="B100" s="139">
        <v>1</v>
      </c>
      <c r="C100" s="138">
        <v>2</v>
      </c>
      <c r="D100" s="139">
        <v>0</v>
      </c>
      <c r="E100" s="138"/>
      <c r="F100" s="139">
        <v>1</v>
      </c>
      <c r="G100" s="138">
        <v>2</v>
      </c>
    </row>
    <row r="101" spans="1:7">
      <c r="A101" t="s">
        <v>521</v>
      </c>
      <c r="B101" s="139">
        <v>0.33333333333333331</v>
      </c>
      <c r="C101" s="138">
        <v>15</v>
      </c>
      <c r="D101" s="139">
        <v>0.66666666666666663</v>
      </c>
      <c r="E101" s="138">
        <v>30</v>
      </c>
      <c r="F101" s="139">
        <v>1</v>
      </c>
      <c r="G101" s="138">
        <v>45</v>
      </c>
    </row>
    <row r="102" spans="1:7">
      <c r="A102" t="s">
        <v>1067</v>
      </c>
      <c r="B102" s="139">
        <v>0.35416666666666669</v>
      </c>
      <c r="C102" s="138">
        <v>17</v>
      </c>
      <c r="D102" s="139">
        <v>0.64583333333333337</v>
      </c>
      <c r="E102" s="138">
        <v>31</v>
      </c>
      <c r="F102" s="139">
        <v>1</v>
      </c>
      <c r="G102" s="138">
        <v>48</v>
      </c>
    </row>
    <row r="105" spans="1:7">
      <c r="F105" s="1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CBE760-EED0-6949-9863-CE3A8D407EE1}">
  <sheetPr>
    <tabColor theme="6"/>
  </sheetPr>
  <dimension ref="A1:AB45"/>
  <sheetViews>
    <sheetView zoomScale="79" workbookViewId="0">
      <selection activeCell="L48" sqref="L48"/>
    </sheetView>
  </sheetViews>
  <sheetFormatPr baseColWidth="10" defaultRowHeight="15"/>
  <cols>
    <col min="1" max="1" width="13.1640625" bestFit="1" customWidth="1"/>
    <col min="2" max="5" width="16.6640625" bestFit="1" customWidth="1"/>
    <col min="6" max="6" width="20.1640625" bestFit="1" customWidth="1"/>
    <col min="7" max="7" width="21.1640625" bestFit="1" customWidth="1"/>
    <col min="10" max="10" width="17.83203125" bestFit="1" customWidth="1"/>
    <col min="11" max="18" width="16.6640625" bestFit="1" customWidth="1"/>
    <col min="19" max="19" width="19.83203125" bestFit="1" customWidth="1"/>
    <col min="20" max="20" width="20.83203125" bestFit="1" customWidth="1"/>
    <col min="21" max="22" width="10.83203125" bestFit="1" customWidth="1"/>
    <col min="23" max="24" width="10" bestFit="1" customWidth="1"/>
  </cols>
  <sheetData>
    <row r="1" spans="1:28" ht="18">
      <c r="A1" s="124" t="s">
        <v>1169</v>
      </c>
    </row>
    <row r="2" spans="1:28">
      <c r="Q2" s="119" t="s">
        <v>435</v>
      </c>
      <c r="R2" t="s">
        <v>1120</v>
      </c>
      <c r="Y2" t="s">
        <v>1127</v>
      </c>
    </row>
    <row r="3" spans="1:28">
      <c r="A3" s="119" t="s">
        <v>1116</v>
      </c>
      <c r="B3" t="s">
        <v>507</v>
      </c>
      <c r="C3" s="120" t="s">
        <v>1170</v>
      </c>
      <c r="Q3" t="s">
        <v>435</v>
      </c>
      <c r="R3" s="137">
        <v>0.82352941176470584</v>
      </c>
      <c r="Y3" s="119" t="s">
        <v>1110</v>
      </c>
      <c r="Z3" s="119" t="s">
        <v>435</v>
      </c>
    </row>
    <row r="4" spans="1:28">
      <c r="Q4" t="s">
        <v>1124</v>
      </c>
      <c r="R4" s="137">
        <v>0.98540145985401462</v>
      </c>
      <c r="Y4" s="119" t="s">
        <v>5</v>
      </c>
      <c r="Z4" t="s">
        <v>435</v>
      </c>
      <c r="AA4" t="s">
        <v>1124</v>
      </c>
      <c r="AB4" t="s">
        <v>1067</v>
      </c>
    </row>
    <row r="5" spans="1:28">
      <c r="B5" s="119" t="s">
        <v>1151</v>
      </c>
      <c r="C5" s="119" t="s">
        <v>1128</v>
      </c>
      <c r="Q5" t="s">
        <v>1067</v>
      </c>
      <c r="R5" s="137">
        <v>0.96753246753246758</v>
      </c>
      <c r="Y5" t="s">
        <v>442</v>
      </c>
      <c r="Z5" s="141">
        <v>7</v>
      </c>
      <c r="AA5" s="142">
        <v>79</v>
      </c>
      <c r="AB5" s="141">
        <v>86</v>
      </c>
    </row>
    <row r="6" spans="1:28">
      <c r="B6" t="s">
        <v>462</v>
      </c>
      <c r="D6" t="s">
        <v>461</v>
      </c>
      <c r="F6" t="s">
        <v>460</v>
      </c>
      <c r="H6" t="s">
        <v>526</v>
      </c>
      <c r="J6" t="s">
        <v>549</v>
      </c>
      <c r="L6" t="s">
        <v>1157</v>
      </c>
      <c r="M6" t="s">
        <v>1158</v>
      </c>
      <c r="Y6" t="s">
        <v>441</v>
      </c>
      <c r="Z6" s="142">
        <v>9</v>
      </c>
      <c r="AA6" s="141">
        <v>56</v>
      </c>
      <c r="AB6" s="141">
        <v>65</v>
      </c>
    </row>
    <row r="7" spans="1:28">
      <c r="A7" s="119" t="s">
        <v>1140</v>
      </c>
      <c r="B7" t="s">
        <v>1142</v>
      </c>
      <c r="C7" t="s">
        <v>1159</v>
      </c>
      <c r="D7" t="s">
        <v>1142</v>
      </c>
      <c r="E7" t="s">
        <v>1159</v>
      </c>
      <c r="F7" t="s">
        <v>1142</v>
      </c>
      <c r="G7" t="s">
        <v>1159</v>
      </c>
      <c r="H7" t="s">
        <v>1142</v>
      </c>
      <c r="I7" t="s">
        <v>1159</v>
      </c>
      <c r="J7" t="s">
        <v>1142</v>
      </c>
      <c r="K7" t="s">
        <v>1159</v>
      </c>
      <c r="Y7" t="s">
        <v>1067</v>
      </c>
      <c r="Z7" s="141">
        <v>16</v>
      </c>
      <c r="AA7" s="141">
        <v>135</v>
      </c>
      <c r="AB7" s="141">
        <v>151</v>
      </c>
    </row>
    <row r="8" spans="1:28">
      <c r="A8">
        <v>0</v>
      </c>
      <c r="B8" s="171">
        <v>0.67796610169491522</v>
      </c>
      <c r="C8" s="138">
        <v>40</v>
      </c>
      <c r="D8" s="171">
        <v>0.11864406779661017</v>
      </c>
      <c r="E8" s="138">
        <v>7</v>
      </c>
      <c r="F8" s="171">
        <v>1.6949152542372881E-2</v>
      </c>
      <c r="G8" s="138">
        <v>1</v>
      </c>
      <c r="H8" s="171">
        <v>0.13559322033898305</v>
      </c>
      <c r="I8" s="138">
        <v>8</v>
      </c>
      <c r="J8" s="171">
        <v>5.0847457627118647E-2</v>
      </c>
      <c r="K8" s="138">
        <v>3</v>
      </c>
      <c r="L8" s="171">
        <v>1</v>
      </c>
      <c r="M8" s="138">
        <v>59</v>
      </c>
    </row>
    <row r="9" spans="1:28">
      <c r="A9">
        <v>1</v>
      </c>
      <c r="B9" s="171">
        <v>0.82352941176470584</v>
      </c>
      <c r="C9" s="138">
        <v>14</v>
      </c>
      <c r="D9" s="171">
        <v>0.17647058823529413</v>
      </c>
      <c r="E9" s="138">
        <v>3</v>
      </c>
      <c r="F9" s="171">
        <v>0</v>
      </c>
      <c r="G9" s="138"/>
      <c r="H9" s="171">
        <v>0</v>
      </c>
      <c r="I9" s="138"/>
      <c r="J9" s="171">
        <v>0</v>
      </c>
      <c r="K9" s="138"/>
      <c r="L9" s="171">
        <v>1</v>
      </c>
      <c r="M9" s="138">
        <v>17</v>
      </c>
      <c r="Y9" t="s">
        <v>1110</v>
      </c>
      <c r="Z9" t="s">
        <v>435</v>
      </c>
    </row>
    <row r="10" spans="1:28">
      <c r="A10" t="s">
        <v>1067</v>
      </c>
      <c r="B10" s="171">
        <v>0.71052631578947367</v>
      </c>
      <c r="C10" s="138">
        <v>54</v>
      </c>
      <c r="D10" s="171">
        <v>0.13157894736842105</v>
      </c>
      <c r="E10" s="138">
        <v>10</v>
      </c>
      <c r="F10" s="171">
        <v>1.3157894736842105E-2</v>
      </c>
      <c r="G10" s="138">
        <v>1</v>
      </c>
      <c r="H10" s="171">
        <v>0.10526315789473684</v>
      </c>
      <c r="I10" s="138">
        <v>8</v>
      </c>
      <c r="J10" s="171">
        <v>3.9473684210526314E-2</v>
      </c>
      <c r="K10" s="138">
        <v>3</v>
      </c>
      <c r="L10" s="171">
        <v>1</v>
      </c>
      <c r="M10" s="138">
        <v>76</v>
      </c>
      <c r="Y10" t="s">
        <v>5</v>
      </c>
      <c r="Z10" t="s">
        <v>435</v>
      </c>
      <c r="AA10" t="s">
        <v>1124</v>
      </c>
      <c r="AB10" t="s">
        <v>1067</v>
      </c>
    </row>
    <row r="11" spans="1:28">
      <c r="Y11" t="s">
        <v>442</v>
      </c>
      <c r="Z11">
        <v>4</v>
      </c>
      <c r="AA11">
        <v>79</v>
      </c>
      <c r="AB11">
        <v>86</v>
      </c>
    </row>
    <row r="12" spans="1:28">
      <c r="Y12" t="s">
        <v>441</v>
      </c>
      <c r="Z12">
        <v>10</v>
      </c>
      <c r="AA12">
        <v>56</v>
      </c>
      <c r="AB12">
        <v>65</v>
      </c>
    </row>
    <row r="13" spans="1:28" ht="18">
      <c r="A13" s="123"/>
      <c r="Y13" t="s">
        <v>1067</v>
      </c>
      <c r="Z13">
        <v>14</v>
      </c>
      <c r="AA13">
        <v>135</v>
      </c>
      <c r="AB13">
        <v>151</v>
      </c>
    </row>
    <row r="14" spans="1:28">
      <c r="A14" s="119" t="s">
        <v>1116</v>
      </c>
      <c r="B14" t="s">
        <v>507</v>
      </c>
      <c r="C14" s="120" t="s">
        <v>1171</v>
      </c>
      <c r="J14" s="119" t="s">
        <v>5</v>
      </c>
      <c r="K14" t="s">
        <v>441</v>
      </c>
      <c r="Z14" s="141"/>
      <c r="AA14" s="141"/>
      <c r="AB14" s="141"/>
    </row>
    <row r="15" spans="1:28">
      <c r="Z15" s="141"/>
      <c r="AA15" s="141"/>
      <c r="AB15" s="141"/>
    </row>
    <row r="16" spans="1:28">
      <c r="B16" s="119" t="s">
        <v>1128</v>
      </c>
      <c r="C16" s="119" t="s">
        <v>21</v>
      </c>
      <c r="K16" s="119" t="s">
        <v>13</v>
      </c>
      <c r="L16" s="119" t="s">
        <v>1128</v>
      </c>
    </row>
    <row r="17" spans="1:20">
      <c r="B17" t="s">
        <v>1142</v>
      </c>
      <c r="D17" t="s">
        <v>1159</v>
      </c>
      <c r="F17" t="s">
        <v>1157</v>
      </c>
      <c r="G17" t="s">
        <v>1158</v>
      </c>
      <c r="K17" t="s">
        <v>462</v>
      </c>
      <c r="M17" t="s">
        <v>461</v>
      </c>
      <c r="O17" t="s">
        <v>460</v>
      </c>
      <c r="Q17" t="s">
        <v>526</v>
      </c>
      <c r="S17" t="s">
        <v>1130</v>
      </c>
      <c r="T17" t="s">
        <v>1162</v>
      </c>
    </row>
    <row r="18" spans="1:20">
      <c r="A18" s="119" t="s">
        <v>1140</v>
      </c>
      <c r="B18">
        <v>0</v>
      </c>
      <c r="C18">
        <v>1</v>
      </c>
      <c r="D18">
        <v>0</v>
      </c>
      <c r="E18">
        <v>1</v>
      </c>
      <c r="J18" s="119" t="s">
        <v>435</v>
      </c>
      <c r="K18" t="s">
        <v>1110</v>
      </c>
      <c r="L18" t="s">
        <v>1163</v>
      </c>
      <c r="M18" t="s">
        <v>1110</v>
      </c>
      <c r="N18" t="s">
        <v>1163</v>
      </c>
      <c r="O18" t="s">
        <v>1110</v>
      </c>
      <c r="P18" t="s">
        <v>1163</v>
      </c>
      <c r="Q18" t="s">
        <v>1110</v>
      </c>
      <c r="R18" t="s">
        <v>1163</v>
      </c>
    </row>
    <row r="19" spans="1:20">
      <c r="A19">
        <v>0</v>
      </c>
      <c r="B19" s="139">
        <v>0.78947368421052633</v>
      </c>
      <c r="C19" s="139">
        <v>0.21052631578947367</v>
      </c>
      <c r="D19" s="138">
        <v>45</v>
      </c>
      <c r="E19" s="138">
        <v>12</v>
      </c>
      <c r="F19" s="139">
        <v>1</v>
      </c>
      <c r="G19" s="138">
        <v>57</v>
      </c>
      <c r="J19" t="s">
        <v>435</v>
      </c>
      <c r="K19" s="139">
        <v>0</v>
      </c>
      <c r="L19" s="137"/>
      <c r="M19" s="139">
        <v>0.33333333333333331</v>
      </c>
      <c r="N19" s="137">
        <v>3</v>
      </c>
      <c r="O19" s="139">
        <v>0</v>
      </c>
      <c r="P19" s="137"/>
      <c r="Q19" s="139">
        <v>0.66666666666666663</v>
      </c>
      <c r="R19" s="137">
        <v>6</v>
      </c>
      <c r="S19" s="139">
        <v>1</v>
      </c>
      <c r="T19" s="137">
        <v>9</v>
      </c>
    </row>
    <row r="20" spans="1:20">
      <c r="A20">
        <v>1</v>
      </c>
      <c r="B20" s="139">
        <v>0.76470588235294112</v>
      </c>
      <c r="C20" s="139">
        <v>0.23529411764705882</v>
      </c>
      <c r="D20" s="138">
        <v>13</v>
      </c>
      <c r="E20" s="138">
        <v>4</v>
      </c>
      <c r="F20" s="139">
        <v>1</v>
      </c>
      <c r="G20" s="138">
        <v>17</v>
      </c>
      <c r="J20" t="s">
        <v>1124</v>
      </c>
      <c r="K20" s="139">
        <v>0.4107142857142857</v>
      </c>
      <c r="L20" s="137">
        <v>23</v>
      </c>
      <c r="M20" s="139">
        <v>0.21428571428571427</v>
      </c>
      <c r="N20" s="137">
        <v>12</v>
      </c>
      <c r="O20" s="139">
        <v>7.1428571428571425E-2</v>
      </c>
      <c r="P20" s="137">
        <v>4</v>
      </c>
      <c r="Q20" s="139">
        <v>0.30357142857142855</v>
      </c>
      <c r="R20" s="137">
        <v>17</v>
      </c>
      <c r="S20" s="139">
        <v>1</v>
      </c>
      <c r="T20" s="137">
        <v>56</v>
      </c>
    </row>
    <row r="21" spans="1:20">
      <c r="A21" t="s">
        <v>1067</v>
      </c>
      <c r="B21" s="139">
        <v>0.78378378378378377</v>
      </c>
      <c r="C21" s="139">
        <v>0.21621621621621623</v>
      </c>
      <c r="D21" s="138">
        <v>58</v>
      </c>
      <c r="E21" s="138">
        <v>16</v>
      </c>
      <c r="F21" s="139">
        <v>1</v>
      </c>
      <c r="G21" s="138">
        <v>74</v>
      </c>
      <c r="J21" t="s">
        <v>1067</v>
      </c>
      <c r="K21" s="139">
        <v>0.35384615384615387</v>
      </c>
      <c r="L21" s="137">
        <v>23</v>
      </c>
      <c r="M21" s="139">
        <v>0.23076923076923078</v>
      </c>
      <c r="N21" s="137">
        <v>15</v>
      </c>
      <c r="O21" s="139">
        <v>6.1538461538461542E-2</v>
      </c>
      <c r="P21" s="137">
        <v>4</v>
      </c>
      <c r="Q21" s="139">
        <v>0.35384615384615387</v>
      </c>
      <c r="R21" s="137">
        <v>23</v>
      </c>
      <c r="S21" s="139">
        <v>1</v>
      </c>
      <c r="T21" s="137">
        <v>65</v>
      </c>
    </row>
    <row r="23" spans="1:20" ht="18">
      <c r="A23" s="124" t="s">
        <v>1172</v>
      </c>
      <c r="J23" s="119" t="s">
        <v>5</v>
      </c>
      <c r="K23" t="s">
        <v>441</v>
      </c>
    </row>
    <row r="25" spans="1:20">
      <c r="B25" s="119" t="s">
        <v>435</v>
      </c>
      <c r="C25" s="119" t="s">
        <v>1128</v>
      </c>
      <c r="K25" s="119" t="s">
        <v>1128</v>
      </c>
      <c r="L25" s="119" t="s">
        <v>14</v>
      </c>
    </row>
    <row r="26" spans="1:20">
      <c r="B26" t="s">
        <v>435</v>
      </c>
      <c r="D26" t="s">
        <v>1124</v>
      </c>
      <c r="F26" t="s">
        <v>1130</v>
      </c>
      <c r="G26" t="s">
        <v>1162</v>
      </c>
      <c r="K26" t="s">
        <v>1110</v>
      </c>
      <c r="O26" t="s">
        <v>1163</v>
      </c>
      <c r="S26" t="s">
        <v>1130</v>
      </c>
      <c r="T26" t="s">
        <v>1162</v>
      </c>
    </row>
    <row r="27" spans="1:20">
      <c r="A27" s="119" t="s">
        <v>19</v>
      </c>
      <c r="B27" t="s">
        <v>1110</v>
      </c>
      <c r="C27" t="s">
        <v>1163</v>
      </c>
      <c r="D27" t="s">
        <v>1110</v>
      </c>
      <c r="E27" t="s">
        <v>1163</v>
      </c>
      <c r="J27" s="119" t="s">
        <v>435</v>
      </c>
      <c r="K27" t="s">
        <v>484</v>
      </c>
      <c r="L27" t="s">
        <v>462</v>
      </c>
      <c r="M27" t="s">
        <v>460</v>
      </c>
      <c r="N27" t="s">
        <v>526</v>
      </c>
      <c r="O27" t="s">
        <v>484</v>
      </c>
      <c r="P27" t="s">
        <v>462</v>
      </c>
      <c r="Q27" t="s">
        <v>460</v>
      </c>
      <c r="R27" t="s">
        <v>526</v>
      </c>
    </row>
    <row r="28" spans="1:20">
      <c r="A28" t="s">
        <v>1064</v>
      </c>
      <c r="B28" s="171">
        <v>5.8823529411764705E-2</v>
      </c>
      <c r="C28" s="141">
        <v>1</v>
      </c>
      <c r="D28" s="171">
        <v>5.1470588235294115E-2</v>
      </c>
      <c r="E28" s="141">
        <v>7</v>
      </c>
      <c r="F28" s="171">
        <v>5.2287581699346407E-2</v>
      </c>
      <c r="G28" s="141">
        <v>8</v>
      </c>
      <c r="J28" t="s">
        <v>435</v>
      </c>
      <c r="K28" s="139">
        <v>0</v>
      </c>
      <c r="L28" s="139">
        <v>0.88888888888888884</v>
      </c>
      <c r="M28" s="139">
        <v>0</v>
      </c>
      <c r="N28" s="139">
        <v>0.1111111111111111</v>
      </c>
      <c r="O28" s="137"/>
      <c r="P28" s="137">
        <v>8</v>
      </c>
      <c r="Q28" s="137"/>
      <c r="R28" s="137">
        <v>1</v>
      </c>
      <c r="S28" s="139">
        <v>1</v>
      </c>
      <c r="T28" s="137">
        <v>9</v>
      </c>
    </row>
    <row r="29" spans="1:20">
      <c r="A29" t="s">
        <v>539</v>
      </c>
      <c r="B29" s="171">
        <v>0.11764705882352941</v>
      </c>
      <c r="C29" s="141">
        <v>2</v>
      </c>
      <c r="D29" s="171">
        <v>2.9411764705882353E-2</v>
      </c>
      <c r="E29" s="141">
        <v>4</v>
      </c>
      <c r="F29" s="171">
        <v>3.9215686274509803E-2</v>
      </c>
      <c r="G29" s="141">
        <v>6</v>
      </c>
      <c r="J29" t="s">
        <v>1124</v>
      </c>
      <c r="K29" s="139">
        <v>1.7857142857142856E-2</v>
      </c>
      <c r="L29" s="139">
        <v>0.7678571428571429</v>
      </c>
      <c r="M29" s="139">
        <v>7.1428571428571425E-2</v>
      </c>
      <c r="N29" s="139">
        <v>0.14285714285714285</v>
      </c>
      <c r="O29" s="137">
        <v>1</v>
      </c>
      <c r="P29" s="137">
        <v>43</v>
      </c>
      <c r="Q29" s="137">
        <v>4</v>
      </c>
      <c r="R29" s="137">
        <v>8</v>
      </c>
      <c r="S29" s="139">
        <v>1</v>
      </c>
      <c r="T29" s="137">
        <v>56</v>
      </c>
    </row>
    <row r="30" spans="1:20">
      <c r="A30" t="s">
        <v>467</v>
      </c>
      <c r="B30" s="171">
        <v>0.17647058823529413</v>
      </c>
      <c r="C30" s="141">
        <v>3</v>
      </c>
      <c r="D30" s="202">
        <v>0.28676470588235292</v>
      </c>
      <c r="E30" s="141">
        <v>39</v>
      </c>
      <c r="F30" s="171">
        <v>0.27450980392156865</v>
      </c>
      <c r="G30" s="141">
        <v>42</v>
      </c>
      <c r="J30" t="s">
        <v>1067</v>
      </c>
      <c r="K30" s="139">
        <v>1.5384615384615385E-2</v>
      </c>
      <c r="L30" s="139">
        <v>0.7846153846153846</v>
      </c>
      <c r="M30" s="139">
        <v>6.1538461538461542E-2</v>
      </c>
      <c r="N30" s="139">
        <v>0.13846153846153847</v>
      </c>
      <c r="O30" s="137">
        <v>1</v>
      </c>
      <c r="P30" s="137">
        <v>51</v>
      </c>
      <c r="Q30" s="137">
        <v>4</v>
      </c>
      <c r="R30" s="137">
        <v>9</v>
      </c>
      <c r="S30" s="139">
        <v>1</v>
      </c>
      <c r="T30" s="137">
        <v>65</v>
      </c>
    </row>
    <row r="31" spans="1:20">
      <c r="A31" t="s">
        <v>468</v>
      </c>
      <c r="B31" s="171">
        <v>0</v>
      </c>
      <c r="C31" s="141"/>
      <c r="D31" s="171">
        <v>1.4705882352941176E-2</v>
      </c>
      <c r="E31" s="141">
        <v>2</v>
      </c>
      <c r="F31" s="171">
        <v>1.3071895424836602E-2</v>
      </c>
      <c r="G31" s="141">
        <v>2</v>
      </c>
    </row>
    <row r="32" spans="1:20">
      <c r="A32" t="s">
        <v>466</v>
      </c>
      <c r="B32" s="171">
        <v>0.23529411764705882</v>
      </c>
      <c r="C32" s="141">
        <v>4</v>
      </c>
      <c r="D32" s="171">
        <v>0.13235294117647059</v>
      </c>
      <c r="E32" s="141">
        <v>18</v>
      </c>
      <c r="F32" s="171">
        <v>0.1437908496732026</v>
      </c>
      <c r="G32" s="141">
        <v>22</v>
      </c>
    </row>
    <row r="33" spans="1:7">
      <c r="A33" t="s">
        <v>493</v>
      </c>
      <c r="B33" s="171">
        <v>0.11764705882352941</v>
      </c>
      <c r="C33" s="141">
        <v>2</v>
      </c>
      <c r="D33" s="202">
        <v>0.28676470588235292</v>
      </c>
      <c r="E33" s="141">
        <v>39</v>
      </c>
      <c r="F33" s="171">
        <v>0.26797385620915032</v>
      </c>
      <c r="G33" s="141">
        <v>41</v>
      </c>
    </row>
    <row r="34" spans="1:7">
      <c r="A34" t="s">
        <v>537</v>
      </c>
      <c r="B34" s="202">
        <v>0.29411764705882354</v>
      </c>
      <c r="C34" s="141">
        <v>5</v>
      </c>
      <c r="D34" s="171">
        <v>0.19852941176470587</v>
      </c>
      <c r="E34" s="141">
        <v>27</v>
      </c>
      <c r="F34" s="171">
        <v>0.20915032679738563</v>
      </c>
      <c r="G34" s="141">
        <v>32</v>
      </c>
    </row>
    <row r="35" spans="1:7">
      <c r="A35" t="s">
        <v>1067</v>
      </c>
      <c r="B35" s="171">
        <v>1</v>
      </c>
      <c r="C35" s="141">
        <v>17</v>
      </c>
      <c r="D35" s="171">
        <v>1</v>
      </c>
      <c r="E35" s="141">
        <v>136</v>
      </c>
      <c r="F35" s="171">
        <v>1</v>
      </c>
      <c r="G35" s="141">
        <v>153</v>
      </c>
    </row>
    <row r="38" spans="1:7" ht="18">
      <c r="A38" s="124" t="s">
        <v>1173</v>
      </c>
    </row>
    <row r="40" spans="1:7">
      <c r="B40" s="119" t="s">
        <v>435</v>
      </c>
      <c r="C40" s="119" t="s">
        <v>1128</v>
      </c>
    </row>
    <row r="41" spans="1:7">
      <c r="B41" t="s">
        <v>435</v>
      </c>
      <c r="D41" t="s">
        <v>1124</v>
      </c>
      <c r="F41" t="s">
        <v>1157</v>
      </c>
      <c r="G41" t="s">
        <v>1158</v>
      </c>
    </row>
    <row r="42" spans="1:7">
      <c r="A42" s="119" t="s">
        <v>1140</v>
      </c>
      <c r="B42" t="s">
        <v>1142</v>
      </c>
      <c r="C42" t="s">
        <v>1159</v>
      </c>
      <c r="D42" t="s">
        <v>1142</v>
      </c>
      <c r="E42" t="s">
        <v>1159</v>
      </c>
    </row>
    <row r="43" spans="1:7">
      <c r="A43">
        <v>0</v>
      </c>
      <c r="B43" s="171">
        <v>0.77777777777777779</v>
      </c>
      <c r="C43" s="138">
        <v>14</v>
      </c>
      <c r="D43" s="171">
        <v>0.82733812949640284</v>
      </c>
      <c r="E43" s="138">
        <v>115</v>
      </c>
      <c r="F43" s="171">
        <v>0.82165605095541405</v>
      </c>
      <c r="G43" s="138">
        <v>129</v>
      </c>
    </row>
    <row r="44" spans="1:7">
      <c r="A44">
        <v>1</v>
      </c>
      <c r="B44" s="171">
        <v>0.22222222222222221</v>
      </c>
      <c r="C44" s="138">
        <v>4</v>
      </c>
      <c r="D44" s="171">
        <v>0.17266187050359713</v>
      </c>
      <c r="E44" s="138">
        <v>24</v>
      </c>
      <c r="F44" s="171">
        <v>0.17834394904458598</v>
      </c>
      <c r="G44" s="138">
        <v>28</v>
      </c>
    </row>
    <row r="45" spans="1:7">
      <c r="A45" t="s">
        <v>1067</v>
      </c>
      <c r="B45" s="171">
        <v>1</v>
      </c>
      <c r="C45" s="138">
        <v>18</v>
      </c>
      <c r="D45" s="171">
        <v>1</v>
      </c>
      <c r="E45" s="138">
        <v>139</v>
      </c>
      <c r="F45" s="171">
        <v>1</v>
      </c>
      <c r="G45" s="138">
        <v>157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1F78A-56EA-0F45-B9AF-9A0D2261F8EF}">
  <dimension ref="B3:XEH83"/>
  <sheetViews>
    <sheetView zoomScale="114" zoomScaleNormal="125" workbookViewId="0">
      <selection activeCell="N34" sqref="N34"/>
    </sheetView>
  </sheetViews>
  <sheetFormatPr baseColWidth="10" defaultRowHeight="16"/>
  <cols>
    <col min="1" max="3" width="10.83203125" style="79"/>
    <col min="4" max="4" width="12.6640625" style="79" bestFit="1" customWidth="1"/>
    <col min="5" max="5" width="14.33203125" style="79" bestFit="1" customWidth="1"/>
    <col min="6" max="6" width="12.6640625" style="79" bestFit="1" customWidth="1"/>
    <col min="7" max="16384" width="10.83203125" style="79"/>
  </cols>
  <sheetData>
    <row r="3" spans="2:8">
      <c r="B3" s="101" t="s">
        <v>1051</v>
      </c>
      <c r="F3" s="79" t="s">
        <v>1052</v>
      </c>
    </row>
    <row r="4" spans="2:8">
      <c r="B4" s="100" t="str">
        <f>Isopo!A103</f>
        <v>RD2</v>
      </c>
      <c r="C4" s="100">
        <f>Isopo!B103</f>
        <v>0.89898989898989901</v>
      </c>
      <c r="D4" s="79" t="str">
        <f>Isopo!C103</f>
        <v>ACT-ARG/~Ø-Verbal</v>
      </c>
      <c r="F4" s="79" t="str">
        <f>'Heike Chapter 2'!A163</f>
        <v>RD2</v>
      </c>
      <c r="G4" s="79">
        <f>'Heike Chapter 2'!B163</f>
        <v>0.97402597402597402</v>
      </c>
      <c r="H4" s="79" t="str">
        <f>'Heike Chapter 2'!C163</f>
        <v>ACT-ARG/~Ø-Verbal</v>
      </c>
    </row>
    <row r="5" spans="2:8">
      <c r="B5" s="79" t="str">
        <f>Isopo!A104</f>
        <v>RD2+</v>
      </c>
      <c r="C5" s="79">
        <f>Isopo!B104</f>
        <v>1</v>
      </c>
      <c r="D5" s="79" t="str">
        <f>Isopo!C104</f>
        <v>(ACT-ARG+V-ARG-Ø-ARG)/~Ø-Verbal</v>
      </c>
      <c r="F5" s="79" t="str">
        <f>'Heike Chapter 2'!A164</f>
        <v>RD2+</v>
      </c>
      <c r="G5" s="79">
        <f>'Heike Chapter 2'!B164</f>
        <v>1.1818181818181819</v>
      </c>
      <c r="H5" s="79" t="str">
        <f>'Heike Chapter 2'!C164</f>
        <v>(ACT-ARG+V-ARG-Ø-ARG)/~Ø-Verbal</v>
      </c>
    </row>
    <row r="6" spans="2:8">
      <c r="B6" s="79" t="str">
        <f>Isopo!A105</f>
        <v>RD2++</v>
      </c>
      <c r="C6" s="79">
        <f>Isopo!B105</f>
        <v>0.93939393939393945</v>
      </c>
      <c r="D6" s="79" t="str">
        <f>Isopo!C105</f>
        <v>(ACT-ARG+GAP-ACT-ARG)/~Ø-Verbal</v>
      </c>
      <c r="F6" s="79" t="str">
        <f>'Heike Chapter 2'!A165</f>
        <v>RD2++</v>
      </c>
      <c r="G6" s="79">
        <f>'Heike Chapter 2'!B165</f>
        <v>1.0194805194805194</v>
      </c>
      <c r="H6" s="79" t="str">
        <f>'Heike Chapter 2'!C165</f>
        <v>(ACT-ARG+GAP-ACT-ARG)/~Ø-Verbal</v>
      </c>
    </row>
    <row r="7" spans="2:8">
      <c r="B7" s="79" t="str">
        <f>Isopo!A106</f>
        <v>RD2+++</v>
      </c>
      <c r="C7" s="79">
        <f>Isopo!B106</f>
        <v>1.0404040404040404</v>
      </c>
      <c r="D7" s="79" t="str">
        <f>Isopo!C106</f>
        <v>(ACT-ARG+V-ARG-Ø-ARG+GAP-ACT-ARG)/~Ø-Verbal</v>
      </c>
      <c r="F7" s="79" t="str">
        <f>'Heike Chapter 2'!A166</f>
        <v>RD2+++</v>
      </c>
      <c r="G7" s="79">
        <f>'Heike Chapter 2'!B166</f>
        <v>1.2272727272727273</v>
      </c>
      <c r="H7" s="79" t="str">
        <f>'Heike Chapter 2'!C166</f>
        <v>(ACT-ARG+V-ARG-Ø-ARG+GAP-ACT-ARG)/~Ø-Verbal</v>
      </c>
    </row>
    <row r="8" spans="2:8">
      <c r="B8" s="100" t="str">
        <f>Isopo!A107</f>
        <v>RD2-</v>
      </c>
      <c r="C8" s="100">
        <f>Isopo!B107</f>
        <v>0.10101010101010101</v>
      </c>
      <c r="D8" s="79" t="str">
        <f>Isopo!C107</f>
        <v>V-ARG-Ø-ARG/~Ø-Verbal</v>
      </c>
      <c r="F8" s="79" t="str">
        <f>'Heike Chapter 2'!A167</f>
        <v>RD2-</v>
      </c>
      <c r="G8" s="79">
        <f>'Heike Chapter 2'!B167</f>
        <v>0.20779220779220781</v>
      </c>
      <c r="H8" s="79" t="str">
        <f>'Heike Chapter 2'!C167</f>
        <v>V-ARG-Ø-ARG/~Ø-Verbal</v>
      </c>
    </row>
    <row r="14" spans="2:8">
      <c r="B14" s="79" t="s">
        <v>1050</v>
      </c>
    </row>
    <row r="16" spans="2:8">
      <c r="B16" s="79" t="s">
        <v>1026</v>
      </c>
    </row>
    <row r="17" spans="2:10">
      <c r="B17" s="98" t="s">
        <v>3</v>
      </c>
      <c r="C17" s="98" t="s">
        <v>1045</v>
      </c>
      <c r="D17" s="98" t="s">
        <v>9</v>
      </c>
      <c r="E17" s="98" t="s">
        <v>10</v>
      </c>
      <c r="F17" s="98" t="s">
        <v>12</v>
      </c>
      <c r="G17" s="98" t="s">
        <v>21</v>
      </c>
      <c r="H17" s="98" t="s">
        <v>20</v>
      </c>
      <c r="I17" s="98" t="s">
        <v>17</v>
      </c>
      <c r="J17" s="98" t="s">
        <v>16</v>
      </c>
    </row>
    <row r="18" spans="2:10">
      <c r="B18" s="98" t="s">
        <v>914</v>
      </c>
      <c r="C18" s="99" t="s">
        <v>738</v>
      </c>
      <c r="D18" s="99">
        <v>1</v>
      </c>
      <c r="E18" s="99">
        <v>0</v>
      </c>
      <c r="F18" s="99">
        <v>1</v>
      </c>
      <c r="G18" s="99">
        <v>0</v>
      </c>
      <c r="H18" s="99">
        <v>0</v>
      </c>
      <c r="I18" s="99">
        <v>0</v>
      </c>
      <c r="J18" s="99">
        <v>0</v>
      </c>
    </row>
    <row r="19" spans="2:10">
      <c r="B19" s="98" t="s">
        <v>860</v>
      </c>
      <c r="C19" s="99" t="s">
        <v>738</v>
      </c>
      <c r="D19" s="99">
        <v>1</v>
      </c>
      <c r="E19" s="99">
        <v>0</v>
      </c>
      <c r="F19" s="99">
        <v>1</v>
      </c>
      <c r="G19" s="99">
        <v>0</v>
      </c>
      <c r="H19" s="99">
        <v>0</v>
      </c>
      <c r="I19" s="99">
        <v>0</v>
      </c>
      <c r="J19" s="99">
        <v>0</v>
      </c>
    </row>
    <row r="20" spans="2:10">
      <c r="B20" s="98" t="s">
        <v>855</v>
      </c>
      <c r="C20" s="99" t="s">
        <v>738</v>
      </c>
      <c r="D20" s="99">
        <v>1</v>
      </c>
      <c r="E20" s="99">
        <v>0</v>
      </c>
      <c r="F20" s="99">
        <v>0</v>
      </c>
      <c r="G20" s="99">
        <v>0</v>
      </c>
      <c r="H20" s="99">
        <v>0</v>
      </c>
      <c r="I20" s="99">
        <v>0</v>
      </c>
      <c r="J20" s="99">
        <v>0</v>
      </c>
    </row>
    <row r="21" spans="2:10">
      <c r="B21" s="98" t="s">
        <v>852</v>
      </c>
      <c r="C21" s="99" t="s">
        <v>851</v>
      </c>
      <c r="D21" s="99">
        <v>1</v>
      </c>
      <c r="E21" s="99">
        <v>0</v>
      </c>
      <c r="F21" s="99">
        <v>0</v>
      </c>
      <c r="G21" s="99">
        <v>0</v>
      </c>
      <c r="H21" s="99">
        <v>0</v>
      </c>
      <c r="I21" s="99">
        <v>0</v>
      </c>
      <c r="J21" s="99">
        <v>0</v>
      </c>
    </row>
    <row r="22" spans="2:10">
      <c r="B22" s="98" t="s">
        <v>808</v>
      </c>
      <c r="C22" s="99" t="s">
        <v>738</v>
      </c>
      <c r="D22" s="99">
        <v>1</v>
      </c>
      <c r="E22" s="99">
        <v>1</v>
      </c>
      <c r="F22" s="99">
        <v>0</v>
      </c>
      <c r="G22" s="99">
        <v>0</v>
      </c>
      <c r="H22" s="99">
        <v>0</v>
      </c>
      <c r="I22" s="99">
        <v>0</v>
      </c>
      <c r="J22" s="99">
        <v>1</v>
      </c>
    </row>
    <row r="23" spans="2:10">
      <c r="B23" s="98" t="s">
        <v>786</v>
      </c>
      <c r="C23" s="99" t="s">
        <v>785</v>
      </c>
      <c r="D23" s="99">
        <v>1</v>
      </c>
      <c r="E23" s="99">
        <v>0</v>
      </c>
      <c r="F23" s="99">
        <v>0</v>
      </c>
      <c r="G23" s="99">
        <v>0</v>
      </c>
      <c r="H23" s="99">
        <v>0</v>
      </c>
      <c r="I23" s="99">
        <v>0</v>
      </c>
      <c r="J23" s="99">
        <v>0</v>
      </c>
    </row>
    <row r="24" spans="2:10">
      <c r="B24" s="98" t="s">
        <v>751</v>
      </c>
      <c r="C24" s="99" t="s">
        <v>738</v>
      </c>
      <c r="D24" s="99">
        <v>1</v>
      </c>
      <c r="E24" s="99">
        <v>1</v>
      </c>
      <c r="F24" s="99">
        <v>0</v>
      </c>
      <c r="G24" s="99">
        <v>0</v>
      </c>
      <c r="H24" s="99">
        <v>0</v>
      </c>
      <c r="I24" s="99">
        <v>0</v>
      </c>
      <c r="J24" s="99">
        <v>0</v>
      </c>
    </row>
    <row r="25" spans="2:10">
      <c r="B25" s="98" t="s">
        <v>739</v>
      </c>
      <c r="C25" s="99" t="s">
        <v>738</v>
      </c>
      <c r="D25" s="99">
        <v>1</v>
      </c>
      <c r="E25" s="99">
        <v>0</v>
      </c>
      <c r="F25" s="99">
        <v>0</v>
      </c>
      <c r="G25" s="99">
        <v>0</v>
      </c>
      <c r="H25" s="99">
        <v>0</v>
      </c>
      <c r="I25" s="99">
        <v>0</v>
      </c>
      <c r="J25" s="99">
        <v>0</v>
      </c>
    </row>
    <row r="26" spans="2:10">
      <c r="B26" s="98" t="s">
        <v>709</v>
      </c>
      <c r="D26" s="79">
        <f t="shared" ref="D26:J26" si="0">SUM(D18:D25)</f>
        <v>8</v>
      </c>
      <c r="E26" s="79">
        <f t="shared" si="0"/>
        <v>2</v>
      </c>
      <c r="F26" s="79">
        <f t="shared" si="0"/>
        <v>2</v>
      </c>
      <c r="G26" s="79">
        <f t="shared" si="0"/>
        <v>0</v>
      </c>
      <c r="H26" s="79">
        <f t="shared" si="0"/>
        <v>0</v>
      </c>
      <c r="I26" s="79">
        <f t="shared" si="0"/>
        <v>0</v>
      </c>
      <c r="J26" s="79">
        <f t="shared" si="0"/>
        <v>1</v>
      </c>
    </row>
    <row r="27" spans="2:10">
      <c r="B27" s="98" t="s">
        <v>1035</v>
      </c>
      <c r="C27" s="79">
        <f>(E26+J26)/D26</f>
        <v>0.375</v>
      </c>
    </row>
    <row r="28" spans="2:10">
      <c r="B28" s="98" t="s">
        <v>1034</v>
      </c>
      <c r="C28" s="79">
        <f>E26/D26</f>
        <v>0.25</v>
      </c>
    </row>
    <row r="29" spans="2:10">
      <c r="B29" s="98" t="s">
        <v>1049</v>
      </c>
    </row>
    <row r="30" spans="2:10">
      <c r="B30" s="98" t="s">
        <v>3</v>
      </c>
      <c r="C30" s="98" t="s">
        <v>1045</v>
      </c>
      <c r="D30" s="98" t="s">
        <v>9</v>
      </c>
      <c r="E30" s="98" t="s">
        <v>10</v>
      </c>
      <c r="F30" s="98" t="s">
        <v>12</v>
      </c>
      <c r="G30" s="98" t="s">
        <v>21</v>
      </c>
      <c r="H30" s="98" t="s">
        <v>20</v>
      </c>
      <c r="I30" s="98" t="s">
        <v>17</v>
      </c>
      <c r="J30" s="98" t="s">
        <v>16</v>
      </c>
    </row>
    <row r="31" spans="2:10">
      <c r="B31" s="98" t="s">
        <v>1048</v>
      </c>
      <c r="C31" s="99" t="s">
        <v>1048</v>
      </c>
      <c r="D31" s="99">
        <v>1</v>
      </c>
      <c r="E31" s="99">
        <v>1</v>
      </c>
      <c r="F31" s="99">
        <v>1</v>
      </c>
      <c r="G31" s="99">
        <v>0</v>
      </c>
      <c r="H31" s="99">
        <v>0</v>
      </c>
      <c r="I31" s="99">
        <v>0</v>
      </c>
      <c r="J31" s="99">
        <v>0</v>
      </c>
    </row>
    <row r="32" spans="2:10">
      <c r="B32" s="98" t="s">
        <v>1036</v>
      </c>
      <c r="C32" s="99" t="s">
        <v>1036</v>
      </c>
      <c r="D32" s="99">
        <v>1</v>
      </c>
      <c r="E32" s="99">
        <v>2</v>
      </c>
      <c r="F32" s="99">
        <v>0</v>
      </c>
      <c r="G32" s="99">
        <v>0</v>
      </c>
      <c r="H32" s="99">
        <v>0</v>
      </c>
      <c r="I32" s="99">
        <v>0</v>
      </c>
      <c r="J32" s="99">
        <v>0</v>
      </c>
    </row>
    <row r="33" spans="2:10">
      <c r="B33" s="98" t="s">
        <v>851</v>
      </c>
      <c r="C33" s="99" t="s">
        <v>851</v>
      </c>
      <c r="D33" s="99">
        <v>1</v>
      </c>
      <c r="E33" s="99">
        <v>0</v>
      </c>
      <c r="F33" s="99">
        <v>1</v>
      </c>
      <c r="G33" s="99">
        <v>0</v>
      </c>
      <c r="H33" s="99">
        <v>0</v>
      </c>
      <c r="I33" s="99">
        <v>0</v>
      </c>
      <c r="J33" s="99">
        <v>0</v>
      </c>
    </row>
    <row r="34" spans="2:10">
      <c r="B34" s="98" t="s">
        <v>1047</v>
      </c>
      <c r="C34" s="99" t="s">
        <v>1047</v>
      </c>
      <c r="D34" s="99">
        <v>1</v>
      </c>
      <c r="E34" s="99">
        <v>0</v>
      </c>
      <c r="F34" s="99">
        <v>0</v>
      </c>
      <c r="G34" s="99">
        <v>0</v>
      </c>
      <c r="H34" s="99">
        <v>0</v>
      </c>
      <c r="I34" s="99">
        <v>0</v>
      </c>
      <c r="J34" s="99">
        <v>0</v>
      </c>
    </row>
    <row r="35" spans="2:10">
      <c r="B35" s="98" t="s">
        <v>851</v>
      </c>
      <c r="C35" s="99" t="s">
        <v>851</v>
      </c>
      <c r="D35" s="99">
        <v>1</v>
      </c>
      <c r="E35" s="99">
        <v>0</v>
      </c>
      <c r="F35" s="99">
        <v>0</v>
      </c>
      <c r="G35" s="99">
        <v>0</v>
      </c>
      <c r="H35" s="99">
        <v>0</v>
      </c>
      <c r="I35" s="99">
        <v>0</v>
      </c>
      <c r="J35" s="99">
        <v>0</v>
      </c>
    </row>
    <row r="36" spans="2:10">
      <c r="B36" s="98" t="s">
        <v>709</v>
      </c>
      <c r="D36" s="79">
        <f t="shared" ref="D36:J36" si="1">SUM(D31:D35)</f>
        <v>5</v>
      </c>
      <c r="E36" s="79">
        <f t="shared" si="1"/>
        <v>3</v>
      </c>
      <c r="F36" s="79">
        <f t="shared" si="1"/>
        <v>2</v>
      </c>
      <c r="G36" s="79">
        <f t="shared" si="1"/>
        <v>0</v>
      </c>
      <c r="H36" s="79">
        <f t="shared" si="1"/>
        <v>0</v>
      </c>
      <c r="I36" s="79">
        <f t="shared" si="1"/>
        <v>0</v>
      </c>
      <c r="J36" s="79">
        <f t="shared" si="1"/>
        <v>0</v>
      </c>
    </row>
    <row r="37" spans="2:10">
      <c r="B37" s="98" t="s">
        <v>1035</v>
      </c>
      <c r="C37" s="79">
        <f>(E36+J36)/D36</f>
        <v>0.6</v>
      </c>
    </row>
    <row r="38" spans="2:10">
      <c r="B38" s="98" t="s">
        <v>1034</v>
      </c>
      <c r="C38" s="79">
        <f>E36/D36</f>
        <v>0.6</v>
      </c>
    </row>
    <row r="39" spans="2:10">
      <c r="B39" s="98" t="s">
        <v>1046</v>
      </c>
    </row>
    <row r="40" spans="2:10">
      <c r="B40" s="98" t="s">
        <v>3</v>
      </c>
      <c r="C40" s="98" t="s">
        <v>1045</v>
      </c>
      <c r="D40" s="98" t="s">
        <v>9</v>
      </c>
      <c r="E40" s="98" t="s">
        <v>10</v>
      </c>
      <c r="F40" s="98" t="s">
        <v>12</v>
      </c>
      <c r="G40" s="98" t="s">
        <v>21</v>
      </c>
      <c r="H40" s="98" t="s">
        <v>20</v>
      </c>
      <c r="I40" s="98" t="s">
        <v>17</v>
      </c>
      <c r="J40" s="98" t="s">
        <v>16</v>
      </c>
    </row>
    <row r="41" spans="2:10">
      <c r="B41" s="98" t="s">
        <v>1044</v>
      </c>
      <c r="C41" s="99" t="s">
        <v>738</v>
      </c>
      <c r="D41" s="99">
        <v>1</v>
      </c>
      <c r="E41" s="99">
        <v>1</v>
      </c>
      <c r="F41" s="99">
        <v>1</v>
      </c>
      <c r="G41" s="99">
        <v>0</v>
      </c>
      <c r="H41" s="99">
        <v>0</v>
      </c>
      <c r="I41" s="99">
        <v>0</v>
      </c>
      <c r="J41" s="99">
        <v>0</v>
      </c>
    </row>
    <row r="42" spans="2:10">
      <c r="B42" s="98" t="s">
        <v>1043</v>
      </c>
      <c r="C42" s="99" t="s">
        <v>738</v>
      </c>
      <c r="D42" s="99">
        <v>1</v>
      </c>
      <c r="E42" s="99">
        <v>0</v>
      </c>
      <c r="F42" s="99">
        <v>0</v>
      </c>
      <c r="G42" s="99">
        <v>0</v>
      </c>
      <c r="H42" s="99">
        <v>1</v>
      </c>
      <c r="I42" s="99">
        <v>0</v>
      </c>
      <c r="J42" s="99">
        <v>0</v>
      </c>
    </row>
    <row r="43" spans="2:10">
      <c r="B43" s="98" t="s">
        <v>1042</v>
      </c>
      <c r="C43" s="99" t="s">
        <v>851</v>
      </c>
      <c r="D43" s="99">
        <v>1</v>
      </c>
      <c r="E43" s="99">
        <v>1</v>
      </c>
      <c r="F43" s="99">
        <v>0</v>
      </c>
      <c r="G43" s="99">
        <v>0</v>
      </c>
      <c r="H43" s="99">
        <v>1</v>
      </c>
      <c r="I43" s="99">
        <v>0</v>
      </c>
      <c r="J43" s="99">
        <v>1</v>
      </c>
    </row>
    <row r="44" spans="2:10">
      <c r="B44" s="98" t="s">
        <v>1041</v>
      </c>
      <c r="C44" s="99" t="s">
        <v>1040</v>
      </c>
      <c r="D44" s="99">
        <v>1</v>
      </c>
      <c r="E44" s="99">
        <v>1</v>
      </c>
      <c r="F44" s="99">
        <v>0</v>
      </c>
      <c r="G44" s="99">
        <v>0</v>
      </c>
      <c r="H44" s="99">
        <v>0</v>
      </c>
      <c r="I44" s="99">
        <v>0</v>
      </c>
      <c r="J44" s="99">
        <v>0</v>
      </c>
    </row>
    <row r="45" spans="2:10">
      <c r="B45" s="98" t="s">
        <v>1039</v>
      </c>
      <c r="C45" s="99" t="s">
        <v>1038</v>
      </c>
      <c r="D45" s="99">
        <v>1</v>
      </c>
      <c r="E45" s="99">
        <v>1</v>
      </c>
      <c r="F45" s="99">
        <v>0</v>
      </c>
      <c r="G45" s="99">
        <v>0</v>
      </c>
      <c r="H45" s="99">
        <v>1</v>
      </c>
      <c r="I45" s="99">
        <v>0</v>
      </c>
      <c r="J45" s="99">
        <v>0</v>
      </c>
    </row>
    <row r="46" spans="2:10">
      <c r="B46" s="98" t="s">
        <v>1037</v>
      </c>
      <c r="C46" s="99" t="s">
        <v>1036</v>
      </c>
      <c r="D46" s="99">
        <v>1</v>
      </c>
      <c r="E46" s="99">
        <v>1</v>
      </c>
      <c r="F46" s="99">
        <v>2</v>
      </c>
      <c r="G46" s="99">
        <v>0</v>
      </c>
      <c r="H46" s="99">
        <v>0</v>
      </c>
      <c r="I46" s="99">
        <v>0</v>
      </c>
      <c r="J46" s="99">
        <v>0</v>
      </c>
    </row>
    <row r="47" spans="2:10">
      <c r="B47" s="98" t="s">
        <v>709</v>
      </c>
      <c r="D47" s="79">
        <f t="shared" ref="D47:J47" si="2">SUM(D41:D46)</f>
        <v>6</v>
      </c>
      <c r="E47" s="79">
        <f t="shared" si="2"/>
        <v>5</v>
      </c>
      <c r="F47" s="79">
        <f t="shared" si="2"/>
        <v>3</v>
      </c>
      <c r="G47" s="79">
        <f t="shared" si="2"/>
        <v>0</v>
      </c>
      <c r="H47" s="79">
        <f t="shared" si="2"/>
        <v>3</v>
      </c>
      <c r="I47" s="79">
        <f t="shared" si="2"/>
        <v>0</v>
      </c>
      <c r="J47" s="79">
        <f t="shared" si="2"/>
        <v>1</v>
      </c>
    </row>
    <row r="48" spans="2:10">
      <c r="B48" s="98" t="s">
        <v>1035</v>
      </c>
      <c r="C48" s="79">
        <f>(E47+J47)/D47</f>
        <v>1</v>
      </c>
    </row>
    <row r="49" spans="2:16362">
      <c r="B49" s="98" t="s">
        <v>1034</v>
      </c>
      <c r="C49" s="99">
        <f>E47/D47</f>
        <v>0.83333333333333337</v>
      </c>
    </row>
    <row r="50" spans="2:16362">
      <c r="B50" s="98"/>
    </row>
    <row r="51" spans="2:16362">
      <c r="B51" s="79" t="s">
        <v>1033</v>
      </c>
      <c r="C51" s="79" t="s">
        <v>1032</v>
      </c>
      <c r="D51" s="79" t="s">
        <v>1031</v>
      </c>
      <c r="E51" s="79" t="s">
        <v>1030</v>
      </c>
      <c r="F51" s="79" t="s">
        <v>1029</v>
      </c>
    </row>
    <row r="52" spans="2:16362">
      <c r="B52" s="79" t="s">
        <v>1028</v>
      </c>
      <c r="C52" s="97">
        <f>5/88</f>
        <v>5.6818181818181816E-2</v>
      </c>
      <c r="D52" s="96">
        <f>[1]Tosa!$B$109</f>
        <v>0.81818181818181823</v>
      </c>
      <c r="E52" s="96">
        <f>$C$38</f>
        <v>0.6</v>
      </c>
      <c r="F52" s="96">
        <f>69/83</f>
        <v>0.83132530120481929</v>
      </c>
    </row>
    <row r="53" spans="2:16362">
      <c r="B53" s="79" t="s">
        <v>1027</v>
      </c>
      <c r="C53" s="97">
        <f>6/100</f>
        <v>0.06</v>
      </c>
      <c r="D53" s="96">
        <f>[1]Genji!$B$103</f>
        <v>0.62</v>
      </c>
      <c r="E53" s="96">
        <f>$C$49</f>
        <v>0.83333333333333337</v>
      </c>
      <c r="F53" s="96">
        <f>57/94</f>
        <v>0.6063829787234043</v>
      </c>
    </row>
    <row r="54" spans="2:16362">
      <c r="B54" s="79" t="s">
        <v>1026</v>
      </c>
      <c r="C54" s="97">
        <f>8/99</f>
        <v>8.0808080808080815E-2</v>
      </c>
      <c r="D54" s="96">
        <f>Isopo!$B$103</f>
        <v>0.89898989898989901</v>
      </c>
      <c r="E54" s="96">
        <f>$C$28</f>
        <v>0.25</v>
      </c>
      <c r="F54" s="96">
        <f>87/91</f>
        <v>0.95604395604395609</v>
      </c>
    </row>
    <row r="57" spans="2:16362" ht="17" thickBot="1"/>
    <row r="58" spans="2:16362" ht="17" thickBot="1">
      <c r="B58" s="19" t="s">
        <v>0</v>
      </c>
      <c r="C58" s="20" t="s">
        <v>1</v>
      </c>
      <c r="D58" s="20" t="s">
        <v>2</v>
      </c>
      <c r="E58" s="21" t="s">
        <v>3</v>
      </c>
      <c r="F58" s="21" t="s">
        <v>4</v>
      </c>
      <c r="G58" s="21" t="s">
        <v>9</v>
      </c>
      <c r="H58" s="22" t="s">
        <v>10</v>
      </c>
      <c r="I58" s="22" t="s">
        <v>11</v>
      </c>
      <c r="J58" s="26" t="s">
        <v>21</v>
      </c>
      <c r="K58" s="26" t="s">
        <v>510</v>
      </c>
      <c r="L58" s="26" t="s">
        <v>509</v>
      </c>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c r="FC58"/>
      <c r="FD58"/>
      <c r="FE58"/>
      <c r="FF58"/>
      <c r="FG58"/>
      <c r="FH58"/>
      <c r="FI58"/>
      <c r="FJ58"/>
      <c r="FK58"/>
      <c r="FL58"/>
      <c r="FM58"/>
      <c r="FN58"/>
      <c r="FO58"/>
      <c r="FP58"/>
      <c r="FQ58"/>
      <c r="FR58"/>
      <c r="FS58"/>
      <c r="FT58"/>
      <c r="FU58"/>
      <c r="FV58"/>
      <c r="FW58"/>
      <c r="FX58"/>
      <c r="FY58"/>
      <c r="FZ58"/>
      <c r="GA58"/>
      <c r="GB58"/>
      <c r="GC58"/>
      <c r="GD58"/>
      <c r="GE58"/>
      <c r="GF58"/>
      <c r="GG58"/>
      <c r="GH58"/>
      <c r="GI58"/>
      <c r="GJ58"/>
      <c r="GK58"/>
      <c r="GL58"/>
      <c r="GM58"/>
      <c r="GN58"/>
      <c r="GO58"/>
      <c r="GP58"/>
      <c r="GQ58"/>
      <c r="GR58"/>
      <c r="GS58"/>
      <c r="GT58"/>
      <c r="GU58"/>
      <c r="GV58"/>
      <c r="GW58"/>
      <c r="GX58"/>
      <c r="GY58"/>
      <c r="GZ58"/>
      <c r="HA58"/>
      <c r="HB58"/>
      <c r="HC58"/>
      <c r="HD58"/>
      <c r="HE58"/>
      <c r="HF58"/>
      <c r="HG58"/>
      <c r="HH58"/>
      <c r="HI58"/>
      <c r="HJ58"/>
      <c r="HK58"/>
      <c r="HL58"/>
      <c r="HM58"/>
      <c r="HN58"/>
      <c r="HO58"/>
      <c r="HP58"/>
      <c r="HQ58"/>
      <c r="HR58"/>
      <c r="HS58"/>
      <c r="HT58"/>
      <c r="HU58"/>
      <c r="HV58"/>
      <c r="HW58"/>
      <c r="HX58"/>
      <c r="HY58"/>
      <c r="HZ58"/>
      <c r="IA58"/>
      <c r="IB58"/>
      <c r="IC58"/>
      <c r="ID58"/>
      <c r="IE58"/>
      <c r="IF58"/>
      <c r="IG58"/>
      <c r="IH58"/>
      <c r="II58"/>
      <c r="IJ58"/>
      <c r="IK58"/>
      <c r="IL58"/>
      <c r="IM58"/>
      <c r="IN58"/>
      <c r="IO58"/>
      <c r="IP58"/>
      <c r="IQ58"/>
      <c r="IR58"/>
      <c r="IS58"/>
      <c r="IT58"/>
      <c r="IU58"/>
      <c r="IV58"/>
      <c r="IW58"/>
      <c r="IX58"/>
      <c r="IY58"/>
      <c r="IZ58"/>
      <c r="JA58"/>
      <c r="JB58"/>
      <c r="JC58"/>
      <c r="JD58"/>
      <c r="JE58"/>
      <c r="JF58"/>
      <c r="JG58"/>
      <c r="JH58"/>
      <c r="JI58"/>
      <c r="JJ58"/>
      <c r="JK58"/>
      <c r="JL58"/>
      <c r="JM58"/>
      <c r="JN58"/>
      <c r="JO58"/>
      <c r="JP58"/>
      <c r="JQ58"/>
      <c r="JR58"/>
      <c r="JS58"/>
      <c r="JT58"/>
      <c r="JU58"/>
      <c r="JV58"/>
      <c r="JW58"/>
      <c r="JX58"/>
      <c r="JY58"/>
      <c r="JZ58"/>
      <c r="KA58"/>
      <c r="KB58"/>
      <c r="KC58"/>
      <c r="KD58"/>
      <c r="KE58"/>
      <c r="KF58"/>
      <c r="KG58"/>
      <c r="KH58"/>
      <c r="KI58"/>
      <c r="KJ58"/>
      <c r="KK58"/>
      <c r="KL58"/>
      <c r="KM58"/>
      <c r="KN58"/>
      <c r="KO58"/>
      <c r="KP58"/>
      <c r="KQ58"/>
      <c r="KR58"/>
      <c r="KS58"/>
      <c r="KT58"/>
      <c r="KU58"/>
      <c r="KV58"/>
      <c r="KW58"/>
      <c r="KX58"/>
      <c r="KY58"/>
      <c r="KZ58"/>
      <c r="LA58"/>
      <c r="LB58"/>
      <c r="LC58"/>
      <c r="LD58"/>
      <c r="LE58"/>
      <c r="LF58"/>
      <c r="LG58"/>
      <c r="LH58"/>
      <c r="LI58"/>
      <c r="LJ58"/>
      <c r="LK58"/>
      <c r="LL58"/>
      <c r="LM58"/>
      <c r="LN58"/>
      <c r="LO58"/>
      <c r="LP58"/>
      <c r="LQ58"/>
      <c r="LR58"/>
      <c r="LS58"/>
      <c r="LT58"/>
      <c r="LU58"/>
      <c r="LV58"/>
      <c r="LW58"/>
      <c r="LX58"/>
      <c r="LY58"/>
      <c r="LZ58"/>
      <c r="MA58"/>
      <c r="MB58"/>
      <c r="MC58"/>
      <c r="MD58"/>
      <c r="ME58"/>
      <c r="MF58"/>
      <c r="MG58"/>
      <c r="MH58"/>
      <c r="MI58"/>
      <c r="MJ58"/>
      <c r="MK58"/>
      <c r="ML58"/>
      <c r="MM58"/>
      <c r="MN58"/>
      <c r="MO58"/>
      <c r="MP58"/>
      <c r="MQ58"/>
      <c r="MR58"/>
      <c r="MS58"/>
      <c r="MT58"/>
      <c r="MU58"/>
      <c r="MV58"/>
      <c r="MW58"/>
      <c r="MX58"/>
      <c r="MY58"/>
      <c r="MZ58"/>
      <c r="NA58"/>
      <c r="NB58"/>
      <c r="NC58"/>
      <c r="ND58"/>
      <c r="NE58"/>
      <c r="NF58"/>
      <c r="NG58"/>
      <c r="NH58"/>
      <c r="NI58"/>
      <c r="NJ58"/>
      <c r="NK58"/>
      <c r="NL58"/>
      <c r="NM58"/>
      <c r="NN58"/>
      <c r="NO58"/>
      <c r="NP58"/>
      <c r="NQ58"/>
      <c r="NR58"/>
      <c r="NS58"/>
      <c r="NT58"/>
      <c r="NU58"/>
      <c r="NV58"/>
      <c r="NW58"/>
      <c r="NX58"/>
      <c r="NY58"/>
      <c r="NZ58"/>
      <c r="OA58"/>
      <c r="OB58"/>
      <c r="OC58"/>
      <c r="OD58"/>
      <c r="OE58"/>
      <c r="OF58"/>
      <c r="OG58"/>
      <c r="OH58"/>
      <c r="OI58"/>
      <c r="OJ58"/>
      <c r="OK58"/>
      <c r="OL58"/>
      <c r="OM58"/>
      <c r="ON58"/>
      <c r="OO58"/>
      <c r="OP58"/>
      <c r="OQ58"/>
      <c r="OR58"/>
      <c r="OS58"/>
      <c r="OT58"/>
      <c r="OU58"/>
      <c r="OV58"/>
      <c r="OW58"/>
      <c r="OX58"/>
      <c r="OY58"/>
      <c r="OZ58"/>
      <c r="PA58"/>
      <c r="PB58"/>
      <c r="PC58"/>
      <c r="PD58"/>
      <c r="PE58"/>
      <c r="PF58"/>
      <c r="PG58"/>
      <c r="PH58"/>
      <c r="PI58"/>
      <c r="PJ58"/>
      <c r="PK58"/>
      <c r="PL58"/>
      <c r="PM58"/>
      <c r="PN58"/>
      <c r="PO58"/>
      <c r="PP58"/>
      <c r="PQ58"/>
      <c r="PR58"/>
      <c r="PS58"/>
      <c r="PT58"/>
      <c r="PU58"/>
      <c r="PV58"/>
      <c r="PW58"/>
      <c r="PX58"/>
      <c r="PY58"/>
      <c r="PZ58"/>
      <c r="QA58"/>
      <c r="QB58"/>
      <c r="QC58"/>
      <c r="QD58"/>
      <c r="QE58"/>
      <c r="QF58"/>
      <c r="QG58"/>
      <c r="QH58"/>
      <c r="QI58"/>
      <c r="QJ58"/>
      <c r="QK58"/>
      <c r="QL58"/>
      <c r="QM58"/>
      <c r="QN58"/>
      <c r="QO58"/>
      <c r="QP58"/>
      <c r="QQ58"/>
      <c r="QR58"/>
      <c r="QS58"/>
      <c r="QT58"/>
      <c r="QU58"/>
      <c r="QV58"/>
      <c r="QW58"/>
      <c r="QX58"/>
      <c r="QY58"/>
      <c r="QZ58"/>
      <c r="RA58"/>
      <c r="RB58"/>
      <c r="RC58"/>
      <c r="RD58"/>
      <c r="RE58"/>
      <c r="RF58"/>
      <c r="RG58"/>
      <c r="RH58"/>
      <c r="RI58"/>
      <c r="RJ58"/>
      <c r="RK58"/>
      <c r="RL58"/>
      <c r="RM58"/>
      <c r="RN58"/>
      <c r="RO58"/>
      <c r="RP58"/>
      <c r="RQ58"/>
      <c r="RR58"/>
      <c r="RS58"/>
      <c r="RT58"/>
      <c r="RU58"/>
      <c r="RV58"/>
      <c r="RW58"/>
      <c r="RX58"/>
      <c r="RY58"/>
      <c r="RZ58"/>
      <c r="SA58"/>
      <c r="SB58"/>
      <c r="SC58"/>
      <c r="SD58"/>
      <c r="SE58"/>
      <c r="SF58"/>
      <c r="SG58"/>
      <c r="SH58"/>
      <c r="SI58"/>
      <c r="SJ58"/>
      <c r="SK58"/>
      <c r="SL58"/>
      <c r="SM58"/>
      <c r="SN58"/>
      <c r="SO58"/>
      <c r="SP58"/>
      <c r="SQ58"/>
      <c r="SR58"/>
      <c r="SS58"/>
      <c r="ST58"/>
      <c r="SU58"/>
      <c r="SV58"/>
      <c r="SW58"/>
      <c r="SX58"/>
      <c r="SY58"/>
      <c r="SZ58"/>
      <c r="TA58"/>
      <c r="TB58"/>
      <c r="TC58"/>
      <c r="TD58"/>
      <c r="TE58"/>
      <c r="TF58"/>
      <c r="TG58"/>
      <c r="TH58"/>
      <c r="TI58"/>
      <c r="TJ58"/>
      <c r="TK58"/>
      <c r="TL58"/>
      <c r="TM58"/>
      <c r="TN58"/>
      <c r="TO58"/>
      <c r="TP58"/>
      <c r="TQ58"/>
      <c r="TR58"/>
      <c r="TS58"/>
      <c r="TT58"/>
      <c r="TU58"/>
      <c r="TV58"/>
      <c r="TW58"/>
      <c r="TX58"/>
      <c r="TY58"/>
      <c r="TZ58"/>
      <c r="UA58"/>
      <c r="UB58"/>
      <c r="UC58"/>
      <c r="UD58"/>
      <c r="UE58"/>
      <c r="UF58"/>
      <c r="UG58"/>
      <c r="UH58"/>
      <c r="UI58"/>
      <c r="UJ58"/>
      <c r="UK58"/>
      <c r="UL58"/>
      <c r="UM58"/>
      <c r="UN58"/>
      <c r="UO58"/>
      <c r="UP58"/>
      <c r="UQ58"/>
      <c r="UR58"/>
      <c r="US58"/>
      <c r="UT58"/>
      <c r="UU58"/>
      <c r="UV58"/>
      <c r="UW58"/>
      <c r="UX58"/>
      <c r="UY58"/>
      <c r="UZ58"/>
      <c r="VA58"/>
      <c r="VB58"/>
      <c r="VC58"/>
      <c r="VD58"/>
      <c r="VE58"/>
      <c r="VF58"/>
      <c r="VG58"/>
      <c r="VH58"/>
      <c r="VI58"/>
      <c r="VJ58"/>
      <c r="VK58"/>
      <c r="VL58"/>
      <c r="VM58"/>
      <c r="VN58"/>
      <c r="VO58"/>
      <c r="VP58"/>
      <c r="VQ58"/>
      <c r="VR58"/>
      <c r="VS58"/>
      <c r="VT58"/>
      <c r="VU58"/>
      <c r="VV58"/>
      <c r="VW58"/>
      <c r="VX58"/>
      <c r="VY58"/>
      <c r="VZ58"/>
      <c r="WA58"/>
      <c r="WB58"/>
      <c r="WC58"/>
      <c r="WD58"/>
      <c r="WE58"/>
      <c r="WF58"/>
      <c r="WG58"/>
      <c r="WH58"/>
      <c r="WI58"/>
      <c r="WJ58"/>
      <c r="WK58"/>
      <c r="WL58"/>
      <c r="WM58"/>
      <c r="WN58"/>
      <c r="WO58"/>
      <c r="WP58"/>
      <c r="WQ58"/>
      <c r="WR58"/>
      <c r="WS58"/>
      <c r="WT58"/>
      <c r="WU58"/>
      <c r="WV58"/>
      <c r="WW58"/>
      <c r="WX58"/>
      <c r="WY58"/>
      <c r="WZ58"/>
      <c r="XA58"/>
      <c r="XB58"/>
      <c r="XC58"/>
      <c r="XD58"/>
      <c r="XE58"/>
      <c r="XF58"/>
      <c r="XG58"/>
      <c r="XH58"/>
      <c r="XI58"/>
      <c r="XJ58"/>
      <c r="XK58"/>
      <c r="XL58"/>
      <c r="XM58"/>
      <c r="XN58"/>
      <c r="XO58"/>
      <c r="XP58"/>
      <c r="XQ58"/>
      <c r="XR58"/>
      <c r="XS58"/>
      <c r="XT58"/>
      <c r="XU58"/>
      <c r="XV58"/>
      <c r="XW58"/>
      <c r="XX58"/>
      <c r="XY58"/>
      <c r="XZ58"/>
      <c r="YA58"/>
      <c r="YB58"/>
      <c r="YC58"/>
      <c r="YD58"/>
      <c r="YE58"/>
      <c r="YF58"/>
      <c r="YG58"/>
      <c r="YH58"/>
      <c r="YI58"/>
      <c r="YJ58"/>
      <c r="YK58"/>
      <c r="YL58"/>
      <c r="YM58"/>
      <c r="YN58"/>
      <c r="YO58"/>
      <c r="YP58"/>
      <c r="YQ58"/>
      <c r="YR58"/>
      <c r="YS58"/>
      <c r="YT58"/>
      <c r="YU58"/>
      <c r="YV58"/>
      <c r="YW58"/>
      <c r="YX58"/>
      <c r="YY58"/>
      <c r="YZ58"/>
      <c r="ZA58"/>
      <c r="ZB58"/>
      <c r="ZC58"/>
      <c r="ZD58"/>
      <c r="ZE58"/>
      <c r="ZF58"/>
      <c r="ZG58"/>
      <c r="ZH58"/>
      <c r="ZI58"/>
      <c r="ZJ58"/>
      <c r="ZK58"/>
      <c r="ZL58"/>
      <c r="ZM58"/>
      <c r="ZN58"/>
      <c r="ZO58"/>
      <c r="ZP58"/>
      <c r="ZQ58"/>
      <c r="ZR58"/>
      <c r="ZS58"/>
      <c r="ZT58"/>
      <c r="ZU58"/>
      <c r="ZV58"/>
      <c r="ZW58"/>
      <c r="ZX58"/>
      <c r="ZY58"/>
      <c r="ZZ58"/>
      <c r="AAA58"/>
      <c r="AAB58"/>
      <c r="AAC58"/>
      <c r="AAD58"/>
      <c r="AAE58"/>
      <c r="AAF58"/>
      <c r="AAG58"/>
      <c r="AAH58"/>
      <c r="AAI58"/>
      <c r="AAJ58"/>
      <c r="AAK58"/>
      <c r="AAL58"/>
      <c r="AAM58"/>
      <c r="AAN58"/>
      <c r="AAO58"/>
      <c r="AAP58"/>
      <c r="AAQ58"/>
      <c r="AAR58"/>
      <c r="AAS58"/>
      <c r="AAT58"/>
      <c r="AAU58"/>
      <c r="AAV58"/>
      <c r="AAW58"/>
      <c r="AAX58"/>
      <c r="AAY58"/>
      <c r="AAZ58"/>
      <c r="ABA58"/>
      <c r="ABB58"/>
      <c r="ABC58"/>
      <c r="ABD58"/>
      <c r="ABE58"/>
      <c r="ABF58"/>
      <c r="ABG58"/>
      <c r="ABH58"/>
      <c r="ABI58"/>
      <c r="ABJ58"/>
      <c r="ABK58"/>
      <c r="ABL58"/>
      <c r="ABM58"/>
      <c r="ABN58"/>
      <c r="ABO58"/>
      <c r="ABP58"/>
      <c r="ABQ58"/>
      <c r="ABR58"/>
      <c r="ABS58"/>
      <c r="ABT58"/>
      <c r="ABU58"/>
      <c r="ABV58"/>
      <c r="ABW58"/>
      <c r="ABX58"/>
      <c r="ABY58"/>
      <c r="ABZ58"/>
      <c r="ACA58"/>
      <c r="ACB58"/>
      <c r="ACC58"/>
      <c r="ACD58"/>
      <c r="ACE58"/>
      <c r="ACF58"/>
      <c r="ACG58"/>
      <c r="ACH58"/>
      <c r="ACI58"/>
      <c r="ACJ58"/>
      <c r="ACK58"/>
      <c r="ACL58"/>
      <c r="ACM58"/>
      <c r="ACN58"/>
      <c r="ACO58"/>
      <c r="ACP58"/>
      <c r="ACQ58"/>
      <c r="ACR58"/>
      <c r="ACS58"/>
      <c r="ACT58"/>
      <c r="ACU58"/>
      <c r="ACV58"/>
      <c r="ACW58"/>
      <c r="ACX58"/>
      <c r="ACY58"/>
      <c r="ACZ58"/>
      <c r="ADA58"/>
      <c r="ADB58"/>
      <c r="ADC58"/>
      <c r="ADD58"/>
      <c r="ADE58"/>
      <c r="ADF58"/>
      <c r="ADG58"/>
      <c r="ADH58"/>
      <c r="ADI58"/>
      <c r="ADJ58"/>
      <c r="ADK58"/>
      <c r="ADL58"/>
      <c r="ADM58"/>
      <c r="ADN58"/>
      <c r="ADO58"/>
      <c r="ADP58"/>
      <c r="ADQ58"/>
      <c r="ADR58"/>
      <c r="ADS58"/>
      <c r="ADT58"/>
      <c r="ADU58"/>
      <c r="ADV58"/>
      <c r="ADW58"/>
      <c r="ADX58"/>
      <c r="ADY58"/>
      <c r="ADZ58"/>
      <c r="AEA58"/>
      <c r="AEB58"/>
      <c r="AEC58"/>
      <c r="AED58"/>
      <c r="AEE58"/>
      <c r="AEF58"/>
      <c r="AEG58"/>
      <c r="AEH58"/>
      <c r="AEI58"/>
      <c r="AEJ58"/>
      <c r="AEK58"/>
      <c r="AEL58"/>
      <c r="AEM58"/>
      <c r="AEN58"/>
      <c r="AEO58"/>
      <c r="AEP58"/>
      <c r="AEQ58"/>
      <c r="AER58"/>
      <c r="AES58"/>
      <c r="AET58"/>
      <c r="AEU58"/>
      <c r="AEV58"/>
      <c r="AEW58"/>
      <c r="AEX58"/>
      <c r="AEY58"/>
      <c r="AEZ58"/>
      <c r="AFA58"/>
      <c r="AFB58"/>
      <c r="AFC58"/>
      <c r="AFD58"/>
      <c r="AFE58"/>
      <c r="AFF58"/>
      <c r="AFG58"/>
      <c r="AFH58"/>
      <c r="AFI58"/>
      <c r="AFJ58"/>
      <c r="AFK58"/>
      <c r="AFL58"/>
      <c r="AFM58"/>
      <c r="AFN58"/>
      <c r="AFO58"/>
      <c r="AFP58"/>
      <c r="AFQ58"/>
      <c r="AFR58"/>
      <c r="AFS58"/>
      <c r="AFT58"/>
      <c r="AFU58"/>
      <c r="AFV58"/>
      <c r="AFW58"/>
      <c r="AFX58"/>
      <c r="AFY58"/>
      <c r="AFZ58"/>
      <c r="AGA58"/>
      <c r="AGB58"/>
      <c r="AGC58"/>
      <c r="AGD58"/>
      <c r="AGE58"/>
      <c r="AGF58"/>
      <c r="AGG58"/>
      <c r="AGH58"/>
      <c r="AGI58"/>
      <c r="AGJ58"/>
      <c r="AGK58"/>
      <c r="AGL58"/>
      <c r="AGM58"/>
      <c r="AGN58"/>
      <c r="AGO58"/>
      <c r="AGP58"/>
      <c r="AGQ58"/>
      <c r="AGR58"/>
      <c r="AGS58"/>
      <c r="AGT58"/>
      <c r="AGU58"/>
      <c r="AGV58"/>
      <c r="AGW58"/>
      <c r="AGX58"/>
      <c r="AGY58"/>
      <c r="AGZ58"/>
      <c r="AHA58"/>
      <c r="AHB58"/>
      <c r="AHC58"/>
      <c r="AHD58"/>
      <c r="AHE58"/>
      <c r="AHF58"/>
      <c r="AHG58"/>
      <c r="AHH58"/>
      <c r="AHI58"/>
      <c r="AHJ58"/>
      <c r="AHK58"/>
      <c r="AHL58"/>
      <c r="AHM58"/>
      <c r="AHN58"/>
      <c r="AHO58"/>
      <c r="AHP58"/>
      <c r="AHQ58"/>
      <c r="AHR58"/>
      <c r="AHS58"/>
      <c r="AHT58"/>
      <c r="AHU58"/>
      <c r="AHV58"/>
      <c r="AHW58"/>
      <c r="AHX58"/>
      <c r="AHY58"/>
      <c r="AHZ58"/>
      <c r="AIA58"/>
      <c r="AIB58"/>
      <c r="AIC58"/>
      <c r="AID58"/>
      <c r="AIE58"/>
      <c r="AIF58"/>
      <c r="AIG58"/>
      <c r="AIH58"/>
      <c r="AII58"/>
      <c r="AIJ58"/>
      <c r="AIK58"/>
      <c r="AIL58"/>
      <c r="AIM58"/>
      <c r="AIN58"/>
      <c r="AIO58"/>
      <c r="AIP58"/>
      <c r="AIQ58"/>
      <c r="AIR58"/>
      <c r="AIS58"/>
      <c r="AIT58"/>
      <c r="AIU58"/>
      <c r="AIV58"/>
      <c r="AIW58"/>
      <c r="AIX58"/>
      <c r="AIY58"/>
      <c r="AIZ58"/>
      <c r="AJA58"/>
      <c r="AJB58"/>
      <c r="AJC58"/>
      <c r="AJD58"/>
      <c r="AJE58"/>
      <c r="AJF58"/>
      <c r="AJG58"/>
      <c r="AJH58"/>
      <c r="AJI58"/>
      <c r="AJJ58"/>
      <c r="AJK58"/>
      <c r="AJL58"/>
      <c r="AJM58"/>
      <c r="AJN58"/>
      <c r="AJO58"/>
      <c r="AJP58"/>
      <c r="AJQ58"/>
      <c r="AJR58"/>
      <c r="AJS58"/>
      <c r="AJT58"/>
      <c r="AJU58"/>
      <c r="AJV58"/>
      <c r="AJW58"/>
      <c r="AJX58"/>
      <c r="AJY58"/>
      <c r="AJZ58"/>
      <c r="AKA58"/>
      <c r="AKB58"/>
      <c r="AKC58"/>
      <c r="AKD58"/>
      <c r="AKE58"/>
      <c r="AKF58"/>
      <c r="AKG58"/>
      <c r="AKH58"/>
      <c r="AKI58"/>
      <c r="AKJ58"/>
      <c r="AKK58"/>
      <c r="AKL58"/>
      <c r="AKM58"/>
      <c r="AKN58"/>
      <c r="AKO58"/>
      <c r="AKP58"/>
      <c r="AKQ58"/>
      <c r="AKR58"/>
      <c r="AKS58"/>
      <c r="AKT58"/>
      <c r="AKU58"/>
      <c r="AKV58"/>
      <c r="AKW58"/>
      <c r="AKX58"/>
      <c r="AKY58"/>
      <c r="AKZ58"/>
      <c r="ALA58"/>
      <c r="ALB58"/>
      <c r="ALC58"/>
      <c r="ALD58"/>
      <c r="ALE58"/>
      <c r="ALF58"/>
      <c r="ALG58"/>
      <c r="ALH58"/>
      <c r="ALI58"/>
      <c r="ALJ58"/>
      <c r="ALK58"/>
      <c r="ALL58"/>
      <c r="ALM58"/>
      <c r="ALN58"/>
      <c r="ALO58"/>
      <c r="ALP58"/>
      <c r="ALQ58"/>
      <c r="ALR58"/>
      <c r="ALS58"/>
      <c r="ALT58"/>
      <c r="ALU58"/>
      <c r="ALV58"/>
      <c r="ALW58"/>
      <c r="ALX58"/>
      <c r="ALY58"/>
      <c r="ALZ58"/>
      <c r="AMA58"/>
      <c r="AMB58"/>
      <c r="AMC58"/>
      <c r="AMD58"/>
      <c r="AME58"/>
      <c r="AMF58"/>
      <c r="AMG58"/>
      <c r="AMH58"/>
      <c r="AMI58"/>
      <c r="AMJ58"/>
      <c r="AMK58"/>
      <c r="AML58"/>
      <c r="AMM58"/>
      <c r="AMN58"/>
      <c r="AMO58"/>
      <c r="AMP58"/>
      <c r="AMQ58"/>
      <c r="AMR58"/>
      <c r="AMS58"/>
      <c r="AMT58"/>
      <c r="AMU58"/>
      <c r="AMV58"/>
      <c r="AMW58"/>
      <c r="AMX58"/>
      <c r="AMY58"/>
      <c r="AMZ58"/>
      <c r="ANA58"/>
      <c r="ANB58"/>
      <c r="ANC58"/>
      <c r="AND58"/>
      <c r="ANE58"/>
      <c r="ANF58"/>
      <c r="ANG58"/>
      <c r="ANH58"/>
      <c r="ANI58"/>
      <c r="ANJ58"/>
      <c r="ANK58"/>
      <c r="ANL58"/>
      <c r="ANM58"/>
      <c r="ANN58"/>
      <c r="ANO58"/>
      <c r="ANP58"/>
      <c r="ANQ58"/>
      <c r="ANR58"/>
      <c r="ANS58"/>
      <c r="ANT58"/>
      <c r="ANU58"/>
      <c r="ANV58"/>
      <c r="ANW58"/>
      <c r="ANX58"/>
      <c r="ANY58"/>
      <c r="ANZ58"/>
      <c r="AOA58"/>
      <c r="AOB58"/>
      <c r="AOC58"/>
      <c r="AOD58"/>
      <c r="AOE58"/>
      <c r="AOF58"/>
      <c r="AOG58"/>
      <c r="AOH58"/>
      <c r="AOI58"/>
      <c r="AOJ58"/>
      <c r="AOK58"/>
      <c r="AOL58"/>
      <c r="AOM58"/>
      <c r="AON58"/>
      <c r="AOO58"/>
      <c r="AOP58"/>
      <c r="AOQ58"/>
      <c r="AOR58"/>
      <c r="AOS58"/>
      <c r="AOT58"/>
      <c r="AOU58"/>
      <c r="AOV58"/>
      <c r="AOW58"/>
      <c r="AOX58"/>
      <c r="AOY58"/>
      <c r="AOZ58"/>
      <c r="APA58"/>
      <c r="APB58"/>
      <c r="APC58"/>
      <c r="APD58"/>
      <c r="APE58"/>
      <c r="APF58"/>
      <c r="APG58"/>
      <c r="APH58"/>
      <c r="API58"/>
      <c r="APJ58"/>
      <c r="APK58"/>
      <c r="APL58"/>
      <c r="APM58"/>
      <c r="APN58"/>
      <c r="APO58"/>
      <c r="APP58"/>
      <c r="APQ58"/>
      <c r="APR58"/>
      <c r="APS58"/>
      <c r="APT58"/>
      <c r="APU58"/>
      <c r="APV58"/>
      <c r="APW58"/>
      <c r="APX58"/>
      <c r="APY58"/>
      <c r="APZ58"/>
      <c r="AQA58"/>
      <c r="AQB58"/>
      <c r="AQC58"/>
      <c r="AQD58"/>
      <c r="AQE58"/>
      <c r="AQF58"/>
      <c r="AQG58"/>
      <c r="AQH58"/>
      <c r="AQI58"/>
      <c r="AQJ58"/>
      <c r="AQK58"/>
      <c r="AQL58"/>
      <c r="AQM58"/>
      <c r="AQN58"/>
      <c r="AQO58"/>
      <c r="AQP58"/>
      <c r="AQQ58"/>
      <c r="AQR58"/>
      <c r="AQS58"/>
      <c r="AQT58"/>
      <c r="AQU58"/>
      <c r="AQV58"/>
      <c r="AQW58"/>
      <c r="AQX58"/>
      <c r="AQY58"/>
      <c r="AQZ58"/>
      <c r="ARA58"/>
      <c r="ARB58"/>
      <c r="ARC58"/>
      <c r="ARD58"/>
      <c r="ARE58"/>
      <c r="ARF58"/>
      <c r="ARG58"/>
      <c r="ARH58"/>
      <c r="ARI58"/>
      <c r="ARJ58"/>
      <c r="ARK58"/>
      <c r="ARL58"/>
      <c r="ARM58"/>
      <c r="ARN58"/>
      <c r="ARO58"/>
      <c r="ARP58"/>
      <c r="ARQ58"/>
      <c r="ARR58"/>
      <c r="ARS58"/>
      <c r="ART58"/>
      <c r="ARU58"/>
      <c r="ARV58"/>
      <c r="ARW58"/>
      <c r="ARX58"/>
      <c r="ARY58"/>
      <c r="ARZ58"/>
      <c r="ASA58"/>
      <c r="ASB58"/>
      <c r="ASC58"/>
      <c r="ASD58"/>
      <c r="ASE58"/>
      <c r="ASF58"/>
      <c r="ASG58"/>
      <c r="ASH58"/>
      <c r="ASI58"/>
      <c r="ASJ58"/>
      <c r="ASK58"/>
      <c r="ASL58"/>
      <c r="ASM58"/>
      <c r="ASN58"/>
      <c r="ASO58"/>
      <c r="ASP58"/>
      <c r="ASQ58"/>
      <c r="ASR58"/>
      <c r="ASS58"/>
      <c r="AST58"/>
      <c r="ASU58"/>
      <c r="ASV58"/>
      <c r="ASW58"/>
      <c r="ASX58"/>
      <c r="ASY58"/>
      <c r="ASZ58"/>
      <c r="ATA58"/>
      <c r="ATB58"/>
      <c r="ATC58"/>
      <c r="ATD58"/>
      <c r="ATE58"/>
      <c r="ATF58"/>
      <c r="ATG58"/>
      <c r="ATH58"/>
      <c r="ATI58"/>
      <c r="ATJ58"/>
      <c r="ATK58"/>
      <c r="ATL58"/>
      <c r="ATM58"/>
      <c r="ATN58"/>
      <c r="ATO58"/>
      <c r="ATP58"/>
      <c r="ATQ58"/>
      <c r="ATR58"/>
      <c r="ATS58"/>
      <c r="ATT58"/>
      <c r="ATU58"/>
      <c r="ATV58"/>
      <c r="ATW58"/>
      <c r="ATX58"/>
      <c r="ATY58"/>
      <c r="ATZ58"/>
      <c r="AUA58"/>
      <c r="AUB58"/>
      <c r="AUC58"/>
      <c r="AUD58"/>
      <c r="AUE58"/>
      <c r="AUF58"/>
      <c r="AUG58"/>
      <c r="AUH58"/>
      <c r="AUI58"/>
      <c r="AUJ58"/>
      <c r="AUK58"/>
      <c r="AUL58"/>
      <c r="AUM58"/>
      <c r="AUN58"/>
      <c r="AUO58"/>
      <c r="AUP58"/>
      <c r="AUQ58"/>
      <c r="AUR58"/>
      <c r="AUS58"/>
      <c r="AUT58"/>
      <c r="AUU58"/>
      <c r="AUV58"/>
      <c r="AUW58"/>
      <c r="AUX58"/>
      <c r="AUY58"/>
      <c r="AUZ58"/>
      <c r="AVA58"/>
      <c r="AVB58"/>
      <c r="AVC58"/>
      <c r="AVD58"/>
      <c r="AVE58"/>
      <c r="AVF58"/>
      <c r="AVG58"/>
      <c r="AVH58"/>
      <c r="AVI58"/>
      <c r="AVJ58"/>
      <c r="AVK58"/>
      <c r="AVL58"/>
      <c r="AVM58"/>
      <c r="AVN58"/>
      <c r="AVO58"/>
      <c r="AVP58"/>
      <c r="AVQ58"/>
      <c r="AVR58"/>
      <c r="AVS58"/>
      <c r="AVT58"/>
      <c r="AVU58"/>
      <c r="AVV58"/>
      <c r="AVW58"/>
      <c r="AVX58"/>
      <c r="AVY58"/>
      <c r="AVZ58"/>
      <c r="AWA58"/>
      <c r="AWB58"/>
      <c r="AWC58"/>
      <c r="AWD58"/>
      <c r="AWE58"/>
      <c r="AWF58"/>
      <c r="AWG58"/>
      <c r="AWH58"/>
      <c r="AWI58"/>
      <c r="AWJ58"/>
      <c r="AWK58"/>
      <c r="AWL58"/>
      <c r="AWM58"/>
      <c r="AWN58"/>
      <c r="AWO58"/>
      <c r="AWP58"/>
      <c r="AWQ58"/>
      <c r="AWR58"/>
      <c r="AWS58"/>
      <c r="AWT58"/>
      <c r="AWU58"/>
      <c r="AWV58"/>
      <c r="AWW58"/>
      <c r="AWX58"/>
      <c r="AWY58"/>
      <c r="AWZ58"/>
      <c r="AXA58"/>
      <c r="AXB58"/>
      <c r="AXC58"/>
      <c r="AXD58"/>
      <c r="AXE58"/>
      <c r="AXF58"/>
      <c r="AXG58"/>
      <c r="AXH58"/>
      <c r="AXI58"/>
      <c r="AXJ58"/>
      <c r="AXK58"/>
      <c r="AXL58"/>
      <c r="AXM58"/>
      <c r="AXN58"/>
      <c r="AXO58"/>
      <c r="AXP58"/>
      <c r="AXQ58"/>
      <c r="AXR58"/>
      <c r="AXS58"/>
      <c r="AXT58"/>
      <c r="AXU58"/>
      <c r="AXV58"/>
      <c r="AXW58"/>
      <c r="AXX58"/>
      <c r="AXY58"/>
      <c r="AXZ58"/>
      <c r="AYA58"/>
      <c r="AYB58"/>
      <c r="AYC58"/>
      <c r="AYD58"/>
      <c r="AYE58"/>
      <c r="AYF58"/>
      <c r="AYG58"/>
      <c r="AYH58"/>
      <c r="AYI58"/>
      <c r="AYJ58"/>
      <c r="AYK58"/>
      <c r="AYL58"/>
      <c r="AYM58"/>
      <c r="AYN58"/>
      <c r="AYO58"/>
      <c r="AYP58"/>
      <c r="AYQ58"/>
      <c r="AYR58"/>
      <c r="AYS58"/>
      <c r="AYT58"/>
      <c r="AYU58"/>
      <c r="AYV58"/>
      <c r="AYW58"/>
      <c r="AYX58"/>
      <c r="AYY58"/>
      <c r="AYZ58"/>
      <c r="AZA58"/>
      <c r="AZB58"/>
      <c r="AZC58"/>
      <c r="AZD58"/>
      <c r="AZE58"/>
      <c r="AZF58"/>
      <c r="AZG58"/>
      <c r="AZH58"/>
      <c r="AZI58"/>
      <c r="AZJ58"/>
      <c r="AZK58"/>
      <c r="AZL58"/>
      <c r="AZM58"/>
      <c r="AZN58"/>
      <c r="AZO58"/>
      <c r="AZP58"/>
      <c r="AZQ58"/>
      <c r="AZR58"/>
      <c r="AZS58"/>
      <c r="AZT58"/>
      <c r="AZU58"/>
      <c r="AZV58"/>
      <c r="AZW58"/>
      <c r="AZX58"/>
      <c r="AZY58"/>
      <c r="AZZ58"/>
      <c r="BAA58"/>
      <c r="BAB58"/>
      <c r="BAC58"/>
      <c r="BAD58"/>
      <c r="BAE58"/>
      <c r="BAF58"/>
      <c r="BAG58"/>
      <c r="BAH58"/>
      <c r="BAI58"/>
      <c r="BAJ58"/>
      <c r="BAK58"/>
      <c r="BAL58"/>
      <c r="BAM58"/>
      <c r="BAN58"/>
      <c r="BAO58"/>
      <c r="BAP58"/>
      <c r="BAQ58"/>
      <c r="BAR58"/>
      <c r="BAS58"/>
      <c r="BAT58"/>
      <c r="BAU58"/>
      <c r="BAV58"/>
      <c r="BAW58"/>
      <c r="BAX58"/>
      <c r="BAY58"/>
      <c r="BAZ58"/>
      <c r="BBA58"/>
      <c r="BBB58"/>
      <c r="BBC58"/>
      <c r="BBD58"/>
      <c r="BBE58"/>
      <c r="BBF58"/>
      <c r="BBG58"/>
      <c r="BBH58"/>
      <c r="BBI58"/>
      <c r="BBJ58"/>
      <c r="BBK58"/>
      <c r="BBL58"/>
      <c r="BBM58"/>
      <c r="BBN58"/>
      <c r="BBO58"/>
      <c r="BBP58"/>
      <c r="BBQ58"/>
      <c r="BBR58"/>
      <c r="BBS58"/>
      <c r="BBT58"/>
      <c r="BBU58"/>
      <c r="BBV58"/>
      <c r="BBW58"/>
      <c r="BBX58"/>
      <c r="BBY58"/>
      <c r="BBZ58"/>
      <c r="BCA58"/>
      <c r="BCB58"/>
      <c r="BCC58"/>
      <c r="BCD58"/>
      <c r="BCE58"/>
      <c r="BCF58"/>
      <c r="BCG58"/>
      <c r="BCH58"/>
      <c r="BCI58"/>
      <c r="BCJ58"/>
      <c r="BCK58"/>
      <c r="BCL58"/>
      <c r="BCM58"/>
      <c r="BCN58"/>
      <c r="BCO58"/>
      <c r="BCP58"/>
      <c r="BCQ58"/>
      <c r="BCR58"/>
      <c r="BCS58"/>
      <c r="BCT58"/>
      <c r="BCU58"/>
      <c r="BCV58"/>
      <c r="BCW58"/>
      <c r="BCX58"/>
      <c r="BCY58"/>
      <c r="BCZ58"/>
      <c r="BDA58"/>
      <c r="BDB58"/>
      <c r="BDC58"/>
      <c r="BDD58"/>
      <c r="BDE58"/>
      <c r="BDF58"/>
      <c r="BDG58"/>
      <c r="BDH58"/>
      <c r="BDI58"/>
      <c r="BDJ58"/>
      <c r="BDK58"/>
      <c r="BDL58"/>
      <c r="BDM58"/>
      <c r="BDN58"/>
      <c r="BDO58"/>
      <c r="BDP58"/>
      <c r="BDQ58"/>
      <c r="BDR58"/>
      <c r="BDS58"/>
      <c r="BDT58"/>
      <c r="BDU58"/>
      <c r="BDV58"/>
      <c r="BDW58"/>
      <c r="BDX58"/>
      <c r="BDY58"/>
      <c r="BDZ58"/>
      <c r="BEA58"/>
      <c r="BEB58"/>
      <c r="BEC58"/>
      <c r="BED58"/>
      <c r="BEE58"/>
      <c r="BEF58"/>
      <c r="BEG58"/>
      <c r="BEH58"/>
      <c r="BEI58"/>
      <c r="BEJ58"/>
      <c r="BEK58"/>
      <c r="BEL58"/>
      <c r="BEM58"/>
      <c r="BEN58"/>
      <c r="BEO58"/>
      <c r="BEP58"/>
      <c r="BEQ58"/>
      <c r="BER58"/>
      <c r="BES58"/>
      <c r="BET58"/>
      <c r="BEU58"/>
      <c r="BEV58"/>
      <c r="BEW58"/>
      <c r="BEX58"/>
      <c r="BEY58"/>
      <c r="BEZ58"/>
      <c r="BFA58"/>
      <c r="BFB58"/>
      <c r="BFC58"/>
      <c r="BFD58"/>
      <c r="BFE58"/>
      <c r="BFF58"/>
      <c r="BFG58"/>
      <c r="BFH58"/>
      <c r="BFI58"/>
      <c r="BFJ58"/>
      <c r="BFK58"/>
      <c r="BFL58"/>
      <c r="BFM58"/>
      <c r="BFN58"/>
      <c r="BFO58"/>
      <c r="BFP58"/>
      <c r="BFQ58"/>
      <c r="BFR58"/>
      <c r="BFS58"/>
      <c r="BFT58"/>
      <c r="BFU58"/>
      <c r="BFV58"/>
      <c r="BFW58"/>
      <c r="BFX58"/>
      <c r="BFY58"/>
      <c r="BFZ58"/>
      <c r="BGA58"/>
      <c r="BGB58"/>
      <c r="BGC58"/>
      <c r="BGD58"/>
      <c r="BGE58"/>
      <c r="BGF58"/>
      <c r="BGG58"/>
      <c r="BGH58"/>
      <c r="BGI58"/>
      <c r="BGJ58"/>
      <c r="BGK58"/>
      <c r="BGL58"/>
      <c r="BGM58"/>
      <c r="BGN58"/>
      <c r="BGO58"/>
      <c r="BGP58"/>
      <c r="BGQ58"/>
      <c r="BGR58"/>
      <c r="BGS58"/>
      <c r="BGT58"/>
      <c r="BGU58"/>
      <c r="BGV58"/>
      <c r="BGW58"/>
      <c r="BGX58"/>
      <c r="BGY58"/>
      <c r="BGZ58"/>
      <c r="BHA58"/>
      <c r="BHB58"/>
      <c r="BHC58"/>
      <c r="BHD58"/>
      <c r="BHE58"/>
      <c r="BHF58"/>
      <c r="BHG58"/>
      <c r="BHH58"/>
      <c r="BHI58"/>
      <c r="BHJ58"/>
      <c r="BHK58"/>
      <c r="BHL58"/>
      <c r="BHM58"/>
      <c r="BHN58"/>
      <c r="BHO58"/>
      <c r="BHP58"/>
      <c r="BHQ58"/>
      <c r="BHR58"/>
      <c r="BHS58"/>
      <c r="BHT58"/>
      <c r="BHU58"/>
      <c r="BHV58"/>
      <c r="BHW58"/>
      <c r="BHX58"/>
      <c r="BHY58"/>
      <c r="BHZ58"/>
      <c r="BIA58"/>
      <c r="BIB58"/>
      <c r="BIC58"/>
      <c r="BID58"/>
      <c r="BIE58"/>
      <c r="BIF58"/>
      <c r="BIG58"/>
      <c r="BIH58"/>
      <c r="BII58"/>
      <c r="BIJ58"/>
      <c r="BIK58"/>
      <c r="BIL58"/>
      <c r="BIM58"/>
      <c r="BIN58"/>
      <c r="BIO58"/>
      <c r="BIP58"/>
      <c r="BIQ58"/>
      <c r="BIR58"/>
      <c r="BIS58"/>
      <c r="BIT58"/>
      <c r="BIU58"/>
      <c r="BIV58"/>
      <c r="BIW58"/>
      <c r="BIX58"/>
      <c r="BIY58"/>
      <c r="BIZ58"/>
      <c r="BJA58"/>
      <c r="BJB58"/>
      <c r="BJC58"/>
      <c r="BJD58"/>
      <c r="BJE58"/>
      <c r="BJF58"/>
      <c r="BJG58"/>
      <c r="BJH58"/>
      <c r="BJI58"/>
      <c r="BJJ58"/>
      <c r="BJK58"/>
      <c r="BJL58"/>
      <c r="BJM58"/>
      <c r="BJN58"/>
      <c r="BJO58"/>
      <c r="BJP58"/>
      <c r="BJQ58"/>
      <c r="BJR58"/>
      <c r="BJS58"/>
      <c r="BJT58"/>
      <c r="BJU58"/>
      <c r="BJV58"/>
      <c r="BJW58"/>
      <c r="BJX58"/>
      <c r="BJY58"/>
      <c r="BJZ58"/>
      <c r="BKA58"/>
      <c r="BKB58"/>
      <c r="BKC58"/>
      <c r="BKD58"/>
      <c r="BKE58"/>
      <c r="BKF58"/>
      <c r="BKG58"/>
      <c r="BKH58"/>
      <c r="BKI58"/>
      <c r="BKJ58"/>
      <c r="BKK58"/>
      <c r="BKL58"/>
      <c r="BKM58"/>
      <c r="BKN58"/>
      <c r="BKO58"/>
      <c r="BKP58"/>
      <c r="BKQ58"/>
      <c r="BKR58"/>
      <c r="BKS58"/>
      <c r="BKT58"/>
      <c r="BKU58"/>
      <c r="BKV58"/>
      <c r="BKW58"/>
      <c r="BKX58"/>
      <c r="BKY58"/>
      <c r="BKZ58"/>
      <c r="BLA58"/>
      <c r="BLB58"/>
      <c r="BLC58"/>
      <c r="BLD58"/>
      <c r="BLE58"/>
      <c r="BLF58"/>
      <c r="BLG58"/>
      <c r="BLH58"/>
      <c r="BLI58"/>
      <c r="BLJ58"/>
      <c r="BLK58"/>
      <c r="BLL58"/>
      <c r="BLM58"/>
      <c r="BLN58"/>
      <c r="BLO58"/>
      <c r="BLP58"/>
      <c r="BLQ58"/>
      <c r="BLR58"/>
      <c r="BLS58"/>
      <c r="BLT58"/>
      <c r="BLU58"/>
      <c r="BLV58"/>
      <c r="BLW58"/>
      <c r="BLX58"/>
      <c r="BLY58"/>
      <c r="BLZ58"/>
      <c r="BMA58"/>
      <c r="BMB58"/>
      <c r="BMC58"/>
      <c r="BMD58"/>
      <c r="BME58"/>
      <c r="BMF58"/>
      <c r="BMG58"/>
      <c r="BMH58"/>
      <c r="BMI58"/>
      <c r="BMJ58"/>
      <c r="BMK58"/>
      <c r="BML58"/>
      <c r="BMM58"/>
      <c r="BMN58"/>
      <c r="BMO58"/>
      <c r="BMP58"/>
      <c r="BMQ58"/>
      <c r="BMR58"/>
      <c r="BMS58"/>
      <c r="BMT58"/>
      <c r="BMU58"/>
      <c r="BMV58"/>
      <c r="BMW58"/>
      <c r="BMX58"/>
      <c r="BMY58"/>
      <c r="BMZ58"/>
      <c r="BNA58"/>
      <c r="BNB58"/>
      <c r="BNC58"/>
      <c r="BND58"/>
      <c r="BNE58"/>
      <c r="BNF58"/>
      <c r="BNG58"/>
      <c r="BNH58"/>
      <c r="BNI58"/>
      <c r="BNJ58"/>
      <c r="BNK58"/>
      <c r="BNL58"/>
      <c r="BNM58"/>
      <c r="BNN58"/>
      <c r="BNO58"/>
      <c r="BNP58"/>
      <c r="BNQ58"/>
      <c r="BNR58"/>
      <c r="BNS58"/>
      <c r="BNT58"/>
      <c r="BNU58"/>
      <c r="BNV58"/>
      <c r="BNW58"/>
      <c r="BNX58"/>
      <c r="BNY58"/>
      <c r="BNZ58"/>
      <c r="BOA58"/>
      <c r="BOB58"/>
      <c r="BOC58"/>
      <c r="BOD58"/>
      <c r="BOE58"/>
      <c r="BOF58"/>
      <c r="BOG58"/>
      <c r="BOH58"/>
      <c r="BOI58"/>
      <c r="BOJ58"/>
      <c r="BOK58"/>
      <c r="BOL58"/>
      <c r="BOM58"/>
      <c r="BON58"/>
      <c r="BOO58"/>
      <c r="BOP58"/>
      <c r="BOQ58"/>
      <c r="BOR58"/>
      <c r="BOS58"/>
      <c r="BOT58"/>
      <c r="BOU58"/>
      <c r="BOV58"/>
      <c r="BOW58"/>
      <c r="BOX58"/>
      <c r="BOY58"/>
      <c r="BOZ58"/>
      <c r="BPA58"/>
      <c r="BPB58"/>
      <c r="BPC58"/>
      <c r="BPD58"/>
      <c r="BPE58"/>
      <c r="BPF58"/>
      <c r="BPG58"/>
      <c r="BPH58"/>
      <c r="BPI58"/>
      <c r="BPJ58"/>
      <c r="BPK58"/>
      <c r="BPL58"/>
      <c r="BPM58"/>
      <c r="BPN58"/>
      <c r="BPO58"/>
      <c r="BPP58"/>
      <c r="BPQ58"/>
      <c r="BPR58"/>
      <c r="BPS58"/>
      <c r="BPT58"/>
      <c r="BPU58"/>
      <c r="BPV58"/>
      <c r="BPW58"/>
      <c r="BPX58"/>
      <c r="BPY58"/>
      <c r="BPZ58"/>
      <c r="BQA58"/>
      <c r="BQB58"/>
      <c r="BQC58"/>
      <c r="BQD58"/>
      <c r="BQE58"/>
      <c r="BQF58"/>
      <c r="BQG58"/>
      <c r="BQH58"/>
      <c r="BQI58"/>
      <c r="BQJ58"/>
      <c r="BQK58"/>
      <c r="BQL58"/>
      <c r="BQM58"/>
      <c r="BQN58"/>
      <c r="BQO58"/>
      <c r="BQP58"/>
      <c r="BQQ58"/>
      <c r="BQR58"/>
      <c r="BQS58"/>
      <c r="BQT58"/>
      <c r="BQU58"/>
      <c r="BQV58"/>
      <c r="BQW58"/>
      <c r="BQX58"/>
      <c r="BQY58"/>
      <c r="BQZ58"/>
      <c r="BRA58"/>
      <c r="BRB58"/>
      <c r="BRC58"/>
      <c r="BRD58"/>
      <c r="BRE58"/>
      <c r="BRF58"/>
      <c r="BRG58"/>
      <c r="BRH58"/>
      <c r="BRI58"/>
      <c r="BRJ58"/>
      <c r="BRK58"/>
      <c r="BRL58"/>
      <c r="BRM58"/>
      <c r="BRN58"/>
      <c r="BRO58"/>
      <c r="BRP58"/>
      <c r="BRQ58"/>
      <c r="BRR58"/>
      <c r="BRS58"/>
      <c r="BRT58"/>
      <c r="BRU58"/>
      <c r="BRV58"/>
      <c r="BRW58"/>
      <c r="BRX58"/>
      <c r="BRY58"/>
      <c r="BRZ58"/>
      <c r="BSA58"/>
      <c r="BSB58"/>
      <c r="BSC58"/>
      <c r="BSD58"/>
      <c r="BSE58"/>
      <c r="BSF58"/>
      <c r="BSG58"/>
      <c r="BSH58"/>
      <c r="BSI58"/>
      <c r="BSJ58"/>
      <c r="BSK58"/>
      <c r="BSL58"/>
      <c r="BSM58"/>
      <c r="BSN58"/>
      <c r="BSO58"/>
      <c r="BSP58"/>
      <c r="BSQ58"/>
      <c r="BSR58"/>
      <c r="BSS58"/>
      <c r="BST58"/>
      <c r="BSU58"/>
      <c r="BSV58"/>
      <c r="BSW58"/>
      <c r="BSX58"/>
      <c r="BSY58"/>
      <c r="BSZ58"/>
      <c r="BTA58"/>
      <c r="BTB58"/>
      <c r="BTC58"/>
      <c r="BTD58"/>
      <c r="BTE58"/>
      <c r="BTF58"/>
      <c r="BTG58"/>
      <c r="BTH58"/>
      <c r="BTI58"/>
      <c r="BTJ58"/>
      <c r="BTK58"/>
      <c r="BTL58"/>
      <c r="BTM58"/>
      <c r="BTN58"/>
      <c r="BTO58"/>
      <c r="BTP58"/>
      <c r="BTQ58"/>
      <c r="BTR58"/>
      <c r="BTS58"/>
      <c r="BTT58"/>
      <c r="BTU58"/>
      <c r="BTV58"/>
      <c r="BTW58"/>
      <c r="BTX58"/>
      <c r="BTY58"/>
      <c r="BTZ58"/>
      <c r="BUA58"/>
      <c r="BUB58"/>
      <c r="BUC58"/>
      <c r="BUD58"/>
      <c r="BUE58"/>
      <c r="BUF58"/>
      <c r="BUG58"/>
      <c r="BUH58"/>
      <c r="BUI58"/>
      <c r="BUJ58"/>
      <c r="BUK58"/>
      <c r="BUL58"/>
      <c r="BUM58"/>
      <c r="BUN58"/>
      <c r="BUO58"/>
      <c r="BUP58"/>
      <c r="BUQ58"/>
      <c r="BUR58"/>
      <c r="BUS58"/>
      <c r="BUT58"/>
      <c r="BUU58"/>
      <c r="BUV58"/>
      <c r="BUW58"/>
      <c r="BUX58"/>
      <c r="BUY58"/>
      <c r="BUZ58"/>
      <c r="BVA58"/>
      <c r="BVB58"/>
      <c r="BVC58"/>
      <c r="BVD58"/>
      <c r="BVE58"/>
      <c r="BVF58"/>
      <c r="BVG58"/>
      <c r="BVH58"/>
      <c r="BVI58"/>
      <c r="BVJ58"/>
      <c r="BVK58"/>
      <c r="BVL58"/>
      <c r="BVM58"/>
      <c r="BVN58"/>
      <c r="BVO58"/>
      <c r="BVP58"/>
      <c r="BVQ58"/>
      <c r="BVR58"/>
      <c r="BVS58"/>
      <c r="BVT58"/>
      <c r="BVU58"/>
      <c r="BVV58"/>
      <c r="BVW58"/>
      <c r="BVX58"/>
      <c r="BVY58"/>
      <c r="BVZ58"/>
      <c r="BWA58"/>
      <c r="BWB58"/>
      <c r="BWC58"/>
      <c r="BWD58"/>
      <c r="BWE58"/>
      <c r="BWF58"/>
      <c r="BWG58"/>
      <c r="BWH58"/>
      <c r="BWI58"/>
      <c r="BWJ58"/>
      <c r="BWK58"/>
      <c r="BWL58"/>
      <c r="BWM58"/>
      <c r="BWN58"/>
      <c r="BWO58"/>
      <c r="BWP58"/>
      <c r="BWQ58"/>
      <c r="BWR58"/>
      <c r="BWS58"/>
      <c r="BWT58"/>
      <c r="BWU58"/>
      <c r="BWV58"/>
      <c r="BWW58"/>
      <c r="BWX58"/>
      <c r="BWY58"/>
      <c r="BWZ58"/>
      <c r="BXA58"/>
      <c r="BXB58"/>
      <c r="BXC58"/>
      <c r="BXD58"/>
      <c r="BXE58"/>
      <c r="BXF58"/>
      <c r="BXG58"/>
      <c r="BXH58"/>
      <c r="BXI58"/>
      <c r="BXJ58"/>
      <c r="BXK58"/>
      <c r="BXL58"/>
      <c r="BXM58"/>
      <c r="BXN58"/>
      <c r="BXO58"/>
      <c r="BXP58"/>
      <c r="BXQ58"/>
      <c r="BXR58"/>
      <c r="BXS58"/>
      <c r="BXT58"/>
      <c r="BXU58"/>
      <c r="BXV58"/>
      <c r="BXW58"/>
      <c r="BXX58"/>
      <c r="BXY58"/>
      <c r="BXZ58"/>
      <c r="BYA58"/>
      <c r="BYB58"/>
      <c r="BYC58"/>
      <c r="BYD58"/>
      <c r="BYE58"/>
      <c r="BYF58"/>
      <c r="BYG58"/>
      <c r="BYH58"/>
      <c r="BYI58"/>
      <c r="BYJ58"/>
      <c r="BYK58"/>
      <c r="BYL58"/>
      <c r="BYM58"/>
      <c r="BYN58"/>
      <c r="BYO58"/>
      <c r="BYP58"/>
      <c r="BYQ58"/>
      <c r="BYR58"/>
      <c r="BYS58"/>
      <c r="BYT58"/>
      <c r="BYU58"/>
      <c r="BYV58"/>
      <c r="BYW58"/>
      <c r="BYX58"/>
      <c r="BYY58"/>
      <c r="BYZ58"/>
      <c r="BZA58"/>
      <c r="BZB58"/>
      <c r="BZC58"/>
      <c r="BZD58"/>
      <c r="BZE58"/>
      <c r="BZF58"/>
      <c r="BZG58"/>
      <c r="BZH58"/>
      <c r="BZI58"/>
      <c r="BZJ58"/>
      <c r="BZK58"/>
      <c r="BZL58"/>
      <c r="BZM58"/>
      <c r="BZN58"/>
      <c r="BZO58"/>
      <c r="BZP58"/>
      <c r="BZQ58"/>
      <c r="BZR58"/>
      <c r="BZS58"/>
      <c r="BZT58"/>
      <c r="BZU58"/>
      <c r="BZV58"/>
      <c r="BZW58"/>
      <c r="BZX58"/>
      <c r="BZY58"/>
      <c r="BZZ58"/>
      <c r="CAA58"/>
      <c r="CAB58"/>
      <c r="CAC58"/>
      <c r="CAD58"/>
      <c r="CAE58"/>
      <c r="CAF58"/>
      <c r="CAG58"/>
      <c r="CAH58"/>
      <c r="CAI58"/>
      <c r="CAJ58"/>
      <c r="CAK58"/>
      <c r="CAL58"/>
      <c r="CAM58"/>
      <c r="CAN58"/>
      <c r="CAO58"/>
      <c r="CAP58"/>
      <c r="CAQ58"/>
      <c r="CAR58"/>
      <c r="CAS58"/>
      <c r="CAT58"/>
      <c r="CAU58"/>
      <c r="CAV58"/>
      <c r="CAW58"/>
      <c r="CAX58"/>
      <c r="CAY58"/>
      <c r="CAZ58"/>
      <c r="CBA58"/>
      <c r="CBB58"/>
      <c r="CBC58"/>
      <c r="CBD58"/>
      <c r="CBE58"/>
      <c r="CBF58"/>
      <c r="CBG58"/>
      <c r="CBH58"/>
      <c r="CBI58"/>
      <c r="CBJ58"/>
      <c r="CBK58"/>
      <c r="CBL58"/>
      <c r="CBM58"/>
      <c r="CBN58"/>
      <c r="CBO58"/>
      <c r="CBP58"/>
      <c r="CBQ58"/>
      <c r="CBR58"/>
      <c r="CBS58"/>
      <c r="CBT58"/>
      <c r="CBU58"/>
      <c r="CBV58"/>
      <c r="CBW58"/>
      <c r="CBX58"/>
      <c r="CBY58"/>
      <c r="CBZ58"/>
      <c r="CCA58"/>
      <c r="CCB58"/>
      <c r="CCC58"/>
      <c r="CCD58"/>
      <c r="CCE58"/>
      <c r="CCF58"/>
      <c r="CCG58"/>
      <c r="CCH58"/>
      <c r="CCI58"/>
      <c r="CCJ58"/>
      <c r="CCK58"/>
      <c r="CCL58"/>
      <c r="CCM58"/>
      <c r="CCN58"/>
      <c r="CCO58"/>
      <c r="CCP58"/>
      <c r="CCQ58"/>
      <c r="CCR58"/>
      <c r="CCS58"/>
      <c r="CCT58"/>
      <c r="CCU58"/>
      <c r="CCV58"/>
      <c r="CCW58"/>
      <c r="CCX58"/>
      <c r="CCY58"/>
      <c r="CCZ58"/>
      <c r="CDA58"/>
      <c r="CDB58"/>
      <c r="CDC58"/>
      <c r="CDD58"/>
      <c r="CDE58"/>
      <c r="CDF58"/>
      <c r="CDG58"/>
      <c r="CDH58"/>
      <c r="CDI58"/>
      <c r="CDJ58"/>
      <c r="CDK58"/>
      <c r="CDL58"/>
      <c r="CDM58"/>
      <c r="CDN58"/>
      <c r="CDO58"/>
      <c r="CDP58"/>
      <c r="CDQ58"/>
      <c r="CDR58"/>
      <c r="CDS58"/>
      <c r="CDT58"/>
      <c r="CDU58"/>
      <c r="CDV58"/>
      <c r="CDW58"/>
      <c r="CDX58"/>
      <c r="CDY58"/>
      <c r="CDZ58"/>
      <c r="CEA58"/>
      <c r="CEB58"/>
      <c r="CEC58"/>
      <c r="CED58"/>
      <c r="CEE58"/>
      <c r="CEF58"/>
      <c r="CEG58"/>
      <c r="CEH58"/>
      <c r="CEI58"/>
      <c r="CEJ58"/>
      <c r="CEK58"/>
      <c r="CEL58"/>
      <c r="CEM58"/>
      <c r="CEN58"/>
      <c r="CEO58"/>
      <c r="CEP58"/>
      <c r="CEQ58"/>
      <c r="CER58"/>
      <c r="CES58"/>
      <c r="CET58"/>
      <c r="CEU58"/>
      <c r="CEV58"/>
      <c r="CEW58"/>
      <c r="CEX58"/>
      <c r="CEY58"/>
      <c r="CEZ58"/>
      <c r="CFA58"/>
      <c r="CFB58"/>
      <c r="CFC58"/>
      <c r="CFD58"/>
      <c r="CFE58"/>
      <c r="CFF58"/>
      <c r="CFG58"/>
      <c r="CFH58"/>
      <c r="CFI58"/>
      <c r="CFJ58"/>
      <c r="CFK58"/>
      <c r="CFL58"/>
      <c r="CFM58"/>
      <c r="CFN58"/>
      <c r="CFO58"/>
      <c r="CFP58"/>
      <c r="CFQ58"/>
      <c r="CFR58"/>
      <c r="CFS58"/>
      <c r="CFT58"/>
      <c r="CFU58"/>
      <c r="CFV58"/>
      <c r="CFW58"/>
      <c r="CFX58"/>
      <c r="CFY58"/>
      <c r="CFZ58"/>
      <c r="CGA58"/>
      <c r="CGB58"/>
      <c r="CGC58"/>
      <c r="CGD58"/>
      <c r="CGE58"/>
      <c r="CGF58"/>
      <c r="CGG58"/>
      <c r="CGH58"/>
      <c r="CGI58"/>
      <c r="CGJ58"/>
      <c r="CGK58"/>
      <c r="CGL58"/>
      <c r="CGM58"/>
      <c r="CGN58"/>
      <c r="CGO58"/>
      <c r="CGP58"/>
      <c r="CGQ58"/>
      <c r="CGR58"/>
      <c r="CGS58"/>
      <c r="CGT58"/>
      <c r="CGU58"/>
      <c r="CGV58"/>
      <c r="CGW58"/>
      <c r="CGX58"/>
      <c r="CGY58"/>
      <c r="CGZ58"/>
      <c r="CHA58"/>
      <c r="CHB58"/>
      <c r="CHC58"/>
      <c r="CHD58"/>
      <c r="CHE58"/>
      <c r="CHF58"/>
      <c r="CHG58"/>
      <c r="CHH58"/>
      <c r="CHI58"/>
      <c r="CHJ58"/>
      <c r="CHK58"/>
      <c r="CHL58"/>
      <c r="CHM58"/>
      <c r="CHN58"/>
      <c r="CHO58"/>
      <c r="CHP58"/>
      <c r="CHQ58"/>
      <c r="CHR58"/>
      <c r="CHS58"/>
      <c r="CHT58"/>
      <c r="CHU58"/>
      <c r="CHV58"/>
      <c r="CHW58"/>
      <c r="CHX58"/>
      <c r="CHY58"/>
      <c r="CHZ58"/>
      <c r="CIA58"/>
      <c r="CIB58"/>
      <c r="CIC58"/>
      <c r="CID58"/>
      <c r="CIE58"/>
      <c r="CIF58"/>
      <c r="CIG58"/>
      <c r="CIH58"/>
      <c r="CII58"/>
      <c r="CIJ58"/>
      <c r="CIK58"/>
      <c r="CIL58"/>
      <c r="CIM58"/>
      <c r="CIN58"/>
      <c r="CIO58"/>
      <c r="CIP58"/>
      <c r="CIQ58"/>
      <c r="CIR58"/>
      <c r="CIS58"/>
      <c r="CIT58"/>
      <c r="CIU58"/>
      <c r="CIV58"/>
      <c r="CIW58"/>
      <c r="CIX58"/>
      <c r="CIY58"/>
      <c r="CIZ58"/>
      <c r="CJA58"/>
      <c r="CJB58"/>
      <c r="CJC58"/>
      <c r="CJD58"/>
      <c r="CJE58"/>
      <c r="CJF58"/>
      <c r="CJG58"/>
      <c r="CJH58"/>
      <c r="CJI58"/>
      <c r="CJJ58"/>
      <c r="CJK58"/>
      <c r="CJL58"/>
      <c r="CJM58"/>
      <c r="CJN58"/>
      <c r="CJO58"/>
      <c r="CJP58"/>
      <c r="CJQ58"/>
      <c r="CJR58"/>
      <c r="CJS58"/>
      <c r="CJT58"/>
      <c r="CJU58"/>
      <c r="CJV58"/>
      <c r="CJW58"/>
      <c r="CJX58"/>
      <c r="CJY58"/>
      <c r="CJZ58"/>
      <c r="CKA58"/>
      <c r="CKB58"/>
      <c r="CKC58"/>
      <c r="CKD58"/>
      <c r="CKE58"/>
      <c r="CKF58"/>
      <c r="CKG58"/>
      <c r="CKH58"/>
      <c r="CKI58"/>
      <c r="CKJ58"/>
      <c r="CKK58"/>
      <c r="CKL58"/>
      <c r="CKM58"/>
      <c r="CKN58"/>
      <c r="CKO58"/>
      <c r="CKP58"/>
      <c r="CKQ58"/>
      <c r="CKR58"/>
      <c r="CKS58"/>
      <c r="CKT58"/>
      <c r="CKU58"/>
      <c r="CKV58"/>
      <c r="CKW58"/>
      <c r="CKX58"/>
      <c r="CKY58"/>
      <c r="CKZ58"/>
      <c r="CLA58"/>
      <c r="CLB58"/>
      <c r="CLC58"/>
      <c r="CLD58"/>
      <c r="CLE58"/>
      <c r="CLF58"/>
      <c r="CLG58"/>
      <c r="CLH58"/>
      <c r="CLI58"/>
      <c r="CLJ58"/>
      <c r="CLK58"/>
      <c r="CLL58"/>
      <c r="CLM58"/>
      <c r="CLN58"/>
      <c r="CLO58"/>
      <c r="CLP58"/>
      <c r="CLQ58"/>
      <c r="CLR58"/>
      <c r="CLS58"/>
      <c r="CLT58"/>
      <c r="CLU58"/>
      <c r="CLV58"/>
      <c r="CLW58"/>
      <c r="CLX58"/>
      <c r="CLY58"/>
      <c r="CLZ58"/>
      <c r="CMA58"/>
      <c r="CMB58"/>
      <c r="CMC58"/>
      <c r="CMD58"/>
      <c r="CME58"/>
      <c r="CMF58"/>
      <c r="CMG58"/>
      <c r="CMH58"/>
      <c r="CMI58"/>
      <c r="CMJ58"/>
      <c r="CMK58"/>
      <c r="CML58"/>
      <c r="CMM58"/>
      <c r="CMN58"/>
      <c r="CMO58"/>
      <c r="CMP58"/>
      <c r="CMQ58"/>
      <c r="CMR58"/>
      <c r="CMS58"/>
      <c r="CMT58"/>
      <c r="CMU58"/>
      <c r="CMV58"/>
      <c r="CMW58"/>
      <c r="CMX58"/>
      <c r="CMY58"/>
      <c r="CMZ58"/>
      <c r="CNA58"/>
      <c r="CNB58"/>
      <c r="CNC58"/>
      <c r="CND58"/>
      <c r="CNE58"/>
      <c r="CNF58"/>
      <c r="CNG58"/>
      <c r="CNH58"/>
      <c r="CNI58"/>
      <c r="CNJ58"/>
      <c r="CNK58"/>
      <c r="CNL58"/>
      <c r="CNM58"/>
      <c r="CNN58"/>
      <c r="CNO58"/>
      <c r="CNP58"/>
      <c r="CNQ58"/>
      <c r="CNR58"/>
      <c r="CNS58"/>
      <c r="CNT58"/>
      <c r="CNU58"/>
      <c r="CNV58"/>
      <c r="CNW58"/>
      <c r="CNX58"/>
      <c r="CNY58"/>
      <c r="CNZ58"/>
      <c r="COA58"/>
      <c r="COB58"/>
      <c r="COC58"/>
      <c r="COD58"/>
      <c r="COE58"/>
      <c r="COF58"/>
      <c r="COG58"/>
      <c r="COH58"/>
      <c r="COI58"/>
      <c r="COJ58"/>
      <c r="COK58"/>
      <c r="COL58"/>
      <c r="COM58"/>
      <c r="CON58"/>
      <c r="COO58"/>
      <c r="COP58"/>
      <c r="COQ58"/>
      <c r="COR58"/>
      <c r="COS58"/>
      <c r="COT58"/>
      <c r="COU58"/>
      <c r="COV58"/>
      <c r="COW58"/>
      <c r="COX58"/>
      <c r="COY58"/>
      <c r="COZ58"/>
      <c r="CPA58"/>
      <c r="CPB58"/>
      <c r="CPC58"/>
      <c r="CPD58"/>
      <c r="CPE58"/>
      <c r="CPF58"/>
      <c r="CPG58"/>
      <c r="CPH58"/>
      <c r="CPI58"/>
      <c r="CPJ58"/>
      <c r="CPK58"/>
      <c r="CPL58"/>
      <c r="CPM58"/>
      <c r="CPN58"/>
      <c r="CPO58"/>
      <c r="CPP58"/>
      <c r="CPQ58"/>
      <c r="CPR58"/>
      <c r="CPS58"/>
      <c r="CPT58"/>
      <c r="CPU58"/>
      <c r="CPV58"/>
      <c r="CPW58"/>
      <c r="CPX58"/>
      <c r="CPY58"/>
      <c r="CPZ58"/>
      <c r="CQA58"/>
      <c r="CQB58"/>
      <c r="CQC58"/>
      <c r="CQD58"/>
      <c r="CQE58"/>
      <c r="CQF58"/>
      <c r="CQG58"/>
      <c r="CQH58"/>
      <c r="CQI58"/>
      <c r="CQJ58"/>
      <c r="CQK58"/>
      <c r="CQL58"/>
      <c r="CQM58"/>
      <c r="CQN58"/>
      <c r="CQO58"/>
      <c r="CQP58"/>
      <c r="CQQ58"/>
      <c r="CQR58"/>
      <c r="CQS58"/>
      <c r="CQT58"/>
      <c r="CQU58"/>
      <c r="CQV58"/>
      <c r="CQW58"/>
      <c r="CQX58"/>
      <c r="CQY58"/>
      <c r="CQZ58"/>
      <c r="CRA58"/>
      <c r="CRB58"/>
      <c r="CRC58"/>
      <c r="CRD58"/>
      <c r="CRE58"/>
      <c r="CRF58"/>
      <c r="CRG58"/>
      <c r="CRH58"/>
      <c r="CRI58"/>
      <c r="CRJ58"/>
      <c r="CRK58"/>
      <c r="CRL58"/>
      <c r="CRM58"/>
      <c r="CRN58"/>
      <c r="CRO58"/>
      <c r="CRP58"/>
      <c r="CRQ58"/>
      <c r="CRR58"/>
      <c r="CRS58"/>
      <c r="CRT58"/>
      <c r="CRU58"/>
      <c r="CRV58"/>
      <c r="CRW58"/>
      <c r="CRX58"/>
      <c r="CRY58"/>
      <c r="CRZ58"/>
      <c r="CSA58"/>
      <c r="CSB58"/>
      <c r="CSC58"/>
      <c r="CSD58"/>
      <c r="CSE58"/>
      <c r="CSF58"/>
      <c r="CSG58"/>
      <c r="CSH58"/>
      <c r="CSI58"/>
      <c r="CSJ58"/>
      <c r="CSK58"/>
      <c r="CSL58"/>
      <c r="CSM58"/>
      <c r="CSN58"/>
      <c r="CSO58"/>
      <c r="CSP58"/>
      <c r="CSQ58"/>
      <c r="CSR58"/>
      <c r="CSS58"/>
      <c r="CST58"/>
      <c r="CSU58"/>
      <c r="CSV58"/>
      <c r="CSW58"/>
      <c r="CSX58"/>
      <c r="CSY58"/>
      <c r="CSZ58"/>
      <c r="CTA58"/>
      <c r="CTB58"/>
      <c r="CTC58"/>
      <c r="CTD58"/>
      <c r="CTE58"/>
      <c r="CTF58"/>
      <c r="CTG58"/>
      <c r="CTH58"/>
      <c r="CTI58"/>
      <c r="CTJ58"/>
      <c r="CTK58"/>
      <c r="CTL58"/>
      <c r="CTM58"/>
      <c r="CTN58"/>
      <c r="CTO58"/>
      <c r="CTP58"/>
      <c r="CTQ58"/>
      <c r="CTR58"/>
      <c r="CTS58"/>
      <c r="CTT58"/>
      <c r="CTU58"/>
      <c r="CTV58"/>
      <c r="CTW58"/>
      <c r="CTX58"/>
      <c r="CTY58"/>
      <c r="CTZ58"/>
      <c r="CUA58"/>
      <c r="CUB58"/>
      <c r="CUC58"/>
      <c r="CUD58"/>
      <c r="CUE58"/>
      <c r="CUF58"/>
      <c r="CUG58"/>
      <c r="CUH58"/>
      <c r="CUI58"/>
      <c r="CUJ58"/>
      <c r="CUK58"/>
      <c r="CUL58"/>
      <c r="CUM58"/>
      <c r="CUN58"/>
      <c r="CUO58"/>
      <c r="CUP58"/>
      <c r="CUQ58"/>
      <c r="CUR58"/>
      <c r="CUS58"/>
      <c r="CUT58"/>
      <c r="CUU58"/>
      <c r="CUV58"/>
      <c r="CUW58"/>
      <c r="CUX58"/>
      <c r="CUY58"/>
      <c r="CUZ58"/>
      <c r="CVA58"/>
      <c r="CVB58"/>
      <c r="CVC58"/>
      <c r="CVD58"/>
      <c r="CVE58"/>
      <c r="CVF58"/>
      <c r="CVG58"/>
      <c r="CVH58"/>
      <c r="CVI58"/>
      <c r="CVJ58"/>
      <c r="CVK58"/>
      <c r="CVL58"/>
      <c r="CVM58"/>
      <c r="CVN58"/>
      <c r="CVO58"/>
      <c r="CVP58"/>
      <c r="CVQ58"/>
      <c r="CVR58"/>
      <c r="CVS58"/>
      <c r="CVT58"/>
      <c r="CVU58"/>
      <c r="CVV58"/>
      <c r="CVW58"/>
      <c r="CVX58"/>
      <c r="CVY58"/>
      <c r="CVZ58"/>
      <c r="CWA58"/>
      <c r="CWB58"/>
      <c r="CWC58"/>
      <c r="CWD58"/>
      <c r="CWE58"/>
      <c r="CWF58"/>
      <c r="CWG58"/>
      <c r="CWH58"/>
      <c r="CWI58"/>
      <c r="CWJ58"/>
      <c r="CWK58"/>
      <c r="CWL58"/>
      <c r="CWM58"/>
      <c r="CWN58"/>
      <c r="CWO58"/>
      <c r="CWP58"/>
      <c r="CWQ58"/>
      <c r="CWR58"/>
      <c r="CWS58"/>
      <c r="CWT58"/>
      <c r="CWU58"/>
      <c r="CWV58"/>
      <c r="CWW58"/>
      <c r="CWX58"/>
      <c r="CWY58"/>
      <c r="CWZ58"/>
      <c r="CXA58"/>
      <c r="CXB58"/>
      <c r="CXC58"/>
      <c r="CXD58"/>
      <c r="CXE58"/>
      <c r="CXF58"/>
      <c r="CXG58"/>
      <c r="CXH58"/>
      <c r="CXI58"/>
      <c r="CXJ58"/>
      <c r="CXK58"/>
      <c r="CXL58"/>
      <c r="CXM58"/>
      <c r="CXN58"/>
      <c r="CXO58"/>
      <c r="CXP58"/>
      <c r="CXQ58"/>
      <c r="CXR58"/>
      <c r="CXS58"/>
      <c r="CXT58"/>
      <c r="CXU58"/>
      <c r="CXV58"/>
      <c r="CXW58"/>
      <c r="CXX58"/>
      <c r="CXY58"/>
      <c r="CXZ58"/>
      <c r="CYA58"/>
      <c r="CYB58"/>
      <c r="CYC58"/>
      <c r="CYD58"/>
      <c r="CYE58"/>
      <c r="CYF58"/>
      <c r="CYG58"/>
      <c r="CYH58"/>
      <c r="CYI58"/>
      <c r="CYJ58"/>
      <c r="CYK58"/>
      <c r="CYL58"/>
      <c r="CYM58"/>
      <c r="CYN58"/>
      <c r="CYO58"/>
      <c r="CYP58"/>
      <c r="CYQ58"/>
      <c r="CYR58"/>
      <c r="CYS58"/>
      <c r="CYT58"/>
      <c r="CYU58"/>
      <c r="CYV58"/>
      <c r="CYW58"/>
      <c r="CYX58"/>
      <c r="CYY58"/>
      <c r="CYZ58"/>
      <c r="CZA58"/>
      <c r="CZB58"/>
      <c r="CZC58"/>
      <c r="CZD58"/>
      <c r="CZE58"/>
      <c r="CZF58"/>
      <c r="CZG58"/>
      <c r="CZH58"/>
      <c r="CZI58"/>
      <c r="CZJ58"/>
      <c r="CZK58"/>
      <c r="CZL58"/>
      <c r="CZM58"/>
      <c r="CZN58"/>
      <c r="CZO58"/>
      <c r="CZP58"/>
      <c r="CZQ58"/>
      <c r="CZR58"/>
      <c r="CZS58"/>
      <c r="CZT58"/>
      <c r="CZU58"/>
      <c r="CZV58"/>
      <c r="CZW58"/>
      <c r="CZX58"/>
      <c r="CZY58"/>
      <c r="CZZ58"/>
      <c r="DAA58"/>
      <c r="DAB58"/>
      <c r="DAC58"/>
      <c r="DAD58"/>
      <c r="DAE58"/>
      <c r="DAF58"/>
      <c r="DAG58"/>
      <c r="DAH58"/>
      <c r="DAI58"/>
      <c r="DAJ58"/>
      <c r="DAK58"/>
      <c r="DAL58"/>
      <c r="DAM58"/>
      <c r="DAN58"/>
      <c r="DAO58"/>
      <c r="DAP58"/>
      <c r="DAQ58"/>
      <c r="DAR58"/>
      <c r="DAS58"/>
      <c r="DAT58"/>
      <c r="DAU58"/>
      <c r="DAV58"/>
      <c r="DAW58"/>
      <c r="DAX58"/>
      <c r="DAY58"/>
      <c r="DAZ58"/>
      <c r="DBA58"/>
      <c r="DBB58"/>
      <c r="DBC58"/>
      <c r="DBD58"/>
      <c r="DBE58"/>
      <c r="DBF58"/>
      <c r="DBG58"/>
      <c r="DBH58"/>
      <c r="DBI58"/>
      <c r="DBJ58"/>
      <c r="DBK58"/>
      <c r="DBL58"/>
      <c r="DBM58"/>
      <c r="DBN58"/>
      <c r="DBO58"/>
      <c r="DBP58"/>
      <c r="DBQ58"/>
      <c r="DBR58"/>
      <c r="DBS58"/>
      <c r="DBT58"/>
      <c r="DBU58"/>
      <c r="DBV58"/>
      <c r="DBW58"/>
      <c r="DBX58"/>
      <c r="DBY58"/>
      <c r="DBZ58"/>
      <c r="DCA58"/>
      <c r="DCB58"/>
      <c r="DCC58"/>
      <c r="DCD58"/>
      <c r="DCE58"/>
      <c r="DCF58"/>
      <c r="DCG58"/>
      <c r="DCH58"/>
      <c r="DCI58"/>
      <c r="DCJ58"/>
      <c r="DCK58"/>
      <c r="DCL58"/>
      <c r="DCM58"/>
      <c r="DCN58"/>
      <c r="DCO58"/>
      <c r="DCP58"/>
      <c r="DCQ58"/>
      <c r="DCR58"/>
      <c r="DCS58"/>
      <c r="DCT58"/>
      <c r="DCU58"/>
      <c r="DCV58"/>
      <c r="DCW58"/>
      <c r="DCX58"/>
      <c r="DCY58"/>
      <c r="DCZ58"/>
      <c r="DDA58"/>
      <c r="DDB58"/>
      <c r="DDC58"/>
      <c r="DDD58"/>
      <c r="DDE58"/>
      <c r="DDF58"/>
      <c r="DDG58"/>
      <c r="DDH58"/>
      <c r="DDI58"/>
      <c r="DDJ58"/>
      <c r="DDK58"/>
      <c r="DDL58"/>
      <c r="DDM58"/>
      <c r="DDN58"/>
      <c r="DDO58"/>
      <c r="DDP58"/>
      <c r="DDQ58"/>
      <c r="DDR58"/>
      <c r="DDS58"/>
      <c r="DDT58"/>
      <c r="DDU58"/>
      <c r="DDV58"/>
      <c r="DDW58"/>
      <c r="DDX58"/>
      <c r="DDY58"/>
      <c r="DDZ58"/>
      <c r="DEA58"/>
      <c r="DEB58"/>
      <c r="DEC58"/>
      <c r="DED58"/>
      <c r="DEE58"/>
      <c r="DEF58"/>
      <c r="DEG58"/>
      <c r="DEH58"/>
      <c r="DEI58"/>
      <c r="DEJ58"/>
      <c r="DEK58"/>
      <c r="DEL58"/>
      <c r="DEM58"/>
      <c r="DEN58"/>
      <c r="DEO58"/>
      <c r="DEP58"/>
      <c r="DEQ58"/>
      <c r="DER58"/>
      <c r="DES58"/>
      <c r="DET58"/>
      <c r="DEU58"/>
      <c r="DEV58"/>
      <c r="DEW58"/>
      <c r="DEX58"/>
      <c r="DEY58"/>
      <c r="DEZ58"/>
      <c r="DFA58"/>
      <c r="DFB58"/>
      <c r="DFC58"/>
      <c r="DFD58"/>
      <c r="DFE58"/>
      <c r="DFF58"/>
      <c r="DFG58"/>
      <c r="DFH58"/>
      <c r="DFI58"/>
      <c r="DFJ58"/>
      <c r="DFK58"/>
      <c r="DFL58"/>
      <c r="DFM58"/>
      <c r="DFN58"/>
      <c r="DFO58"/>
      <c r="DFP58"/>
      <c r="DFQ58"/>
      <c r="DFR58"/>
      <c r="DFS58"/>
      <c r="DFT58"/>
      <c r="DFU58"/>
      <c r="DFV58"/>
      <c r="DFW58"/>
      <c r="DFX58"/>
      <c r="DFY58"/>
      <c r="DFZ58"/>
      <c r="DGA58"/>
      <c r="DGB58"/>
      <c r="DGC58"/>
      <c r="DGD58"/>
      <c r="DGE58"/>
      <c r="DGF58"/>
      <c r="DGG58"/>
      <c r="DGH58"/>
      <c r="DGI58"/>
      <c r="DGJ58"/>
      <c r="DGK58"/>
      <c r="DGL58"/>
      <c r="DGM58"/>
      <c r="DGN58"/>
      <c r="DGO58"/>
      <c r="DGP58"/>
      <c r="DGQ58"/>
      <c r="DGR58"/>
      <c r="DGS58"/>
      <c r="DGT58"/>
      <c r="DGU58"/>
      <c r="DGV58"/>
      <c r="DGW58"/>
      <c r="DGX58"/>
      <c r="DGY58"/>
      <c r="DGZ58"/>
      <c r="DHA58"/>
      <c r="DHB58"/>
      <c r="DHC58"/>
      <c r="DHD58"/>
      <c r="DHE58"/>
      <c r="DHF58"/>
      <c r="DHG58"/>
      <c r="DHH58"/>
      <c r="DHI58"/>
      <c r="DHJ58"/>
      <c r="DHK58"/>
      <c r="DHL58"/>
      <c r="DHM58"/>
      <c r="DHN58"/>
      <c r="DHO58"/>
      <c r="DHP58"/>
      <c r="DHQ58"/>
      <c r="DHR58"/>
      <c r="DHS58"/>
      <c r="DHT58"/>
      <c r="DHU58"/>
      <c r="DHV58"/>
      <c r="DHW58"/>
      <c r="DHX58"/>
      <c r="DHY58"/>
      <c r="DHZ58"/>
      <c r="DIA58"/>
      <c r="DIB58"/>
      <c r="DIC58"/>
      <c r="DID58"/>
      <c r="DIE58"/>
      <c r="DIF58"/>
      <c r="DIG58"/>
      <c r="DIH58"/>
      <c r="DII58"/>
      <c r="DIJ58"/>
      <c r="DIK58"/>
      <c r="DIL58"/>
      <c r="DIM58"/>
      <c r="DIN58"/>
      <c r="DIO58"/>
      <c r="DIP58"/>
      <c r="DIQ58"/>
      <c r="DIR58"/>
      <c r="DIS58"/>
      <c r="DIT58"/>
      <c r="DIU58"/>
      <c r="DIV58"/>
      <c r="DIW58"/>
      <c r="DIX58"/>
      <c r="DIY58"/>
      <c r="DIZ58"/>
      <c r="DJA58"/>
      <c r="DJB58"/>
      <c r="DJC58"/>
      <c r="DJD58"/>
      <c r="DJE58"/>
      <c r="DJF58"/>
      <c r="DJG58"/>
      <c r="DJH58"/>
      <c r="DJI58"/>
      <c r="DJJ58"/>
      <c r="DJK58"/>
      <c r="DJL58"/>
      <c r="DJM58"/>
      <c r="DJN58"/>
      <c r="DJO58"/>
      <c r="DJP58"/>
      <c r="DJQ58"/>
      <c r="DJR58"/>
      <c r="DJS58"/>
      <c r="DJT58"/>
      <c r="DJU58"/>
      <c r="DJV58"/>
      <c r="DJW58"/>
      <c r="DJX58"/>
      <c r="DJY58"/>
      <c r="DJZ58"/>
      <c r="DKA58"/>
      <c r="DKB58"/>
      <c r="DKC58"/>
      <c r="DKD58"/>
      <c r="DKE58"/>
      <c r="DKF58"/>
      <c r="DKG58"/>
      <c r="DKH58"/>
      <c r="DKI58"/>
      <c r="DKJ58"/>
      <c r="DKK58"/>
      <c r="DKL58"/>
      <c r="DKM58"/>
      <c r="DKN58"/>
      <c r="DKO58"/>
      <c r="DKP58"/>
      <c r="DKQ58"/>
      <c r="DKR58"/>
      <c r="DKS58"/>
      <c r="DKT58"/>
      <c r="DKU58"/>
      <c r="DKV58"/>
      <c r="DKW58"/>
      <c r="DKX58"/>
      <c r="DKY58"/>
      <c r="DKZ58"/>
      <c r="DLA58"/>
      <c r="DLB58"/>
      <c r="DLC58"/>
      <c r="DLD58"/>
      <c r="DLE58"/>
      <c r="DLF58"/>
      <c r="DLG58"/>
      <c r="DLH58"/>
      <c r="DLI58"/>
      <c r="DLJ58"/>
      <c r="DLK58"/>
      <c r="DLL58"/>
      <c r="DLM58"/>
      <c r="DLN58"/>
      <c r="DLO58"/>
      <c r="DLP58"/>
      <c r="DLQ58"/>
      <c r="DLR58"/>
      <c r="DLS58"/>
      <c r="DLT58"/>
      <c r="DLU58"/>
      <c r="DLV58"/>
      <c r="DLW58"/>
      <c r="DLX58"/>
      <c r="DLY58"/>
      <c r="DLZ58"/>
      <c r="DMA58"/>
      <c r="DMB58"/>
      <c r="DMC58"/>
      <c r="DMD58"/>
      <c r="DME58"/>
      <c r="DMF58"/>
      <c r="DMG58"/>
      <c r="DMH58"/>
      <c r="DMI58"/>
      <c r="DMJ58"/>
      <c r="DMK58"/>
      <c r="DML58"/>
      <c r="DMM58"/>
      <c r="DMN58"/>
      <c r="DMO58"/>
      <c r="DMP58"/>
      <c r="DMQ58"/>
      <c r="DMR58"/>
      <c r="DMS58"/>
      <c r="DMT58"/>
      <c r="DMU58"/>
      <c r="DMV58"/>
      <c r="DMW58"/>
      <c r="DMX58"/>
      <c r="DMY58"/>
      <c r="DMZ58"/>
      <c r="DNA58"/>
      <c r="DNB58"/>
      <c r="DNC58"/>
      <c r="DND58"/>
      <c r="DNE58"/>
      <c r="DNF58"/>
      <c r="DNG58"/>
      <c r="DNH58"/>
      <c r="DNI58"/>
      <c r="DNJ58"/>
      <c r="DNK58"/>
      <c r="DNL58"/>
      <c r="DNM58"/>
      <c r="DNN58"/>
      <c r="DNO58"/>
      <c r="DNP58"/>
      <c r="DNQ58"/>
      <c r="DNR58"/>
      <c r="DNS58"/>
      <c r="DNT58"/>
      <c r="DNU58"/>
      <c r="DNV58"/>
      <c r="DNW58"/>
      <c r="DNX58"/>
      <c r="DNY58"/>
      <c r="DNZ58"/>
      <c r="DOA58"/>
      <c r="DOB58"/>
      <c r="DOC58"/>
      <c r="DOD58"/>
      <c r="DOE58"/>
      <c r="DOF58"/>
      <c r="DOG58"/>
      <c r="DOH58"/>
      <c r="DOI58"/>
      <c r="DOJ58"/>
      <c r="DOK58"/>
      <c r="DOL58"/>
      <c r="DOM58"/>
      <c r="DON58"/>
      <c r="DOO58"/>
      <c r="DOP58"/>
      <c r="DOQ58"/>
      <c r="DOR58"/>
      <c r="DOS58"/>
      <c r="DOT58"/>
      <c r="DOU58"/>
      <c r="DOV58"/>
      <c r="DOW58"/>
      <c r="DOX58"/>
      <c r="DOY58"/>
      <c r="DOZ58"/>
      <c r="DPA58"/>
      <c r="DPB58"/>
      <c r="DPC58"/>
      <c r="DPD58"/>
      <c r="DPE58"/>
      <c r="DPF58"/>
      <c r="DPG58"/>
      <c r="DPH58"/>
      <c r="DPI58"/>
      <c r="DPJ58"/>
      <c r="DPK58"/>
      <c r="DPL58"/>
      <c r="DPM58"/>
      <c r="DPN58"/>
      <c r="DPO58"/>
      <c r="DPP58"/>
      <c r="DPQ58"/>
      <c r="DPR58"/>
      <c r="DPS58"/>
      <c r="DPT58"/>
      <c r="DPU58"/>
      <c r="DPV58"/>
      <c r="DPW58"/>
      <c r="DPX58"/>
      <c r="DPY58"/>
      <c r="DPZ58"/>
      <c r="DQA58"/>
      <c r="DQB58"/>
      <c r="DQC58"/>
      <c r="DQD58"/>
      <c r="DQE58"/>
      <c r="DQF58"/>
      <c r="DQG58"/>
      <c r="DQH58"/>
      <c r="DQI58"/>
      <c r="DQJ58"/>
      <c r="DQK58"/>
      <c r="DQL58"/>
      <c r="DQM58"/>
      <c r="DQN58"/>
      <c r="DQO58"/>
      <c r="DQP58"/>
      <c r="DQQ58"/>
      <c r="DQR58"/>
      <c r="DQS58"/>
      <c r="DQT58"/>
      <c r="DQU58"/>
      <c r="DQV58"/>
      <c r="DQW58"/>
      <c r="DQX58"/>
      <c r="DQY58"/>
      <c r="DQZ58"/>
      <c r="DRA58"/>
      <c r="DRB58"/>
      <c r="DRC58"/>
      <c r="DRD58"/>
      <c r="DRE58"/>
      <c r="DRF58"/>
      <c r="DRG58"/>
      <c r="DRH58"/>
      <c r="DRI58"/>
      <c r="DRJ58"/>
      <c r="DRK58"/>
      <c r="DRL58"/>
      <c r="DRM58"/>
      <c r="DRN58"/>
      <c r="DRO58"/>
      <c r="DRP58"/>
      <c r="DRQ58"/>
      <c r="DRR58"/>
      <c r="DRS58"/>
      <c r="DRT58"/>
      <c r="DRU58"/>
      <c r="DRV58"/>
      <c r="DRW58"/>
      <c r="DRX58"/>
      <c r="DRY58"/>
      <c r="DRZ58"/>
      <c r="DSA58"/>
      <c r="DSB58"/>
      <c r="DSC58"/>
      <c r="DSD58"/>
      <c r="DSE58"/>
      <c r="DSF58"/>
      <c r="DSG58"/>
      <c r="DSH58"/>
      <c r="DSI58"/>
      <c r="DSJ58"/>
      <c r="DSK58"/>
      <c r="DSL58"/>
      <c r="DSM58"/>
      <c r="DSN58"/>
      <c r="DSO58"/>
      <c r="DSP58"/>
      <c r="DSQ58"/>
      <c r="DSR58"/>
      <c r="DSS58"/>
      <c r="DST58"/>
      <c r="DSU58"/>
      <c r="DSV58"/>
      <c r="DSW58"/>
      <c r="DSX58"/>
      <c r="DSY58"/>
      <c r="DSZ58"/>
      <c r="DTA58"/>
      <c r="DTB58"/>
      <c r="DTC58"/>
      <c r="DTD58"/>
      <c r="DTE58"/>
      <c r="DTF58"/>
      <c r="DTG58"/>
      <c r="DTH58"/>
      <c r="DTI58"/>
      <c r="DTJ58"/>
      <c r="DTK58"/>
      <c r="DTL58"/>
      <c r="DTM58"/>
      <c r="DTN58"/>
      <c r="DTO58"/>
      <c r="DTP58"/>
      <c r="DTQ58"/>
      <c r="DTR58"/>
      <c r="DTS58"/>
      <c r="DTT58"/>
      <c r="DTU58"/>
      <c r="DTV58"/>
      <c r="DTW58"/>
      <c r="DTX58"/>
      <c r="DTY58"/>
      <c r="DTZ58"/>
      <c r="DUA58"/>
      <c r="DUB58"/>
      <c r="DUC58"/>
      <c r="DUD58"/>
      <c r="DUE58"/>
      <c r="DUF58"/>
      <c r="DUG58"/>
      <c r="DUH58"/>
      <c r="DUI58"/>
      <c r="DUJ58"/>
      <c r="DUK58"/>
      <c r="DUL58"/>
      <c r="DUM58"/>
      <c r="DUN58"/>
      <c r="DUO58"/>
      <c r="DUP58"/>
      <c r="DUQ58"/>
      <c r="DUR58"/>
      <c r="DUS58"/>
      <c r="DUT58"/>
      <c r="DUU58"/>
      <c r="DUV58"/>
      <c r="DUW58"/>
      <c r="DUX58"/>
      <c r="DUY58"/>
      <c r="DUZ58"/>
      <c r="DVA58"/>
      <c r="DVB58"/>
      <c r="DVC58"/>
      <c r="DVD58"/>
      <c r="DVE58"/>
      <c r="DVF58"/>
      <c r="DVG58"/>
      <c r="DVH58"/>
      <c r="DVI58"/>
      <c r="DVJ58"/>
      <c r="DVK58"/>
      <c r="DVL58"/>
      <c r="DVM58"/>
      <c r="DVN58"/>
      <c r="DVO58"/>
      <c r="DVP58"/>
      <c r="DVQ58"/>
      <c r="DVR58"/>
      <c r="DVS58"/>
      <c r="DVT58"/>
      <c r="DVU58"/>
      <c r="DVV58"/>
      <c r="DVW58"/>
      <c r="DVX58"/>
      <c r="DVY58"/>
      <c r="DVZ58"/>
      <c r="DWA58"/>
      <c r="DWB58"/>
      <c r="DWC58"/>
      <c r="DWD58"/>
      <c r="DWE58"/>
      <c r="DWF58"/>
      <c r="DWG58"/>
      <c r="DWH58"/>
      <c r="DWI58"/>
      <c r="DWJ58"/>
      <c r="DWK58"/>
      <c r="DWL58"/>
      <c r="DWM58"/>
      <c r="DWN58"/>
      <c r="DWO58"/>
      <c r="DWP58"/>
      <c r="DWQ58"/>
      <c r="DWR58"/>
      <c r="DWS58"/>
      <c r="DWT58"/>
      <c r="DWU58"/>
      <c r="DWV58"/>
      <c r="DWW58"/>
      <c r="DWX58"/>
      <c r="DWY58"/>
      <c r="DWZ58"/>
      <c r="DXA58"/>
      <c r="DXB58"/>
      <c r="DXC58"/>
      <c r="DXD58"/>
      <c r="DXE58"/>
      <c r="DXF58"/>
      <c r="DXG58"/>
      <c r="DXH58"/>
      <c r="DXI58"/>
      <c r="DXJ58"/>
      <c r="DXK58"/>
      <c r="DXL58"/>
      <c r="DXM58"/>
      <c r="DXN58"/>
      <c r="DXO58"/>
      <c r="DXP58"/>
      <c r="DXQ58"/>
      <c r="DXR58"/>
      <c r="DXS58"/>
      <c r="DXT58"/>
      <c r="DXU58"/>
      <c r="DXV58"/>
      <c r="DXW58"/>
      <c r="DXX58"/>
      <c r="DXY58"/>
      <c r="DXZ58"/>
      <c r="DYA58"/>
      <c r="DYB58"/>
      <c r="DYC58"/>
      <c r="DYD58"/>
      <c r="DYE58"/>
      <c r="DYF58"/>
      <c r="DYG58"/>
      <c r="DYH58"/>
      <c r="DYI58"/>
      <c r="DYJ58"/>
      <c r="DYK58"/>
      <c r="DYL58"/>
      <c r="DYM58"/>
      <c r="DYN58"/>
      <c r="DYO58"/>
      <c r="DYP58"/>
      <c r="DYQ58"/>
      <c r="DYR58"/>
      <c r="DYS58"/>
      <c r="DYT58"/>
      <c r="DYU58"/>
      <c r="DYV58"/>
      <c r="DYW58"/>
      <c r="DYX58"/>
      <c r="DYY58"/>
      <c r="DYZ58"/>
      <c r="DZA58"/>
      <c r="DZB58"/>
      <c r="DZC58"/>
      <c r="DZD58"/>
      <c r="DZE58"/>
      <c r="DZF58"/>
      <c r="DZG58"/>
      <c r="DZH58"/>
      <c r="DZI58"/>
      <c r="DZJ58"/>
      <c r="DZK58"/>
      <c r="DZL58"/>
      <c r="DZM58"/>
      <c r="DZN58"/>
      <c r="DZO58"/>
      <c r="DZP58"/>
      <c r="DZQ58"/>
      <c r="DZR58"/>
      <c r="DZS58"/>
      <c r="DZT58"/>
      <c r="DZU58"/>
      <c r="DZV58"/>
      <c r="DZW58"/>
      <c r="DZX58"/>
      <c r="DZY58"/>
      <c r="DZZ58"/>
      <c r="EAA58"/>
      <c r="EAB58"/>
      <c r="EAC58"/>
      <c r="EAD58"/>
      <c r="EAE58"/>
      <c r="EAF58"/>
      <c r="EAG58"/>
      <c r="EAH58"/>
      <c r="EAI58"/>
      <c r="EAJ58"/>
      <c r="EAK58"/>
      <c r="EAL58"/>
      <c r="EAM58"/>
      <c r="EAN58"/>
      <c r="EAO58"/>
      <c r="EAP58"/>
      <c r="EAQ58"/>
      <c r="EAR58"/>
      <c r="EAS58"/>
      <c r="EAT58"/>
      <c r="EAU58"/>
      <c r="EAV58"/>
      <c r="EAW58"/>
      <c r="EAX58"/>
      <c r="EAY58"/>
      <c r="EAZ58"/>
      <c r="EBA58"/>
      <c r="EBB58"/>
      <c r="EBC58"/>
      <c r="EBD58"/>
      <c r="EBE58"/>
      <c r="EBF58"/>
      <c r="EBG58"/>
      <c r="EBH58"/>
      <c r="EBI58"/>
      <c r="EBJ58"/>
      <c r="EBK58"/>
      <c r="EBL58"/>
      <c r="EBM58"/>
      <c r="EBN58"/>
      <c r="EBO58"/>
      <c r="EBP58"/>
      <c r="EBQ58"/>
      <c r="EBR58"/>
      <c r="EBS58"/>
      <c r="EBT58"/>
      <c r="EBU58"/>
      <c r="EBV58"/>
      <c r="EBW58"/>
      <c r="EBX58"/>
      <c r="EBY58"/>
      <c r="EBZ58"/>
      <c r="ECA58"/>
      <c r="ECB58"/>
      <c r="ECC58"/>
      <c r="ECD58"/>
      <c r="ECE58"/>
      <c r="ECF58"/>
      <c r="ECG58"/>
      <c r="ECH58"/>
      <c r="ECI58"/>
      <c r="ECJ58"/>
      <c r="ECK58"/>
      <c r="ECL58"/>
      <c r="ECM58"/>
      <c r="ECN58"/>
      <c r="ECO58"/>
      <c r="ECP58"/>
      <c r="ECQ58"/>
      <c r="ECR58"/>
      <c r="ECS58"/>
      <c r="ECT58"/>
      <c r="ECU58"/>
      <c r="ECV58"/>
      <c r="ECW58"/>
      <c r="ECX58"/>
      <c r="ECY58"/>
      <c r="ECZ58"/>
      <c r="EDA58"/>
      <c r="EDB58"/>
      <c r="EDC58"/>
      <c r="EDD58"/>
      <c r="EDE58"/>
      <c r="EDF58"/>
      <c r="EDG58"/>
      <c r="EDH58"/>
      <c r="EDI58"/>
      <c r="EDJ58"/>
      <c r="EDK58"/>
      <c r="EDL58"/>
      <c r="EDM58"/>
      <c r="EDN58"/>
      <c r="EDO58"/>
      <c r="EDP58"/>
      <c r="EDQ58"/>
      <c r="EDR58"/>
      <c r="EDS58"/>
      <c r="EDT58"/>
      <c r="EDU58"/>
      <c r="EDV58"/>
      <c r="EDW58"/>
      <c r="EDX58"/>
      <c r="EDY58"/>
      <c r="EDZ58"/>
      <c r="EEA58"/>
      <c r="EEB58"/>
      <c r="EEC58"/>
      <c r="EED58"/>
      <c r="EEE58"/>
      <c r="EEF58"/>
      <c r="EEG58"/>
      <c r="EEH58"/>
      <c r="EEI58"/>
      <c r="EEJ58"/>
      <c r="EEK58"/>
      <c r="EEL58"/>
      <c r="EEM58"/>
      <c r="EEN58"/>
      <c r="EEO58"/>
      <c r="EEP58"/>
      <c r="EEQ58"/>
      <c r="EER58"/>
      <c r="EES58"/>
      <c r="EET58"/>
      <c r="EEU58"/>
      <c r="EEV58"/>
      <c r="EEW58"/>
      <c r="EEX58"/>
      <c r="EEY58"/>
      <c r="EEZ58"/>
      <c r="EFA58"/>
      <c r="EFB58"/>
      <c r="EFC58"/>
      <c r="EFD58"/>
      <c r="EFE58"/>
      <c r="EFF58"/>
      <c r="EFG58"/>
      <c r="EFH58"/>
      <c r="EFI58"/>
      <c r="EFJ58"/>
      <c r="EFK58"/>
      <c r="EFL58"/>
      <c r="EFM58"/>
      <c r="EFN58"/>
      <c r="EFO58"/>
      <c r="EFP58"/>
      <c r="EFQ58"/>
      <c r="EFR58"/>
      <c r="EFS58"/>
      <c r="EFT58"/>
      <c r="EFU58"/>
      <c r="EFV58"/>
      <c r="EFW58"/>
      <c r="EFX58"/>
      <c r="EFY58"/>
      <c r="EFZ58"/>
      <c r="EGA58"/>
      <c r="EGB58"/>
      <c r="EGC58"/>
      <c r="EGD58"/>
      <c r="EGE58"/>
      <c r="EGF58"/>
      <c r="EGG58"/>
      <c r="EGH58"/>
      <c r="EGI58"/>
      <c r="EGJ58"/>
      <c r="EGK58"/>
      <c r="EGL58"/>
      <c r="EGM58"/>
      <c r="EGN58"/>
      <c r="EGO58"/>
      <c r="EGP58"/>
      <c r="EGQ58"/>
      <c r="EGR58"/>
      <c r="EGS58"/>
      <c r="EGT58"/>
      <c r="EGU58"/>
      <c r="EGV58"/>
      <c r="EGW58"/>
      <c r="EGX58"/>
      <c r="EGY58"/>
      <c r="EGZ58"/>
      <c r="EHA58"/>
      <c r="EHB58"/>
      <c r="EHC58"/>
      <c r="EHD58"/>
      <c r="EHE58"/>
      <c r="EHF58"/>
      <c r="EHG58"/>
      <c r="EHH58"/>
      <c r="EHI58"/>
      <c r="EHJ58"/>
      <c r="EHK58"/>
      <c r="EHL58"/>
      <c r="EHM58"/>
      <c r="EHN58"/>
      <c r="EHO58"/>
      <c r="EHP58"/>
      <c r="EHQ58"/>
      <c r="EHR58"/>
      <c r="EHS58"/>
      <c r="EHT58"/>
      <c r="EHU58"/>
      <c r="EHV58"/>
      <c r="EHW58"/>
      <c r="EHX58"/>
      <c r="EHY58"/>
      <c r="EHZ58"/>
      <c r="EIA58"/>
      <c r="EIB58"/>
      <c r="EIC58"/>
      <c r="EID58"/>
      <c r="EIE58"/>
      <c r="EIF58"/>
      <c r="EIG58"/>
      <c r="EIH58"/>
      <c r="EII58"/>
      <c r="EIJ58"/>
      <c r="EIK58"/>
      <c r="EIL58"/>
      <c r="EIM58"/>
      <c r="EIN58"/>
      <c r="EIO58"/>
      <c r="EIP58"/>
      <c r="EIQ58"/>
      <c r="EIR58"/>
      <c r="EIS58"/>
      <c r="EIT58"/>
      <c r="EIU58"/>
      <c r="EIV58"/>
      <c r="EIW58"/>
      <c r="EIX58"/>
      <c r="EIY58"/>
      <c r="EIZ58"/>
      <c r="EJA58"/>
      <c r="EJB58"/>
      <c r="EJC58"/>
      <c r="EJD58"/>
      <c r="EJE58"/>
      <c r="EJF58"/>
      <c r="EJG58"/>
      <c r="EJH58"/>
      <c r="EJI58"/>
      <c r="EJJ58"/>
      <c r="EJK58"/>
      <c r="EJL58"/>
      <c r="EJM58"/>
      <c r="EJN58"/>
      <c r="EJO58"/>
      <c r="EJP58"/>
      <c r="EJQ58"/>
      <c r="EJR58"/>
      <c r="EJS58"/>
      <c r="EJT58"/>
      <c r="EJU58"/>
      <c r="EJV58"/>
      <c r="EJW58"/>
      <c r="EJX58"/>
      <c r="EJY58"/>
      <c r="EJZ58"/>
      <c r="EKA58"/>
      <c r="EKB58"/>
      <c r="EKC58"/>
      <c r="EKD58"/>
      <c r="EKE58"/>
      <c r="EKF58"/>
      <c r="EKG58"/>
      <c r="EKH58"/>
      <c r="EKI58"/>
      <c r="EKJ58"/>
      <c r="EKK58"/>
      <c r="EKL58"/>
      <c r="EKM58"/>
      <c r="EKN58"/>
      <c r="EKO58"/>
      <c r="EKP58"/>
      <c r="EKQ58"/>
      <c r="EKR58"/>
      <c r="EKS58"/>
      <c r="EKT58"/>
      <c r="EKU58"/>
      <c r="EKV58"/>
      <c r="EKW58"/>
      <c r="EKX58"/>
      <c r="EKY58"/>
      <c r="EKZ58"/>
      <c r="ELA58"/>
      <c r="ELB58"/>
      <c r="ELC58"/>
      <c r="ELD58"/>
      <c r="ELE58"/>
      <c r="ELF58"/>
      <c r="ELG58"/>
      <c r="ELH58"/>
      <c r="ELI58"/>
      <c r="ELJ58"/>
      <c r="ELK58"/>
      <c r="ELL58"/>
      <c r="ELM58"/>
      <c r="ELN58"/>
      <c r="ELO58"/>
      <c r="ELP58"/>
      <c r="ELQ58"/>
      <c r="ELR58"/>
      <c r="ELS58"/>
      <c r="ELT58"/>
      <c r="ELU58"/>
      <c r="ELV58"/>
      <c r="ELW58"/>
      <c r="ELX58"/>
      <c r="ELY58"/>
      <c r="ELZ58"/>
      <c r="EMA58"/>
      <c r="EMB58"/>
      <c r="EMC58"/>
      <c r="EMD58"/>
      <c r="EME58"/>
      <c r="EMF58"/>
      <c r="EMG58"/>
      <c r="EMH58"/>
      <c r="EMI58"/>
      <c r="EMJ58"/>
      <c r="EMK58"/>
      <c r="EML58"/>
      <c r="EMM58"/>
      <c r="EMN58"/>
      <c r="EMO58"/>
      <c r="EMP58"/>
      <c r="EMQ58"/>
      <c r="EMR58"/>
      <c r="EMS58"/>
      <c r="EMT58"/>
      <c r="EMU58"/>
      <c r="EMV58"/>
      <c r="EMW58"/>
      <c r="EMX58"/>
      <c r="EMY58"/>
      <c r="EMZ58"/>
      <c r="ENA58"/>
      <c r="ENB58"/>
      <c r="ENC58"/>
      <c r="END58"/>
      <c r="ENE58"/>
      <c r="ENF58"/>
      <c r="ENG58"/>
      <c r="ENH58"/>
      <c r="ENI58"/>
      <c r="ENJ58"/>
      <c r="ENK58"/>
      <c r="ENL58"/>
      <c r="ENM58"/>
      <c r="ENN58"/>
      <c r="ENO58"/>
      <c r="ENP58"/>
      <c r="ENQ58"/>
      <c r="ENR58"/>
      <c r="ENS58"/>
      <c r="ENT58"/>
      <c r="ENU58"/>
      <c r="ENV58"/>
      <c r="ENW58"/>
      <c r="ENX58"/>
      <c r="ENY58"/>
      <c r="ENZ58"/>
      <c r="EOA58"/>
      <c r="EOB58"/>
      <c r="EOC58"/>
      <c r="EOD58"/>
      <c r="EOE58"/>
      <c r="EOF58"/>
      <c r="EOG58"/>
      <c r="EOH58"/>
      <c r="EOI58"/>
      <c r="EOJ58"/>
      <c r="EOK58"/>
      <c r="EOL58"/>
      <c r="EOM58"/>
      <c r="EON58"/>
      <c r="EOO58"/>
      <c r="EOP58"/>
      <c r="EOQ58"/>
      <c r="EOR58"/>
      <c r="EOS58"/>
      <c r="EOT58"/>
      <c r="EOU58"/>
      <c r="EOV58"/>
      <c r="EOW58"/>
      <c r="EOX58"/>
      <c r="EOY58"/>
      <c r="EOZ58"/>
      <c r="EPA58"/>
      <c r="EPB58"/>
      <c r="EPC58"/>
      <c r="EPD58"/>
      <c r="EPE58"/>
      <c r="EPF58"/>
      <c r="EPG58"/>
      <c r="EPH58"/>
      <c r="EPI58"/>
      <c r="EPJ58"/>
      <c r="EPK58"/>
      <c r="EPL58"/>
      <c r="EPM58"/>
      <c r="EPN58"/>
      <c r="EPO58"/>
      <c r="EPP58"/>
      <c r="EPQ58"/>
      <c r="EPR58"/>
      <c r="EPS58"/>
      <c r="EPT58"/>
      <c r="EPU58"/>
      <c r="EPV58"/>
      <c r="EPW58"/>
      <c r="EPX58"/>
      <c r="EPY58"/>
      <c r="EPZ58"/>
      <c r="EQA58"/>
      <c r="EQB58"/>
      <c r="EQC58"/>
      <c r="EQD58"/>
      <c r="EQE58"/>
      <c r="EQF58"/>
      <c r="EQG58"/>
      <c r="EQH58"/>
      <c r="EQI58"/>
      <c r="EQJ58"/>
      <c r="EQK58"/>
      <c r="EQL58"/>
      <c r="EQM58"/>
      <c r="EQN58"/>
      <c r="EQO58"/>
      <c r="EQP58"/>
      <c r="EQQ58"/>
      <c r="EQR58"/>
      <c r="EQS58"/>
      <c r="EQT58"/>
      <c r="EQU58"/>
      <c r="EQV58"/>
      <c r="EQW58"/>
      <c r="EQX58"/>
      <c r="EQY58"/>
      <c r="EQZ58"/>
      <c r="ERA58"/>
      <c r="ERB58"/>
      <c r="ERC58"/>
      <c r="ERD58"/>
      <c r="ERE58"/>
      <c r="ERF58"/>
      <c r="ERG58"/>
      <c r="ERH58"/>
      <c r="ERI58"/>
      <c r="ERJ58"/>
      <c r="ERK58"/>
      <c r="ERL58"/>
      <c r="ERM58"/>
      <c r="ERN58"/>
      <c r="ERO58"/>
      <c r="ERP58"/>
      <c r="ERQ58"/>
      <c r="ERR58"/>
      <c r="ERS58"/>
      <c r="ERT58"/>
      <c r="ERU58"/>
      <c r="ERV58"/>
      <c r="ERW58"/>
      <c r="ERX58"/>
      <c r="ERY58"/>
      <c r="ERZ58"/>
      <c r="ESA58"/>
      <c r="ESB58"/>
      <c r="ESC58"/>
      <c r="ESD58"/>
      <c r="ESE58"/>
      <c r="ESF58"/>
      <c r="ESG58"/>
      <c r="ESH58"/>
      <c r="ESI58"/>
      <c r="ESJ58"/>
      <c r="ESK58"/>
      <c r="ESL58"/>
      <c r="ESM58"/>
      <c r="ESN58"/>
      <c r="ESO58"/>
      <c r="ESP58"/>
      <c r="ESQ58"/>
      <c r="ESR58"/>
      <c r="ESS58"/>
      <c r="EST58"/>
      <c r="ESU58"/>
      <c r="ESV58"/>
      <c r="ESW58"/>
      <c r="ESX58"/>
      <c r="ESY58"/>
      <c r="ESZ58"/>
      <c r="ETA58"/>
      <c r="ETB58"/>
      <c r="ETC58"/>
      <c r="ETD58"/>
      <c r="ETE58"/>
      <c r="ETF58"/>
      <c r="ETG58"/>
      <c r="ETH58"/>
      <c r="ETI58"/>
      <c r="ETJ58"/>
      <c r="ETK58"/>
      <c r="ETL58"/>
      <c r="ETM58"/>
      <c r="ETN58"/>
      <c r="ETO58"/>
      <c r="ETP58"/>
      <c r="ETQ58"/>
      <c r="ETR58"/>
      <c r="ETS58"/>
      <c r="ETT58"/>
      <c r="ETU58"/>
      <c r="ETV58"/>
      <c r="ETW58"/>
      <c r="ETX58"/>
      <c r="ETY58"/>
      <c r="ETZ58"/>
      <c r="EUA58"/>
      <c r="EUB58"/>
      <c r="EUC58"/>
      <c r="EUD58"/>
      <c r="EUE58"/>
      <c r="EUF58"/>
      <c r="EUG58"/>
      <c r="EUH58"/>
      <c r="EUI58"/>
      <c r="EUJ58"/>
      <c r="EUK58"/>
      <c r="EUL58"/>
      <c r="EUM58"/>
      <c r="EUN58"/>
      <c r="EUO58"/>
      <c r="EUP58"/>
      <c r="EUQ58"/>
      <c r="EUR58"/>
      <c r="EUS58"/>
      <c r="EUT58"/>
      <c r="EUU58"/>
      <c r="EUV58"/>
      <c r="EUW58"/>
      <c r="EUX58"/>
      <c r="EUY58"/>
      <c r="EUZ58"/>
      <c r="EVA58"/>
      <c r="EVB58"/>
      <c r="EVC58"/>
      <c r="EVD58"/>
      <c r="EVE58"/>
      <c r="EVF58"/>
      <c r="EVG58"/>
      <c r="EVH58"/>
      <c r="EVI58"/>
      <c r="EVJ58"/>
      <c r="EVK58"/>
      <c r="EVL58"/>
      <c r="EVM58"/>
      <c r="EVN58"/>
      <c r="EVO58"/>
      <c r="EVP58"/>
      <c r="EVQ58"/>
      <c r="EVR58"/>
      <c r="EVS58"/>
      <c r="EVT58"/>
      <c r="EVU58"/>
      <c r="EVV58"/>
      <c r="EVW58"/>
      <c r="EVX58"/>
      <c r="EVY58"/>
      <c r="EVZ58"/>
      <c r="EWA58"/>
      <c r="EWB58"/>
      <c r="EWC58"/>
      <c r="EWD58"/>
      <c r="EWE58"/>
      <c r="EWF58"/>
      <c r="EWG58"/>
      <c r="EWH58"/>
      <c r="EWI58"/>
      <c r="EWJ58"/>
      <c r="EWK58"/>
      <c r="EWL58"/>
      <c r="EWM58"/>
      <c r="EWN58"/>
      <c r="EWO58"/>
      <c r="EWP58"/>
      <c r="EWQ58"/>
      <c r="EWR58"/>
      <c r="EWS58"/>
      <c r="EWT58"/>
      <c r="EWU58"/>
      <c r="EWV58"/>
      <c r="EWW58"/>
      <c r="EWX58"/>
      <c r="EWY58"/>
      <c r="EWZ58"/>
      <c r="EXA58"/>
      <c r="EXB58"/>
      <c r="EXC58"/>
      <c r="EXD58"/>
      <c r="EXE58"/>
      <c r="EXF58"/>
      <c r="EXG58"/>
      <c r="EXH58"/>
      <c r="EXI58"/>
      <c r="EXJ58"/>
      <c r="EXK58"/>
      <c r="EXL58"/>
      <c r="EXM58"/>
      <c r="EXN58"/>
      <c r="EXO58"/>
      <c r="EXP58"/>
      <c r="EXQ58"/>
      <c r="EXR58"/>
      <c r="EXS58"/>
      <c r="EXT58"/>
      <c r="EXU58"/>
      <c r="EXV58"/>
      <c r="EXW58"/>
      <c r="EXX58"/>
      <c r="EXY58"/>
      <c r="EXZ58"/>
      <c r="EYA58"/>
      <c r="EYB58"/>
      <c r="EYC58"/>
      <c r="EYD58"/>
      <c r="EYE58"/>
      <c r="EYF58"/>
      <c r="EYG58"/>
      <c r="EYH58"/>
      <c r="EYI58"/>
      <c r="EYJ58"/>
      <c r="EYK58"/>
      <c r="EYL58"/>
      <c r="EYM58"/>
      <c r="EYN58"/>
      <c r="EYO58"/>
      <c r="EYP58"/>
      <c r="EYQ58"/>
      <c r="EYR58"/>
      <c r="EYS58"/>
      <c r="EYT58"/>
      <c r="EYU58"/>
      <c r="EYV58"/>
      <c r="EYW58"/>
      <c r="EYX58"/>
      <c r="EYY58"/>
      <c r="EYZ58"/>
      <c r="EZA58"/>
      <c r="EZB58"/>
      <c r="EZC58"/>
      <c r="EZD58"/>
      <c r="EZE58"/>
      <c r="EZF58"/>
      <c r="EZG58"/>
      <c r="EZH58"/>
      <c r="EZI58"/>
      <c r="EZJ58"/>
      <c r="EZK58"/>
      <c r="EZL58"/>
      <c r="EZM58"/>
      <c r="EZN58"/>
      <c r="EZO58"/>
      <c r="EZP58"/>
      <c r="EZQ58"/>
      <c r="EZR58"/>
      <c r="EZS58"/>
      <c r="EZT58"/>
      <c r="EZU58"/>
      <c r="EZV58"/>
      <c r="EZW58"/>
      <c r="EZX58"/>
      <c r="EZY58"/>
      <c r="EZZ58"/>
      <c r="FAA58"/>
      <c r="FAB58"/>
      <c r="FAC58"/>
      <c r="FAD58"/>
      <c r="FAE58"/>
      <c r="FAF58"/>
      <c r="FAG58"/>
      <c r="FAH58"/>
      <c r="FAI58"/>
      <c r="FAJ58"/>
      <c r="FAK58"/>
      <c r="FAL58"/>
      <c r="FAM58"/>
      <c r="FAN58"/>
      <c r="FAO58"/>
      <c r="FAP58"/>
      <c r="FAQ58"/>
      <c r="FAR58"/>
      <c r="FAS58"/>
      <c r="FAT58"/>
      <c r="FAU58"/>
      <c r="FAV58"/>
      <c r="FAW58"/>
      <c r="FAX58"/>
      <c r="FAY58"/>
      <c r="FAZ58"/>
      <c r="FBA58"/>
      <c r="FBB58"/>
      <c r="FBC58"/>
      <c r="FBD58"/>
      <c r="FBE58"/>
      <c r="FBF58"/>
      <c r="FBG58"/>
      <c r="FBH58"/>
      <c r="FBI58"/>
      <c r="FBJ58"/>
      <c r="FBK58"/>
      <c r="FBL58"/>
      <c r="FBM58"/>
      <c r="FBN58"/>
      <c r="FBO58"/>
      <c r="FBP58"/>
      <c r="FBQ58"/>
      <c r="FBR58"/>
      <c r="FBS58"/>
      <c r="FBT58"/>
      <c r="FBU58"/>
      <c r="FBV58"/>
      <c r="FBW58"/>
      <c r="FBX58"/>
      <c r="FBY58"/>
      <c r="FBZ58"/>
      <c r="FCA58"/>
      <c r="FCB58"/>
      <c r="FCC58"/>
      <c r="FCD58"/>
      <c r="FCE58"/>
      <c r="FCF58"/>
      <c r="FCG58"/>
      <c r="FCH58"/>
      <c r="FCI58"/>
      <c r="FCJ58"/>
      <c r="FCK58"/>
      <c r="FCL58"/>
      <c r="FCM58"/>
      <c r="FCN58"/>
      <c r="FCO58"/>
      <c r="FCP58"/>
      <c r="FCQ58"/>
      <c r="FCR58"/>
      <c r="FCS58"/>
      <c r="FCT58"/>
      <c r="FCU58"/>
      <c r="FCV58"/>
      <c r="FCW58"/>
      <c r="FCX58"/>
      <c r="FCY58"/>
      <c r="FCZ58"/>
      <c r="FDA58"/>
      <c r="FDB58"/>
      <c r="FDC58"/>
      <c r="FDD58"/>
      <c r="FDE58"/>
      <c r="FDF58"/>
      <c r="FDG58"/>
      <c r="FDH58"/>
      <c r="FDI58"/>
      <c r="FDJ58"/>
      <c r="FDK58"/>
      <c r="FDL58"/>
      <c r="FDM58"/>
      <c r="FDN58"/>
      <c r="FDO58"/>
      <c r="FDP58"/>
      <c r="FDQ58"/>
      <c r="FDR58"/>
      <c r="FDS58"/>
      <c r="FDT58"/>
      <c r="FDU58"/>
      <c r="FDV58"/>
      <c r="FDW58"/>
      <c r="FDX58"/>
      <c r="FDY58"/>
      <c r="FDZ58"/>
      <c r="FEA58"/>
      <c r="FEB58"/>
      <c r="FEC58"/>
      <c r="FED58"/>
      <c r="FEE58"/>
      <c r="FEF58"/>
      <c r="FEG58"/>
      <c r="FEH58"/>
      <c r="FEI58"/>
      <c r="FEJ58"/>
      <c r="FEK58"/>
      <c r="FEL58"/>
      <c r="FEM58"/>
      <c r="FEN58"/>
      <c r="FEO58"/>
      <c r="FEP58"/>
      <c r="FEQ58"/>
      <c r="FER58"/>
      <c r="FES58"/>
      <c r="FET58"/>
      <c r="FEU58"/>
      <c r="FEV58"/>
      <c r="FEW58"/>
      <c r="FEX58"/>
      <c r="FEY58"/>
      <c r="FEZ58"/>
      <c r="FFA58"/>
      <c r="FFB58"/>
      <c r="FFC58"/>
      <c r="FFD58"/>
      <c r="FFE58"/>
      <c r="FFF58"/>
      <c r="FFG58"/>
      <c r="FFH58"/>
      <c r="FFI58"/>
      <c r="FFJ58"/>
      <c r="FFK58"/>
      <c r="FFL58"/>
      <c r="FFM58"/>
      <c r="FFN58"/>
      <c r="FFO58"/>
      <c r="FFP58"/>
      <c r="FFQ58"/>
      <c r="FFR58"/>
      <c r="FFS58"/>
      <c r="FFT58"/>
      <c r="FFU58"/>
      <c r="FFV58"/>
      <c r="FFW58"/>
      <c r="FFX58"/>
      <c r="FFY58"/>
      <c r="FFZ58"/>
      <c r="FGA58"/>
      <c r="FGB58"/>
      <c r="FGC58"/>
      <c r="FGD58"/>
      <c r="FGE58"/>
      <c r="FGF58"/>
      <c r="FGG58"/>
      <c r="FGH58"/>
      <c r="FGI58"/>
      <c r="FGJ58"/>
      <c r="FGK58"/>
      <c r="FGL58"/>
      <c r="FGM58"/>
      <c r="FGN58"/>
      <c r="FGO58"/>
      <c r="FGP58"/>
      <c r="FGQ58"/>
      <c r="FGR58"/>
      <c r="FGS58"/>
      <c r="FGT58"/>
      <c r="FGU58"/>
      <c r="FGV58"/>
      <c r="FGW58"/>
      <c r="FGX58"/>
      <c r="FGY58"/>
      <c r="FGZ58"/>
      <c r="FHA58"/>
      <c r="FHB58"/>
      <c r="FHC58"/>
      <c r="FHD58"/>
      <c r="FHE58"/>
      <c r="FHF58"/>
      <c r="FHG58"/>
      <c r="FHH58"/>
      <c r="FHI58"/>
      <c r="FHJ58"/>
      <c r="FHK58"/>
      <c r="FHL58"/>
      <c r="FHM58"/>
      <c r="FHN58"/>
      <c r="FHO58"/>
      <c r="FHP58"/>
      <c r="FHQ58"/>
      <c r="FHR58"/>
      <c r="FHS58"/>
      <c r="FHT58"/>
      <c r="FHU58"/>
      <c r="FHV58"/>
      <c r="FHW58"/>
      <c r="FHX58"/>
      <c r="FHY58"/>
      <c r="FHZ58"/>
      <c r="FIA58"/>
      <c r="FIB58"/>
      <c r="FIC58"/>
      <c r="FID58"/>
      <c r="FIE58"/>
      <c r="FIF58"/>
      <c r="FIG58"/>
      <c r="FIH58"/>
      <c r="FII58"/>
      <c r="FIJ58"/>
      <c r="FIK58"/>
      <c r="FIL58"/>
      <c r="FIM58"/>
      <c r="FIN58"/>
      <c r="FIO58"/>
      <c r="FIP58"/>
      <c r="FIQ58"/>
      <c r="FIR58"/>
      <c r="FIS58"/>
      <c r="FIT58"/>
      <c r="FIU58"/>
      <c r="FIV58"/>
      <c r="FIW58"/>
      <c r="FIX58"/>
      <c r="FIY58"/>
      <c r="FIZ58"/>
      <c r="FJA58"/>
      <c r="FJB58"/>
      <c r="FJC58"/>
      <c r="FJD58"/>
      <c r="FJE58"/>
      <c r="FJF58"/>
      <c r="FJG58"/>
      <c r="FJH58"/>
      <c r="FJI58"/>
      <c r="FJJ58"/>
      <c r="FJK58"/>
      <c r="FJL58"/>
      <c r="FJM58"/>
      <c r="FJN58"/>
      <c r="FJO58"/>
      <c r="FJP58"/>
      <c r="FJQ58"/>
      <c r="FJR58"/>
      <c r="FJS58"/>
      <c r="FJT58"/>
      <c r="FJU58"/>
      <c r="FJV58"/>
      <c r="FJW58"/>
      <c r="FJX58"/>
      <c r="FJY58"/>
      <c r="FJZ58"/>
      <c r="FKA58"/>
      <c r="FKB58"/>
      <c r="FKC58"/>
      <c r="FKD58"/>
      <c r="FKE58"/>
      <c r="FKF58"/>
      <c r="FKG58"/>
      <c r="FKH58"/>
      <c r="FKI58"/>
      <c r="FKJ58"/>
      <c r="FKK58"/>
      <c r="FKL58"/>
      <c r="FKM58"/>
      <c r="FKN58"/>
      <c r="FKO58"/>
      <c r="FKP58"/>
      <c r="FKQ58"/>
      <c r="FKR58"/>
      <c r="FKS58"/>
      <c r="FKT58"/>
      <c r="FKU58"/>
      <c r="FKV58"/>
      <c r="FKW58"/>
      <c r="FKX58"/>
      <c r="FKY58"/>
      <c r="FKZ58"/>
      <c r="FLA58"/>
      <c r="FLB58"/>
      <c r="FLC58"/>
      <c r="FLD58"/>
      <c r="FLE58"/>
      <c r="FLF58"/>
      <c r="FLG58"/>
      <c r="FLH58"/>
      <c r="FLI58"/>
      <c r="FLJ58"/>
      <c r="FLK58"/>
      <c r="FLL58"/>
      <c r="FLM58"/>
      <c r="FLN58"/>
      <c r="FLO58"/>
      <c r="FLP58"/>
      <c r="FLQ58"/>
      <c r="FLR58"/>
      <c r="FLS58"/>
      <c r="FLT58"/>
      <c r="FLU58"/>
      <c r="FLV58"/>
      <c r="FLW58"/>
      <c r="FLX58"/>
      <c r="FLY58"/>
      <c r="FLZ58"/>
      <c r="FMA58"/>
      <c r="FMB58"/>
      <c r="FMC58"/>
      <c r="FMD58"/>
      <c r="FME58"/>
      <c r="FMF58"/>
      <c r="FMG58"/>
      <c r="FMH58"/>
      <c r="FMI58"/>
      <c r="FMJ58"/>
      <c r="FMK58"/>
      <c r="FML58"/>
      <c r="FMM58"/>
      <c r="FMN58"/>
      <c r="FMO58"/>
      <c r="FMP58"/>
      <c r="FMQ58"/>
      <c r="FMR58"/>
      <c r="FMS58"/>
      <c r="FMT58"/>
      <c r="FMU58"/>
      <c r="FMV58"/>
      <c r="FMW58"/>
      <c r="FMX58"/>
      <c r="FMY58"/>
      <c r="FMZ58"/>
      <c r="FNA58"/>
      <c r="FNB58"/>
      <c r="FNC58"/>
      <c r="FND58"/>
      <c r="FNE58"/>
      <c r="FNF58"/>
      <c r="FNG58"/>
      <c r="FNH58"/>
      <c r="FNI58"/>
      <c r="FNJ58"/>
      <c r="FNK58"/>
      <c r="FNL58"/>
      <c r="FNM58"/>
      <c r="FNN58"/>
      <c r="FNO58"/>
      <c r="FNP58"/>
      <c r="FNQ58"/>
      <c r="FNR58"/>
      <c r="FNS58"/>
      <c r="FNT58"/>
      <c r="FNU58"/>
      <c r="FNV58"/>
      <c r="FNW58"/>
      <c r="FNX58"/>
      <c r="FNY58"/>
      <c r="FNZ58"/>
      <c r="FOA58"/>
      <c r="FOB58"/>
      <c r="FOC58"/>
      <c r="FOD58"/>
      <c r="FOE58"/>
      <c r="FOF58"/>
      <c r="FOG58"/>
      <c r="FOH58"/>
      <c r="FOI58"/>
      <c r="FOJ58"/>
      <c r="FOK58"/>
      <c r="FOL58"/>
      <c r="FOM58"/>
      <c r="FON58"/>
      <c r="FOO58"/>
      <c r="FOP58"/>
      <c r="FOQ58"/>
      <c r="FOR58"/>
      <c r="FOS58"/>
      <c r="FOT58"/>
      <c r="FOU58"/>
      <c r="FOV58"/>
      <c r="FOW58"/>
      <c r="FOX58"/>
      <c r="FOY58"/>
      <c r="FOZ58"/>
      <c r="FPA58"/>
      <c r="FPB58"/>
      <c r="FPC58"/>
      <c r="FPD58"/>
      <c r="FPE58"/>
      <c r="FPF58"/>
      <c r="FPG58"/>
      <c r="FPH58"/>
      <c r="FPI58"/>
      <c r="FPJ58"/>
      <c r="FPK58"/>
      <c r="FPL58"/>
      <c r="FPM58"/>
      <c r="FPN58"/>
      <c r="FPO58"/>
      <c r="FPP58"/>
      <c r="FPQ58"/>
      <c r="FPR58"/>
      <c r="FPS58"/>
      <c r="FPT58"/>
      <c r="FPU58"/>
      <c r="FPV58"/>
      <c r="FPW58"/>
      <c r="FPX58"/>
      <c r="FPY58"/>
      <c r="FPZ58"/>
      <c r="FQA58"/>
      <c r="FQB58"/>
      <c r="FQC58"/>
      <c r="FQD58"/>
      <c r="FQE58"/>
      <c r="FQF58"/>
      <c r="FQG58"/>
      <c r="FQH58"/>
      <c r="FQI58"/>
      <c r="FQJ58"/>
      <c r="FQK58"/>
      <c r="FQL58"/>
      <c r="FQM58"/>
      <c r="FQN58"/>
      <c r="FQO58"/>
      <c r="FQP58"/>
      <c r="FQQ58"/>
      <c r="FQR58"/>
      <c r="FQS58"/>
      <c r="FQT58"/>
      <c r="FQU58"/>
      <c r="FQV58"/>
      <c r="FQW58"/>
      <c r="FQX58"/>
      <c r="FQY58"/>
      <c r="FQZ58"/>
      <c r="FRA58"/>
      <c r="FRB58"/>
      <c r="FRC58"/>
      <c r="FRD58"/>
      <c r="FRE58"/>
      <c r="FRF58"/>
      <c r="FRG58"/>
      <c r="FRH58"/>
      <c r="FRI58"/>
      <c r="FRJ58"/>
      <c r="FRK58"/>
      <c r="FRL58"/>
      <c r="FRM58"/>
      <c r="FRN58"/>
      <c r="FRO58"/>
      <c r="FRP58"/>
      <c r="FRQ58"/>
      <c r="FRR58"/>
      <c r="FRS58"/>
      <c r="FRT58"/>
      <c r="FRU58"/>
      <c r="FRV58"/>
      <c r="FRW58"/>
      <c r="FRX58"/>
      <c r="FRY58"/>
      <c r="FRZ58"/>
      <c r="FSA58"/>
      <c r="FSB58"/>
      <c r="FSC58"/>
      <c r="FSD58"/>
      <c r="FSE58"/>
      <c r="FSF58"/>
      <c r="FSG58"/>
      <c r="FSH58"/>
      <c r="FSI58"/>
      <c r="FSJ58"/>
      <c r="FSK58"/>
      <c r="FSL58"/>
      <c r="FSM58"/>
      <c r="FSN58"/>
      <c r="FSO58"/>
      <c r="FSP58"/>
      <c r="FSQ58"/>
      <c r="FSR58"/>
      <c r="FSS58"/>
      <c r="FST58"/>
      <c r="FSU58"/>
      <c r="FSV58"/>
      <c r="FSW58"/>
      <c r="FSX58"/>
      <c r="FSY58"/>
      <c r="FSZ58"/>
      <c r="FTA58"/>
      <c r="FTB58"/>
      <c r="FTC58"/>
      <c r="FTD58"/>
      <c r="FTE58"/>
      <c r="FTF58"/>
      <c r="FTG58"/>
      <c r="FTH58"/>
      <c r="FTI58"/>
      <c r="FTJ58"/>
      <c r="FTK58"/>
      <c r="FTL58"/>
      <c r="FTM58"/>
      <c r="FTN58"/>
      <c r="FTO58"/>
      <c r="FTP58"/>
      <c r="FTQ58"/>
      <c r="FTR58"/>
      <c r="FTS58"/>
      <c r="FTT58"/>
      <c r="FTU58"/>
      <c r="FTV58"/>
      <c r="FTW58"/>
      <c r="FTX58"/>
      <c r="FTY58"/>
      <c r="FTZ58"/>
      <c r="FUA58"/>
      <c r="FUB58"/>
      <c r="FUC58"/>
      <c r="FUD58"/>
      <c r="FUE58"/>
      <c r="FUF58"/>
      <c r="FUG58"/>
      <c r="FUH58"/>
      <c r="FUI58"/>
      <c r="FUJ58"/>
      <c r="FUK58"/>
      <c r="FUL58"/>
      <c r="FUM58"/>
      <c r="FUN58"/>
      <c r="FUO58"/>
      <c r="FUP58"/>
      <c r="FUQ58"/>
      <c r="FUR58"/>
      <c r="FUS58"/>
      <c r="FUT58"/>
      <c r="FUU58"/>
      <c r="FUV58"/>
      <c r="FUW58"/>
      <c r="FUX58"/>
      <c r="FUY58"/>
      <c r="FUZ58"/>
      <c r="FVA58"/>
      <c r="FVB58"/>
      <c r="FVC58"/>
      <c r="FVD58"/>
      <c r="FVE58"/>
      <c r="FVF58"/>
      <c r="FVG58"/>
      <c r="FVH58"/>
      <c r="FVI58"/>
      <c r="FVJ58"/>
      <c r="FVK58"/>
      <c r="FVL58"/>
      <c r="FVM58"/>
      <c r="FVN58"/>
      <c r="FVO58"/>
      <c r="FVP58"/>
      <c r="FVQ58"/>
      <c r="FVR58"/>
      <c r="FVS58"/>
      <c r="FVT58"/>
      <c r="FVU58"/>
      <c r="FVV58"/>
      <c r="FVW58"/>
      <c r="FVX58"/>
      <c r="FVY58"/>
      <c r="FVZ58"/>
      <c r="FWA58"/>
      <c r="FWB58"/>
      <c r="FWC58"/>
      <c r="FWD58"/>
      <c r="FWE58"/>
      <c r="FWF58"/>
      <c r="FWG58"/>
      <c r="FWH58"/>
      <c r="FWI58"/>
      <c r="FWJ58"/>
      <c r="FWK58"/>
      <c r="FWL58"/>
      <c r="FWM58"/>
      <c r="FWN58"/>
      <c r="FWO58"/>
      <c r="FWP58"/>
      <c r="FWQ58"/>
      <c r="FWR58"/>
      <c r="FWS58"/>
      <c r="FWT58"/>
      <c r="FWU58"/>
      <c r="FWV58"/>
      <c r="FWW58"/>
      <c r="FWX58"/>
      <c r="FWY58"/>
      <c r="FWZ58"/>
      <c r="FXA58"/>
      <c r="FXB58"/>
      <c r="FXC58"/>
      <c r="FXD58"/>
      <c r="FXE58"/>
      <c r="FXF58"/>
      <c r="FXG58"/>
      <c r="FXH58"/>
      <c r="FXI58"/>
      <c r="FXJ58"/>
      <c r="FXK58"/>
      <c r="FXL58"/>
      <c r="FXM58"/>
      <c r="FXN58"/>
      <c r="FXO58"/>
      <c r="FXP58"/>
      <c r="FXQ58"/>
      <c r="FXR58"/>
      <c r="FXS58"/>
      <c r="FXT58"/>
      <c r="FXU58"/>
      <c r="FXV58"/>
      <c r="FXW58"/>
      <c r="FXX58"/>
      <c r="FXY58"/>
      <c r="FXZ58"/>
      <c r="FYA58"/>
      <c r="FYB58"/>
      <c r="FYC58"/>
      <c r="FYD58"/>
      <c r="FYE58"/>
      <c r="FYF58"/>
      <c r="FYG58"/>
      <c r="FYH58"/>
      <c r="FYI58"/>
      <c r="FYJ58"/>
      <c r="FYK58"/>
      <c r="FYL58"/>
      <c r="FYM58"/>
      <c r="FYN58"/>
      <c r="FYO58"/>
      <c r="FYP58"/>
      <c r="FYQ58"/>
      <c r="FYR58"/>
      <c r="FYS58"/>
      <c r="FYT58"/>
      <c r="FYU58"/>
      <c r="FYV58"/>
      <c r="FYW58"/>
      <c r="FYX58"/>
      <c r="FYY58"/>
      <c r="FYZ58"/>
      <c r="FZA58"/>
      <c r="FZB58"/>
      <c r="FZC58"/>
      <c r="FZD58"/>
      <c r="FZE58"/>
      <c r="FZF58"/>
      <c r="FZG58"/>
      <c r="FZH58"/>
      <c r="FZI58"/>
      <c r="FZJ58"/>
      <c r="FZK58"/>
      <c r="FZL58"/>
      <c r="FZM58"/>
      <c r="FZN58"/>
      <c r="FZO58"/>
      <c r="FZP58"/>
      <c r="FZQ58"/>
      <c r="FZR58"/>
      <c r="FZS58"/>
      <c r="FZT58"/>
      <c r="FZU58"/>
      <c r="FZV58"/>
      <c r="FZW58"/>
      <c r="FZX58"/>
      <c r="FZY58"/>
      <c r="FZZ58"/>
      <c r="GAA58"/>
      <c r="GAB58"/>
      <c r="GAC58"/>
      <c r="GAD58"/>
      <c r="GAE58"/>
      <c r="GAF58"/>
      <c r="GAG58"/>
      <c r="GAH58"/>
      <c r="GAI58"/>
      <c r="GAJ58"/>
      <c r="GAK58"/>
      <c r="GAL58"/>
      <c r="GAM58"/>
      <c r="GAN58"/>
      <c r="GAO58"/>
      <c r="GAP58"/>
      <c r="GAQ58"/>
      <c r="GAR58"/>
      <c r="GAS58"/>
      <c r="GAT58"/>
      <c r="GAU58"/>
      <c r="GAV58"/>
      <c r="GAW58"/>
      <c r="GAX58"/>
      <c r="GAY58"/>
      <c r="GAZ58"/>
      <c r="GBA58"/>
      <c r="GBB58"/>
      <c r="GBC58"/>
      <c r="GBD58"/>
      <c r="GBE58"/>
      <c r="GBF58"/>
      <c r="GBG58"/>
      <c r="GBH58"/>
      <c r="GBI58"/>
      <c r="GBJ58"/>
      <c r="GBK58"/>
      <c r="GBL58"/>
      <c r="GBM58"/>
      <c r="GBN58"/>
      <c r="GBO58"/>
      <c r="GBP58"/>
      <c r="GBQ58"/>
      <c r="GBR58"/>
      <c r="GBS58"/>
      <c r="GBT58"/>
      <c r="GBU58"/>
      <c r="GBV58"/>
      <c r="GBW58"/>
      <c r="GBX58"/>
      <c r="GBY58"/>
      <c r="GBZ58"/>
      <c r="GCA58"/>
      <c r="GCB58"/>
      <c r="GCC58"/>
      <c r="GCD58"/>
      <c r="GCE58"/>
      <c r="GCF58"/>
      <c r="GCG58"/>
      <c r="GCH58"/>
      <c r="GCI58"/>
      <c r="GCJ58"/>
      <c r="GCK58"/>
      <c r="GCL58"/>
      <c r="GCM58"/>
      <c r="GCN58"/>
      <c r="GCO58"/>
      <c r="GCP58"/>
      <c r="GCQ58"/>
      <c r="GCR58"/>
      <c r="GCS58"/>
      <c r="GCT58"/>
      <c r="GCU58"/>
      <c r="GCV58"/>
      <c r="GCW58"/>
      <c r="GCX58"/>
      <c r="GCY58"/>
      <c r="GCZ58"/>
      <c r="GDA58"/>
      <c r="GDB58"/>
      <c r="GDC58"/>
      <c r="GDD58"/>
      <c r="GDE58"/>
      <c r="GDF58"/>
      <c r="GDG58"/>
      <c r="GDH58"/>
      <c r="GDI58"/>
      <c r="GDJ58"/>
      <c r="GDK58"/>
      <c r="GDL58"/>
      <c r="GDM58"/>
      <c r="GDN58"/>
      <c r="GDO58"/>
      <c r="GDP58"/>
      <c r="GDQ58"/>
      <c r="GDR58"/>
      <c r="GDS58"/>
      <c r="GDT58"/>
      <c r="GDU58"/>
      <c r="GDV58"/>
      <c r="GDW58"/>
      <c r="GDX58"/>
      <c r="GDY58"/>
      <c r="GDZ58"/>
      <c r="GEA58"/>
      <c r="GEB58"/>
      <c r="GEC58"/>
      <c r="GED58"/>
      <c r="GEE58"/>
      <c r="GEF58"/>
      <c r="GEG58"/>
      <c r="GEH58"/>
      <c r="GEI58"/>
      <c r="GEJ58"/>
      <c r="GEK58"/>
      <c r="GEL58"/>
      <c r="GEM58"/>
      <c r="GEN58"/>
      <c r="GEO58"/>
      <c r="GEP58"/>
      <c r="GEQ58"/>
      <c r="GER58"/>
      <c r="GES58"/>
      <c r="GET58"/>
      <c r="GEU58"/>
      <c r="GEV58"/>
      <c r="GEW58"/>
      <c r="GEX58"/>
      <c r="GEY58"/>
      <c r="GEZ58"/>
      <c r="GFA58"/>
      <c r="GFB58"/>
      <c r="GFC58"/>
      <c r="GFD58"/>
      <c r="GFE58"/>
      <c r="GFF58"/>
      <c r="GFG58"/>
      <c r="GFH58"/>
      <c r="GFI58"/>
      <c r="GFJ58"/>
      <c r="GFK58"/>
      <c r="GFL58"/>
      <c r="GFM58"/>
      <c r="GFN58"/>
      <c r="GFO58"/>
      <c r="GFP58"/>
      <c r="GFQ58"/>
      <c r="GFR58"/>
      <c r="GFS58"/>
      <c r="GFT58"/>
      <c r="GFU58"/>
      <c r="GFV58"/>
      <c r="GFW58"/>
      <c r="GFX58"/>
      <c r="GFY58"/>
      <c r="GFZ58"/>
      <c r="GGA58"/>
      <c r="GGB58"/>
      <c r="GGC58"/>
      <c r="GGD58"/>
      <c r="GGE58"/>
      <c r="GGF58"/>
      <c r="GGG58"/>
      <c r="GGH58"/>
      <c r="GGI58"/>
      <c r="GGJ58"/>
      <c r="GGK58"/>
      <c r="GGL58"/>
      <c r="GGM58"/>
      <c r="GGN58"/>
      <c r="GGO58"/>
      <c r="GGP58"/>
      <c r="GGQ58"/>
      <c r="GGR58"/>
      <c r="GGS58"/>
      <c r="GGT58"/>
      <c r="GGU58"/>
      <c r="GGV58"/>
      <c r="GGW58"/>
      <c r="GGX58"/>
      <c r="GGY58"/>
      <c r="GGZ58"/>
      <c r="GHA58"/>
      <c r="GHB58"/>
      <c r="GHC58"/>
      <c r="GHD58"/>
      <c r="GHE58"/>
      <c r="GHF58"/>
      <c r="GHG58"/>
      <c r="GHH58"/>
      <c r="GHI58"/>
      <c r="GHJ58"/>
      <c r="GHK58"/>
      <c r="GHL58"/>
      <c r="GHM58"/>
      <c r="GHN58"/>
      <c r="GHO58"/>
      <c r="GHP58"/>
      <c r="GHQ58"/>
      <c r="GHR58"/>
      <c r="GHS58"/>
      <c r="GHT58"/>
      <c r="GHU58"/>
      <c r="GHV58"/>
      <c r="GHW58"/>
      <c r="GHX58"/>
      <c r="GHY58"/>
      <c r="GHZ58"/>
      <c r="GIA58"/>
      <c r="GIB58"/>
      <c r="GIC58"/>
      <c r="GID58"/>
      <c r="GIE58"/>
      <c r="GIF58"/>
      <c r="GIG58"/>
      <c r="GIH58"/>
      <c r="GII58"/>
      <c r="GIJ58"/>
      <c r="GIK58"/>
      <c r="GIL58"/>
      <c r="GIM58"/>
      <c r="GIN58"/>
      <c r="GIO58"/>
      <c r="GIP58"/>
      <c r="GIQ58"/>
      <c r="GIR58"/>
      <c r="GIS58"/>
      <c r="GIT58"/>
      <c r="GIU58"/>
      <c r="GIV58"/>
      <c r="GIW58"/>
      <c r="GIX58"/>
      <c r="GIY58"/>
      <c r="GIZ58"/>
      <c r="GJA58"/>
      <c r="GJB58"/>
      <c r="GJC58"/>
      <c r="GJD58"/>
      <c r="GJE58"/>
      <c r="GJF58"/>
      <c r="GJG58"/>
      <c r="GJH58"/>
      <c r="GJI58"/>
      <c r="GJJ58"/>
      <c r="GJK58"/>
      <c r="GJL58"/>
      <c r="GJM58"/>
      <c r="GJN58"/>
      <c r="GJO58"/>
      <c r="GJP58"/>
      <c r="GJQ58"/>
      <c r="GJR58"/>
      <c r="GJS58"/>
      <c r="GJT58"/>
      <c r="GJU58"/>
      <c r="GJV58"/>
      <c r="GJW58"/>
      <c r="GJX58"/>
      <c r="GJY58"/>
      <c r="GJZ58"/>
      <c r="GKA58"/>
      <c r="GKB58"/>
      <c r="GKC58"/>
      <c r="GKD58"/>
      <c r="GKE58"/>
      <c r="GKF58"/>
      <c r="GKG58"/>
      <c r="GKH58"/>
      <c r="GKI58"/>
      <c r="GKJ58"/>
      <c r="GKK58"/>
      <c r="GKL58"/>
      <c r="GKM58"/>
      <c r="GKN58"/>
      <c r="GKO58"/>
      <c r="GKP58"/>
      <c r="GKQ58"/>
      <c r="GKR58"/>
      <c r="GKS58"/>
      <c r="GKT58"/>
      <c r="GKU58"/>
      <c r="GKV58"/>
      <c r="GKW58"/>
      <c r="GKX58"/>
      <c r="GKY58"/>
      <c r="GKZ58"/>
      <c r="GLA58"/>
      <c r="GLB58"/>
      <c r="GLC58"/>
      <c r="GLD58"/>
      <c r="GLE58"/>
      <c r="GLF58"/>
      <c r="GLG58"/>
      <c r="GLH58"/>
      <c r="GLI58"/>
      <c r="GLJ58"/>
      <c r="GLK58"/>
      <c r="GLL58"/>
      <c r="GLM58"/>
      <c r="GLN58"/>
      <c r="GLO58"/>
      <c r="GLP58"/>
      <c r="GLQ58"/>
      <c r="GLR58"/>
      <c r="GLS58"/>
      <c r="GLT58"/>
      <c r="GLU58"/>
      <c r="GLV58"/>
      <c r="GLW58"/>
      <c r="GLX58"/>
      <c r="GLY58"/>
      <c r="GLZ58"/>
      <c r="GMA58"/>
      <c r="GMB58"/>
      <c r="GMC58"/>
      <c r="GMD58"/>
      <c r="GME58"/>
      <c r="GMF58"/>
      <c r="GMG58"/>
      <c r="GMH58"/>
      <c r="GMI58"/>
      <c r="GMJ58"/>
      <c r="GMK58"/>
      <c r="GML58"/>
      <c r="GMM58"/>
      <c r="GMN58"/>
      <c r="GMO58"/>
      <c r="GMP58"/>
      <c r="GMQ58"/>
      <c r="GMR58"/>
      <c r="GMS58"/>
      <c r="GMT58"/>
      <c r="GMU58"/>
      <c r="GMV58"/>
      <c r="GMW58"/>
      <c r="GMX58"/>
      <c r="GMY58"/>
      <c r="GMZ58"/>
      <c r="GNA58"/>
      <c r="GNB58"/>
      <c r="GNC58"/>
      <c r="GND58"/>
      <c r="GNE58"/>
      <c r="GNF58"/>
      <c r="GNG58"/>
      <c r="GNH58"/>
      <c r="GNI58"/>
      <c r="GNJ58"/>
      <c r="GNK58"/>
      <c r="GNL58"/>
      <c r="GNM58"/>
      <c r="GNN58"/>
      <c r="GNO58"/>
      <c r="GNP58"/>
      <c r="GNQ58"/>
      <c r="GNR58"/>
      <c r="GNS58"/>
      <c r="GNT58"/>
      <c r="GNU58"/>
      <c r="GNV58"/>
      <c r="GNW58"/>
      <c r="GNX58"/>
      <c r="GNY58"/>
      <c r="GNZ58"/>
      <c r="GOA58"/>
      <c r="GOB58"/>
      <c r="GOC58"/>
      <c r="GOD58"/>
      <c r="GOE58"/>
      <c r="GOF58"/>
      <c r="GOG58"/>
      <c r="GOH58"/>
      <c r="GOI58"/>
      <c r="GOJ58"/>
      <c r="GOK58"/>
      <c r="GOL58"/>
      <c r="GOM58"/>
      <c r="GON58"/>
      <c r="GOO58"/>
      <c r="GOP58"/>
      <c r="GOQ58"/>
      <c r="GOR58"/>
      <c r="GOS58"/>
      <c r="GOT58"/>
      <c r="GOU58"/>
      <c r="GOV58"/>
      <c r="GOW58"/>
      <c r="GOX58"/>
      <c r="GOY58"/>
      <c r="GOZ58"/>
      <c r="GPA58"/>
      <c r="GPB58"/>
      <c r="GPC58"/>
      <c r="GPD58"/>
      <c r="GPE58"/>
      <c r="GPF58"/>
      <c r="GPG58"/>
      <c r="GPH58"/>
      <c r="GPI58"/>
      <c r="GPJ58"/>
      <c r="GPK58"/>
      <c r="GPL58"/>
      <c r="GPM58"/>
      <c r="GPN58"/>
      <c r="GPO58"/>
      <c r="GPP58"/>
      <c r="GPQ58"/>
      <c r="GPR58"/>
      <c r="GPS58"/>
      <c r="GPT58"/>
      <c r="GPU58"/>
      <c r="GPV58"/>
      <c r="GPW58"/>
      <c r="GPX58"/>
      <c r="GPY58"/>
      <c r="GPZ58"/>
      <c r="GQA58"/>
      <c r="GQB58"/>
      <c r="GQC58"/>
      <c r="GQD58"/>
      <c r="GQE58"/>
      <c r="GQF58"/>
      <c r="GQG58"/>
      <c r="GQH58"/>
      <c r="GQI58"/>
      <c r="GQJ58"/>
      <c r="GQK58"/>
      <c r="GQL58"/>
      <c r="GQM58"/>
      <c r="GQN58"/>
      <c r="GQO58"/>
      <c r="GQP58"/>
      <c r="GQQ58"/>
      <c r="GQR58"/>
      <c r="GQS58"/>
      <c r="GQT58"/>
      <c r="GQU58"/>
      <c r="GQV58"/>
      <c r="GQW58"/>
      <c r="GQX58"/>
      <c r="GQY58"/>
      <c r="GQZ58"/>
      <c r="GRA58"/>
      <c r="GRB58"/>
      <c r="GRC58"/>
      <c r="GRD58"/>
      <c r="GRE58"/>
      <c r="GRF58"/>
      <c r="GRG58"/>
      <c r="GRH58"/>
      <c r="GRI58"/>
      <c r="GRJ58"/>
      <c r="GRK58"/>
      <c r="GRL58"/>
      <c r="GRM58"/>
      <c r="GRN58"/>
      <c r="GRO58"/>
      <c r="GRP58"/>
      <c r="GRQ58"/>
      <c r="GRR58"/>
      <c r="GRS58"/>
      <c r="GRT58"/>
      <c r="GRU58"/>
      <c r="GRV58"/>
      <c r="GRW58"/>
      <c r="GRX58"/>
      <c r="GRY58"/>
      <c r="GRZ58"/>
      <c r="GSA58"/>
      <c r="GSB58"/>
      <c r="GSC58"/>
      <c r="GSD58"/>
      <c r="GSE58"/>
      <c r="GSF58"/>
      <c r="GSG58"/>
      <c r="GSH58"/>
      <c r="GSI58"/>
      <c r="GSJ58"/>
      <c r="GSK58"/>
      <c r="GSL58"/>
      <c r="GSM58"/>
      <c r="GSN58"/>
      <c r="GSO58"/>
      <c r="GSP58"/>
      <c r="GSQ58"/>
      <c r="GSR58"/>
      <c r="GSS58"/>
      <c r="GST58"/>
      <c r="GSU58"/>
      <c r="GSV58"/>
      <c r="GSW58"/>
      <c r="GSX58"/>
      <c r="GSY58"/>
      <c r="GSZ58"/>
      <c r="GTA58"/>
      <c r="GTB58"/>
      <c r="GTC58"/>
      <c r="GTD58"/>
      <c r="GTE58"/>
      <c r="GTF58"/>
      <c r="GTG58"/>
      <c r="GTH58"/>
      <c r="GTI58"/>
      <c r="GTJ58"/>
      <c r="GTK58"/>
      <c r="GTL58"/>
      <c r="GTM58"/>
      <c r="GTN58"/>
      <c r="GTO58"/>
      <c r="GTP58"/>
      <c r="GTQ58"/>
      <c r="GTR58"/>
      <c r="GTS58"/>
      <c r="GTT58"/>
      <c r="GTU58"/>
      <c r="GTV58"/>
      <c r="GTW58"/>
      <c r="GTX58"/>
      <c r="GTY58"/>
      <c r="GTZ58"/>
      <c r="GUA58"/>
      <c r="GUB58"/>
      <c r="GUC58"/>
      <c r="GUD58"/>
      <c r="GUE58"/>
      <c r="GUF58"/>
      <c r="GUG58"/>
      <c r="GUH58"/>
      <c r="GUI58"/>
      <c r="GUJ58"/>
      <c r="GUK58"/>
      <c r="GUL58"/>
      <c r="GUM58"/>
      <c r="GUN58"/>
      <c r="GUO58"/>
      <c r="GUP58"/>
      <c r="GUQ58"/>
      <c r="GUR58"/>
      <c r="GUS58"/>
      <c r="GUT58"/>
      <c r="GUU58"/>
      <c r="GUV58"/>
      <c r="GUW58"/>
      <c r="GUX58"/>
      <c r="GUY58"/>
      <c r="GUZ58"/>
      <c r="GVA58"/>
      <c r="GVB58"/>
      <c r="GVC58"/>
      <c r="GVD58"/>
      <c r="GVE58"/>
      <c r="GVF58"/>
      <c r="GVG58"/>
      <c r="GVH58"/>
      <c r="GVI58"/>
      <c r="GVJ58"/>
      <c r="GVK58"/>
      <c r="GVL58"/>
      <c r="GVM58"/>
      <c r="GVN58"/>
      <c r="GVO58"/>
      <c r="GVP58"/>
      <c r="GVQ58"/>
      <c r="GVR58"/>
      <c r="GVS58"/>
      <c r="GVT58"/>
      <c r="GVU58"/>
      <c r="GVV58"/>
      <c r="GVW58"/>
      <c r="GVX58"/>
      <c r="GVY58"/>
      <c r="GVZ58"/>
      <c r="GWA58"/>
      <c r="GWB58"/>
      <c r="GWC58"/>
      <c r="GWD58"/>
      <c r="GWE58"/>
      <c r="GWF58"/>
      <c r="GWG58"/>
      <c r="GWH58"/>
      <c r="GWI58"/>
      <c r="GWJ58"/>
      <c r="GWK58"/>
      <c r="GWL58"/>
      <c r="GWM58"/>
      <c r="GWN58"/>
      <c r="GWO58"/>
      <c r="GWP58"/>
      <c r="GWQ58"/>
      <c r="GWR58"/>
      <c r="GWS58"/>
      <c r="GWT58"/>
      <c r="GWU58"/>
      <c r="GWV58"/>
      <c r="GWW58"/>
      <c r="GWX58"/>
      <c r="GWY58"/>
      <c r="GWZ58"/>
      <c r="GXA58"/>
      <c r="GXB58"/>
      <c r="GXC58"/>
      <c r="GXD58"/>
      <c r="GXE58"/>
      <c r="GXF58"/>
      <c r="GXG58"/>
      <c r="GXH58"/>
      <c r="GXI58"/>
      <c r="GXJ58"/>
      <c r="GXK58"/>
      <c r="GXL58"/>
      <c r="GXM58"/>
      <c r="GXN58"/>
      <c r="GXO58"/>
      <c r="GXP58"/>
      <c r="GXQ58"/>
      <c r="GXR58"/>
      <c r="GXS58"/>
      <c r="GXT58"/>
      <c r="GXU58"/>
      <c r="GXV58"/>
      <c r="GXW58"/>
      <c r="GXX58"/>
      <c r="GXY58"/>
      <c r="GXZ58"/>
      <c r="GYA58"/>
      <c r="GYB58"/>
      <c r="GYC58"/>
      <c r="GYD58"/>
      <c r="GYE58"/>
      <c r="GYF58"/>
      <c r="GYG58"/>
      <c r="GYH58"/>
      <c r="GYI58"/>
      <c r="GYJ58"/>
      <c r="GYK58"/>
      <c r="GYL58"/>
      <c r="GYM58"/>
      <c r="GYN58"/>
      <c r="GYO58"/>
      <c r="GYP58"/>
      <c r="GYQ58"/>
      <c r="GYR58"/>
      <c r="GYS58"/>
      <c r="GYT58"/>
      <c r="GYU58"/>
      <c r="GYV58"/>
      <c r="GYW58"/>
      <c r="GYX58"/>
      <c r="GYY58"/>
      <c r="GYZ58"/>
      <c r="GZA58"/>
      <c r="GZB58"/>
      <c r="GZC58"/>
      <c r="GZD58"/>
      <c r="GZE58"/>
      <c r="GZF58"/>
      <c r="GZG58"/>
      <c r="GZH58"/>
      <c r="GZI58"/>
      <c r="GZJ58"/>
      <c r="GZK58"/>
      <c r="GZL58"/>
      <c r="GZM58"/>
      <c r="GZN58"/>
      <c r="GZO58"/>
      <c r="GZP58"/>
      <c r="GZQ58"/>
      <c r="GZR58"/>
      <c r="GZS58"/>
      <c r="GZT58"/>
      <c r="GZU58"/>
      <c r="GZV58"/>
      <c r="GZW58"/>
      <c r="GZX58"/>
      <c r="GZY58"/>
      <c r="GZZ58"/>
      <c r="HAA58"/>
      <c r="HAB58"/>
      <c r="HAC58"/>
      <c r="HAD58"/>
      <c r="HAE58"/>
      <c r="HAF58"/>
      <c r="HAG58"/>
      <c r="HAH58"/>
      <c r="HAI58"/>
      <c r="HAJ58"/>
      <c r="HAK58"/>
      <c r="HAL58"/>
      <c r="HAM58"/>
      <c r="HAN58"/>
      <c r="HAO58"/>
      <c r="HAP58"/>
      <c r="HAQ58"/>
      <c r="HAR58"/>
      <c r="HAS58"/>
      <c r="HAT58"/>
      <c r="HAU58"/>
      <c r="HAV58"/>
      <c r="HAW58"/>
      <c r="HAX58"/>
      <c r="HAY58"/>
      <c r="HAZ58"/>
      <c r="HBA58"/>
      <c r="HBB58"/>
      <c r="HBC58"/>
      <c r="HBD58"/>
      <c r="HBE58"/>
      <c r="HBF58"/>
      <c r="HBG58"/>
      <c r="HBH58"/>
      <c r="HBI58"/>
      <c r="HBJ58"/>
      <c r="HBK58"/>
      <c r="HBL58"/>
      <c r="HBM58"/>
      <c r="HBN58"/>
      <c r="HBO58"/>
      <c r="HBP58"/>
      <c r="HBQ58"/>
      <c r="HBR58"/>
      <c r="HBS58"/>
      <c r="HBT58"/>
      <c r="HBU58"/>
      <c r="HBV58"/>
      <c r="HBW58"/>
      <c r="HBX58"/>
      <c r="HBY58"/>
      <c r="HBZ58"/>
      <c r="HCA58"/>
      <c r="HCB58"/>
      <c r="HCC58"/>
      <c r="HCD58"/>
      <c r="HCE58"/>
      <c r="HCF58"/>
      <c r="HCG58"/>
      <c r="HCH58"/>
      <c r="HCI58"/>
      <c r="HCJ58"/>
      <c r="HCK58"/>
      <c r="HCL58"/>
      <c r="HCM58"/>
      <c r="HCN58"/>
      <c r="HCO58"/>
      <c r="HCP58"/>
      <c r="HCQ58"/>
      <c r="HCR58"/>
      <c r="HCS58"/>
      <c r="HCT58"/>
      <c r="HCU58"/>
      <c r="HCV58"/>
      <c r="HCW58"/>
      <c r="HCX58"/>
      <c r="HCY58"/>
      <c r="HCZ58"/>
      <c r="HDA58"/>
      <c r="HDB58"/>
      <c r="HDC58"/>
      <c r="HDD58"/>
      <c r="HDE58"/>
      <c r="HDF58"/>
      <c r="HDG58"/>
      <c r="HDH58"/>
      <c r="HDI58"/>
      <c r="HDJ58"/>
      <c r="HDK58"/>
      <c r="HDL58"/>
      <c r="HDM58"/>
      <c r="HDN58"/>
      <c r="HDO58"/>
      <c r="HDP58"/>
      <c r="HDQ58"/>
      <c r="HDR58"/>
      <c r="HDS58"/>
      <c r="HDT58"/>
      <c r="HDU58"/>
      <c r="HDV58"/>
      <c r="HDW58"/>
      <c r="HDX58"/>
      <c r="HDY58"/>
      <c r="HDZ58"/>
      <c r="HEA58"/>
      <c r="HEB58"/>
      <c r="HEC58"/>
      <c r="HED58"/>
      <c r="HEE58"/>
      <c r="HEF58"/>
      <c r="HEG58"/>
      <c r="HEH58"/>
      <c r="HEI58"/>
      <c r="HEJ58"/>
      <c r="HEK58"/>
      <c r="HEL58"/>
      <c r="HEM58"/>
      <c r="HEN58"/>
      <c r="HEO58"/>
      <c r="HEP58"/>
      <c r="HEQ58"/>
      <c r="HER58"/>
      <c r="HES58"/>
      <c r="HET58"/>
      <c r="HEU58"/>
      <c r="HEV58"/>
      <c r="HEW58"/>
      <c r="HEX58"/>
      <c r="HEY58"/>
      <c r="HEZ58"/>
      <c r="HFA58"/>
      <c r="HFB58"/>
      <c r="HFC58"/>
      <c r="HFD58"/>
      <c r="HFE58"/>
      <c r="HFF58"/>
      <c r="HFG58"/>
      <c r="HFH58"/>
      <c r="HFI58"/>
      <c r="HFJ58"/>
      <c r="HFK58"/>
      <c r="HFL58"/>
      <c r="HFM58"/>
      <c r="HFN58"/>
      <c r="HFO58"/>
      <c r="HFP58"/>
      <c r="HFQ58"/>
      <c r="HFR58"/>
      <c r="HFS58"/>
      <c r="HFT58"/>
      <c r="HFU58"/>
      <c r="HFV58"/>
      <c r="HFW58"/>
      <c r="HFX58"/>
      <c r="HFY58"/>
      <c r="HFZ58"/>
      <c r="HGA58"/>
      <c r="HGB58"/>
      <c r="HGC58"/>
      <c r="HGD58"/>
      <c r="HGE58"/>
      <c r="HGF58"/>
      <c r="HGG58"/>
      <c r="HGH58"/>
      <c r="HGI58"/>
      <c r="HGJ58"/>
      <c r="HGK58"/>
      <c r="HGL58"/>
      <c r="HGM58"/>
      <c r="HGN58"/>
      <c r="HGO58"/>
      <c r="HGP58"/>
      <c r="HGQ58"/>
      <c r="HGR58"/>
      <c r="HGS58"/>
      <c r="HGT58"/>
      <c r="HGU58"/>
      <c r="HGV58"/>
      <c r="HGW58"/>
      <c r="HGX58"/>
      <c r="HGY58"/>
      <c r="HGZ58"/>
      <c r="HHA58"/>
      <c r="HHB58"/>
      <c r="HHC58"/>
      <c r="HHD58"/>
      <c r="HHE58"/>
      <c r="HHF58"/>
      <c r="HHG58"/>
      <c r="HHH58"/>
      <c r="HHI58"/>
      <c r="HHJ58"/>
      <c r="HHK58"/>
      <c r="HHL58"/>
      <c r="HHM58"/>
      <c r="HHN58"/>
      <c r="HHO58"/>
      <c r="HHP58"/>
      <c r="HHQ58"/>
      <c r="HHR58"/>
      <c r="HHS58"/>
      <c r="HHT58"/>
      <c r="HHU58"/>
      <c r="HHV58"/>
      <c r="HHW58"/>
      <c r="HHX58"/>
      <c r="HHY58"/>
      <c r="HHZ58"/>
      <c r="HIA58"/>
      <c r="HIB58"/>
      <c r="HIC58"/>
      <c r="HID58"/>
      <c r="HIE58"/>
      <c r="HIF58"/>
      <c r="HIG58"/>
      <c r="HIH58"/>
      <c r="HII58"/>
      <c r="HIJ58"/>
      <c r="HIK58"/>
      <c r="HIL58"/>
      <c r="HIM58"/>
      <c r="HIN58"/>
      <c r="HIO58"/>
      <c r="HIP58"/>
      <c r="HIQ58"/>
      <c r="HIR58"/>
      <c r="HIS58"/>
      <c r="HIT58"/>
      <c r="HIU58"/>
      <c r="HIV58"/>
      <c r="HIW58"/>
      <c r="HIX58"/>
      <c r="HIY58"/>
      <c r="HIZ58"/>
      <c r="HJA58"/>
      <c r="HJB58"/>
      <c r="HJC58"/>
      <c r="HJD58"/>
      <c r="HJE58"/>
      <c r="HJF58"/>
      <c r="HJG58"/>
      <c r="HJH58"/>
      <c r="HJI58"/>
      <c r="HJJ58"/>
      <c r="HJK58"/>
      <c r="HJL58"/>
      <c r="HJM58"/>
      <c r="HJN58"/>
      <c r="HJO58"/>
      <c r="HJP58"/>
      <c r="HJQ58"/>
      <c r="HJR58"/>
      <c r="HJS58"/>
      <c r="HJT58"/>
      <c r="HJU58"/>
      <c r="HJV58"/>
      <c r="HJW58"/>
      <c r="HJX58"/>
      <c r="HJY58"/>
      <c r="HJZ58"/>
      <c r="HKA58"/>
      <c r="HKB58"/>
      <c r="HKC58"/>
      <c r="HKD58"/>
      <c r="HKE58"/>
      <c r="HKF58"/>
      <c r="HKG58"/>
      <c r="HKH58"/>
      <c r="HKI58"/>
      <c r="HKJ58"/>
      <c r="HKK58"/>
      <c r="HKL58"/>
      <c r="HKM58"/>
      <c r="HKN58"/>
      <c r="HKO58"/>
      <c r="HKP58"/>
      <c r="HKQ58"/>
      <c r="HKR58"/>
      <c r="HKS58"/>
      <c r="HKT58"/>
      <c r="HKU58"/>
      <c r="HKV58"/>
      <c r="HKW58"/>
      <c r="HKX58"/>
      <c r="HKY58"/>
      <c r="HKZ58"/>
      <c r="HLA58"/>
      <c r="HLB58"/>
      <c r="HLC58"/>
      <c r="HLD58"/>
      <c r="HLE58"/>
      <c r="HLF58"/>
      <c r="HLG58"/>
      <c r="HLH58"/>
      <c r="HLI58"/>
      <c r="HLJ58"/>
      <c r="HLK58"/>
      <c r="HLL58"/>
      <c r="HLM58"/>
      <c r="HLN58"/>
      <c r="HLO58"/>
      <c r="HLP58"/>
      <c r="HLQ58"/>
      <c r="HLR58"/>
      <c r="HLS58"/>
      <c r="HLT58"/>
      <c r="HLU58"/>
      <c r="HLV58"/>
      <c r="HLW58"/>
      <c r="HLX58"/>
      <c r="HLY58"/>
      <c r="HLZ58"/>
      <c r="HMA58"/>
      <c r="HMB58"/>
      <c r="HMC58"/>
      <c r="HMD58"/>
      <c r="HME58"/>
      <c r="HMF58"/>
      <c r="HMG58"/>
      <c r="HMH58"/>
      <c r="HMI58"/>
      <c r="HMJ58"/>
      <c r="HMK58"/>
      <c r="HML58"/>
      <c r="HMM58"/>
      <c r="HMN58"/>
      <c r="HMO58"/>
      <c r="HMP58"/>
      <c r="HMQ58"/>
      <c r="HMR58"/>
      <c r="HMS58"/>
      <c r="HMT58"/>
      <c r="HMU58"/>
      <c r="HMV58"/>
      <c r="HMW58"/>
      <c r="HMX58"/>
      <c r="HMY58"/>
      <c r="HMZ58"/>
      <c r="HNA58"/>
      <c r="HNB58"/>
      <c r="HNC58"/>
      <c r="HND58"/>
      <c r="HNE58"/>
      <c r="HNF58"/>
      <c r="HNG58"/>
      <c r="HNH58"/>
      <c r="HNI58"/>
      <c r="HNJ58"/>
      <c r="HNK58"/>
      <c r="HNL58"/>
      <c r="HNM58"/>
      <c r="HNN58"/>
      <c r="HNO58"/>
      <c r="HNP58"/>
      <c r="HNQ58"/>
      <c r="HNR58"/>
      <c r="HNS58"/>
      <c r="HNT58"/>
      <c r="HNU58"/>
      <c r="HNV58"/>
      <c r="HNW58"/>
      <c r="HNX58"/>
      <c r="HNY58"/>
      <c r="HNZ58"/>
      <c r="HOA58"/>
      <c r="HOB58"/>
      <c r="HOC58"/>
      <c r="HOD58"/>
      <c r="HOE58"/>
      <c r="HOF58"/>
      <c r="HOG58"/>
      <c r="HOH58"/>
      <c r="HOI58"/>
      <c r="HOJ58"/>
      <c r="HOK58"/>
      <c r="HOL58"/>
      <c r="HOM58"/>
      <c r="HON58"/>
      <c r="HOO58"/>
      <c r="HOP58"/>
      <c r="HOQ58"/>
      <c r="HOR58"/>
      <c r="HOS58"/>
      <c r="HOT58"/>
      <c r="HOU58"/>
      <c r="HOV58"/>
      <c r="HOW58"/>
      <c r="HOX58"/>
      <c r="HOY58"/>
      <c r="HOZ58"/>
      <c r="HPA58"/>
      <c r="HPB58"/>
      <c r="HPC58"/>
      <c r="HPD58"/>
      <c r="HPE58"/>
      <c r="HPF58"/>
      <c r="HPG58"/>
      <c r="HPH58"/>
      <c r="HPI58"/>
      <c r="HPJ58"/>
      <c r="HPK58"/>
      <c r="HPL58"/>
      <c r="HPM58"/>
      <c r="HPN58"/>
      <c r="HPO58"/>
      <c r="HPP58"/>
      <c r="HPQ58"/>
      <c r="HPR58"/>
      <c r="HPS58"/>
      <c r="HPT58"/>
      <c r="HPU58"/>
      <c r="HPV58"/>
      <c r="HPW58"/>
      <c r="HPX58"/>
      <c r="HPY58"/>
      <c r="HPZ58"/>
      <c r="HQA58"/>
      <c r="HQB58"/>
      <c r="HQC58"/>
      <c r="HQD58"/>
      <c r="HQE58"/>
      <c r="HQF58"/>
      <c r="HQG58"/>
      <c r="HQH58"/>
      <c r="HQI58"/>
      <c r="HQJ58"/>
      <c r="HQK58"/>
      <c r="HQL58"/>
      <c r="HQM58"/>
      <c r="HQN58"/>
      <c r="HQO58"/>
      <c r="HQP58"/>
      <c r="HQQ58"/>
      <c r="HQR58"/>
      <c r="HQS58"/>
      <c r="HQT58"/>
      <c r="HQU58"/>
      <c r="HQV58"/>
      <c r="HQW58"/>
      <c r="HQX58"/>
      <c r="HQY58"/>
      <c r="HQZ58"/>
      <c r="HRA58"/>
      <c r="HRB58"/>
      <c r="HRC58"/>
      <c r="HRD58"/>
      <c r="HRE58"/>
      <c r="HRF58"/>
      <c r="HRG58"/>
      <c r="HRH58"/>
      <c r="HRI58"/>
      <c r="HRJ58"/>
      <c r="HRK58"/>
      <c r="HRL58"/>
      <c r="HRM58"/>
      <c r="HRN58"/>
      <c r="HRO58"/>
      <c r="HRP58"/>
      <c r="HRQ58"/>
      <c r="HRR58"/>
      <c r="HRS58"/>
      <c r="HRT58"/>
      <c r="HRU58"/>
      <c r="HRV58"/>
      <c r="HRW58"/>
      <c r="HRX58"/>
      <c r="HRY58"/>
      <c r="HRZ58"/>
      <c r="HSA58"/>
      <c r="HSB58"/>
      <c r="HSC58"/>
      <c r="HSD58"/>
      <c r="HSE58"/>
      <c r="HSF58"/>
      <c r="HSG58"/>
      <c r="HSH58"/>
      <c r="HSI58"/>
      <c r="HSJ58"/>
      <c r="HSK58"/>
      <c r="HSL58"/>
      <c r="HSM58"/>
      <c r="HSN58"/>
      <c r="HSO58"/>
      <c r="HSP58"/>
      <c r="HSQ58"/>
      <c r="HSR58"/>
      <c r="HSS58"/>
      <c r="HST58"/>
      <c r="HSU58"/>
      <c r="HSV58"/>
      <c r="HSW58"/>
      <c r="HSX58"/>
      <c r="HSY58"/>
      <c r="HSZ58"/>
      <c r="HTA58"/>
      <c r="HTB58"/>
      <c r="HTC58"/>
      <c r="HTD58"/>
      <c r="HTE58"/>
      <c r="HTF58"/>
      <c r="HTG58"/>
      <c r="HTH58"/>
      <c r="HTI58"/>
      <c r="HTJ58"/>
      <c r="HTK58"/>
      <c r="HTL58"/>
      <c r="HTM58"/>
      <c r="HTN58"/>
      <c r="HTO58"/>
      <c r="HTP58"/>
      <c r="HTQ58"/>
      <c r="HTR58"/>
      <c r="HTS58"/>
      <c r="HTT58"/>
      <c r="HTU58"/>
      <c r="HTV58"/>
      <c r="HTW58"/>
      <c r="HTX58"/>
      <c r="HTY58"/>
      <c r="HTZ58"/>
      <c r="HUA58"/>
      <c r="HUB58"/>
      <c r="HUC58"/>
      <c r="HUD58"/>
      <c r="HUE58"/>
      <c r="HUF58"/>
      <c r="HUG58"/>
      <c r="HUH58"/>
      <c r="HUI58"/>
      <c r="HUJ58"/>
      <c r="HUK58"/>
      <c r="HUL58"/>
      <c r="HUM58"/>
      <c r="HUN58"/>
      <c r="HUO58"/>
      <c r="HUP58"/>
      <c r="HUQ58"/>
      <c r="HUR58"/>
      <c r="HUS58"/>
      <c r="HUT58"/>
      <c r="HUU58"/>
      <c r="HUV58"/>
      <c r="HUW58"/>
      <c r="HUX58"/>
      <c r="HUY58"/>
      <c r="HUZ58"/>
      <c r="HVA58"/>
      <c r="HVB58"/>
      <c r="HVC58"/>
      <c r="HVD58"/>
      <c r="HVE58"/>
      <c r="HVF58"/>
      <c r="HVG58"/>
      <c r="HVH58"/>
      <c r="HVI58"/>
      <c r="HVJ58"/>
      <c r="HVK58"/>
      <c r="HVL58"/>
      <c r="HVM58"/>
      <c r="HVN58"/>
      <c r="HVO58"/>
      <c r="HVP58"/>
      <c r="HVQ58"/>
      <c r="HVR58"/>
      <c r="HVS58"/>
      <c r="HVT58"/>
      <c r="HVU58"/>
      <c r="HVV58"/>
      <c r="HVW58"/>
      <c r="HVX58"/>
      <c r="HVY58"/>
      <c r="HVZ58"/>
      <c r="HWA58"/>
      <c r="HWB58"/>
      <c r="HWC58"/>
      <c r="HWD58"/>
      <c r="HWE58"/>
      <c r="HWF58"/>
      <c r="HWG58"/>
      <c r="HWH58"/>
      <c r="HWI58"/>
      <c r="HWJ58"/>
      <c r="HWK58"/>
      <c r="HWL58"/>
      <c r="HWM58"/>
      <c r="HWN58"/>
      <c r="HWO58"/>
      <c r="HWP58"/>
      <c r="HWQ58"/>
      <c r="HWR58"/>
      <c r="HWS58"/>
      <c r="HWT58"/>
      <c r="HWU58"/>
      <c r="HWV58"/>
      <c r="HWW58"/>
      <c r="HWX58"/>
      <c r="HWY58"/>
      <c r="HWZ58"/>
      <c r="HXA58"/>
      <c r="HXB58"/>
      <c r="HXC58"/>
      <c r="HXD58"/>
      <c r="HXE58"/>
      <c r="HXF58"/>
      <c r="HXG58"/>
      <c r="HXH58"/>
      <c r="HXI58"/>
      <c r="HXJ58"/>
      <c r="HXK58"/>
      <c r="HXL58"/>
      <c r="HXM58"/>
      <c r="HXN58"/>
      <c r="HXO58"/>
      <c r="HXP58"/>
      <c r="HXQ58"/>
      <c r="HXR58"/>
      <c r="HXS58"/>
      <c r="HXT58"/>
      <c r="HXU58"/>
      <c r="HXV58"/>
      <c r="HXW58"/>
      <c r="HXX58"/>
      <c r="HXY58"/>
      <c r="HXZ58"/>
      <c r="HYA58"/>
      <c r="HYB58"/>
      <c r="HYC58"/>
      <c r="HYD58"/>
      <c r="HYE58"/>
      <c r="HYF58"/>
      <c r="HYG58"/>
      <c r="HYH58"/>
      <c r="HYI58"/>
      <c r="HYJ58"/>
      <c r="HYK58"/>
      <c r="HYL58"/>
      <c r="HYM58"/>
      <c r="HYN58"/>
      <c r="HYO58"/>
      <c r="HYP58"/>
      <c r="HYQ58"/>
      <c r="HYR58"/>
      <c r="HYS58"/>
      <c r="HYT58"/>
      <c r="HYU58"/>
      <c r="HYV58"/>
      <c r="HYW58"/>
      <c r="HYX58"/>
      <c r="HYY58"/>
      <c r="HYZ58"/>
      <c r="HZA58"/>
      <c r="HZB58"/>
      <c r="HZC58"/>
      <c r="HZD58"/>
      <c r="HZE58"/>
      <c r="HZF58"/>
      <c r="HZG58"/>
      <c r="HZH58"/>
      <c r="HZI58"/>
      <c r="HZJ58"/>
      <c r="HZK58"/>
      <c r="HZL58"/>
      <c r="HZM58"/>
      <c r="HZN58"/>
      <c r="HZO58"/>
      <c r="HZP58"/>
      <c r="HZQ58"/>
      <c r="HZR58"/>
      <c r="HZS58"/>
      <c r="HZT58"/>
      <c r="HZU58"/>
      <c r="HZV58"/>
      <c r="HZW58"/>
      <c r="HZX58"/>
      <c r="HZY58"/>
      <c r="HZZ58"/>
      <c r="IAA58"/>
      <c r="IAB58"/>
      <c r="IAC58"/>
      <c r="IAD58"/>
      <c r="IAE58"/>
      <c r="IAF58"/>
      <c r="IAG58"/>
      <c r="IAH58"/>
      <c r="IAI58"/>
      <c r="IAJ58"/>
      <c r="IAK58"/>
      <c r="IAL58"/>
      <c r="IAM58"/>
      <c r="IAN58"/>
      <c r="IAO58"/>
      <c r="IAP58"/>
      <c r="IAQ58"/>
      <c r="IAR58"/>
      <c r="IAS58"/>
      <c r="IAT58"/>
      <c r="IAU58"/>
      <c r="IAV58"/>
      <c r="IAW58"/>
      <c r="IAX58"/>
      <c r="IAY58"/>
      <c r="IAZ58"/>
      <c r="IBA58"/>
      <c r="IBB58"/>
      <c r="IBC58"/>
      <c r="IBD58"/>
      <c r="IBE58"/>
      <c r="IBF58"/>
      <c r="IBG58"/>
      <c r="IBH58"/>
      <c r="IBI58"/>
      <c r="IBJ58"/>
      <c r="IBK58"/>
      <c r="IBL58"/>
      <c r="IBM58"/>
      <c r="IBN58"/>
      <c r="IBO58"/>
      <c r="IBP58"/>
      <c r="IBQ58"/>
      <c r="IBR58"/>
      <c r="IBS58"/>
      <c r="IBT58"/>
      <c r="IBU58"/>
      <c r="IBV58"/>
      <c r="IBW58"/>
      <c r="IBX58"/>
      <c r="IBY58"/>
      <c r="IBZ58"/>
      <c r="ICA58"/>
      <c r="ICB58"/>
      <c r="ICC58"/>
      <c r="ICD58"/>
      <c r="ICE58"/>
      <c r="ICF58"/>
      <c r="ICG58"/>
      <c r="ICH58"/>
      <c r="ICI58"/>
      <c r="ICJ58"/>
      <c r="ICK58"/>
      <c r="ICL58"/>
      <c r="ICM58"/>
      <c r="ICN58"/>
      <c r="ICO58"/>
      <c r="ICP58"/>
      <c r="ICQ58"/>
      <c r="ICR58"/>
      <c r="ICS58"/>
      <c r="ICT58"/>
      <c r="ICU58"/>
      <c r="ICV58"/>
      <c r="ICW58"/>
      <c r="ICX58"/>
      <c r="ICY58"/>
      <c r="ICZ58"/>
      <c r="IDA58"/>
      <c r="IDB58"/>
      <c r="IDC58"/>
      <c r="IDD58"/>
      <c r="IDE58"/>
      <c r="IDF58"/>
      <c r="IDG58"/>
      <c r="IDH58"/>
      <c r="IDI58"/>
      <c r="IDJ58"/>
      <c r="IDK58"/>
      <c r="IDL58"/>
      <c r="IDM58"/>
      <c r="IDN58"/>
      <c r="IDO58"/>
      <c r="IDP58"/>
      <c r="IDQ58"/>
      <c r="IDR58"/>
      <c r="IDS58"/>
      <c r="IDT58"/>
      <c r="IDU58"/>
      <c r="IDV58"/>
      <c r="IDW58"/>
      <c r="IDX58"/>
      <c r="IDY58"/>
      <c r="IDZ58"/>
      <c r="IEA58"/>
      <c r="IEB58"/>
      <c r="IEC58"/>
      <c r="IED58"/>
      <c r="IEE58"/>
      <c r="IEF58"/>
      <c r="IEG58"/>
      <c r="IEH58"/>
      <c r="IEI58"/>
      <c r="IEJ58"/>
      <c r="IEK58"/>
      <c r="IEL58"/>
      <c r="IEM58"/>
      <c r="IEN58"/>
      <c r="IEO58"/>
      <c r="IEP58"/>
      <c r="IEQ58"/>
      <c r="IER58"/>
      <c r="IES58"/>
      <c r="IET58"/>
      <c r="IEU58"/>
      <c r="IEV58"/>
      <c r="IEW58"/>
      <c r="IEX58"/>
      <c r="IEY58"/>
      <c r="IEZ58"/>
      <c r="IFA58"/>
      <c r="IFB58"/>
      <c r="IFC58"/>
      <c r="IFD58"/>
      <c r="IFE58"/>
      <c r="IFF58"/>
      <c r="IFG58"/>
      <c r="IFH58"/>
      <c r="IFI58"/>
      <c r="IFJ58"/>
      <c r="IFK58"/>
      <c r="IFL58"/>
      <c r="IFM58"/>
      <c r="IFN58"/>
      <c r="IFO58"/>
      <c r="IFP58"/>
      <c r="IFQ58"/>
      <c r="IFR58"/>
      <c r="IFS58"/>
      <c r="IFT58"/>
      <c r="IFU58"/>
      <c r="IFV58"/>
      <c r="IFW58"/>
      <c r="IFX58"/>
      <c r="IFY58"/>
      <c r="IFZ58"/>
      <c r="IGA58"/>
      <c r="IGB58"/>
      <c r="IGC58"/>
      <c r="IGD58"/>
      <c r="IGE58"/>
      <c r="IGF58"/>
      <c r="IGG58"/>
      <c r="IGH58"/>
      <c r="IGI58"/>
      <c r="IGJ58"/>
      <c r="IGK58"/>
      <c r="IGL58"/>
      <c r="IGM58"/>
      <c r="IGN58"/>
      <c r="IGO58"/>
      <c r="IGP58"/>
      <c r="IGQ58"/>
      <c r="IGR58"/>
      <c r="IGS58"/>
      <c r="IGT58"/>
      <c r="IGU58"/>
      <c r="IGV58"/>
      <c r="IGW58"/>
      <c r="IGX58"/>
      <c r="IGY58"/>
      <c r="IGZ58"/>
      <c r="IHA58"/>
      <c r="IHB58"/>
      <c r="IHC58"/>
      <c r="IHD58"/>
      <c r="IHE58"/>
      <c r="IHF58"/>
      <c r="IHG58"/>
      <c r="IHH58"/>
      <c r="IHI58"/>
      <c r="IHJ58"/>
      <c r="IHK58"/>
      <c r="IHL58"/>
      <c r="IHM58"/>
      <c r="IHN58"/>
      <c r="IHO58"/>
      <c r="IHP58"/>
      <c r="IHQ58"/>
      <c r="IHR58"/>
      <c r="IHS58"/>
      <c r="IHT58"/>
      <c r="IHU58"/>
      <c r="IHV58"/>
      <c r="IHW58"/>
      <c r="IHX58"/>
      <c r="IHY58"/>
      <c r="IHZ58"/>
      <c r="IIA58"/>
      <c r="IIB58"/>
      <c r="IIC58"/>
      <c r="IID58"/>
      <c r="IIE58"/>
      <c r="IIF58"/>
      <c r="IIG58"/>
      <c r="IIH58"/>
      <c r="III58"/>
      <c r="IIJ58"/>
      <c r="IIK58"/>
      <c r="IIL58"/>
      <c r="IIM58"/>
      <c r="IIN58"/>
      <c r="IIO58"/>
      <c r="IIP58"/>
      <c r="IIQ58"/>
      <c r="IIR58"/>
      <c r="IIS58"/>
      <c r="IIT58"/>
      <c r="IIU58"/>
      <c r="IIV58"/>
      <c r="IIW58"/>
      <c r="IIX58"/>
      <c r="IIY58"/>
      <c r="IIZ58"/>
      <c r="IJA58"/>
      <c r="IJB58"/>
      <c r="IJC58"/>
      <c r="IJD58"/>
      <c r="IJE58"/>
      <c r="IJF58"/>
      <c r="IJG58"/>
      <c r="IJH58"/>
      <c r="IJI58"/>
      <c r="IJJ58"/>
      <c r="IJK58"/>
      <c r="IJL58"/>
      <c r="IJM58"/>
      <c r="IJN58"/>
      <c r="IJO58"/>
      <c r="IJP58"/>
      <c r="IJQ58"/>
      <c r="IJR58"/>
      <c r="IJS58"/>
      <c r="IJT58"/>
      <c r="IJU58"/>
      <c r="IJV58"/>
      <c r="IJW58"/>
      <c r="IJX58"/>
      <c r="IJY58"/>
      <c r="IJZ58"/>
      <c r="IKA58"/>
      <c r="IKB58"/>
      <c r="IKC58"/>
      <c r="IKD58"/>
      <c r="IKE58"/>
      <c r="IKF58"/>
      <c r="IKG58"/>
      <c r="IKH58"/>
      <c r="IKI58"/>
      <c r="IKJ58"/>
      <c r="IKK58"/>
      <c r="IKL58"/>
      <c r="IKM58"/>
      <c r="IKN58"/>
      <c r="IKO58"/>
      <c r="IKP58"/>
      <c r="IKQ58"/>
      <c r="IKR58"/>
      <c r="IKS58"/>
      <c r="IKT58"/>
      <c r="IKU58"/>
      <c r="IKV58"/>
      <c r="IKW58"/>
      <c r="IKX58"/>
      <c r="IKY58"/>
      <c r="IKZ58"/>
      <c r="ILA58"/>
      <c r="ILB58"/>
      <c r="ILC58"/>
      <c r="ILD58"/>
      <c r="ILE58"/>
      <c r="ILF58"/>
      <c r="ILG58"/>
      <c r="ILH58"/>
      <c r="ILI58"/>
      <c r="ILJ58"/>
      <c r="ILK58"/>
      <c r="ILL58"/>
      <c r="ILM58"/>
      <c r="ILN58"/>
      <c r="ILO58"/>
      <c r="ILP58"/>
      <c r="ILQ58"/>
      <c r="ILR58"/>
      <c r="ILS58"/>
      <c r="ILT58"/>
      <c r="ILU58"/>
      <c r="ILV58"/>
      <c r="ILW58"/>
      <c r="ILX58"/>
      <c r="ILY58"/>
      <c r="ILZ58"/>
      <c r="IMA58"/>
      <c r="IMB58"/>
      <c r="IMC58"/>
      <c r="IMD58"/>
      <c r="IME58"/>
      <c r="IMF58"/>
      <c r="IMG58"/>
      <c r="IMH58"/>
      <c r="IMI58"/>
      <c r="IMJ58"/>
      <c r="IMK58"/>
      <c r="IML58"/>
      <c r="IMM58"/>
      <c r="IMN58"/>
      <c r="IMO58"/>
      <c r="IMP58"/>
      <c r="IMQ58"/>
      <c r="IMR58"/>
      <c r="IMS58"/>
      <c r="IMT58"/>
      <c r="IMU58"/>
      <c r="IMV58"/>
      <c r="IMW58"/>
      <c r="IMX58"/>
      <c r="IMY58"/>
      <c r="IMZ58"/>
      <c r="INA58"/>
      <c r="INB58"/>
      <c r="INC58"/>
      <c r="IND58"/>
      <c r="INE58"/>
      <c r="INF58"/>
      <c r="ING58"/>
      <c r="INH58"/>
      <c r="INI58"/>
      <c r="INJ58"/>
      <c r="INK58"/>
      <c r="INL58"/>
      <c r="INM58"/>
      <c r="INN58"/>
      <c r="INO58"/>
      <c r="INP58"/>
      <c r="INQ58"/>
      <c r="INR58"/>
      <c r="INS58"/>
      <c r="INT58"/>
      <c r="INU58"/>
      <c r="INV58"/>
      <c r="INW58"/>
      <c r="INX58"/>
      <c r="INY58"/>
      <c r="INZ58"/>
      <c r="IOA58"/>
      <c r="IOB58"/>
      <c r="IOC58"/>
      <c r="IOD58"/>
      <c r="IOE58"/>
      <c r="IOF58"/>
      <c r="IOG58"/>
      <c r="IOH58"/>
      <c r="IOI58"/>
      <c r="IOJ58"/>
      <c r="IOK58"/>
      <c r="IOL58"/>
      <c r="IOM58"/>
      <c r="ION58"/>
      <c r="IOO58"/>
      <c r="IOP58"/>
      <c r="IOQ58"/>
      <c r="IOR58"/>
      <c r="IOS58"/>
      <c r="IOT58"/>
      <c r="IOU58"/>
      <c r="IOV58"/>
      <c r="IOW58"/>
      <c r="IOX58"/>
      <c r="IOY58"/>
      <c r="IOZ58"/>
      <c r="IPA58"/>
      <c r="IPB58"/>
      <c r="IPC58"/>
      <c r="IPD58"/>
      <c r="IPE58"/>
      <c r="IPF58"/>
      <c r="IPG58"/>
      <c r="IPH58"/>
      <c r="IPI58"/>
      <c r="IPJ58"/>
      <c r="IPK58"/>
      <c r="IPL58"/>
      <c r="IPM58"/>
      <c r="IPN58"/>
      <c r="IPO58"/>
      <c r="IPP58"/>
      <c r="IPQ58"/>
      <c r="IPR58"/>
      <c r="IPS58"/>
      <c r="IPT58"/>
      <c r="IPU58"/>
      <c r="IPV58"/>
      <c r="IPW58"/>
      <c r="IPX58"/>
      <c r="IPY58"/>
      <c r="IPZ58"/>
      <c r="IQA58"/>
      <c r="IQB58"/>
      <c r="IQC58"/>
      <c r="IQD58"/>
      <c r="IQE58"/>
      <c r="IQF58"/>
      <c r="IQG58"/>
      <c r="IQH58"/>
      <c r="IQI58"/>
      <c r="IQJ58"/>
      <c r="IQK58"/>
      <c r="IQL58"/>
      <c r="IQM58"/>
      <c r="IQN58"/>
      <c r="IQO58"/>
      <c r="IQP58"/>
      <c r="IQQ58"/>
      <c r="IQR58"/>
      <c r="IQS58"/>
      <c r="IQT58"/>
      <c r="IQU58"/>
      <c r="IQV58"/>
      <c r="IQW58"/>
      <c r="IQX58"/>
      <c r="IQY58"/>
      <c r="IQZ58"/>
      <c r="IRA58"/>
      <c r="IRB58"/>
      <c r="IRC58"/>
      <c r="IRD58"/>
      <c r="IRE58"/>
      <c r="IRF58"/>
      <c r="IRG58"/>
      <c r="IRH58"/>
      <c r="IRI58"/>
      <c r="IRJ58"/>
      <c r="IRK58"/>
      <c r="IRL58"/>
      <c r="IRM58"/>
      <c r="IRN58"/>
      <c r="IRO58"/>
      <c r="IRP58"/>
      <c r="IRQ58"/>
      <c r="IRR58"/>
      <c r="IRS58"/>
      <c r="IRT58"/>
      <c r="IRU58"/>
      <c r="IRV58"/>
      <c r="IRW58"/>
      <c r="IRX58"/>
      <c r="IRY58"/>
      <c r="IRZ58"/>
      <c r="ISA58"/>
      <c r="ISB58"/>
      <c r="ISC58"/>
      <c r="ISD58"/>
      <c r="ISE58"/>
      <c r="ISF58"/>
      <c r="ISG58"/>
      <c r="ISH58"/>
      <c r="ISI58"/>
      <c r="ISJ58"/>
      <c r="ISK58"/>
      <c r="ISL58"/>
      <c r="ISM58"/>
      <c r="ISN58"/>
      <c r="ISO58"/>
      <c r="ISP58"/>
      <c r="ISQ58"/>
      <c r="ISR58"/>
      <c r="ISS58"/>
      <c r="IST58"/>
      <c r="ISU58"/>
      <c r="ISV58"/>
      <c r="ISW58"/>
      <c r="ISX58"/>
      <c r="ISY58"/>
      <c r="ISZ58"/>
      <c r="ITA58"/>
      <c r="ITB58"/>
      <c r="ITC58"/>
      <c r="ITD58"/>
      <c r="ITE58"/>
      <c r="ITF58"/>
      <c r="ITG58"/>
      <c r="ITH58"/>
      <c r="ITI58"/>
      <c r="ITJ58"/>
      <c r="ITK58"/>
      <c r="ITL58"/>
      <c r="ITM58"/>
      <c r="ITN58"/>
      <c r="ITO58"/>
      <c r="ITP58"/>
      <c r="ITQ58"/>
      <c r="ITR58"/>
      <c r="ITS58"/>
      <c r="ITT58"/>
      <c r="ITU58"/>
      <c r="ITV58"/>
      <c r="ITW58"/>
      <c r="ITX58"/>
      <c r="ITY58"/>
      <c r="ITZ58"/>
      <c r="IUA58"/>
      <c r="IUB58"/>
      <c r="IUC58"/>
      <c r="IUD58"/>
      <c r="IUE58"/>
      <c r="IUF58"/>
      <c r="IUG58"/>
      <c r="IUH58"/>
      <c r="IUI58"/>
      <c r="IUJ58"/>
      <c r="IUK58"/>
      <c r="IUL58"/>
      <c r="IUM58"/>
      <c r="IUN58"/>
      <c r="IUO58"/>
      <c r="IUP58"/>
      <c r="IUQ58"/>
      <c r="IUR58"/>
      <c r="IUS58"/>
      <c r="IUT58"/>
      <c r="IUU58"/>
      <c r="IUV58"/>
      <c r="IUW58"/>
      <c r="IUX58"/>
      <c r="IUY58"/>
      <c r="IUZ58"/>
      <c r="IVA58"/>
      <c r="IVB58"/>
      <c r="IVC58"/>
      <c r="IVD58"/>
      <c r="IVE58"/>
      <c r="IVF58"/>
      <c r="IVG58"/>
      <c r="IVH58"/>
      <c r="IVI58"/>
      <c r="IVJ58"/>
      <c r="IVK58"/>
      <c r="IVL58"/>
      <c r="IVM58"/>
      <c r="IVN58"/>
      <c r="IVO58"/>
      <c r="IVP58"/>
      <c r="IVQ58"/>
      <c r="IVR58"/>
      <c r="IVS58"/>
      <c r="IVT58"/>
      <c r="IVU58"/>
      <c r="IVV58"/>
      <c r="IVW58"/>
      <c r="IVX58"/>
      <c r="IVY58"/>
      <c r="IVZ58"/>
      <c r="IWA58"/>
      <c r="IWB58"/>
      <c r="IWC58"/>
      <c r="IWD58"/>
      <c r="IWE58"/>
      <c r="IWF58"/>
      <c r="IWG58"/>
      <c r="IWH58"/>
      <c r="IWI58"/>
      <c r="IWJ58"/>
      <c r="IWK58"/>
      <c r="IWL58"/>
      <c r="IWM58"/>
      <c r="IWN58"/>
      <c r="IWO58"/>
      <c r="IWP58"/>
      <c r="IWQ58"/>
      <c r="IWR58"/>
      <c r="IWS58"/>
      <c r="IWT58"/>
      <c r="IWU58"/>
      <c r="IWV58"/>
      <c r="IWW58"/>
      <c r="IWX58"/>
      <c r="IWY58"/>
      <c r="IWZ58"/>
      <c r="IXA58"/>
      <c r="IXB58"/>
      <c r="IXC58"/>
      <c r="IXD58"/>
      <c r="IXE58"/>
      <c r="IXF58"/>
      <c r="IXG58"/>
      <c r="IXH58"/>
      <c r="IXI58"/>
      <c r="IXJ58"/>
      <c r="IXK58"/>
      <c r="IXL58"/>
      <c r="IXM58"/>
      <c r="IXN58"/>
      <c r="IXO58"/>
      <c r="IXP58"/>
      <c r="IXQ58"/>
      <c r="IXR58"/>
      <c r="IXS58"/>
      <c r="IXT58"/>
      <c r="IXU58"/>
      <c r="IXV58"/>
      <c r="IXW58"/>
      <c r="IXX58"/>
      <c r="IXY58"/>
      <c r="IXZ58"/>
      <c r="IYA58"/>
      <c r="IYB58"/>
      <c r="IYC58"/>
      <c r="IYD58"/>
      <c r="IYE58"/>
      <c r="IYF58"/>
      <c r="IYG58"/>
      <c r="IYH58"/>
      <c r="IYI58"/>
      <c r="IYJ58"/>
      <c r="IYK58"/>
      <c r="IYL58"/>
      <c r="IYM58"/>
      <c r="IYN58"/>
      <c r="IYO58"/>
      <c r="IYP58"/>
      <c r="IYQ58"/>
      <c r="IYR58"/>
      <c r="IYS58"/>
      <c r="IYT58"/>
      <c r="IYU58"/>
      <c r="IYV58"/>
      <c r="IYW58"/>
      <c r="IYX58"/>
      <c r="IYY58"/>
      <c r="IYZ58"/>
      <c r="IZA58"/>
      <c r="IZB58"/>
      <c r="IZC58"/>
      <c r="IZD58"/>
      <c r="IZE58"/>
      <c r="IZF58"/>
      <c r="IZG58"/>
      <c r="IZH58"/>
      <c r="IZI58"/>
      <c r="IZJ58"/>
      <c r="IZK58"/>
      <c r="IZL58"/>
      <c r="IZM58"/>
      <c r="IZN58"/>
      <c r="IZO58"/>
      <c r="IZP58"/>
      <c r="IZQ58"/>
      <c r="IZR58"/>
      <c r="IZS58"/>
      <c r="IZT58"/>
      <c r="IZU58"/>
      <c r="IZV58"/>
      <c r="IZW58"/>
      <c r="IZX58"/>
      <c r="IZY58"/>
      <c r="IZZ58"/>
      <c r="JAA58"/>
      <c r="JAB58"/>
      <c r="JAC58"/>
      <c r="JAD58"/>
      <c r="JAE58"/>
      <c r="JAF58"/>
      <c r="JAG58"/>
      <c r="JAH58"/>
      <c r="JAI58"/>
      <c r="JAJ58"/>
      <c r="JAK58"/>
      <c r="JAL58"/>
      <c r="JAM58"/>
      <c r="JAN58"/>
      <c r="JAO58"/>
      <c r="JAP58"/>
      <c r="JAQ58"/>
      <c r="JAR58"/>
      <c r="JAS58"/>
      <c r="JAT58"/>
      <c r="JAU58"/>
      <c r="JAV58"/>
      <c r="JAW58"/>
      <c r="JAX58"/>
      <c r="JAY58"/>
      <c r="JAZ58"/>
      <c r="JBA58"/>
      <c r="JBB58"/>
      <c r="JBC58"/>
      <c r="JBD58"/>
      <c r="JBE58"/>
      <c r="JBF58"/>
      <c r="JBG58"/>
      <c r="JBH58"/>
      <c r="JBI58"/>
      <c r="JBJ58"/>
      <c r="JBK58"/>
      <c r="JBL58"/>
      <c r="JBM58"/>
      <c r="JBN58"/>
      <c r="JBO58"/>
      <c r="JBP58"/>
      <c r="JBQ58"/>
      <c r="JBR58"/>
      <c r="JBS58"/>
      <c r="JBT58"/>
      <c r="JBU58"/>
      <c r="JBV58"/>
      <c r="JBW58"/>
      <c r="JBX58"/>
      <c r="JBY58"/>
      <c r="JBZ58"/>
      <c r="JCA58"/>
      <c r="JCB58"/>
      <c r="JCC58"/>
      <c r="JCD58"/>
      <c r="JCE58"/>
      <c r="JCF58"/>
      <c r="JCG58"/>
      <c r="JCH58"/>
      <c r="JCI58"/>
      <c r="JCJ58"/>
      <c r="JCK58"/>
      <c r="JCL58"/>
      <c r="JCM58"/>
      <c r="JCN58"/>
      <c r="JCO58"/>
      <c r="JCP58"/>
      <c r="JCQ58"/>
      <c r="JCR58"/>
      <c r="JCS58"/>
      <c r="JCT58"/>
      <c r="JCU58"/>
      <c r="JCV58"/>
      <c r="JCW58"/>
      <c r="JCX58"/>
      <c r="JCY58"/>
      <c r="JCZ58"/>
      <c r="JDA58"/>
      <c r="JDB58"/>
      <c r="JDC58"/>
      <c r="JDD58"/>
      <c r="JDE58"/>
      <c r="JDF58"/>
      <c r="JDG58"/>
      <c r="JDH58"/>
      <c r="JDI58"/>
      <c r="JDJ58"/>
      <c r="JDK58"/>
      <c r="JDL58"/>
      <c r="JDM58"/>
      <c r="JDN58"/>
      <c r="JDO58"/>
      <c r="JDP58"/>
      <c r="JDQ58"/>
      <c r="JDR58"/>
      <c r="JDS58"/>
      <c r="JDT58"/>
      <c r="JDU58"/>
      <c r="JDV58"/>
      <c r="JDW58"/>
      <c r="JDX58"/>
      <c r="JDY58"/>
      <c r="JDZ58"/>
      <c r="JEA58"/>
      <c r="JEB58"/>
      <c r="JEC58"/>
      <c r="JED58"/>
      <c r="JEE58"/>
      <c r="JEF58"/>
      <c r="JEG58"/>
      <c r="JEH58"/>
      <c r="JEI58"/>
      <c r="JEJ58"/>
      <c r="JEK58"/>
      <c r="JEL58"/>
      <c r="JEM58"/>
      <c r="JEN58"/>
      <c r="JEO58"/>
      <c r="JEP58"/>
      <c r="JEQ58"/>
      <c r="JER58"/>
      <c r="JES58"/>
      <c r="JET58"/>
      <c r="JEU58"/>
      <c r="JEV58"/>
      <c r="JEW58"/>
      <c r="JEX58"/>
      <c r="JEY58"/>
      <c r="JEZ58"/>
      <c r="JFA58"/>
      <c r="JFB58"/>
      <c r="JFC58"/>
      <c r="JFD58"/>
      <c r="JFE58"/>
      <c r="JFF58"/>
      <c r="JFG58"/>
      <c r="JFH58"/>
      <c r="JFI58"/>
      <c r="JFJ58"/>
      <c r="JFK58"/>
      <c r="JFL58"/>
      <c r="JFM58"/>
      <c r="JFN58"/>
      <c r="JFO58"/>
      <c r="JFP58"/>
      <c r="JFQ58"/>
      <c r="JFR58"/>
      <c r="JFS58"/>
      <c r="JFT58"/>
      <c r="JFU58"/>
      <c r="JFV58"/>
      <c r="JFW58"/>
      <c r="JFX58"/>
      <c r="JFY58"/>
      <c r="JFZ58"/>
      <c r="JGA58"/>
      <c r="JGB58"/>
      <c r="JGC58"/>
      <c r="JGD58"/>
      <c r="JGE58"/>
      <c r="JGF58"/>
      <c r="JGG58"/>
      <c r="JGH58"/>
      <c r="JGI58"/>
      <c r="JGJ58"/>
      <c r="JGK58"/>
      <c r="JGL58"/>
      <c r="JGM58"/>
      <c r="JGN58"/>
      <c r="JGO58"/>
      <c r="JGP58"/>
      <c r="JGQ58"/>
      <c r="JGR58"/>
      <c r="JGS58"/>
      <c r="JGT58"/>
      <c r="JGU58"/>
      <c r="JGV58"/>
      <c r="JGW58"/>
      <c r="JGX58"/>
      <c r="JGY58"/>
      <c r="JGZ58"/>
      <c r="JHA58"/>
      <c r="JHB58"/>
      <c r="JHC58"/>
      <c r="JHD58"/>
      <c r="JHE58"/>
      <c r="JHF58"/>
      <c r="JHG58"/>
      <c r="JHH58"/>
      <c r="JHI58"/>
      <c r="JHJ58"/>
      <c r="JHK58"/>
      <c r="JHL58"/>
      <c r="JHM58"/>
      <c r="JHN58"/>
      <c r="JHO58"/>
      <c r="JHP58"/>
      <c r="JHQ58"/>
      <c r="JHR58"/>
      <c r="JHS58"/>
      <c r="JHT58"/>
      <c r="JHU58"/>
      <c r="JHV58"/>
      <c r="JHW58"/>
      <c r="JHX58"/>
      <c r="JHY58"/>
      <c r="JHZ58"/>
      <c r="JIA58"/>
      <c r="JIB58"/>
      <c r="JIC58"/>
      <c r="JID58"/>
      <c r="JIE58"/>
      <c r="JIF58"/>
      <c r="JIG58"/>
      <c r="JIH58"/>
      <c r="JII58"/>
      <c r="JIJ58"/>
      <c r="JIK58"/>
      <c r="JIL58"/>
      <c r="JIM58"/>
      <c r="JIN58"/>
      <c r="JIO58"/>
      <c r="JIP58"/>
      <c r="JIQ58"/>
      <c r="JIR58"/>
      <c r="JIS58"/>
      <c r="JIT58"/>
      <c r="JIU58"/>
      <c r="JIV58"/>
      <c r="JIW58"/>
      <c r="JIX58"/>
      <c r="JIY58"/>
      <c r="JIZ58"/>
      <c r="JJA58"/>
      <c r="JJB58"/>
      <c r="JJC58"/>
      <c r="JJD58"/>
      <c r="JJE58"/>
      <c r="JJF58"/>
      <c r="JJG58"/>
      <c r="JJH58"/>
      <c r="JJI58"/>
      <c r="JJJ58"/>
      <c r="JJK58"/>
      <c r="JJL58"/>
      <c r="JJM58"/>
      <c r="JJN58"/>
      <c r="JJO58"/>
      <c r="JJP58"/>
      <c r="JJQ58"/>
      <c r="JJR58"/>
      <c r="JJS58"/>
      <c r="JJT58"/>
      <c r="JJU58"/>
      <c r="JJV58"/>
      <c r="JJW58"/>
      <c r="JJX58"/>
      <c r="JJY58"/>
      <c r="JJZ58"/>
      <c r="JKA58"/>
      <c r="JKB58"/>
      <c r="JKC58"/>
      <c r="JKD58"/>
      <c r="JKE58"/>
      <c r="JKF58"/>
      <c r="JKG58"/>
      <c r="JKH58"/>
      <c r="JKI58"/>
      <c r="JKJ58"/>
      <c r="JKK58"/>
      <c r="JKL58"/>
      <c r="JKM58"/>
      <c r="JKN58"/>
      <c r="JKO58"/>
      <c r="JKP58"/>
      <c r="JKQ58"/>
      <c r="JKR58"/>
      <c r="JKS58"/>
      <c r="JKT58"/>
      <c r="JKU58"/>
      <c r="JKV58"/>
      <c r="JKW58"/>
      <c r="JKX58"/>
      <c r="JKY58"/>
      <c r="JKZ58"/>
      <c r="JLA58"/>
      <c r="JLB58"/>
      <c r="JLC58"/>
      <c r="JLD58"/>
      <c r="JLE58"/>
      <c r="JLF58"/>
      <c r="JLG58"/>
      <c r="JLH58"/>
      <c r="JLI58"/>
      <c r="JLJ58"/>
      <c r="JLK58"/>
      <c r="JLL58"/>
      <c r="JLM58"/>
      <c r="JLN58"/>
      <c r="JLO58"/>
      <c r="JLP58"/>
      <c r="JLQ58"/>
      <c r="JLR58"/>
      <c r="JLS58"/>
      <c r="JLT58"/>
      <c r="JLU58"/>
      <c r="JLV58"/>
      <c r="JLW58"/>
      <c r="JLX58"/>
      <c r="JLY58"/>
      <c r="JLZ58"/>
      <c r="JMA58"/>
      <c r="JMB58"/>
      <c r="JMC58"/>
      <c r="JMD58"/>
      <c r="JME58"/>
      <c r="JMF58"/>
      <c r="JMG58"/>
      <c r="JMH58"/>
      <c r="JMI58"/>
      <c r="JMJ58"/>
      <c r="JMK58"/>
      <c r="JML58"/>
      <c r="JMM58"/>
      <c r="JMN58"/>
      <c r="JMO58"/>
      <c r="JMP58"/>
      <c r="JMQ58"/>
      <c r="JMR58"/>
      <c r="JMS58"/>
      <c r="JMT58"/>
      <c r="JMU58"/>
      <c r="JMV58"/>
      <c r="JMW58"/>
      <c r="JMX58"/>
      <c r="JMY58"/>
      <c r="JMZ58"/>
      <c r="JNA58"/>
      <c r="JNB58"/>
      <c r="JNC58"/>
      <c r="JND58"/>
      <c r="JNE58"/>
      <c r="JNF58"/>
      <c r="JNG58"/>
      <c r="JNH58"/>
      <c r="JNI58"/>
      <c r="JNJ58"/>
      <c r="JNK58"/>
      <c r="JNL58"/>
      <c r="JNM58"/>
      <c r="JNN58"/>
      <c r="JNO58"/>
      <c r="JNP58"/>
      <c r="JNQ58"/>
      <c r="JNR58"/>
      <c r="JNS58"/>
      <c r="JNT58"/>
      <c r="JNU58"/>
      <c r="JNV58"/>
      <c r="JNW58"/>
      <c r="JNX58"/>
      <c r="JNY58"/>
      <c r="JNZ58"/>
      <c r="JOA58"/>
      <c r="JOB58"/>
      <c r="JOC58"/>
      <c r="JOD58"/>
      <c r="JOE58"/>
      <c r="JOF58"/>
      <c r="JOG58"/>
      <c r="JOH58"/>
      <c r="JOI58"/>
      <c r="JOJ58"/>
      <c r="JOK58"/>
      <c r="JOL58"/>
      <c r="JOM58"/>
      <c r="JON58"/>
      <c r="JOO58"/>
      <c r="JOP58"/>
      <c r="JOQ58"/>
      <c r="JOR58"/>
      <c r="JOS58"/>
      <c r="JOT58"/>
      <c r="JOU58"/>
      <c r="JOV58"/>
      <c r="JOW58"/>
      <c r="JOX58"/>
      <c r="JOY58"/>
      <c r="JOZ58"/>
      <c r="JPA58"/>
      <c r="JPB58"/>
      <c r="JPC58"/>
      <c r="JPD58"/>
      <c r="JPE58"/>
      <c r="JPF58"/>
      <c r="JPG58"/>
      <c r="JPH58"/>
      <c r="JPI58"/>
      <c r="JPJ58"/>
      <c r="JPK58"/>
      <c r="JPL58"/>
      <c r="JPM58"/>
      <c r="JPN58"/>
      <c r="JPO58"/>
      <c r="JPP58"/>
      <c r="JPQ58"/>
      <c r="JPR58"/>
      <c r="JPS58"/>
      <c r="JPT58"/>
      <c r="JPU58"/>
      <c r="JPV58"/>
      <c r="JPW58"/>
      <c r="JPX58"/>
      <c r="JPY58"/>
      <c r="JPZ58"/>
      <c r="JQA58"/>
      <c r="JQB58"/>
      <c r="JQC58"/>
      <c r="JQD58"/>
      <c r="JQE58"/>
      <c r="JQF58"/>
      <c r="JQG58"/>
      <c r="JQH58"/>
      <c r="JQI58"/>
      <c r="JQJ58"/>
      <c r="JQK58"/>
      <c r="JQL58"/>
      <c r="JQM58"/>
      <c r="JQN58"/>
      <c r="JQO58"/>
      <c r="JQP58"/>
      <c r="JQQ58"/>
      <c r="JQR58"/>
      <c r="JQS58"/>
      <c r="JQT58"/>
      <c r="JQU58"/>
      <c r="JQV58"/>
      <c r="JQW58"/>
      <c r="JQX58"/>
      <c r="JQY58"/>
      <c r="JQZ58"/>
      <c r="JRA58"/>
      <c r="JRB58"/>
      <c r="JRC58"/>
      <c r="JRD58"/>
      <c r="JRE58"/>
      <c r="JRF58"/>
      <c r="JRG58"/>
      <c r="JRH58"/>
      <c r="JRI58"/>
      <c r="JRJ58"/>
      <c r="JRK58"/>
      <c r="JRL58"/>
      <c r="JRM58"/>
      <c r="JRN58"/>
      <c r="JRO58"/>
      <c r="JRP58"/>
      <c r="JRQ58"/>
      <c r="JRR58"/>
      <c r="JRS58"/>
      <c r="JRT58"/>
      <c r="JRU58"/>
      <c r="JRV58"/>
      <c r="JRW58"/>
      <c r="JRX58"/>
      <c r="JRY58"/>
      <c r="JRZ58"/>
      <c r="JSA58"/>
      <c r="JSB58"/>
      <c r="JSC58"/>
      <c r="JSD58"/>
      <c r="JSE58"/>
      <c r="JSF58"/>
      <c r="JSG58"/>
      <c r="JSH58"/>
      <c r="JSI58"/>
      <c r="JSJ58"/>
      <c r="JSK58"/>
      <c r="JSL58"/>
      <c r="JSM58"/>
      <c r="JSN58"/>
      <c r="JSO58"/>
      <c r="JSP58"/>
      <c r="JSQ58"/>
      <c r="JSR58"/>
      <c r="JSS58"/>
      <c r="JST58"/>
      <c r="JSU58"/>
      <c r="JSV58"/>
      <c r="JSW58"/>
      <c r="JSX58"/>
      <c r="JSY58"/>
      <c r="JSZ58"/>
      <c r="JTA58"/>
      <c r="JTB58"/>
      <c r="JTC58"/>
      <c r="JTD58"/>
      <c r="JTE58"/>
      <c r="JTF58"/>
      <c r="JTG58"/>
      <c r="JTH58"/>
      <c r="JTI58"/>
      <c r="JTJ58"/>
      <c r="JTK58"/>
      <c r="JTL58"/>
      <c r="JTM58"/>
      <c r="JTN58"/>
      <c r="JTO58"/>
      <c r="JTP58"/>
      <c r="JTQ58"/>
      <c r="JTR58"/>
      <c r="JTS58"/>
      <c r="JTT58"/>
      <c r="JTU58"/>
      <c r="JTV58"/>
      <c r="JTW58"/>
      <c r="JTX58"/>
      <c r="JTY58"/>
      <c r="JTZ58"/>
      <c r="JUA58"/>
      <c r="JUB58"/>
      <c r="JUC58"/>
      <c r="JUD58"/>
      <c r="JUE58"/>
      <c r="JUF58"/>
      <c r="JUG58"/>
      <c r="JUH58"/>
      <c r="JUI58"/>
      <c r="JUJ58"/>
      <c r="JUK58"/>
      <c r="JUL58"/>
      <c r="JUM58"/>
      <c r="JUN58"/>
      <c r="JUO58"/>
      <c r="JUP58"/>
      <c r="JUQ58"/>
      <c r="JUR58"/>
      <c r="JUS58"/>
      <c r="JUT58"/>
      <c r="JUU58"/>
      <c r="JUV58"/>
      <c r="JUW58"/>
      <c r="JUX58"/>
      <c r="JUY58"/>
      <c r="JUZ58"/>
      <c r="JVA58"/>
      <c r="JVB58"/>
      <c r="JVC58"/>
      <c r="JVD58"/>
      <c r="JVE58"/>
      <c r="JVF58"/>
      <c r="JVG58"/>
      <c r="JVH58"/>
      <c r="JVI58"/>
      <c r="JVJ58"/>
      <c r="JVK58"/>
      <c r="JVL58"/>
      <c r="JVM58"/>
      <c r="JVN58"/>
      <c r="JVO58"/>
      <c r="JVP58"/>
      <c r="JVQ58"/>
      <c r="JVR58"/>
      <c r="JVS58"/>
      <c r="JVT58"/>
      <c r="JVU58"/>
      <c r="JVV58"/>
      <c r="JVW58"/>
      <c r="JVX58"/>
      <c r="JVY58"/>
      <c r="JVZ58"/>
      <c r="JWA58"/>
      <c r="JWB58"/>
      <c r="JWC58"/>
      <c r="JWD58"/>
      <c r="JWE58"/>
      <c r="JWF58"/>
      <c r="JWG58"/>
      <c r="JWH58"/>
      <c r="JWI58"/>
      <c r="JWJ58"/>
      <c r="JWK58"/>
      <c r="JWL58"/>
      <c r="JWM58"/>
      <c r="JWN58"/>
      <c r="JWO58"/>
      <c r="JWP58"/>
      <c r="JWQ58"/>
      <c r="JWR58"/>
      <c r="JWS58"/>
      <c r="JWT58"/>
      <c r="JWU58"/>
      <c r="JWV58"/>
      <c r="JWW58"/>
      <c r="JWX58"/>
      <c r="JWY58"/>
      <c r="JWZ58"/>
      <c r="JXA58"/>
      <c r="JXB58"/>
      <c r="JXC58"/>
      <c r="JXD58"/>
      <c r="JXE58"/>
      <c r="JXF58"/>
      <c r="JXG58"/>
      <c r="JXH58"/>
      <c r="JXI58"/>
      <c r="JXJ58"/>
      <c r="JXK58"/>
      <c r="JXL58"/>
      <c r="JXM58"/>
      <c r="JXN58"/>
      <c r="JXO58"/>
      <c r="JXP58"/>
      <c r="JXQ58"/>
      <c r="JXR58"/>
      <c r="JXS58"/>
      <c r="JXT58"/>
      <c r="JXU58"/>
      <c r="JXV58"/>
      <c r="JXW58"/>
      <c r="JXX58"/>
      <c r="JXY58"/>
      <c r="JXZ58"/>
      <c r="JYA58"/>
      <c r="JYB58"/>
      <c r="JYC58"/>
      <c r="JYD58"/>
      <c r="JYE58"/>
      <c r="JYF58"/>
      <c r="JYG58"/>
      <c r="JYH58"/>
      <c r="JYI58"/>
      <c r="JYJ58"/>
      <c r="JYK58"/>
      <c r="JYL58"/>
      <c r="JYM58"/>
      <c r="JYN58"/>
      <c r="JYO58"/>
      <c r="JYP58"/>
      <c r="JYQ58"/>
      <c r="JYR58"/>
      <c r="JYS58"/>
      <c r="JYT58"/>
      <c r="JYU58"/>
      <c r="JYV58"/>
      <c r="JYW58"/>
      <c r="JYX58"/>
      <c r="JYY58"/>
      <c r="JYZ58"/>
      <c r="JZA58"/>
      <c r="JZB58"/>
      <c r="JZC58"/>
      <c r="JZD58"/>
      <c r="JZE58"/>
      <c r="JZF58"/>
      <c r="JZG58"/>
      <c r="JZH58"/>
      <c r="JZI58"/>
      <c r="JZJ58"/>
      <c r="JZK58"/>
      <c r="JZL58"/>
      <c r="JZM58"/>
      <c r="JZN58"/>
      <c r="JZO58"/>
      <c r="JZP58"/>
      <c r="JZQ58"/>
      <c r="JZR58"/>
      <c r="JZS58"/>
      <c r="JZT58"/>
      <c r="JZU58"/>
      <c r="JZV58"/>
      <c r="JZW58"/>
      <c r="JZX58"/>
      <c r="JZY58"/>
      <c r="JZZ58"/>
      <c r="KAA58"/>
      <c r="KAB58"/>
      <c r="KAC58"/>
      <c r="KAD58"/>
      <c r="KAE58"/>
      <c r="KAF58"/>
      <c r="KAG58"/>
      <c r="KAH58"/>
      <c r="KAI58"/>
      <c r="KAJ58"/>
      <c r="KAK58"/>
      <c r="KAL58"/>
      <c r="KAM58"/>
      <c r="KAN58"/>
      <c r="KAO58"/>
      <c r="KAP58"/>
      <c r="KAQ58"/>
      <c r="KAR58"/>
      <c r="KAS58"/>
      <c r="KAT58"/>
      <c r="KAU58"/>
      <c r="KAV58"/>
      <c r="KAW58"/>
      <c r="KAX58"/>
      <c r="KAY58"/>
      <c r="KAZ58"/>
      <c r="KBA58"/>
      <c r="KBB58"/>
      <c r="KBC58"/>
      <c r="KBD58"/>
      <c r="KBE58"/>
      <c r="KBF58"/>
      <c r="KBG58"/>
      <c r="KBH58"/>
      <c r="KBI58"/>
      <c r="KBJ58"/>
      <c r="KBK58"/>
      <c r="KBL58"/>
      <c r="KBM58"/>
      <c r="KBN58"/>
      <c r="KBO58"/>
      <c r="KBP58"/>
      <c r="KBQ58"/>
      <c r="KBR58"/>
      <c r="KBS58"/>
      <c r="KBT58"/>
      <c r="KBU58"/>
      <c r="KBV58"/>
      <c r="KBW58"/>
      <c r="KBX58"/>
      <c r="KBY58"/>
      <c r="KBZ58"/>
      <c r="KCA58"/>
      <c r="KCB58"/>
      <c r="KCC58"/>
      <c r="KCD58"/>
      <c r="KCE58"/>
      <c r="KCF58"/>
      <c r="KCG58"/>
      <c r="KCH58"/>
      <c r="KCI58"/>
      <c r="KCJ58"/>
      <c r="KCK58"/>
      <c r="KCL58"/>
      <c r="KCM58"/>
      <c r="KCN58"/>
      <c r="KCO58"/>
      <c r="KCP58"/>
      <c r="KCQ58"/>
      <c r="KCR58"/>
      <c r="KCS58"/>
      <c r="KCT58"/>
      <c r="KCU58"/>
      <c r="KCV58"/>
      <c r="KCW58"/>
      <c r="KCX58"/>
      <c r="KCY58"/>
      <c r="KCZ58"/>
      <c r="KDA58"/>
      <c r="KDB58"/>
      <c r="KDC58"/>
      <c r="KDD58"/>
      <c r="KDE58"/>
      <c r="KDF58"/>
      <c r="KDG58"/>
      <c r="KDH58"/>
      <c r="KDI58"/>
      <c r="KDJ58"/>
      <c r="KDK58"/>
      <c r="KDL58"/>
      <c r="KDM58"/>
      <c r="KDN58"/>
      <c r="KDO58"/>
      <c r="KDP58"/>
      <c r="KDQ58"/>
      <c r="KDR58"/>
      <c r="KDS58"/>
      <c r="KDT58"/>
      <c r="KDU58"/>
      <c r="KDV58"/>
      <c r="KDW58"/>
      <c r="KDX58"/>
      <c r="KDY58"/>
      <c r="KDZ58"/>
      <c r="KEA58"/>
      <c r="KEB58"/>
      <c r="KEC58"/>
      <c r="KED58"/>
      <c r="KEE58"/>
      <c r="KEF58"/>
      <c r="KEG58"/>
      <c r="KEH58"/>
      <c r="KEI58"/>
      <c r="KEJ58"/>
      <c r="KEK58"/>
      <c r="KEL58"/>
      <c r="KEM58"/>
      <c r="KEN58"/>
      <c r="KEO58"/>
      <c r="KEP58"/>
      <c r="KEQ58"/>
      <c r="KER58"/>
      <c r="KES58"/>
      <c r="KET58"/>
      <c r="KEU58"/>
      <c r="KEV58"/>
      <c r="KEW58"/>
      <c r="KEX58"/>
      <c r="KEY58"/>
      <c r="KEZ58"/>
      <c r="KFA58"/>
      <c r="KFB58"/>
      <c r="KFC58"/>
      <c r="KFD58"/>
      <c r="KFE58"/>
      <c r="KFF58"/>
      <c r="KFG58"/>
      <c r="KFH58"/>
      <c r="KFI58"/>
      <c r="KFJ58"/>
      <c r="KFK58"/>
      <c r="KFL58"/>
      <c r="KFM58"/>
      <c r="KFN58"/>
      <c r="KFO58"/>
      <c r="KFP58"/>
      <c r="KFQ58"/>
      <c r="KFR58"/>
      <c r="KFS58"/>
      <c r="KFT58"/>
      <c r="KFU58"/>
      <c r="KFV58"/>
      <c r="KFW58"/>
      <c r="KFX58"/>
      <c r="KFY58"/>
      <c r="KFZ58"/>
      <c r="KGA58"/>
      <c r="KGB58"/>
      <c r="KGC58"/>
      <c r="KGD58"/>
      <c r="KGE58"/>
      <c r="KGF58"/>
      <c r="KGG58"/>
      <c r="KGH58"/>
      <c r="KGI58"/>
      <c r="KGJ58"/>
      <c r="KGK58"/>
      <c r="KGL58"/>
      <c r="KGM58"/>
      <c r="KGN58"/>
      <c r="KGO58"/>
      <c r="KGP58"/>
      <c r="KGQ58"/>
      <c r="KGR58"/>
      <c r="KGS58"/>
      <c r="KGT58"/>
      <c r="KGU58"/>
      <c r="KGV58"/>
      <c r="KGW58"/>
      <c r="KGX58"/>
      <c r="KGY58"/>
      <c r="KGZ58"/>
      <c r="KHA58"/>
      <c r="KHB58"/>
      <c r="KHC58"/>
      <c r="KHD58"/>
      <c r="KHE58"/>
      <c r="KHF58"/>
      <c r="KHG58"/>
      <c r="KHH58"/>
      <c r="KHI58"/>
      <c r="KHJ58"/>
      <c r="KHK58"/>
      <c r="KHL58"/>
      <c r="KHM58"/>
      <c r="KHN58"/>
      <c r="KHO58"/>
      <c r="KHP58"/>
      <c r="KHQ58"/>
      <c r="KHR58"/>
      <c r="KHS58"/>
      <c r="KHT58"/>
      <c r="KHU58"/>
      <c r="KHV58"/>
      <c r="KHW58"/>
      <c r="KHX58"/>
      <c r="KHY58"/>
      <c r="KHZ58"/>
      <c r="KIA58"/>
      <c r="KIB58"/>
      <c r="KIC58"/>
      <c r="KID58"/>
      <c r="KIE58"/>
      <c r="KIF58"/>
      <c r="KIG58"/>
      <c r="KIH58"/>
      <c r="KII58"/>
      <c r="KIJ58"/>
      <c r="KIK58"/>
      <c r="KIL58"/>
      <c r="KIM58"/>
      <c r="KIN58"/>
      <c r="KIO58"/>
      <c r="KIP58"/>
      <c r="KIQ58"/>
      <c r="KIR58"/>
      <c r="KIS58"/>
      <c r="KIT58"/>
      <c r="KIU58"/>
      <c r="KIV58"/>
      <c r="KIW58"/>
      <c r="KIX58"/>
      <c r="KIY58"/>
      <c r="KIZ58"/>
      <c r="KJA58"/>
      <c r="KJB58"/>
      <c r="KJC58"/>
      <c r="KJD58"/>
      <c r="KJE58"/>
      <c r="KJF58"/>
      <c r="KJG58"/>
      <c r="KJH58"/>
      <c r="KJI58"/>
      <c r="KJJ58"/>
      <c r="KJK58"/>
      <c r="KJL58"/>
      <c r="KJM58"/>
      <c r="KJN58"/>
      <c r="KJO58"/>
      <c r="KJP58"/>
      <c r="KJQ58"/>
      <c r="KJR58"/>
      <c r="KJS58"/>
      <c r="KJT58"/>
      <c r="KJU58"/>
      <c r="KJV58"/>
      <c r="KJW58"/>
      <c r="KJX58"/>
      <c r="KJY58"/>
      <c r="KJZ58"/>
      <c r="KKA58"/>
      <c r="KKB58"/>
      <c r="KKC58"/>
      <c r="KKD58"/>
      <c r="KKE58"/>
      <c r="KKF58"/>
      <c r="KKG58"/>
      <c r="KKH58"/>
      <c r="KKI58"/>
      <c r="KKJ58"/>
      <c r="KKK58"/>
      <c r="KKL58"/>
      <c r="KKM58"/>
      <c r="KKN58"/>
      <c r="KKO58"/>
      <c r="KKP58"/>
      <c r="KKQ58"/>
      <c r="KKR58"/>
      <c r="KKS58"/>
      <c r="KKT58"/>
      <c r="KKU58"/>
      <c r="KKV58"/>
      <c r="KKW58"/>
      <c r="KKX58"/>
      <c r="KKY58"/>
      <c r="KKZ58"/>
      <c r="KLA58"/>
      <c r="KLB58"/>
      <c r="KLC58"/>
      <c r="KLD58"/>
      <c r="KLE58"/>
      <c r="KLF58"/>
      <c r="KLG58"/>
      <c r="KLH58"/>
      <c r="KLI58"/>
      <c r="KLJ58"/>
      <c r="KLK58"/>
      <c r="KLL58"/>
      <c r="KLM58"/>
      <c r="KLN58"/>
      <c r="KLO58"/>
      <c r="KLP58"/>
      <c r="KLQ58"/>
      <c r="KLR58"/>
      <c r="KLS58"/>
      <c r="KLT58"/>
      <c r="KLU58"/>
      <c r="KLV58"/>
      <c r="KLW58"/>
      <c r="KLX58"/>
      <c r="KLY58"/>
      <c r="KLZ58"/>
      <c r="KMA58"/>
      <c r="KMB58"/>
      <c r="KMC58"/>
      <c r="KMD58"/>
      <c r="KME58"/>
      <c r="KMF58"/>
      <c r="KMG58"/>
      <c r="KMH58"/>
      <c r="KMI58"/>
      <c r="KMJ58"/>
      <c r="KMK58"/>
      <c r="KML58"/>
      <c r="KMM58"/>
      <c r="KMN58"/>
      <c r="KMO58"/>
      <c r="KMP58"/>
      <c r="KMQ58"/>
      <c r="KMR58"/>
      <c r="KMS58"/>
      <c r="KMT58"/>
      <c r="KMU58"/>
      <c r="KMV58"/>
      <c r="KMW58"/>
      <c r="KMX58"/>
      <c r="KMY58"/>
      <c r="KMZ58"/>
      <c r="KNA58"/>
      <c r="KNB58"/>
      <c r="KNC58"/>
      <c r="KND58"/>
      <c r="KNE58"/>
      <c r="KNF58"/>
      <c r="KNG58"/>
      <c r="KNH58"/>
      <c r="KNI58"/>
      <c r="KNJ58"/>
      <c r="KNK58"/>
      <c r="KNL58"/>
      <c r="KNM58"/>
      <c r="KNN58"/>
      <c r="KNO58"/>
      <c r="KNP58"/>
      <c r="KNQ58"/>
      <c r="KNR58"/>
      <c r="KNS58"/>
      <c r="KNT58"/>
      <c r="KNU58"/>
      <c r="KNV58"/>
      <c r="KNW58"/>
      <c r="KNX58"/>
      <c r="KNY58"/>
      <c r="KNZ58"/>
      <c r="KOA58"/>
      <c r="KOB58"/>
      <c r="KOC58"/>
      <c r="KOD58"/>
      <c r="KOE58"/>
      <c r="KOF58"/>
      <c r="KOG58"/>
      <c r="KOH58"/>
      <c r="KOI58"/>
      <c r="KOJ58"/>
      <c r="KOK58"/>
      <c r="KOL58"/>
      <c r="KOM58"/>
      <c r="KON58"/>
      <c r="KOO58"/>
      <c r="KOP58"/>
      <c r="KOQ58"/>
      <c r="KOR58"/>
      <c r="KOS58"/>
      <c r="KOT58"/>
      <c r="KOU58"/>
      <c r="KOV58"/>
      <c r="KOW58"/>
      <c r="KOX58"/>
      <c r="KOY58"/>
      <c r="KOZ58"/>
      <c r="KPA58"/>
      <c r="KPB58"/>
      <c r="KPC58"/>
      <c r="KPD58"/>
      <c r="KPE58"/>
      <c r="KPF58"/>
      <c r="KPG58"/>
      <c r="KPH58"/>
      <c r="KPI58"/>
      <c r="KPJ58"/>
      <c r="KPK58"/>
      <c r="KPL58"/>
      <c r="KPM58"/>
      <c r="KPN58"/>
      <c r="KPO58"/>
      <c r="KPP58"/>
      <c r="KPQ58"/>
      <c r="KPR58"/>
      <c r="KPS58"/>
      <c r="KPT58"/>
      <c r="KPU58"/>
      <c r="KPV58"/>
      <c r="KPW58"/>
      <c r="KPX58"/>
      <c r="KPY58"/>
      <c r="KPZ58"/>
      <c r="KQA58"/>
      <c r="KQB58"/>
      <c r="KQC58"/>
      <c r="KQD58"/>
      <c r="KQE58"/>
      <c r="KQF58"/>
      <c r="KQG58"/>
      <c r="KQH58"/>
      <c r="KQI58"/>
      <c r="KQJ58"/>
      <c r="KQK58"/>
      <c r="KQL58"/>
      <c r="KQM58"/>
      <c r="KQN58"/>
      <c r="KQO58"/>
      <c r="KQP58"/>
      <c r="KQQ58"/>
      <c r="KQR58"/>
      <c r="KQS58"/>
      <c r="KQT58"/>
      <c r="KQU58"/>
      <c r="KQV58"/>
      <c r="KQW58"/>
      <c r="KQX58"/>
      <c r="KQY58"/>
      <c r="KQZ58"/>
      <c r="KRA58"/>
      <c r="KRB58"/>
      <c r="KRC58"/>
      <c r="KRD58"/>
      <c r="KRE58"/>
      <c r="KRF58"/>
      <c r="KRG58"/>
      <c r="KRH58"/>
      <c r="KRI58"/>
      <c r="KRJ58"/>
      <c r="KRK58"/>
      <c r="KRL58"/>
      <c r="KRM58"/>
      <c r="KRN58"/>
      <c r="KRO58"/>
      <c r="KRP58"/>
      <c r="KRQ58"/>
      <c r="KRR58"/>
      <c r="KRS58"/>
      <c r="KRT58"/>
      <c r="KRU58"/>
      <c r="KRV58"/>
      <c r="KRW58"/>
      <c r="KRX58"/>
      <c r="KRY58"/>
      <c r="KRZ58"/>
      <c r="KSA58"/>
      <c r="KSB58"/>
      <c r="KSC58"/>
      <c r="KSD58"/>
      <c r="KSE58"/>
      <c r="KSF58"/>
      <c r="KSG58"/>
      <c r="KSH58"/>
      <c r="KSI58"/>
      <c r="KSJ58"/>
      <c r="KSK58"/>
      <c r="KSL58"/>
      <c r="KSM58"/>
      <c r="KSN58"/>
      <c r="KSO58"/>
      <c r="KSP58"/>
      <c r="KSQ58"/>
      <c r="KSR58"/>
      <c r="KSS58"/>
      <c r="KST58"/>
      <c r="KSU58"/>
      <c r="KSV58"/>
      <c r="KSW58"/>
      <c r="KSX58"/>
      <c r="KSY58"/>
      <c r="KSZ58"/>
      <c r="KTA58"/>
      <c r="KTB58"/>
      <c r="KTC58"/>
      <c r="KTD58"/>
      <c r="KTE58"/>
      <c r="KTF58"/>
      <c r="KTG58"/>
      <c r="KTH58"/>
      <c r="KTI58"/>
      <c r="KTJ58"/>
      <c r="KTK58"/>
      <c r="KTL58"/>
      <c r="KTM58"/>
      <c r="KTN58"/>
      <c r="KTO58"/>
      <c r="KTP58"/>
      <c r="KTQ58"/>
      <c r="KTR58"/>
      <c r="KTS58"/>
      <c r="KTT58"/>
      <c r="KTU58"/>
      <c r="KTV58"/>
      <c r="KTW58"/>
      <c r="KTX58"/>
      <c r="KTY58"/>
      <c r="KTZ58"/>
      <c r="KUA58"/>
      <c r="KUB58"/>
      <c r="KUC58"/>
      <c r="KUD58"/>
      <c r="KUE58"/>
      <c r="KUF58"/>
      <c r="KUG58"/>
      <c r="KUH58"/>
      <c r="KUI58"/>
      <c r="KUJ58"/>
      <c r="KUK58"/>
      <c r="KUL58"/>
      <c r="KUM58"/>
      <c r="KUN58"/>
      <c r="KUO58"/>
      <c r="KUP58"/>
      <c r="KUQ58"/>
      <c r="KUR58"/>
      <c r="KUS58"/>
      <c r="KUT58"/>
      <c r="KUU58"/>
      <c r="KUV58"/>
      <c r="KUW58"/>
      <c r="KUX58"/>
      <c r="KUY58"/>
      <c r="KUZ58"/>
      <c r="KVA58"/>
      <c r="KVB58"/>
      <c r="KVC58"/>
      <c r="KVD58"/>
      <c r="KVE58"/>
      <c r="KVF58"/>
      <c r="KVG58"/>
      <c r="KVH58"/>
      <c r="KVI58"/>
      <c r="KVJ58"/>
      <c r="KVK58"/>
      <c r="KVL58"/>
      <c r="KVM58"/>
      <c r="KVN58"/>
      <c r="KVO58"/>
      <c r="KVP58"/>
      <c r="KVQ58"/>
      <c r="KVR58"/>
      <c r="KVS58"/>
      <c r="KVT58"/>
      <c r="KVU58"/>
      <c r="KVV58"/>
      <c r="KVW58"/>
      <c r="KVX58"/>
      <c r="KVY58"/>
      <c r="KVZ58"/>
      <c r="KWA58"/>
      <c r="KWB58"/>
      <c r="KWC58"/>
      <c r="KWD58"/>
      <c r="KWE58"/>
      <c r="KWF58"/>
      <c r="KWG58"/>
      <c r="KWH58"/>
      <c r="KWI58"/>
      <c r="KWJ58"/>
      <c r="KWK58"/>
      <c r="KWL58"/>
      <c r="KWM58"/>
      <c r="KWN58"/>
      <c r="KWO58"/>
      <c r="KWP58"/>
      <c r="KWQ58"/>
      <c r="KWR58"/>
      <c r="KWS58"/>
      <c r="KWT58"/>
      <c r="KWU58"/>
      <c r="KWV58"/>
      <c r="KWW58"/>
      <c r="KWX58"/>
      <c r="KWY58"/>
      <c r="KWZ58"/>
      <c r="KXA58"/>
      <c r="KXB58"/>
      <c r="KXC58"/>
      <c r="KXD58"/>
      <c r="KXE58"/>
      <c r="KXF58"/>
      <c r="KXG58"/>
      <c r="KXH58"/>
      <c r="KXI58"/>
      <c r="KXJ58"/>
      <c r="KXK58"/>
      <c r="KXL58"/>
      <c r="KXM58"/>
      <c r="KXN58"/>
      <c r="KXO58"/>
      <c r="KXP58"/>
      <c r="KXQ58"/>
      <c r="KXR58"/>
      <c r="KXS58"/>
      <c r="KXT58"/>
      <c r="KXU58"/>
      <c r="KXV58"/>
      <c r="KXW58"/>
      <c r="KXX58"/>
      <c r="KXY58"/>
      <c r="KXZ58"/>
      <c r="KYA58"/>
      <c r="KYB58"/>
      <c r="KYC58"/>
      <c r="KYD58"/>
      <c r="KYE58"/>
      <c r="KYF58"/>
      <c r="KYG58"/>
      <c r="KYH58"/>
      <c r="KYI58"/>
      <c r="KYJ58"/>
      <c r="KYK58"/>
      <c r="KYL58"/>
      <c r="KYM58"/>
      <c r="KYN58"/>
      <c r="KYO58"/>
      <c r="KYP58"/>
      <c r="KYQ58"/>
      <c r="KYR58"/>
      <c r="KYS58"/>
      <c r="KYT58"/>
      <c r="KYU58"/>
      <c r="KYV58"/>
      <c r="KYW58"/>
      <c r="KYX58"/>
      <c r="KYY58"/>
      <c r="KYZ58"/>
      <c r="KZA58"/>
      <c r="KZB58"/>
      <c r="KZC58"/>
      <c r="KZD58"/>
      <c r="KZE58"/>
      <c r="KZF58"/>
      <c r="KZG58"/>
      <c r="KZH58"/>
      <c r="KZI58"/>
      <c r="KZJ58"/>
      <c r="KZK58"/>
      <c r="KZL58"/>
      <c r="KZM58"/>
      <c r="KZN58"/>
      <c r="KZO58"/>
      <c r="KZP58"/>
      <c r="KZQ58"/>
      <c r="KZR58"/>
      <c r="KZS58"/>
      <c r="KZT58"/>
      <c r="KZU58"/>
      <c r="KZV58"/>
      <c r="KZW58"/>
      <c r="KZX58"/>
      <c r="KZY58"/>
      <c r="KZZ58"/>
      <c r="LAA58"/>
      <c r="LAB58"/>
      <c r="LAC58"/>
      <c r="LAD58"/>
      <c r="LAE58"/>
      <c r="LAF58"/>
      <c r="LAG58"/>
      <c r="LAH58"/>
      <c r="LAI58"/>
      <c r="LAJ58"/>
      <c r="LAK58"/>
      <c r="LAL58"/>
      <c r="LAM58"/>
      <c r="LAN58"/>
      <c r="LAO58"/>
      <c r="LAP58"/>
      <c r="LAQ58"/>
      <c r="LAR58"/>
      <c r="LAS58"/>
      <c r="LAT58"/>
      <c r="LAU58"/>
      <c r="LAV58"/>
      <c r="LAW58"/>
      <c r="LAX58"/>
      <c r="LAY58"/>
      <c r="LAZ58"/>
      <c r="LBA58"/>
      <c r="LBB58"/>
      <c r="LBC58"/>
      <c r="LBD58"/>
      <c r="LBE58"/>
      <c r="LBF58"/>
      <c r="LBG58"/>
      <c r="LBH58"/>
      <c r="LBI58"/>
      <c r="LBJ58"/>
      <c r="LBK58"/>
      <c r="LBL58"/>
      <c r="LBM58"/>
      <c r="LBN58"/>
      <c r="LBO58"/>
      <c r="LBP58"/>
      <c r="LBQ58"/>
      <c r="LBR58"/>
      <c r="LBS58"/>
      <c r="LBT58"/>
      <c r="LBU58"/>
      <c r="LBV58"/>
      <c r="LBW58"/>
      <c r="LBX58"/>
      <c r="LBY58"/>
      <c r="LBZ58"/>
      <c r="LCA58"/>
      <c r="LCB58"/>
      <c r="LCC58"/>
      <c r="LCD58"/>
      <c r="LCE58"/>
      <c r="LCF58"/>
      <c r="LCG58"/>
      <c r="LCH58"/>
      <c r="LCI58"/>
      <c r="LCJ58"/>
      <c r="LCK58"/>
      <c r="LCL58"/>
      <c r="LCM58"/>
      <c r="LCN58"/>
      <c r="LCO58"/>
      <c r="LCP58"/>
      <c r="LCQ58"/>
      <c r="LCR58"/>
      <c r="LCS58"/>
      <c r="LCT58"/>
      <c r="LCU58"/>
      <c r="LCV58"/>
      <c r="LCW58"/>
      <c r="LCX58"/>
      <c r="LCY58"/>
      <c r="LCZ58"/>
      <c r="LDA58"/>
      <c r="LDB58"/>
      <c r="LDC58"/>
      <c r="LDD58"/>
      <c r="LDE58"/>
      <c r="LDF58"/>
      <c r="LDG58"/>
      <c r="LDH58"/>
      <c r="LDI58"/>
      <c r="LDJ58"/>
      <c r="LDK58"/>
      <c r="LDL58"/>
      <c r="LDM58"/>
      <c r="LDN58"/>
      <c r="LDO58"/>
      <c r="LDP58"/>
      <c r="LDQ58"/>
      <c r="LDR58"/>
      <c r="LDS58"/>
      <c r="LDT58"/>
      <c r="LDU58"/>
      <c r="LDV58"/>
      <c r="LDW58"/>
      <c r="LDX58"/>
      <c r="LDY58"/>
      <c r="LDZ58"/>
      <c r="LEA58"/>
      <c r="LEB58"/>
      <c r="LEC58"/>
      <c r="LED58"/>
      <c r="LEE58"/>
      <c r="LEF58"/>
      <c r="LEG58"/>
      <c r="LEH58"/>
      <c r="LEI58"/>
      <c r="LEJ58"/>
      <c r="LEK58"/>
      <c r="LEL58"/>
      <c r="LEM58"/>
      <c r="LEN58"/>
      <c r="LEO58"/>
      <c r="LEP58"/>
      <c r="LEQ58"/>
      <c r="LER58"/>
      <c r="LES58"/>
      <c r="LET58"/>
      <c r="LEU58"/>
      <c r="LEV58"/>
      <c r="LEW58"/>
      <c r="LEX58"/>
      <c r="LEY58"/>
      <c r="LEZ58"/>
      <c r="LFA58"/>
      <c r="LFB58"/>
      <c r="LFC58"/>
      <c r="LFD58"/>
      <c r="LFE58"/>
      <c r="LFF58"/>
      <c r="LFG58"/>
      <c r="LFH58"/>
      <c r="LFI58"/>
      <c r="LFJ58"/>
      <c r="LFK58"/>
      <c r="LFL58"/>
      <c r="LFM58"/>
      <c r="LFN58"/>
      <c r="LFO58"/>
      <c r="LFP58"/>
      <c r="LFQ58"/>
      <c r="LFR58"/>
      <c r="LFS58"/>
      <c r="LFT58"/>
      <c r="LFU58"/>
      <c r="LFV58"/>
      <c r="LFW58"/>
      <c r="LFX58"/>
      <c r="LFY58"/>
      <c r="LFZ58"/>
      <c r="LGA58"/>
      <c r="LGB58"/>
      <c r="LGC58"/>
      <c r="LGD58"/>
      <c r="LGE58"/>
      <c r="LGF58"/>
      <c r="LGG58"/>
      <c r="LGH58"/>
      <c r="LGI58"/>
      <c r="LGJ58"/>
      <c r="LGK58"/>
      <c r="LGL58"/>
      <c r="LGM58"/>
      <c r="LGN58"/>
      <c r="LGO58"/>
      <c r="LGP58"/>
      <c r="LGQ58"/>
      <c r="LGR58"/>
      <c r="LGS58"/>
      <c r="LGT58"/>
      <c r="LGU58"/>
      <c r="LGV58"/>
      <c r="LGW58"/>
      <c r="LGX58"/>
      <c r="LGY58"/>
      <c r="LGZ58"/>
      <c r="LHA58"/>
      <c r="LHB58"/>
      <c r="LHC58"/>
      <c r="LHD58"/>
      <c r="LHE58"/>
      <c r="LHF58"/>
      <c r="LHG58"/>
      <c r="LHH58"/>
      <c r="LHI58"/>
      <c r="LHJ58"/>
      <c r="LHK58"/>
      <c r="LHL58"/>
      <c r="LHM58"/>
      <c r="LHN58"/>
      <c r="LHO58"/>
      <c r="LHP58"/>
      <c r="LHQ58"/>
      <c r="LHR58"/>
      <c r="LHS58"/>
      <c r="LHT58"/>
      <c r="LHU58"/>
      <c r="LHV58"/>
      <c r="LHW58"/>
      <c r="LHX58"/>
      <c r="LHY58"/>
      <c r="LHZ58"/>
      <c r="LIA58"/>
      <c r="LIB58"/>
      <c r="LIC58"/>
      <c r="LID58"/>
      <c r="LIE58"/>
      <c r="LIF58"/>
      <c r="LIG58"/>
      <c r="LIH58"/>
      <c r="LII58"/>
      <c r="LIJ58"/>
      <c r="LIK58"/>
      <c r="LIL58"/>
      <c r="LIM58"/>
      <c r="LIN58"/>
      <c r="LIO58"/>
      <c r="LIP58"/>
      <c r="LIQ58"/>
      <c r="LIR58"/>
      <c r="LIS58"/>
      <c r="LIT58"/>
      <c r="LIU58"/>
      <c r="LIV58"/>
      <c r="LIW58"/>
      <c r="LIX58"/>
      <c r="LIY58"/>
      <c r="LIZ58"/>
      <c r="LJA58"/>
      <c r="LJB58"/>
      <c r="LJC58"/>
      <c r="LJD58"/>
      <c r="LJE58"/>
      <c r="LJF58"/>
      <c r="LJG58"/>
      <c r="LJH58"/>
      <c r="LJI58"/>
      <c r="LJJ58"/>
      <c r="LJK58"/>
      <c r="LJL58"/>
      <c r="LJM58"/>
      <c r="LJN58"/>
      <c r="LJO58"/>
      <c r="LJP58"/>
      <c r="LJQ58"/>
      <c r="LJR58"/>
      <c r="LJS58"/>
      <c r="LJT58"/>
      <c r="LJU58"/>
      <c r="LJV58"/>
      <c r="LJW58"/>
      <c r="LJX58"/>
      <c r="LJY58"/>
      <c r="LJZ58"/>
      <c r="LKA58"/>
      <c r="LKB58"/>
      <c r="LKC58"/>
      <c r="LKD58"/>
      <c r="LKE58"/>
      <c r="LKF58"/>
      <c r="LKG58"/>
      <c r="LKH58"/>
      <c r="LKI58"/>
      <c r="LKJ58"/>
      <c r="LKK58"/>
      <c r="LKL58"/>
      <c r="LKM58"/>
      <c r="LKN58"/>
      <c r="LKO58"/>
      <c r="LKP58"/>
      <c r="LKQ58"/>
      <c r="LKR58"/>
      <c r="LKS58"/>
      <c r="LKT58"/>
      <c r="LKU58"/>
      <c r="LKV58"/>
      <c r="LKW58"/>
      <c r="LKX58"/>
      <c r="LKY58"/>
      <c r="LKZ58"/>
      <c r="LLA58"/>
      <c r="LLB58"/>
      <c r="LLC58"/>
      <c r="LLD58"/>
      <c r="LLE58"/>
      <c r="LLF58"/>
      <c r="LLG58"/>
      <c r="LLH58"/>
      <c r="LLI58"/>
      <c r="LLJ58"/>
      <c r="LLK58"/>
      <c r="LLL58"/>
      <c r="LLM58"/>
      <c r="LLN58"/>
      <c r="LLO58"/>
      <c r="LLP58"/>
      <c r="LLQ58"/>
      <c r="LLR58"/>
      <c r="LLS58"/>
      <c r="LLT58"/>
      <c r="LLU58"/>
      <c r="LLV58"/>
      <c r="LLW58"/>
      <c r="LLX58"/>
      <c r="LLY58"/>
      <c r="LLZ58"/>
      <c r="LMA58"/>
      <c r="LMB58"/>
      <c r="LMC58"/>
      <c r="LMD58"/>
      <c r="LME58"/>
      <c r="LMF58"/>
      <c r="LMG58"/>
      <c r="LMH58"/>
      <c r="LMI58"/>
      <c r="LMJ58"/>
      <c r="LMK58"/>
      <c r="LML58"/>
      <c r="LMM58"/>
      <c r="LMN58"/>
      <c r="LMO58"/>
      <c r="LMP58"/>
      <c r="LMQ58"/>
      <c r="LMR58"/>
      <c r="LMS58"/>
      <c r="LMT58"/>
      <c r="LMU58"/>
      <c r="LMV58"/>
      <c r="LMW58"/>
      <c r="LMX58"/>
      <c r="LMY58"/>
      <c r="LMZ58"/>
      <c r="LNA58"/>
      <c r="LNB58"/>
      <c r="LNC58"/>
      <c r="LND58"/>
      <c r="LNE58"/>
      <c r="LNF58"/>
      <c r="LNG58"/>
      <c r="LNH58"/>
      <c r="LNI58"/>
      <c r="LNJ58"/>
      <c r="LNK58"/>
      <c r="LNL58"/>
      <c r="LNM58"/>
      <c r="LNN58"/>
      <c r="LNO58"/>
      <c r="LNP58"/>
      <c r="LNQ58"/>
      <c r="LNR58"/>
      <c r="LNS58"/>
      <c r="LNT58"/>
      <c r="LNU58"/>
      <c r="LNV58"/>
      <c r="LNW58"/>
      <c r="LNX58"/>
      <c r="LNY58"/>
      <c r="LNZ58"/>
      <c r="LOA58"/>
      <c r="LOB58"/>
      <c r="LOC58"/>
      <c r="LOD58"/>
      <c r="LOE58"/>
      <c r="LOF58"/>
      <c r="LOG58"/>
      <c r="LOH58"/>
      <c r="LOI58"/>
      <c r="LOJ58"/>
      <c r="LOK58"/>
      <c r="LOL58"/>
      <c r="LOM58"/>
      <c r="LON58"/>
      <c r="LOO58"/>
      <c r="LOP58"/>
      <c r="LOQ58"/>
      <c r="LOR58"/>
      <c r="LOS58"/>
      <c r="LOT58"/>
      <c r="LOU58"/>
      <c r="LOV58"/>
      <c r="LOW58"/>
      <c r="LOX58"/>
      <c r="LOY58"/>
      <c r="LOZ58"/>
      <c r="LPA58"/>
      <c r="LPB58"/>
      <c r="LPC58"/>
      <c r="LPD58"/>
      <c r="LPE58"/>
      <c r="LPF58"/>
      <c r="LPG58"/>
      <c r="LPH58"/>
      <c r="LPI58"/>
      <c r="LPJ58"/>
      <c r="LPK58"/>
      <c r="LPL58"/>
      <c r="LPM58"/>
      <c r="LPN58"/>
      <c r="LPO58"/>
      <c r="LPP58"/>
      <c r="LPQ58"/>
      <c r="LPR58"/>
      <c r="LPS58"/>
      <c r="LPT58"/>
      <c r="LPU58"/>
      <c r="LPV58"/>
      <c r="LPW58"/>
      <c r="LPX58"/>
      <c r="LPY58"/>
      <c r="LPZ58"/>
      <c r="LQA58"/>
      <c r="LQB58"/>
      <c r="LQC58"/>
      <c r="LQD58"/>
      <c r="LQE58"/>
      <c r="LQF58"/>
      <c r="LQG58"/>
      <c r="LQH58"/>
      <c r="LQI58"/>
      <c r="LQJ58"/>
      <c r="LQK58"/>
      <c r="LQL58"/>
      <c r="LQM58"/>
      <c r="LQN58"/>
      <c r="LQO58"/>
      <c r="LQP58"/>
      <c r="LQQ58"/>
      <c r="LQR58"/>
      <c r="LQS58"/>
      <c r="LQT58"/>
      <c r="LQU58"/>
      <c r="LQV58"/>
      <c r="LQW58"/>
      <c r="LQX58"/>
      <c r="LQY58"/>
      <c r="LQZ58"/>
      <c r="LRA58"/>
      <c r="LRB58"/>
      <c r="LRC58"/>
      <c r="LRD58"/>
      <c r="LRE58"/>
      <c r="LRF58"/>
      <c r="LRG58"/>
      <c r="LRH58"/>
      <c r="LRI58"/>
      <c r="LRJ58"/>
      <c r="LRK58"/>
      <c r="LRL58"/>
      <c r="LRM58"/>
      <c r="LRN58"/>
      <c r="LRO58"/>
      <c r="LRP58"/>
      <c r="LRQ58"/>
      <c r="LRR58"/>
      <c r="LRS58"/>
      <c r="LRT58"/>
      <c r="LRU58"/>
      <c r="LRV58"/>
      <c r="LRW58"/>
      <c r="LRX58"/>
      <c r="LRY58"/>
      <c r="LRZ58"/>
      <c r="LSA58"/>
      <c r="LSB58"/>
      <c r="LSC58"/>
      <c r="LSD58"/>
      <c r="LSE58"/>
      <c r="LSF58"/>
      <c r="LSG58"/>
      <c r="LSH58"/>
      <c r="LSI58"/>
      <c r="LSJ58"/>
      <c r="LSK58"/>
      <c r="LSL58"/>
      <c r="LSM58"/>
      <c r="LSN58"/>
      <c r="LSO58"/>
      <c r="LSP58"/>
      <c r="LSQ58"/>
      <c r="LSR58"/>
      <c r="LSS58"/>
      <c r="LST58"/>
      <c r="LSU58"/>
      <c r="LSV58"/>
      <c r="LSW58"/>
      <c r="LSX58"/>
      <c r="LSY58"/>
      <c r="LSZ58"/>
      <c r="LTA58"/>
      <c r="LTB58"/>
      <c r="LTC58"/>
      <c r="LTD58"/>
      <c r="LTE58"/>
      <c r="LTF58"/>
      <c r="LTG58"/>
      <c r="LTH58"/>
      <c r="LTI58"/>
      <c r="LTJ58"/>
      <c r="LTK58"/>
      <c r="LTL58"/>
      <c r="LTM58"/>
      <c r="LTN58"/>
      <c r="LTO58"/>
      <c r="LTP58"/>
      <c r="LTQ58"/>
      <c r="LTR58"/>
      <c r="LTS58"/>
      <c r="LTT58"/>
      <c r="LTU58"/>
      <c r="LTV58"/>
      <c r="LTW58"/>
      <c r="LTX58"/>
      <c r="LTY58"/>
      <c r="LTZ58"/>
      <c r="LUA58"/>
      <c r="LUB58"/>
      <c r="LUC58"/>
      <c r="LUD58"/>
      <c r="LUE58"/>
      <c r="LUF58"/>
      <c r="LUG58"/>
      <c r="LUH58"/>
      <c r="LUI58"/>
      <c r="LUJ58"/>
      <c r="LUK58"/>
      <c r="LUL58"/>
      <c r="LUM58"/>
      <c r="LUN58"/>
      <c r="LUO58"/>
      <c r="LUP58"/>
      <c r="LUQ58"/>
      <c r="LUR58"/>
      <c r="LUS58"/>
      <c r="LUT58"/>
      <c r="LUU58"/>
      <c r="LUV58"/>
      <c r="LUW58"/>
      <c r="LUX58"/>
      <c r="LUY58"/>
      <c r="LUZ58"/>
      <c r="LVA58"/>
      <c r="LVB58"/>
      <c r="LVC58"/>
      <c r="LVD58"/>
      <c r="LVE58"/>
      <c r="LVF58"/>
      <c r="LVG58"/>
      <c r="LVH58"/>
      <c r="LVI58"/>
      <c r="LVJ58"/>
      <c r="LVK58"/>
      <c r="LVL58"/>
      <c r="LVM58"/>
      <c r="LVN58"/>
      <c r="LVO58"/>
      <c r="LVP58"/>
      <c r="LVQ58"/>
      <c r="LVR58"/>
      <c r="LVS58"/>
      <c r="LVT58"/>
      <c r="LVU58"/>
      <c r="LVV58"/>
      <c r="LVW58"/>
      <c r="LVX58"/>
      <c r="LVY58"/>
      <c r="LVZ58"/>
      <c r="LWA58"/>
      <c r="LWB58"/>
      <c r="LWC58"/>
      <c r="LWD58"/>
      <c r="LWE58"/>
      <c r="LWF58"/>
      <c r="LWG58"/>
      <c r="LWH58"/>
      <c r="LWI58"/>
      <c r="LWJ58"/>
      <c r="LWK58"/>
      <c r="LWL58"/>
      <c r="LWM58"/>
      <c r="LWN58"/>
      <c r="LWO58"/>
      <c r="LWP58"/>
      <c r="LWQ58"/>
      <c r="LWR58"/>
      <c r="LWS58"/>
      <c r="LWT58"/>
      <c r="LWU58"/>
      <c r="LWV58"/>
      <c r="LWW58"/>
      <c r="LWX58"/>
      <c r="LWY58"/>
      <c r="LWZ58"/>
      <c r="LXA58"/>
      <c r="LXB58"/>
      <c r="LXC58"/>
      <c r="LXD58"/>
      <c r="LXE58"/>
      <c r="LXF58"/>
      <c r="LXG58"/>
      <c r="LXH58"/>
      <c r="LXI58"/>
      <c r="LXJ58"/>
      <c r="LXK58"/>
      <c r="LXL58"/>
      <c r="LXM58"/>
      <c r="LXN58"/>
      <c r="LXO58"/>
      <c r="LXP58"/>
      <c r="LXQ58"/>
      <c r="LXR58"/>
      <c r="LXS58"/>
      <c r="LXT58"/>
      <c r="LXU58"/>
      <c r="LXV58"/>
      <c r="LXW58"/>
      <c r="LXX58"/>
      <c r="LXY58"/>
      <c r="LXZ58"/>
      <c r="LYA58"/>
      <c r="LYB58"/>
      <c r="LYC58"/>
      <c r="LYD58"/>
      <c r="LYE58"/>
      <c r="LYF58"/>
      <c r="LYG58"/>
      <c r="LYH58"/>
      <c r="LYI58"/>
      <c r="LYJ58"/>
      <c r="LYK58"/>
      <c r="LYL58"/>
      <c r="LYM58"/>
      <c r="LYN58"/>
      <c r="LYO58"/>
      <c r="LYP58"/>
      <c r="LYQ58"/>
      <c r="LYR58"/>
      <c r="LYS58"/>
      <c r="LYT58"/>
      <c r="LYU58"/>
      <c r="LYV58"/>
      <c r="LYW58"/>
      <c r="LYX58"/>
      <c r="LYY58"/>
      <c r="LYZ58"/>
      <c r="LZA58"/>
      <c r="LZB58"/>
      <c r="LZC58"/>
      <c r="LZD58"/>
      <c r="LZE58"/>
      <c r="LZF58"/>
      <c r="LZG58"/>
      <c r="LZH58"/>
      <c r="LZI58"/>
      <c r="LZJ58"/>
      <c r="LZK58"/>
      <c r="LZL58"/>
      <c r="LZM58"/>
      <c r="LZN58"/>
      <c r="LZO58"/>
      <c r="LZP58"/>
      <c r="LZQ58"/>
      <c r="LZR58"/>
      <c r="LZS58"/>
      <c r="LZT58"/>
      <c r="LZU58"/>
      <c r="LZV58"/>
      <c r="LZW58"/>
      <c r="LZX58"/>
      <c r="LZY58"/>
      <c r="LZZ58"/>
      <c r="MAA58"/>
      <c r="MAB58"/>
      <c r="MAC58"/>
      <c r="MAD58"/>
      <c r="MAE58"/>
      <c r="MAF58"/>
      <c r="MAG58"/>
      <c r="MAH58"/>
      <c r="MAI58"/>
      <c r="MAJ58"/>
      <c r="MAK58"/>
      <c r="MAL58"/>
      <c r="MAM58"/>
      <c r="MAN58"/>
      <c r="MAO58"/>
      <c r="MAP58"/>
      <c r="MAQ58"/>
      <c r="MAR58"/>
      <c r="MAS58"/>
      <c r="MAT58"/>
      <c r="MAU58"/>
      <c r="MAV58"/>
      <c r="MAW58"/>
      <c r="MAX58"/>
      <c r="MAY58"/>
      <c r="MAZ58"/>
      <c r="MBA58"/>
      <c r="MBB58"/>
      <c r="MBC58"/>
      <c r="MBD58"/>
      <c r="MBE58"/>
      <c r="MBF58"/>
      <c r="MBG58"/>
      <c r="MBH58"/>
      <c r="MBI58"/>
      <c r="MBJ58"/>
      <c r="MBK58"/>
      <c r="MBL58"/>
      <c r="MBM58"/>
      <c r="MBN58"/>
      <c r="MBO58"/>
      <c r="MBP58"/>
      <c r="MBQ58"/>
      <c r="MBR58"/>
      <c r="MBS58"/>
      <c r="MBT58"/>
      <c r="MBU58"/>
      <c r="MBV58"/>
      <c r="MBW58"/>
      <c r="MBX58"/>
      <c r="MBY58"/>
      <c r="MBZ58"/>
      <c r="MCA58"/>
      <c r="MCB58"/>
      <c r="MCC58"/>
      <c r="MCD58"/>
      <c r="MCE58"/>
      <c r="MCF58"/>
      <c r="MCG58"/>
      <c r="MCH58"/>
      <c r="MCI58"/>
      <c r="MCJ58"/>
      <c r="MCK58"/>
      <c r="MCL58"/>
      <c r="MCM58"/>
      <c r="MCN58"/>
      <c r="MCO58"/>
      <c r="MCP58"/>
      <c r="MCQ58"/>
      <c r="MCR58"/>
      <c r="MCS58"/>
      <c r="MCT58"/>
      <c r="MCU58"/>
      <c r="MCV58"/>
      <c r="MCW58"/>
      <c r="MCX58"/>
      <c r="MCY58"/>
      <c r="MCZ58"/>
      <c r="MDA58"/>
      <c r="MDB58"/>
      <c r="MDC58"/>
      <c r="MDD58"/>
      <c r="MDE58"/>
      <c r="MDF58"/>
      <c r="MDG58"/>
      <c r="MDH58"/>
      <c r="MDI58"/>
      <c r="MDJ58"/>
      <c r="MDK58"/>
      <c r="MDL58"/>
      <c r="MDM58"/>
      <c r="MDN58"/>
      <c r="MDO58"/>
      <c r="MDP58"/>
      <c r="MDQ58"/>
      <c r="MDR58"/>
      <c r="MDS58"/>
      <c r="MDT58"/>
      <c r="MDU58"/>
      <c r="MDV58"/>
      <c r="MDW58"/>
      <c r="MDX58"/>
      <c r="MDY58"/>
      <c r="MDZ58"/>
      <c r="MEA58"/>
      <c r="MEB58"/>
      <c r="MEC58"/>
      <c r="MED58"/>
      <c r="MEE58"/>
      <c r="MEF58"/>
      <c r="MEG58"/>
      <c r="MEH58"/>
      <c r="MEI58"/>
      <c r="MEJ58"/>
      <c r="MEK58"/>
      <c r="MEL58"/>
      <c r="MEM58"/>
      <c r="MEN58"/>
      <c r="MEO58"/>
      <c r="MEP58"/>
      <c r="MEQ58"/>
      <c r="MER58"/>
      <c r="MES58"/>
      <c r="MET58"/>
      <c r="MEU58"/>
      <c r="MEV58"/>
      <c r="MEW58"/>
      <c r="MEX58"/>
      <c r="MEY58"/>
      <c r="MEZ58"/>
      <c r="MFA58"/>
      <c r="MFB58"/>
      <c r="MFC58"/>
      <c r="MFD58"/>
      <c r="MFE58"/>
      <c r="MFF58"/>
      <c r="MFG58"/>
      <c r="MFH58"/>
      <c r="MFI58"/>
      <c r="MFJ58"/>
      <c r="MFK58"/>
      <c r="MFL58"/>
      <c r="MFM58"/>
      <c r="MFN58"/>
      <c r="MFO58"/>
      <c r="MFP58"/>
      <c r="MFQ58"/>
      <c r="MFR58"/>
      <c r="MFS58"/>
      <c r="MFT58"/>
      <c r="MFU58"/>
      <c r="MFV58"/>
      <c r="MFW58"/>
      <c r="MFX58"/>
      <c r="MFY58"/>
      <c r="MFZ58"/>
      <c r="MGA58"/>
      <c r="MGB58"/>
      <c r="MGC58"/>
      <c r="MGD58"/>
      <c r="MGE58"/>
      <c r="MGF58"/>
      <c r="MGG58"/>
      <c r="MGH58"/>
      <c r="MGI58"/>
      <c r="MGJ58"/>
      <c r="MGK58"/>
      <c r="MGL58"/>
      <c r="MGM58"/>
      <c r="MGN58"/>
      <c r="MGO58"/>
      <c r="MGP58"/>
      <c r="MGQ58"/>
      <c r="MGR58"/>
      <c r="MGS58"/>
      <c r="MGT58"/>
      <c r="MGU58"/>
      <c r="MGV58"/>
      <c r="MGW58"/>
      <c r="MGX58"/>
      <c r="MGY58"/>
      <c r="MGZ58"/>
      <c r="MHA58"/>
      <c r="MHB58"/>
      <c r="MHC58"/>
      <c r="MHD58"/>
      <c r="MHE58"/>
      <c r="MHF58"/>
      <c r="MHG58"/>
      <c r="MHH58"/>
      <c r="MHI58"/>
      <c r="MHJ58"/>
      <c r="MHK58"/>
      <c r="MHL58"/>
      <c r="MHM58"/>
      <c r="MHN58"/>
      <c r="MHO58"/>
      <c r="MHP58"/>
      <c r="MHQ58"/>
      <c r="MHR58"/>
      <c r="MHS58"/>
      <c r="MHT58"/>
      <c r="MHU58"/>
      <c r="MHV58"/>
      <c r="MHW58"/>
      <c r="MHX58"/>
      <c r="MHY58"/>
      <c r="MHZ58"/>
      <c r="MIA58"/>
      <c r="MIB58"/>
      <c r="MIC58"/>
      <c r="MID58"/>
      <c r="MIE58"/>
      <c r="MIF58"/>
      <c r="MIG58"/>
      <c r="MIH58"/>
      <c r="MII58"/>
      <c r="MIJ58"/>
      <c r="MIK58"/>
      <c r="MIL58"/>
      <c r="MIM58"/>
      <c r="MIN58"/>
      <c r="MIO58"/>
      <c r="MIP58"/>
      <c r="MIQ58"/>
      <c r="MIR58"/>
      <c r="MIS58"/>
      <c r="MIT58"/>
      <c r="MIU58"/>
      <c r="MIV58"/>
      <c r="MIW58"/>
      <c r="MIX58"/>
      <c r="MIY58"/>
      <c r="MIZ58"/>
      <c r="MJA58"/>
      <c r="MJB58"/>
      <c r="MJC58"/>
      <c r="MJD58"/>
      <c r="MJE58"/>
      <c r="MJF58"/>
      <c r="MJG58"/>
      <c r="MJH58"/>
      <c r="MJI58"/>
      <c r="MJJ58"/>
      <c r="MJK58"/>
      <c r="MJL58"/>
      <c r="MJM58"/>
      <c r="MJN58"/>
      <c r="MJO58"/>
      <c r="MJP58"/>
      <c r="MJQ58"/>
      <c r="MJR58"/>
      <c r="MJS58"/>
      <c r="MJT58"/>
      <c r="MJU58"/>
      <c r="MJV58"/>
      <c r="MJW58"/>
      <c r="MJX58"/>
      <c r="MJY58"/>
      <c r="MJZ58"/>
      <c r="MKA58"/>
      <c r="MKB58"/>
      <c r="MKC58"/>
      <c r="MKD58"/>
      <c r="MKE58"/>
      <c r="MKF58"/>
      <c r="MKG58"/>
      <c r="MKH58"/>
      <c r="MKI58"/>
      <c r="MKJ58"/>
      <c r="MKK58"/>
      <c r="MKL58"/>
      <c r="MKM58"/>
      <c r="MKN58"/>
      <c r="MKO58"/>
      <c r="MKP58"/>
      <c r="MKQ58"/>
      <c r="MKR58"/>
      <c r="MKS58"/>
      <c r="MKT58"/>
      <c r="MKU58"/>
      <c r="MKV58"/>
      <c r="MKW58"/>
      <c r="MKX58"/>
      <c r="MKY58"/>
      <c r="MKZ58"/>
      <c r="MLA58"/>
      <c r="MLB58"/>
      <c r="MLC58"/>
      <c r="MLD58"/>
      <c r="MLE58"/>
      <c r="MLF58"/>
      <c r="MLG58"/>
      <c r="MLH58"/>
      <c r="MLI58"/>
      <c r="MLJ58"/>
      <c r="MLK58"/>
      <c r="MLL58"/>
      <c r="MLM58"/>
      <c r="MLN58"/>
      <c r="MLO58"/>
      <c r="MLP58"/>
      <c r="MLQ58"/>
      <c r="MLR58"/>
      <c r="MLS58"/>
      <c r="MLT58"/>
      <c r="MLU58"/>
      <c r="MLV58"/>
      <c r="MLW58"/>
      <c r="MLX58"/>
      <c r="MLY58"/>
      <c r="MLZ58"/>
      <c r="MMA58"/>
      <c r="MMB58"/>
      <c r="MMC58"/>
      <c r="MMD58"/>
      <c r="MME58"/>
      <c r="MMF58"/>
      <c r="MMG58"/>
      <c r="MMH58"/>
      <c r="MMI58"/>
      <c r="MMJ58"/>
      <c r="MMK58"/>
      <c r="MML58"/>
      <c r="MMM58"/>
      <c r="MMN58"/>
      <c r="MMO58"/>
      <c r="MMP58"/>
      <c r="MMQ58"/>
      <c r="MMR58"/>
      <c r="MMS58"/>
      <c r="MMT58"/>
      <c r="MMU58"/>
      <c r="MMV58"/>
      <c r="MMW58"/>
      <c r="MMX58"/>
      <c r="MMY58"/>
      <c r="MMZ58"/>
      <c r="MNA58"/>
      <c r="MNB58"/>
      <c r="MNC58"/>
      <c r="MND58"/>
      <c r="MNE58"/>
      <c r="MNF58"/>
      <c r="MNG58"/>
      <c r="MNH58"/>
      <c r="MNI58"/>
      <c r="MNJ58"/>
      <c r="MNK58"/>
      <c r="MNL58"/>
      <c r="MNM58"/>
      <c r="MNN58"/>
      <c r="MNO58"/>
      <c r="MNP58"/>
      <c r="MNQ58"/>
      <c r="MNR58"/>
      <c r="MNS58"/>
      <c r="MNT58"/>
      <c r="MNU58"/>
      <c r="MNV58"/>
      <c r="MNW58"/>
      <c r="MNX58"/>
      <c r="MNY58"/>
      <c r="MNZ58"/>
      <c r="MOA58"/>
      <c r="MOB58"/>
      <c r="MOC58"/>
      <c r="MOD58"/>
      <c r="MOE58"/>
      <c r="MOF58"/>
      <c r="MOG58"/>
      <c r="MOH58"/>
      <c r="MOI58"/>
      <c r="MOJ58"/>
      <c r="MOK58"/>
      <c r="MOL58"/>
      <c r="MOM58"/>
      <c r="MON58"/>
      <c r="MOO58"/>
      <c r="MOP58"/>
      <c r="MOQ58"/>
      <c r="MOR58"/>
      <c r="MOS58"/>
      <c r="MOT58"/>
      <c r="MOU58"/>
      <c r="MOV58"/>
      <c r="MOW58"/>
      <c r="MOX58"/>
      <c r="MOY58"/>
      <c r="MOZ58"/>
      <c r="MPA58"/>
      <c r="MPB58"/>
      <c r="MPC58"/>
      <c r="MPD58"/>
      <c r="MPE58"/>
      <c r="MPF58"/>
      <c r="MPG58"/>
      <c r="MPH58"/>
      <c r="MPI58"/>
      <c r="MPJ58"/>
      <c r="MPK58"/>
      <c r="MPL58"/>
      <c r="MPM58"/>
      <c r="MPN58"/>
      <c r="MPO58"/>
      <c r="MPP58"/>
      <c r="MPQ58"/>
      <c r="MPR58"/>
      <c r="MPS58"/>
      <c r="MPT58"/>
      <c r="MPU58"/>
      <c r="MPV58"/>
      <c r="MPW58"/>
      <c r="MPX58"/>
      <c r="MPY58"/>
      <c r="MPZ58"/>
      <c r="MQA58"/>
      <c r="MQB58"/>
      <c r="MQC58"/>
      <c r="MQD58"/>
      <c r="MQE58"/>
      <c r="MQF58"/>
      <c r="MQG58"/>
      <c r="MQH58"/>
      <c r="MQI58"/>
      <c r="MQJ58"/>
      <c r="MQK58"/>
      <c r="MQL58"/>
      <c r="MQM58"/>
      <c r="MQN58"/>
      <c r="MQO58"/>
      <c r="MQP58"/>
      <c r="MQQ58"/>
      <c r="MQR58"/>
      <c r="MQS58"/>
      <c r="MQT58"/>
      <c r="MQU58"/>
      <c r="MQV58"/>
      <c r="MQW58"/>
      <c r="MQX58"/>
      <c r="MQY58"/>
      <c r="MQZ58"/>
      <c r="MRA58"/>
      <c r="MRB58"/>
      <c r="MRC58"/>
      <c r="MRD58"/>
      <c r="MRE58"/>
      <c r="MRF58"/>
      <c r="MRG58"/>
      <c r="MRH58"/>
      <c r="MRI58"/>
      <c r="MRJ58"/>
      <c r="MRK58"/>
      <c r="MRL58"/>
      <c r="MRM58"/>
      <c r="MRN58"/>
      <c r="MRO58"/>
      <c r="MRP58"/>
      <c r="MRQ58"/>
      <c r="MRR58"/>
      <c r="MRS58"/>
      <c r="MRT58"/>
      <c r="MRU58"/>
      <c r="MRV58"/>
      <c r="MRW58"/>
      <c r="MRX58"/>
      <c r="MRY58"/>
      <c r="MRZ58"/>
      <c r="MSA58"/>
      <c r="MSB58"/>
      <c r="MSC58"/>
      <c r="MSD58"/>
      <c r="MSE58"/>
      <c r="MSF58"/>
      <c r="MSG58"/>
      <c r="MSH58"/>
      <c r="MSI58"/>
      <c r="MSJ58"/>
      <c r="MSK58"/>
      <c r="MSL58"/>
      <c r="MSM58"/>
      <c r="MSN58"/>
      <c r="MSO58"/>
      <c r="MSP58"/>
      <c r="MSQ58"/>
      <c r="MSR58"/>
      <c r="MSS58"/>
      <c r="MST58"/>
      <c r="MSU58"/>
      <c r="MSV58"/>
      <c r="MSW58"/>
      <c r="MSX58"/>
      <c r="MSY58"/>
      <c r="MSZ58"/>
      <c r="MTA58"/>
      <c r="MTB58"/>
      <c r="MTC58"/>
      <c r="MTD58"/>
      <c r="MTE58"/>
      <c r="MTF58"/>
      <c r="MTG58"/>
      <c r="MTH58"/>
      <c r="MTI58"/>
      <c r="MTJ58"/>
      <c r="MTK58"/>
      <c r="MTL58"/>
      <c r="MTM58"/>
      <c r="MTN58"/>
      <c r="MTO58"/>
      <c r="MTP58"/>
      <c r="MTQ58"/>
      <c r="MTR58"/>
      <c r="MTS58"/>
      <c r="MTT58"/>
      <c r="MTU58"/>
      <c r="MTV58"/>
      <c r="MTW58"/>
      <c r="MTX58"/>
      <c r="MTY58"/>
      <c r="MTZ58"/>
      <c r="MUA58"/>
      <c r="MUB58"/>
      <c r="MUC58"/>
      <c r="MUD58"/>
      <c r="MUE58"/>
      <c r="MUF58"/>
      <c r="MUG58"/>
      <c r="MUH58"/>
      <c r="MUI58"/>
      <c r="MUJ58"/>
      <c r="MUK58"/>
      <c r="MUL58"/>
      <c r="MUM58"/>
      <c r="MUN58"/>
      <c r="MUO58"/>
      <c r="MUP58"/>
      <c r="MUQ58"/>
      <c r="MUR58"/>
      <c r="MUS58"/>
      <c r="MUT58"/>
      <c r="MUU58"/>
      <c r="MUV58"/>
      <c r="MUW58"/>
      <c r="MUX58"/>
      <c r="MUY58"/>
      <c r="MUZ58"/>
      <c r="MVA58"/>
      <c r="MVB58"/>
      <c r="MVC58"/>
      <c r="MVD58"/>
      <c r="MVE58"/>
      <c r="MVF58"/>
      <c r="MVG58"/>
      <c r="MVH58"/>
      <c r="MVI58"/>
      <c r="MVJ58"/>
      <c r="MVK58"/>
      <c r="MVL58"/>
      <c r="MVM58"/>
      <c r="MVN58"/>
      <c r="MVO58"/>
      <c r="MVP58"/>
      <c r="MVQ58"/>
      <c r="MVR58"/>
      <c r="MVS58"/>
      <c r="MVT58"/>
      <c r="MVU58"/>
      <c r="MVV58"/>
      <c r="MVW58"/>
      <c r="MVX58"/>
      <c r="MVY58"/>
      <c r="MVZ58"/>
      <c r="MWA58"/>
      <c r="MWB58"/>
      <c r="MWC58"/>
      <c r="MWD58"/>
      <c r="MWE58"/>
      <c r="MWF58"/>
      <c r="MWG58"/>
      <c r="MWH58"/>
      <c r="MWI58"/>
      <c r="MWJ58"/>
      <c r="MWK58"/>
      <c r="MWL58"/>
      <c r="MWM58"/>
      <c r="MWN58"/>
      <c r="MWO58"/>
      <c r="MWP58"/>
      <c r="MWQ58"/>
      <c r="MWR58"/>
      <c r="MWS58"/>
      <c r="MWT58"/>
      <c r="MWU58"/>
      <c r="MWV58"/>
      <c r="MWW58"/>
      <c r="MWX58"/>
      <c r="MWY58"/>
      <c r="MWZ58"/>
      <c r="MXA58"/>
      <c r="MXB58"/>
      <c r="MXC58"/>
      <c r="MXD58"/>
      <c r="MXE58"/>
      <c r="MXF58"/>
      <c r="MXG58"/>
      <c r="MXH58"/>
      <c r="MXI58"/>
      <c r="MXJ58"/>
      <c r="MXK58"/>
      <c r="MXL58"/>
      <c r="MXM58"/>
      <c r="MXN58"/>
      <c r="MXO58"/>
      <c r="MXP58"/>
      <c r="MXQ58"/>
      <c r="MXR58"/>
      <c r="MXS58"/>
      <c r="MXT58"/>
      <c r="MXU58"/>
      <c r="MXV58"/>
      <c r="MXW58"/>
      <c r="MXX58"/>
      <c r="MXY58"/>
      <c r="MXZ58"/>
      <c r="MYA58"/>
      <c r="MYB58"/>
      <c r="MYC58"/>
      <c r="MYD58"/>
      <c r="MYE58"/>
      <c r="MYF58"/>
      <c r="MYG58"/>
      <c r="MYH58"/>
      <c r="MYI58"/>
      <c r="MYJ58"/>
      <c r="MYK58"/>
      <c r="MYL58"/>
      <c r="MYM58"/>
      <c r="MYN58"/>
      <c r="MYO58"/>
      <c r="MYP58"/>
      <c r="MYQ58"/>
      <c r="MYR58"/>
      <c r="MYS58"/>
      <c r="MYT58"/>
      <c r="MYU58"/>
      <c r="MYV58"/>
      <c r="MYW58"/>
      <c r="MYX58"/>
      <c r="MYY58"/>
      <c r="MYZ58"/>
      <c r="MZA58"/>
      <c r="MZB58"/>
      <c r="MZC58"/>
      <c r="MZD58"/>
      <c r="MZE58"/>
      <c r="MZF58"/>
      <c r="MZG58"/>
      <c r="MZH58"/>
      <c r="MZI58"/>
      <c r="MZJ58"/>
      <c r="MZK58"/>
      <c r="MZL58"/>
      <c r="MZM58"/>
      <c r="MZN58"/>
      <c r="MZO58"/>
      <c r="MZP58"/>
      <c r="MZQ58"/>
      <c r="MZR58"/>
      <c r="MZS58"/>
      <c r="MZT58"/>
      <c r="MZU58"/>
      <c r="MZV58"/>
      <c r="MZW58"/>
      <c r="MZX58"/>
      <c r="MZY58"/>
      <c r="MZZ58"/>
      <c r="NAA58"/>
      <c r="NAB58"/>
      <c r="NAC58"/>
      <c r="NAD58"/>
      <c r="NAE58"/>
      <c r="NAF58"/>
      <c r="NAG58"/>
      <c r="NAH58"/>
      <c r="NAI58"/>
      <c r="NAJ58"/>
      <c r="NAK58"/>
      <c r="NAL58"/>
      <c r="NAM58"/>
      <c r="NAN58"/>
      <c r="NAO58"/>
      <c r="NAP58"/>
      <c r="NAQ58"/>
      <c r="NAR58"/>
      <c r="NAS58"/>
      <c r="NAT58"/>
      <c r="NAU58"/>
      <c r="NAV58"/>
      <c r="NAW58"/>
      <c r="NAX58"/>
      <c r="NAY58"/>
      <c r="NAZ58"/>
      <c r="NBA58"/>
      <c r="NBB58"/>
      <c r="NBC58"/>
      <c r="NBD58"/>
      <c r="NBE58"/>
      <c r="NBF58"/>
      <c r="NBG58"/>
      <c r="NBH58"/>
      <c r="NBI58"/>
      <c r="NBJ58"/>
      <c r="NBK58"/>
      <c r="NBL58"/>
      <c r="NBM58"/>
      <c r="NBN58"/>
      <c r="NBO58"/>
      <c r="NBP58"/>
      <c r="NBQ58"/>
      <c r="NBR58"/>
      <c r="NBS58"/>
      <c r="NBT58"/>
      <c r="NBU58"/>
      <c r="NBV58"/>
      <c r="NBW58"/>
      <c r="NBX58"/>
      <c r="NBY58"/>
      <c r="NBZ58"/>
      <c r="NCA58"/>
      <c r="NCB58"/>
      <c r="NCC58"/>
      <c r="NCD58"/>
      <c r="NCE58"/>
      <c r="NCF58"/>
      <c r="NCG58"/>
      <c r="NCH58"/>
      <c r="NCI58"/>
      <c r="NCJ58"/>
      <c r="NCK58"/>
      <c r="NCL58"/>
      <c r="NCM58"/>
      <c r="NCN58"/>
      <c r="NCO58"/>
      <c r="NCP58"/>
      <c r="NCQ58"/>
      <c r="NCR58"/>
      <c r="NCS58"/>
      <c r="NCT58"/>
      <c r="NCU58"/>
      <c r="NCV58"/>
      <c r="NCW58"/>
      <c r="NCX58"/>
      <c r="NCY58"/>
      <c r="NCZ58"/>
      <c r="NDA58"/>
      <c r="NDB58"/>
      <c r="NDC58"/>
      <c r="NDD58"/>
      <c r="NDE58"/>
      <c r="NDF58"/>
      <c r="NDG58"/>
      <c r="NDH58"/>
      <c r="NDI58"/>
      <c r="NDJ58"/>
      <c r="NDK58"/>
      <c r="NDL58"/>
      <c r="NDM58"/>
      <c r="NDN58"/>
      <c r="NDO58"/>
      <c r="NDP58"/>
      <c r="NDQ58"/>
      <c r="NDR58"/>
      <c r="NDS58"/>
      <c r="NDT58"/>
      <c r="NDU58"/>
      <c r="NDV58"/>
      <c r="NDW58"/>
      <c r="NDX58"/>
      <c r="NDY58"/>
      <c r="NDZ58"/>
      <c r="NEA58"/>
      <c r="NEB58"/>
      <c r="NEC58"/>
      <c r="NED58"/>
      <c r="NEE58"/>
      <c r="NEF58"/>
      <c r="NEG58"/>
      <c r="NEH58"/>
      <c r="NEI58"/>
      <c r="NEJ58"/>
      <c r="NEK58"/>
      <c r="NEL58"/>
      <c r="NEM58"/>
      <c r="NEN58"/>
      <c r="NEO58"/>
      <c r="NEP58"/>
      <c r="NEQ58"/>
      <c r="NER58"/>
      <c r="NES58"/>
      <c r="NET58"/>
      <c r="NEU58"/>
      <c r="NEV58"/>
      <c r="NEW58"/>
      <c r="NEX58"/>
      <c r="NEY58"/>
      <c r="NEZ58"/>
      <c r="NFA58"/>
      <c r="NFB58"/>
      <c r="NFC58"/>
      <c r="NFD58"/>
      <c r="NFE58"/>
      <c r="NFF58"/>
      <c r="NFG58"/>
      <c r="NFH58"/>
      <c r="NFI58"/>
      <c r="NFJ58"/>
      <c r="NFK58"/>
      <c r="NFL58"/>
      <c r="NFM58"/>
      <c r="NFN58"/>
      <c r="NFO58"/>
      <c r="NFP58"/>
      <c r="NFQ58"/>
      <c r="NFR58"/>
      <c r="NFS58"/>
      <c r="NFT58"/>
      <c r="NFU58"/>
      <c r="NFV58"/>
      <c r="NFW58"/>
      <c r="NFX58"/>
      <c r="NFY58"/>
      <c r="NFZ58"/>
      <c r="NGA58"/>
      <c r="NGB58"/>
      <c r="NGC58"/>
      <c r="NGD58"/>
      <c r="NGE58"/>
      <c r="NGF58"/>
      <c r="NGG58"/>
      <c r="NGH58"/>
      <c r="NGI58"/>
      <c r="NGJ58"/>
      <c r="NGK58"/>
      <c r="NGL58"/>
      <c r="NGM58"/>
      <c r="NGN58"/>
      <c r="NGO58"/>
      <c r="NGP58"/>
      <c r="NGQ58"/>
      <c r="NGR58"/>
      <c r="NGS58"/>
      <c r="NGT58"/>
      <c r="NGU58"/>
      <c r="NGV58"/>
      <c r="NGW58"/>
      <c r="NGX58"/>
      <c r="NGY58"/>
      <c r="NGZ58"/>
      <c r="NHA58"/>
      <c r="NHB58"/>
      <c r="NHC58"/>
      <c r="NHD58"/>
      <c r="NHE58"/>
      <c r="NHF58"/>
      <c r="NHG58"/>
      <c r="NHH58"/>
      <c r="NHI58"/>
      <c r="NHJ58"/>
      <c r="NHK58"/>
      <c r="NHL58"/>
      <c r="NHM58"/>
      <c r="NHN58"/>
      <c r="NHO58"/>
      <c r="NHP58"/>
      <c r="NHQ58"/>
      <c r="NHR58"/>
      <c r="NHS58"/>
      <c r="NHT58"/>
      <c r="NHU58"/>
      <c r="NHV58"/>
      <c r="NHW58"/>
      <c r="NHX58"/>
      <c r="NHY58"/>
      <c r="NHZ58"/>
      <c r="NIA58"/>
      <c r="NIB58"/>
      <c r="NIC58"/>
      <c r="NID58"/>
      <c r="NIE58"/>
      <c r="NIF58"/>
      <c r="NIG58"/>
      <c r="NIH58"/>
      <c r="NII58"/>
      <c r="NIJ58"/>
      <c r="NIK58"/>
      <c r="NIL58"/>
      <c r="NIM58"/>
      <c r="NIN58"/>
      <c r="NIO58"/>
      <c r="NIP58"/>
      <c r="NIQ58"/>
      <c r="NIR58"/>
      <c r="NIS58"/>
      <c r="NIT58"/>
      <c r="NIU58"/>
      <c r="NIV58"/>
      <c r="NIW58"/>
      <c r="NIX58"/>
      <c r="NIY58"/>
      <c r="NIZ58"/>
      <c r="NJA58"/>
      <c r="NJB58"/>
      <c r="NJC58"/>
      <c r="NJD58"/>
      <c r="NJE58"/>
      <c r="NJF58"/>
      <c r="NJG58"/>
      <c r="NJH58"/>
      <c r="NJI58"/>
      <c r="NJJ58"/>
      <c r="NJK58"/>
      <c r="NJL58"/>
      <c r="NJM58"/>
      <c r="NJN58"/>
      <c r="NJO58"/>
      <c r="NJP58"/>
      <c r="NJQ58"/>
      <c r="NJR58"/>
      <c r="NJS58"/>
      <c r="NJT58"/>
      <c r="NJU58"/>
      <c r="NJV58"/>
      <c r="NJW58"/>
      <c r="NJX58"/>
      <c r="NJY58"/>
      <c r="NJZ58"/>
      <c r="NKA58"/>
      <c r="NKB58"/>
      <c r="NKC58"/>
      <c r="NKD58"/>
      <c r="NKE58"/>
      <c r="NKF58"/>
      <c r="NKG58"/>
      <c r="NKH58"/>
      <c r="NKI58"/>
      <c r="NKJ58"/>
      <c r="NKK58"/>
      <c r="NKL58"/>
      <c r="NKM58"/>
      <c r="NKN58"/>
      <c r="NKO58"/>
      <c r="NKP58"/>
      <c r="NKQ58"/>
      <c r="NKR58"/>
      <c r="NKS58"/>
      <c r="NKT58"/>
      <c r="NKU58"/>
      <c r="NKV58"/>
      <c r="NKW58"/>
      <c r="NKX58"/>
      <c r="NKY58"/>
      <c r="NKZ58"/>
      <c r="NLA58"/>
      <c r="NLB58"/>
      <c r="NLC58"/>
      <c r="NLD58"/>
      <c r="NLE58"/>
      <c r="NLF58"/>
      <c r="NLG58"/>
      <c r="NLH58"/>
      <c r="NLI58"/>
      <c r="NLJ58"/>
      <c r="NLK58"/>
      <c r="NLL58"/>
      <c r="NLM58"/>
      <c r="NLN58"/>
      <c r="NLO58"/>
      <c r="NLP58"/>
      <c r="NLQ58"/>
      <c r="NLR58"/>
      <c r="NLS58"/>
      <c r="NLT58"/>
      <c r="NLU58"/>
      <c r="NLV58"/>
      <c r="NLW58"/>
      <c r="NLX58"/>
      <c r="NLY58"/>
      <c r="NLZ58"/>
      <c r="NMA58"/>
      <c r="NMB58"/>
      <c r="NMC58"/>
      <c r="NMD58"/>
      <c r="NME58"/>
      <c r="NMF58"/>
      <c r="NMG58"/>
      <c r="NMH58"/>
      <c r="NMI58"/>
      <c r="NMJ58"/>
      <c r="NMK58"/>
      <c r="NML58"/>
      <c r="NMM58"/>
      <c r="NMN58"/>
      <c r="NMO58"/>
      <c r="NMP58"/>
      <c r="NMQ58"/>
      <c r="NMR58"/>
      <c r="NMS58"/>
      <c r="NMT58"/>
      <c r="NMU58"/>
      <c r="NMV58"/>
      <c r="NMW58"/>
      <c r="NMX58"/>
      <c r="NMY58"/>
      <c r="NMZ58"/>
      <c r="NNA58"/>
      <c r="NNB58"/>
      <c r="NNC58"/>
      <c r="NND58"/>
      <c r="NNE58"/>
      <c r="NNF58"/>
      <c r="NNG58"/>
      <c r="NNH58"/>
      <c r="NNI58"/>
      <c r="NNJ58"/>
      <c r="NNK58"/>
      <c r="NNL58"/>
      <c r="NNM58"/>
      <c r="NNN58"/>
      <c r="NNO58"/>
      <c r="NNP58"/>
      <c r="NNQ58"/>
      <c r="NNR58"/>
      <c r="NNS58"/>
      <c r="NNT58"/>
      <c r="NNU58"/>
      <c r="NNV58"/>
      <c r="NNW58"/>
      <c r="NNX58"/>
      <c r="NNY58"/>
      <c r="NNZ58"/>
      <c r="NOA58"/>
      <c r="NOB58"/>
      <c r="NOC58"/>
      <c r="NOD58"/>
      <c r="NOE58"/>
      <c r="NOF58"/>
      <c r="NOG58"/>
      <c r="NOH58"/>
      <c r="NOI58"/>
      <c r="NOJ58"/>
      <c r="NOK58"/>
      <c r="NOL58"/>
      <c r="NOM58"/>
      <c r="NON58"/>
      <c r="NOO58"/>
      <c r="NOP58"/>
      <c r="NOQ58"/>
      <c r="NOR58"/>
      <c r="NOS58"/>
      <c r="NOT58"/>
      <c r="NOU58"/>
      <c r="NOV58"/>
      <c r="NOW58"/>
      <c r="NOX58"/>
      <c r="NOY58"/>
      <c r="NOZ58"/>
      <c r="NPA58"/>
      <c r="NPB58"/>
      <c r="NPC58"/>
      <c r="NPD58"/>
      <c r="NPE58"/>
      <c r="NPF58"/>
      <c r="NPG58"/>
      <c r="NPH58"/>
      <c r="NPI58"/>
      <c r="NPJ58"/>
      <c r="NPK58"/>
      <c r="NPL58"/>
      <c r="NPM58"/>
      <c r="NPN58"/>
      <c r="NPO58"/>
      <c r="NPP58"/>
      <c r="NPQ58"/>
      <c r="NPR58"/>
      <c r="NPS58"/>
      <c r="NPT58"/>
      <c r="NPU58"/>
      <c r="NPV58"/>
      <c r="NPW58"/>
      <c r="NPX58"/>
      <c r="NPY58"/>
      <c r="NPZ58"/>
      <c r="NQA58"/>
      <c r="NQB58"/>
      <c r="NQC58"/>
      <c r="NQD58"/>
      <c r="NQE58"/>
      <c r="NQF58"/>
      <c r="NQG58"/>
      <c r="NQH58"/>
      <c r="NQI58"/>
      <c r="NQJ58"/>
      <c r="NQK58"/>
      <c r="NQL58"/>
      <c r="NQM58"/>
      <c r="NQN58"/>
      <c r="NQO58"/>
      <c r="NQP58"/>
      <c r="NQQ58"/>
      <c r="NQR58"/>
      <c r="NQS58"/>
      <c r="NQT58"/>
      <c r="NQU58"/>
      <c r="NQV58"/>
      <c r="NQW58"/>
      <c r="NQX58"/>
      <c r="NQY58"/>
      <c r="NQZ58"/>
      <c r="NRA58"/>
      <c r="NRB58"/>
      <c r="NRC58"/>
      <c r="NRD58"/>
      <c r="NRE58"/>
      <c r="NRF58"/>
      <c r="NRG58"/>
      <c r="NRH58"/>
      <c r="NRI58"/>
      <c r="NRJ58"/>
      <c r="NRK58"/>
      <c r="NRL58"/>
      <c r="NRM58"/>
      <c r="NRN58"/>
      <c r="NRO58"/>
      <c r="NRP58"/>
      <c r="NRQ58"/>
      <c r="NRR58"/>
      <c r="NRS58"/>
      <c r="NRT58"/>
      <c r="NRU58"/>
      <c r="NRV58"/>
      <c r="NRW58"/>
      <c r="NRX58"/>
      <c r="NRY58"/>
      <c r="NRZ58"/>
      <c r="NSA58"/>
      <c r="NSB58"/>
      <c r="NSC58"/>
      <c r="NSD58"/>
      <c r="NSE58"/>
      <c r="NSF58"/>
      <c r="NSG58"/>
      <c r="NSH58"/>
      <c r="NSI58"/>
      <c r="NSJ58"/>
      <c r="NSK58"/>
      <c r="NSL58"/>
      <c r="NSM58"/>
      <c r="NSN58"/>
      <c r="NSO58"/>
      <c r="NSP58"/>
      <c r="NSQ58"/>
      <c r="NSR58"/>
      <c r="NSS58"/>
      <c r="NST58"/>
      <c r="NSU58"/>
      <c r="NSV58"/>
      <c r="NSW58"/>
      <c r="NSX58"/>
      <c r="NSY58"/>
      <c r="NSZ58"/>
      <c r="NTA58"/>
      <c r="NTB58"/>
      <c r="NTC58"/>
      <c r="NTD58"/>
      <c r="NTE58"/>
      <c r="NTF58"/>
      <c r="NTG58"/>
      <c r="NTH58"/>
      <c r="NTI58"/>
      <c r="NTJ58"/>
      <c r="NTK58"/>
      <c r="NTL58"/>
      <c r="NTM58"/>
      <c r="NTN58"/>
      <c r="NTO58"/>
      <c r="NTP58"/>
      <c r="NTQ58"/>
      <c r="NTR58"/>
      <c r="NTS58"/>
      <c r="NTT58"/>
      <c r="NTU58"/>
      <c r="NTV58"/>
      <c r="NTW58"/>
      <c r="NTX58"/>
      <c r="NTY58"/>
      <c r="NTZ58"/>
      <c r="NUA58"/>
      <c r="NUB58"/>
      <c r="NUC58"/>
      <c r="NUD58"/>
      <c r="NUE58"/>
      <c r="NUF58"/>
      <c r="NUG58"/>
      <c r="NUH58"/>
      <c r="NUI58"/>
      <c r="NUJ58"/>
      <c r="NUK58"/>
      <c r="NUL58"/>
      <c r="NUM58"/>
      <c r="NUN58"/>
      <c r="NUO58"/>
      <c r="NUP58"/>
      <c r="NUQ58"/>
      <c r="NUR58"/>
      <c r="NUS58"/>
      <c r="NUT58"/>
      <c r="NUU58"/>
      <c r="NUV58"/>
      <c r="NUW58"/>
      <c r="NUX58"/>
      <c r="NUY58"/>
      <c r="NUZ58"/>
      <c r="NVA58"/>
      <c r="NVB58"/>
      <c r="NVC58"/>
      <c r="NVD58"/>
      <c r="NVE58"/>
      <c r="NVF58"/>
      <c r="NVG58"/>
      <c r="NVH58"/>
      <c r="NVI58"/>
      <c r="NVJ58"/>
      <c r="NVK58"/>
      <c r="NVL58"/>
      <c r="NVM58"/>
      <c r="NVN58"/>
      <c r="NVO58"/>
      <c r="NVP58"/>
      <c r="NVQ58"/>
      <c r="NVR58"/>
      <c r="NVS58"/>
      <c r="NVT58"/>
      <c r="NVU58"/>
      <c r="NVV58"/>
      <c r="NVW58"/>
      <c r="NVX58"/>
      <c r="NVY58"/>
      <c r="NVZ58"/>
      <c r="NWA58"/>
      <c r="NWB58"/>
      <c r="NWC58"/>
      <c r="NWD58"/>
      <c r="NWE58"/>
      <c r="NWF58"/>
      <c r="NWG58"/>
      <c r="NWH58"/>
      <c r="NWI58"/>
      <c r="NWJ58"/>
      <c r="NWK58"/>
      <c r="NWL58"/>
      <c r="NWM58"/>
      <c r="NWN58"/>
      <c r="NWO58"/>
      <c r="NWP58"/>
      <c r="NWQ58"/>
      <c r="NWR58"/>
      <c r="NWS58"/>
      <c r="NWT58"/>
      <c r="NWU58"/>
      <c r="NWV58"/>
      <c r="NWW58"/>
      <c r="NWX58"/>
      <c r="NWY58"/>
      <c r="NWZ58"/>
      <c r="NXA58"/>
      <c r="NXB58"/>
      <c r="NXC58"/>
      <c r="NXD58"/>
      <c r="NXE58"/>
      <c r="NXF58"/>
      <c r="NXG58"/>
      <c r="NXH58"/>
      <c r="NXI58"/>
      <c r="NXJ58"/>
      <c r="NXK58"/>
      <c r="NXL58"/>
      <c r="NXM58"/>
      <c r="NXN58"/>
      <c r="NXO58"/>
      <c r="NXP58"/>
      <c r="NXQ58"/>
      <c r="NXR58"/>
      <c r="NXS58"/>
      <c r="NXT58"/>
      <c r="NXU58"/>
      <c r="NXV58"/>
      <c r="NXW58"/>
      <c r="NXX58"/>
      <c r="NXY58"/>
      <c r="NXZ58"/>
      <c r="NYA58"/>
      <c r="NYB58"/>
      <c r="NYC58"/>
      <c r="NYD58"/>
      <c r="NYE58"/>
      <c r="NYF58"/>
      <c r="NYG58"/>
      <c r="NYH58"/>
      <c r="NYI58"/>
      <c r="NYJ58"/>
      <c r="NYK58"/>
      <c r="NYL58"/>
      <c r="NYM58"/>
      <c r="NYN58"/>
      <c r="NYO58"/>
      <c r="NYP58"/>
      <c r="NYQ58"/>
      <c r="NYR58"/>
      <c r="NYS58"/>
      <c r="NYT58"/>
      <c r="NYU58"/>
      <c r="NYV58"/>
      <c r="NYW58"/>
      <c r="NYX58"/>
      <c r="NYY58"/>
      <c r="NYZ58"/>
      <c r="NZA58"/>
      <c r="NZB58"/>
      <c r="NZC58"/>
      <c r="NZD58"/>
      <c r="NZE58"/>
      <c r="NZF58"/>
      <c r="NZG58"/>
      <c r="NZH58"/>
      <c r="NZI58"/>
      <c r="NZJ58"/>
      <c r="NZK58"/>
      <c r="NZL58"/>
      <c r="NZM58"/>
      <c r="NZN58"/>
      <c r="NZO58"/>
      <c r="NZP58"/>
      <c r="NZQ58"/>
      <c r="NZR58"/>
      <c r="NZS58"/>
      <c r="NZT58"/>
      <c r="NZU58"/>
      <c r="NZV58"/>
      <c r="NZW58"/>
      <c r="NZX58"/>
      <c r="NZY58"/>
      <c r="NZZ58"/>
      <c r="OAA58"/>
      <c r="OAB58"/>
      <c r="OAC58"/>
      <c r="OAD58"/>
      <c r="OAE58"/>
      <c r="OAF58"/>
      <c r="OAG58"/>
      <c r="OAH58"/>
      <c r="OAI58"/>
      <c r="OAJ58"/>
      <c r="OAK58"/>
      <c r="OAL58"/>
      <c r="OAM58"/>
      <c r="OAN58"/>
      <c r="OAO58"/>
      <c r="OAP58"/>
      <c r="OAQ58"/>
      <c r="OAR58"/>
      <c r="OAS58"/>
      <c r="OAT58"/>
      <c r="OAU58"/>
      <c r="OAV58"/>
      <c r="OAW58"/>
      <c r="OAX58"/>
      <c r="OAY58"/>
      <c r="OAZ58"/>
      <c r="OBA58"/>
      <c r="OBB58"/>
      <c r="OBC58"/>
      <c r="OBD58"/>
      <c r="OBE58"/>
      <c r="OBF58"/>
      <c r="OBG58"/>
      <c r="OBH58"/>
      <c r="OBI58"/>
      <c r="OBJ58"/>
      <c r="OBK58"/>
      <c r="OBL58"/>
      <c r="OBM58"/>
      <c r="OBN58"/>
      <c r="OBO58"/>
      <c r="OBP58"/>
      <c r="OBQ58"/>
      <c r="OBR58"/>
      <c r="OBS58"/>
      <c r="OBT58"/>
      <c r="OBU58"/>
      <c r="OBV58"/>
      <c r="OBW58"/>
      <c r="OBX58"/>
      <c r="OBY58"/>
      <c r="OBZ58"/>
      <c r="OCA58"/>
      <c r="OCB58"/>
      <c r="OCC58"/>
      <c r="OCD58"/>
      <c r="OCE58"/>
      <c r="OCF58"/>
      <c r="OCG58"/>
      <c r="OCH58"/>
      <c r="OCI58"/>
      <c r="OCJ58"/>
      <c r="OCK58"/>
      <c r="OCL58"/>
      <c r="OCM58"/>
      <c r="OCN58"/>
      <c r="OCO58"/>
      <c r="OCP58"/>
      <c r="OCQ58"/>
      <c r="OCR58"/>
      <c r="OCS58"/>
      <c r="OCT58"/>
      <c r="OCU58"/>
      <c r="OCV58"/>
      <c r="OCW58"/>
      <c r="OCX58"/>
      <c r="OCY58"/>
      <c r="OCZ58"/>
      <c r="ODA58"/>
      <c r="ODB58"/>
      <c r="ODC58"/>
      <c r="ODD58"/>
      <c r="ODE58"/>
      <c r="ODF58"/>
      <c r="ODG58"/>
      <c r="ODH58"/>
      <c r="ODI58"/>
      <c r="ODJ58"/>
      <c r="ODK58"/>
      <c r="ODL58"/>
      <c r="ODM58"/>
      <c r="ODN58"/>
      <c r="ODO58"/>
      <c r="ODP58"/>
      <c r="ODQ58"/>
      <c r="ODR58"/>
      <c r="ODS58"/>
      <c r="ODT58"/>
      <c r="ODU58"/>
      <c r="ODV58"/>
      <c r="ODW58"/>
      <c r="ODX58"/>
      <c r="ODY58"/>
      <c r="ODZ58"/>
      <c r="OEA58"/>
      <c r="OEB58"/>
      <c r="OEC58"/>
      <c r="OED58"/>
      <c r="OEE58"/>
      <c r="OEF58"/>
      <c r="OEG58"/>
      <c r="OEH58"/>
      <c r="OEI58"/>
      <c r="OEJ58"/>
      <c r="OEK58"/>
      <c r="OEL58"/>
      <c r="OEM58"/>
      <c r="OEN58"/>
      <c r="OEO58"/>
      <c r="OEP58"/>
      <c r="OEQ58"/>
      <c r="OER58"/>
      <c r="OES58"/>
      <c r="OET58"/>
      <c r="OEU58"/>
      <c r="OEV58"/>
      <c r="OEW58"/>
      <c r="OEX58"/>
      <c r="OEY58"/>
      <c r="OEZ58"/>
      <c r="OFA58"/>
      <c r="OFB58"/>
      <c r="OFC58"/>
      <c r="OFD58"/>
      <c r="OFE58"/>
      <c r="OFF58"/>
      <c r="OFG58"/>
      <c r="OFH58"/>
      <c r="OFI58"/>
      <c r="OFJ58"/>
      <c r="OFK58"/>
      <c r="OFL58"/>
      <c r="OFM58"/>
      <c r="OFN58"/>
      <c r="OFO58"/>
      <c r="OFP58"/>
      <c r="OFQ58"/>
      <c r="OFR58"/>
      <c r="OFS58"/>
      <c r="OFT58"/>
      <c r="OFU58"/>
      <c r="OFV58"/>
      <c r="OFW58"/>
      <c r="OFX58"/>
      <c r="OFY58"/>
      <c r="OFZ58"/>
      <c r="OGA58"/>
      <c r="OGB58"/>
      <c r="OGC58"/>
      <c r="OGD58"/>
      <c r="OGE58"/>
      <c r="OGF58"/>
      <c r="OGG58"/>
      <c r="OGH58"/>
      <c r="OGI58"/>
      <c r="OGJ58"/>
      <c r="OGK58"/>
      <c r="OGL58"/>
      <c r="OGM58"/>
      <c r="OGN58"/>
      <c r="OGO58"/>
      <c r="OGP58"/>
      <c r="OGQ58"/>
      <c r="OGR58"/>
      <c r="OGS58"/>
      <c r="OGT58"/>
      <c r="OGU58"/>
      <c r="OGV58"/>
      <c r="OGW58"/>
      <c r="OGX58"/>
      <c r="OGY58"/>
      <c r="OGZ58"/>
      <c r="OHA58"/>
      <c r="OHB58"/>
      <c r="OHC58"/>
      <c r="OHD58"/>
      <c r="OHE58"/>
      <c r="OHF58"/>
      <c r="OHG58"/>
      <c r="OHH58"/>
      <c r="OHI58"/>
      <c r="OHJ58"/>
      <c r="OHK58"/>
      <c r="OHL58"/>
      <c r="OHM58"/>
      <c r="OHN58"/>
      <c r="OHO58"/>
      <c r="OHP58"/>
      <c r="OHQ58"/>
      <c r="OHR58"/>
      <c r="OHS58"/>
      <c r="OHT58"/>
      <c r="OHU58"/>
      <c r="OHV58"/>
      <c r="OHW58"/>
      <c r="OHX58"/>
      <c r="OHY58"/>
      <c r="OHZ58"/>
      <c r="OIA58"/>
      <c r="OIB58"/>
      <c r="OIC58"/>
      <c r="OID58"/>
      <c r="OIE58"/>
      <c r="OIF58"/>
      <c r="OIG58"/>
      <c r="OIH58"/>
      <c r="OII58"/>
      <c r="OIJ58"/>
      <c r="OIK58"/>
      <c r="OIL58"/>
      <c r="OIM58"/>
      <c r="OIN58"/>
      <c r="OIO58"/>
      <c r="OIP58"/>
      <c r="OIQ58"/>
      <c r="OIR58"/>
      <c r="OIS58"/>
      <c r="OIT58"/>
      <c r="OIU58"/>
      <c r="OIV58"/>
      <c r="OIW58"/>
      <c r="OIX58"/>
      <c r="OIY58"/>
      <c r="OIZ58"/>
      <c r="OJA58"/>
      <c r="OJB58"/>
      <c r="OJC58"/>
      <c r="OJD58"/>
      <c r="OJE58"/>
      <c r="OJF58"/>
      <c r="OJG58"/>
      <c r="OJH58"/>
      <c r="OJI58"/>
      <c r="OJJ58"/>
      <c r="OJK58"/>
      <c r="OJL58"/>
      <c r="OJM58"/>
      <c r="OJN58"/>
      <c r="OJO58"/>
      <c r="OJP58"/>
      <c r="OJQ58"/>
      <c r="OJR58"/>
      <c r="OJS58"/>
      <c r="OJT58"/>
      <c r="OJU58"/>
      <c r="OJV58"/>
      <c r="OJW58"/>
      <c r="OJX58"/>
      <c r="OJY58"/>
      <c r="OJZ58"/>
      <c r="OKA58"/>
      <c r="OKB58"/>
      <c r="OKC58"/>
      <c r="OKD58"/>
      <c r="OKE58"/>
      <c r="OKF58"/>
      <c r="OKG58"/>
      <c r="OKH58"/>
      <c r="OKI58"/>
      <c r="OKJ58"/>
      <c r="OKK58"/>
      <c r="OKL58"/>
      <c r="OKM58"/>
      <c r="OKN58"/>
      <c r="OKO58"/>
      <c r="OKP58"/>
      <c r="OKQ58"/>
      <c r="OKR58"/>
      <c r="OKS58"/>
      <c r="OKT58"/>
      <c r="OKU58"/>
      <c r="OKV58"/>
      <c r="OKW58"/>
      <c r="OKX58"/>
      <c r="OKY58"/>
      <c r="OKZ58"/>
      <c r="OLA58"/>
      <c r="OLB58"/>
      <c r="OLC58"/>
      <c r="OLD58"/>
      <c r="OLE58"/>
      <c r="OLF58"/>
      <c r="OLG58"/>
      <c r="OLH58"/>
      <c r="OLI58"/>
      <c r="OLJ58"/>
      <c r="OLK58"/>
      <c r="OLL58"/>
      <c r="OLM58"/>
      <c r="OLN58"/>
      <c r="OLO58"/>
      <c r="OLP58"/>
      <c r="OLQ58"/>
      <c r="OLR58"/>
      <c r="OLS58"/>
      <c r="OLT58"/>
      <c r="OLU58"/>
      <c r="OLV58"/>
      <c r="OLW58"/>
      <c r="OLX58"/>
      <c r="OLY58"/>
      <c r="OLZ58"/>
      <c r="OMA58"/>
      <c r="OMB58"/>
      <c r="OMC58"/>
      <c r="OMD58"/>
      <c r="OME58"/>
      <c r="OMF58"/>
      <c r="OMG58"/>
      <c r="OMH58"/>
      <c r="OMI58"/>
      <c r="OMJ58"/>
      <c r="OMK58"/>
      <c r="OML58"/>
      <c r="OMM58"/>
      <c r="OMN58"/>
      <c r="OMO58"/>
      <c r="OMP58"/>
      <c r="OMQ58"/>
      <c r="OMR58"/>
      <c r="OMS58"/>
      <c r="OMT58"/>
      <c r="OMU58"/>
      <c r="OMV58"/>
      <c r="OMW58"/>
      <c r="OMX58"/>
      <c r="OMY58"/>
      <c r="OMZ58"/>
      <c r="ONA58"/>
      <c r="ONB58"/>
      <c r="ONC58"/>
      <c r="OND58"/>
      <c r="ONE58"/>
      <c r="ONF58"/>
      <c r="ONG58"/>
      <c r="ONH58"/>
      <c r="ONI58"/>
      <c r="ONJ58"/>
      <c r="ONK58"/>
      <c r="ONL58"/>
      <c r="ONM58"/>
      <c r="ONN58"/>
      <c r="ONO58"/>
      <c r="ONP58"/>
      <c r="ONQ58"/>
      <c r="ONR58"/>
      <c r="ONS58"/>
      <c r="ONT58"/>
      <c r="ONU58"/>
      <c r="ONV58"/>
      <c r="ONW58"/>
      <c r="ONX58"/>
      <c r="ONY58"/>
      <c r="ONZ58"/>
      <c r="OOA58"/>
      <c r="OOB58"/>
      <c r="OOC58"/>
      <c r="OOD58"/>
      <c r="OOE58"/>
      <c r="OOF58"/>
      <c r="OOG58"/>
      <c r="OOH58"/>
      <c r="OOI58"/>
      <c r="OOJ58"/>
      <c r="OOK58"/>
      <c r="OOL58"/>
      <c r="OOM58"/>
      <c r="OON58"/>
      <c r="OOO58"/>
      <c r="OOP58"/>
      <c r="OOQ58"/>
      <c r="OOR58"/>
      <c r="OOS58"/>
      <c r="OOT58"/>
      <c r="OOU58"/>
      <c r="OOV58"/>
      <c r="OOW58"/>
      <c r="OOX58"/>
      <c r="OOY58"/>
      <c r="OOZ58"/>
      <c r="OPA58"/>
      <c r="OPB58"/>
      <c r="OPC58"/>
      <c r="OPD58"/>
      <c r="OPE58"/>
      <c r="OPF58"/>
      <c r="OPG58"/>
      <c r="OPH58"/>
      <c r="OPI58"/>
      <c r="OPJ58"/>
      <c r="OPK58"/>
      <c r="OPL58"/>
      <c r="OPM58"/>
      <c r="OPN58"/>
      <c r="OPO58"/>
      <c r="OPP58"/>
      <c r="OPQ58"/>
      <c r="OPR58"/>
      <c r="OPS58"/>
      <c r="OPT58"/>
      <c r="OPU58"/>
      <c r="OPV58"/>
      <c r="OPW58"/>
      <c r="OPX58"/>
      <c r="OPY58"/>
      <c r="OPZ58"/>
      <c r="OQA58"/>
      <c r="OQB58"/>
      <c r="OQC58"/>
      <c r="OQD58"/>
      <c r="OQE58"/>
      <c r="OQF58"/>
      <c r="OQG58"/>
      <c r="OQH58"/>
      <c r="OQI58"/>
      <c r="OQJ58"/>
      <c r="OQK58"/>
      <c r="OQL58"/>
      <c r="OQM58"/>
      <c r="OQN58"/>
      <c r="OQO58"/>
      <c r="OQP58"/>
      <c r="OQQ58"/>
      <c r="OQR58"/>
      <c r="OQS58"/>
      <c r="OQT58"/>
      <c r="OQU58"/>
      <c r="OQV58"/>
      <c r="OQW58"/>
      <c r="OQX58"/>
      <c r="OQY58"/>
      <c r="OQZ58"/>
      <c r="ORA58"/>
      <c r="ORB58"/>
      <c r="ORC58"/>
      <c r="ORD58"/>
      <c r="ORE58"/>
      <c r="ORF58"/>
      <c r="ORG58"/>
      <c r="ORH58"/>
      <c r="ORI58"/>
      <c r="ORJ58"/>
      <c r="ORK58"/>
      <c r="ORL58"/>
      <c r="ORM58"/>
      <c r="ORN58"/>
      <c r="ORO58"/>
      <c r="ORP58"/>
      <c r="ORQ58"/>
      <c r="ORR58"/>
      <c r="ORS58"/>
      <c r="ORT58"/>
      <c r="ORU58"/>
      <c r="ORV58"/>
      <c r="ORW58"/>
      <c r="ORX58"/>
      <c r="ORY58"/>
      <c r="ORZ58"/>
      <c r="OSA58"/>
      <c r="OSB58"/>
      <c r="OSC58"/>
      <c r="OSD58"/>
      <c r="OSE58"/>
      <c r="OSF58"/>
      <c r="OSG58"/>
      <c r="OSH58"/>
      <c r="OSI58"/>
      <c r="OSJ58"/>
      <c r="OSK58"/>
      <c r="OSL58"/>
      <c r="OSM58"/>
      <c r="OSN58"/>
      <c r="OSO58"/>
      <c r="OSP58"/>
      <c r="OSQ58"/>
      <c r="OSR58"/>
      <c r="OSS58"/>
      <c r="OST58"/>
      <c r="OSU58"/>
      <c r="OSV58"/>
      <c r="OSW58"/>
      <c r="OSX58"/>
      <c r="OSY58"/>
      <c r="OSZ58"/>
      <c r="OTA58"/>
      <c r="OTB58"/>
      <c r="OTC58"/>
      <c r="OTD58"/>
      <c r="OTE58"/>
      <c r="OTF58"/>
      <c r="OTG58"/>
      <c r="OTH58"/>
      <c r="OTI58"/>
      <c r="OTJ58"/>
      <c r="OTK58"/>
      <c r="OTL58"/>
      <c r="OTM58"/>
      <c r="OTN58"/>
      <c r="OTO58"/>
      <c r="OTP58"/>
      <c r="OTQ58"/>
      <c r="OTR58"/>
      <c r="OTS58"/>
      <c r="OTT58"/>
      <c r="OTU58"/>
      <c r="OTV58"/>
      <c r="OTW58"/>
      <c r="OTX58"/>
      <c r="OTY58"/>
      <c r="OTZ58"/>
      <c r="OUA58"/>
      <c r="OUB58"/>
      <c r="OUC58"/>
      <c r="OUD58"/>
      <c r="OUE58"/>
      <c r="OUF58"/>
      <c r="OUG58"/>
      <c r="OUH58"/>
      <c r="OUI58"/>
      <c r="OUJ58"/>
      <c r="OUK58"/>
      <c r="OUL58"/>
      <c r="OUM58"/>
      <c r="OUN58"/>
      <c r="OUO58"/>
      <c r="OUP58"/>
      <c r="OUQ58"/>
      <c r="OUR58"/>
      <c r="OUS58"/>
      <c r="OUT58"/>
      <c r="OUU58"/>
      <c r="OUV58"/>
      <c r="OUW58"/>
      <c r="OUX58"/>
      <c r="OUY58"/>
      <c r="OUZ58"/>
      <c r="OVA58"/>
      <c r="OVB58"/>
      <c r="OVC58"/>
      <c r="OVD58"/>
      <c r="OVE58"/>
      <c r="OVF58"/>
      <c r="OVG58"/>
      <c r="OVH58"/>
      <c r="OVI58"/>
      <c r="OVJ58"/>
      <c r="OVK58"/>
      <c r="OVL58"/>
      <c r="OVM58"/>
      <c r="OVN58"/>
      <c r="OVO58"/>
      <c r="OVP58"/>
      <c r="OVQ58"/>
      <c r="OVR58"/>
      <c r="OVS58"/>
      <c r="OVT58"/>
      <c r="OVU58"/>
      <c r="OVV58"/>
      <c r="OVW58"/>
      <c r="OVX58"/>
      <c r="OVY58"/>
      <c r="OVZ58"/>
      <c r="OWA58"/>
      <c r="OWB58"/>
      <c r="OWC58"/>
      <c r="OWD58"/>
      <c r="OWE58"/>
      <c r="OWF58"/>
      <c r="OWG58"/>
      <c r="OWH58"/>
      <c r="OWI58"/>
      <c r="OWJ58"/>
      <c r="OWK58"/>
      <c r="OWL58"/>
      <c r="OWM58"/>
      <c r="OWN58"/>
      <c r="OWO58"/>
      <c r="OWP58"/>
      <c r="OWQ58"/>
      <c r="OWR58"/>
      <c r="OWS58"/>
      <c r="OWT58"/>
      <c r="OWU58"/>
      <c r="OWV58"/>
      <c r="OWW58"/>
      <c r="OWX58"/>
      <c r="OWY58"/>
      <c r="OWZ58"/>
      <c r="OXA58"/>
      <c r="OXB58"/>
      <c r="OXC58"/>
      <c r="OXD58"/>
      <c r="OXE58"/>
      <c r="OXF58"/>
      <c r="OXG58"/>
      <c r="OXH58"/>
      <c r="OXI58"/>
      <c r="OXJ58"/>
      <c r="OXK58"/>
      <c r="OXL58"/>
      <c r="OXM58"/>
      <c r="OXN58"/>
      <c r="OXO58"/>
      <c r="OXP58"/>
      <c r="OXQ58"/>
      <c r="OXR58"/>
      <c r="OXS58"/>
      <c r="OXT58"/>
      <c r="OXU58"/>
      <c r="OXV58"/>
      <c r="OXW58"/>
      <c r="OXX58"/>
      <c r="OXY58"/>
      <c r="OXZ58"/>
      <c r="OYA58"/>
      <c r="OYB58"/>
      <c r="OYC58"/>
      <c r="OYD58"/>
      <c r="OYE58"/>
      <c r="OYF58"/>
      <c r="OYG58"/>
      <c r="OYH58"/>
      <c r="OYI58"/>
      <c r="OYJ58"/>
      <c r="OYK58"/>
      <c r="OYL58"/>
      <c r="OYM58"/>
      <c r="OYN58"/>
      <c r="OYO58"/>
      <c r="OYP58"/>
      <c r="OYQ58"/>
      <c r="OYR58"/>
      <c r="OYS58"/>
      <c r="OYT58"/>
      <c r="OYU58"/>
      <c r="OYV58"/>
      <c r="OYW58"/>
      <c r="OYX58"/>
      <c r="OYY58"/>
      <c r="OYZ58"/>
      <c r="OZA58"/>
      <c r="OZB58"/>
      <c r="OZC58"/>
      <c r="OZD58"/>
      <c r="OZE58"/>
      <c r="OZF58"/>
      <c r="OZG58"/>
      <c r="OZH58"/>
      <c r="OZI58"/>
      <c r="OZJ58"/>
      <c r="OZK58"/>
      <c r="OZL58"/>
      <c r="OZM58"/>
      <c r="OZN58"/>
      <c r="OZO58"/>
      <c r="OZP58"/>
      <c r="OZQ58"/>
      <c r="OZR58"/>
      <c r="OZS58"/>
      <c r="OZT58"/>
      <c r="OZU58"/>
      <c r="OZV58"/>
      <c r="OZW58"/>
      <c r="OZX58"/>
      <c r="OZY58"/>
      <c r="OZZ58"/>
      <c r="PAA58"/>
      <c r="PAB58"/>
      <c r="PAC58"/>
      <c r="PAD58"/>
      <c r="PAE58"/>
      <c r="PAF58"/>
      <c r="PAG58"/>
      <c r="PAH58"/>
      <c r="PAI58"/>
      <c r="PAJ58"/>
      <c r="PAK58"/>
      <c r="PAL58"/>
      <c r="PAM58"/>
      <c r="PAN58"/>
      <c r="PAO58"/>
      <c r="PAP58"/>
      <c r="PAQ58"/>
      <c r="PAR58"/>
      <c r="PAS58"/>
      <c r="PAT58"/>
      <c r="PAU58"/>
      <c r="PAV58"/>
      <c r="PAW58"/>
      <c r="PAX58"/>
      <c r="PAY58"/>
      <c r="PAZ58"/>
      <c r="PBA58"/>
      <c r="PBB58"/>
      <c r="PBC58"/>
      <c r="PBD58"/>
      <c r="PBE58"/>
      <c r="PBF58"/>
      <c r="PBG58"/>
      <c r="PBH58"/>
      <c r="PBI58"/>
      <c r="PBJ58"/>
      <c r="PBK58"/>
      <c r="PBL58"/>
      <c r="PBM58"/>
      <c r="PBN58"/>
      <c r="PBO58"/>
      <c r="PBP58"/>
      <c r="PBQ58"/>
      <c r="PBR58"/>
      <c r="PBS58"/>
      <c r="PBT58"/>
      <c r="PBU58"/>
      <c r="PBV58"/>
      <c r="PBW58"/>
      <c r="PBX58"/>
      <c r="PBY58"/>
      <c r="PBZ58"/>
      <c r="PCA58"/>
      <c r="PCB58"/>
      <c r="PCC58"/>
      <c r="PCD58"/>
      <c r="PCE58"/>
      <c r="PCF58"/>
      <c r="PCG58"/>
      <c r="PCH58"/>
      <c r="PCI58"/>
      <c r="PCJ58"/>
      <c r="PCK58"/>
      <c r="PCL58"/>
      <c r="PCM58"/>
      <c r="PCN58"/>
      <c r="PCO58"/>
      <c r="PCP58"/>
      <c r="PCQ58"/>
      <c r="PCR58"/>
      <c r="PCS58"/>
      <c r="PCT58"/>
      <c r="PCU58"/>
      <c r="PCV58"/>
      <c r="PCW58"/>
      <c r="PCX58"/>
      <c r="PCY58"/>
      <c r="PCZ58"/>
      <c r="PDA58"/>
      <c r="PDB58"/>
      <c r="PDC58"/>
      <c r="PDD58"/>
      <c r="PDE58"/>
      <c r="PDF58"/>
      <c r="PDG58"/>
      <c r="PDH58"/>
      <c r="PDI58"/>
      <c r="PDJ58"/>
      <c r="PDK58"/>
      <c r="PDL58"/>
      <c r="PDM58"/>
      <c r="PDN58"/>
      <c r="PDO58"/>
      <c r="PDP58"/>
      <c r="PDQ58"/>
      <c r="PDR58"/>
      <c r="PDS58"/>
      <c r="PDT58"/>
      <c r="PDU58"/>
      <c r="PDV58"/>
      <c r="PDW58"/>
      <c r="PDX58"/>
      <c r="PDY58"/>
      <c r="PDZ58"/>
      <c r="PEA58"/>
      <c r="PEB58"/>
      <c r="PEC58"/>
      <c r="PED58"/>
      <c r="PEE58"/>
      <c r="PEF58"/>
      <c r="PEG58"/>
      <c r="PEH58"/>
      <c r="PEI58"/>
      <c r="PEJ58"/>
      <c r="PEK58"/>
      <c r="PEL58"/>
      <c r="PEM58"/>
      <c r="PEN58"/>
      <c r="PEO58"/>
      <c r="PEP58"/>
      <c r="PEQ58"/>
      <c r="PER58"/>
      <c r="PES58"/>
      <c r="PET58"/>
      <c r="PEU58"/>
      <c r="PEV58"/>
      <c r="PEW58"/>
      <c r="PEX58"/>
      <c r="PEY58"/>
      <c r="PEZ58"/>
      <c r="PFA58"/>
      <c r="PFB58"/>
      <c r="PFC58"/>
      <c r="PFD58"/>
      <c r="PFE58"/>
      <c r="PFF58"/>
      <c r="PFG58"/>
      <c r="PFH58"/>
      <c r="PFI58"/>
      <c r="PFJ58"/>
      <c r="PFK58"/>
      <c r="PFL58"/>
      <c r="PFM58"/>
      <c r="PFN58"/>
      <c r="PFO58"/>
      <c r="PFP58"/>
      <c r="PFQ58"/>
      <c r="PFR58"/>
      <c r="PFS58"/>
      <c r="PFT58"/>
      <c r="PFU58"/>
      <c r="PFV58"/>
      <c r="PFW58"/>
      <c r="PFX58"/>
      <c r="PFY58"/>
      <c r="PFZ58"/>
      <c r="PGA58"/>
      <c r="PGB58"/>
      <c r="PGC58"/>
      <c r="PGD58"/>
      <c r="PGE58"/>
      <c r="PGF58"/>
      <c r="PGG58"/>
      <c r="PGH58"/>
      <c r="PGI58"/>
      <c r="PGJ58"/>
      <c r="PGK58"/>
      <c r="PGL58"/>
      <c r="PGM58"/>
      <c r="PGN58"/>
      <c r="PGO58"/>
      <c r="PGP58"/>
      <c r="PGQ58"/>
      <c r="PGR58"/>
      <c r="PGS58"/>
      <c r="PGT58"/>
      <c r="PGU58"/>
      <c r="PGV58"/>
      <c r="PGW58"/>
      <c r="PGX58"/>
      <c r="PGY58"/>
      <c r="PGZ58"/>
      <c r="PHA58"/>
      <c r="PHB58"/>
      <c r="PHC58"/>
      <c r="PHD58"/>
      <c r="PHE58"/>
      <c r="PHF58"/>
      <c r="PHG58"/>
      <c r="PHH58"/>
      <c r="PHI58"/>
      <c r="PHJ58"/>
      <c r="PHK58"/>
      <c r="PHL58"/>
      <c r="PHM58"/>
      <c r="PHN58"/>
      <c r="PHO58"/>
      <c r="PHP58"/>
      <c r="PHQ58"/>
      <c r="PHR58"/>
      <c r="PHS58"/>
      <c r="PHT58"/>
      <c r="PHU58"/>
      <c r="PHV58"/>
      <c r="PHW58"/>
      <c r="PHX58"/>
      <c r="PHY58"/>
      <c r="PHZ58"/>
      <c r="PIA58"/>
      <c r="PIB58"/>
      <c r="PIC58"/>
      <c r="PID58"/>
      <c r="PIE58"/>
      <c r="PIF58"/>
      <c r="PIG58"/>
      <c r="PIH58"/>
      <c r="PII58"/>
      <c r="PIJ58"/>
      <c r="PIK58"/>
      <c r="PIL58"/>
      <c r="PIM58"/>
      <c r="PIN58"/>
      <c r="PIO58"/>
      <c r="PIP58"/>
      <c r="PIQ58"/>
      <c r="PIR58"/>
      <c r="PIS58"/>
      <c r="PIT58"/>
      <c r="PIU58"/>
      <c r="PIV58"/>
      <c r="PIW58"/>
      <c r="PIX58"/>
      <c r="PIY58"/>
      <c r="PIZ58"/>
      <c r="PJA58"/>
      <c r="PJB58"/>
      <c r="PJC58"/>
      <c r="PJD58"/>
      <c r="PJE58"/>
      <c r="PJF58"/>
      <c r="PJG58"/>
      <c r="PJH58"/>
      <c r="PJI58"/>
      <c r="PJJ58"/>
      <c r="PJK58"/>
      <c r="PJL58"/>
      <c r="PJM58"/>
      <c r="PJN58"/>
      <c r="PJO58"/>
      <c r="PJP58"/>
      <c r="PJQ58"/>
      <c r="PJR58"/>
      <c r="PJS58"/>
      <c r="PJT58"/>
      <c r="PJU58"/>
      <c r="PJV58"/>
      <c r="PJW58"/>
      <c r="PJX58"/>
      <c r="PJY58"/>
      <c r="PJZ58"/>
      <c r="PKA58"/>
      <c r="PKB58"/>
      <c r="PKC58"/>
      <c r="PKD58"/>
      <c r="PKE58"/>
      <c r="PKF58"/>
      <c r="PKG58"/>
      <c r="PKH58"/>
      <c r="PKI58"/>
      <c r="PKJ58"/>
      <c r="PKK58"/>
      <c r="PKL58"/>
      <c r="PKM58"/>
      <c r="PKN58"/>
      <c r="PKO58"/>
      <c r="PKP58"/>
      <c r="PKQ58"/>
      <c r="PKR58"/>
      <c r="PKS58"/>
      <c r="PKT58"/>
      <c r="PKU58"/>
      <c r="PKV58"/>
      <c r="PKW58"/>
      <c r="PKX58"/>
      <c r="PKY58"/>
      <c r="PKZ58"/>
      <c r="PLA58"/>
      <c r="PLB58"/>
      <c r="PLC58"/>
      <c r="PLD58"/>
      <c r="PLE58"/>
      <c r="PLF58"/>
      <c r="PLG58"/>
      <c r="PLH58"/>
      <c r="PLI58"/>
      <c r="PLJ58"/>
      <c r="PLK58"/>
      <c r="PLL58"/>
      <c r="PLM58"/>
      <c r="PLN58"/>
      <c r="PLO58"/>
      <c r="PLP58"/>
      <c r="PLQ58"/>
      <c r="PLR58"/>
      <c r="PLS58"/>
      <c r="PLT58"/>
      <c r="PLU58"/>
      <c r="PLV58"/>
      <c r="PLW58"/>
      <c r="PLX58"/>
      <c r="PLY58"/>
      <c r="PLZ58"/>
      <c r="PMA58"/>
      <c r="PMB58"/>
      <c r="PMC58"/>
      <c r="PMD58"/>
      <c r="PME58"/>
      <c r="PMF58"/>
      <c r="PMG58"/>
      <c r="PMH58"/>
      <c r="PMI58"/>
      <c r="PMJ58"/>
      <c r="PMK58"/>
      <c r="PML58"/>
      <c r="PMM58"/>
      <c r="PMN58"/>
      <c r="PMO58"/>
      <c r="PMP58"/>
      <c r="PMQ58"/>
      <c r="PMR58"/>
      <c r="PMS58"/>
      <c r="PMT58"/>
      <c r="PMU58"/>
      <c r="PMV58"/>
      <c r="PMW58"/>
      <c r="PMX58"/>
      <c r="PMY58"/>
      <c r="PMZ58"/>
      <c r="PNA58"/>
      <c r="PNB58"/>
      <c r="PNC58"/>
      <c r="PND58"/>
      <c r="PNE58"/>
      <c r="PNF58"/>
      <c r="PNG58"/>
      <c r="PNH58"/>
      <c r="PNI58"/>
      <c r="PNJ58"/>
      <c r="PNK58"/>
      <c r="PNL58"/>
      <c r="PNM58"/>
      <c r="PNN58"/>
      <c r="PNO58"/>
      <c r="PNP58"/>
      <c r="PNQ58"/>
      <c r="PNR58"/>
      <c r="PNS58"/>
      <c r="PNT58"/>
      <c r="PNU58"/>
      <c r="PNV58"/>
      <c r="PNW58"/>
      <c r="PNX58"/>
      <c r="PNY58"/>
      <c r="PNZ58"/>
      <c r="POA58"/>
      <c r="POB58"/>
      <c r="POC58"/>
      <c r="POD58"/>
      <c r="POE58"/>
      <c r="POF58"/>
      <c r="POG58"/>
      <c r="POH58"/>
      <c r="POI58"/>
      <c r="POJ58"/>
      <c r="POK58"/>
      <c r="POL58"/>
      <c r="POM58"/>
      <c r="PON58"/>
      <c r="POO58"/>
      <c r="POP58"/>
      <c r="POQ58"/>
      <c r="POR58"/>
      <c r="POS58"/>
      <c r="POT58"/>
      <c r="POU58"/>
      <c r="POV58"/>
      <c r="POW58"/>
      <c r="POX58"/>
      <c r="POY58"/>
      <c r="POZ58"/>
      <c r="PPA58"/>
      <c r="PPB58"/>
      <c r="PPC58"/>
      <c r="PPD58"/>
      <c r="PPE58"/>
      <c r="PPF58"/>
      <c r="PPG58"/>
      <c r="PPH58"/>
      <c r="PPI58"/>
      <c r="PPJ58"/>
      <c r="PPK58"/>
      <c r="PPL58"/>
      <c r="PPM58"/>
      <c r="PPN58"/>
      <c r="PPO58"/>
      <c r="PPP58"/>
      <c r="PPQ58"/>
      <c r="PPR58"/>
      <c r="PPS58"/>
      <c r="PPT58"/>
      <c r="PPU58"/>
      <c r="PPV58"/>
      <c r="PPW58"/>
      <c r="PPX58"/>
      <c r="PPY58"/>
      <c r="PPZ58"/>
      <c r="PQA58"/>
      <c r="PQB58"/>
      <c r="PQC58"/>
      <c r="PQD58"/>
      <c r="PQE58"/>
      <c r="PQF58"/>
      <c r="PQG58"/>
      <c r="PQH58"/>
      <c r="PQI58"/>
      <c r="PQJ58"/>
      <c r="PQK58"/>
      <c r="PQL58"/>
      <c r="PQM58"/>
      <c r="PQN58"/>
      <c r="PQO58"/>
      <c r="PQP58"/>
      <c r="PQQ58"/>
      <c r="PQR58"/>
      <c r="PQS58"/>
      <c r="PQT58"/>
      <c r="PQU58"/>
      <c r="PQV58"/>
      <c r="PQW58"/>
      <c r="PQX58"/>
      <c r="PQY58"/>
      <c r="PQZ58"/>
      <c r="PRA58"/>
      <c r="PRB58"/>
      <c r="PRC58"/>
      <c r="PRD58"/>
      <c r="PRE58"/>
      <c r="PRF58"/>
      <c r="PRG58"/>
      <c r="PRH58"/>
      <c r="PRI58"/>
      <c r="PRJ58"/>
      <c r="PRK58"/>
      <c r="PRL58"/>
      <c r="PRM58"/>
      <c r="PRN58"/>
      <c r="PRO58"/>
      <c r="PRP58"/>
      <c r="PRQ58"/>
      <c r="PRR58"/>
      <c r="PRS58"/>
      <c r="PRT58"/>
      <c r="PRU58"/>
      <c r="PRV58"/>
      <c r="PRW58"/>
      <c r="PRX58"/>
      <c r="PRY58"/>
      <c r="PRZ58"/>
      <c r="PSA58"/>
      <c r="PSB58"/>
      <c r="PSC58"/>
      <c r="PSD58"/>
      <c r="PSE58"/>
      <c r="PSF58"/>
      <c r="PSG58"/>
      <c r="PSH58"/>
      <c r="PSI58"/>
      <c r="PSJ58"/>
      <c r="PSK58"/>
      <c r="PSL58"/>
      <c r="PSM58"/>
      <c r="PSN58"/>
      <c r="PSO58"/>
      <c r="PSP58"/>
      <c r="PSQ58"/>
      <c r="PSR58"/>
      <c r="PSS58"/>
      <c r="PST58"/>
      <c r="PSU58"/>
      <c r="PSV58"/>
      <c r="PSW58"/>
      <c r="PSX58"/>
      <c r="PSY58"/>
      <c r="PSZ58"/>
      <c r="PTA58"/>
      <c r="PTB58"/>
      <c r="PTC58"/>
      <c r="PTD58"/>
      <c r="PTE58"/>
      <c r="PTF58"/>
      <c r="PTG58"/>
      <c r="PTH58"/>
      <c r="PTI58"/>
      <c r="PTJ58"/>
      <c r="PTK58"/>
      <c r="PTL58"/>
      <c r="PTM58"/>
      <c r="PTN58"/>
      <c r="PTO58"/>
      <c r="PTP58"/>
      <c r="PTQ58"/>
      <c r="PTR58"/>
      <c r="PTS58"/>
      <c r="PTT58"/>
      <c r="PTU58"/>
      <c r="PTV58"/>
      <c r="PTW58"/>
      <c r="PTX58"/>
      <c r="PTY58"/>
      <c r="PTZ58"/>
      <c r="PUA58"/>
      <c r="PUB58"/>
      <c r="PUC58"/>
      <c r="PUD58"/>
      <c r="PUE58"/>
      <c r="PUF58"/>
      <c r="PUG58"/>
      <c r="PUH58"/>
      <c r="PUI58"/>
      <c r="PUJ58"/>
      <c r="PUK58"/>
      <c r="PUL58"/>
      <c r="PUM58"/>
      <c r="PUN58"/>
      <c r="PUO58"/>
      <c r="PUP58"/>
      <c r="PUQ58"/>
      <c r="PUR58"/>
      <c r="PUS58"/>
      <c r="PUT58"/>
      <c r="PUU58"/>
      <c r="PUV58"/>
      <c r="PUW58"/>
      <c r="PUX58"/>
      <c r="PUY58"/>
      <c r="PUZ58"/>
      <c r="PVA58"/>
      <c r="PVB58"/>
      <c r="PVC58"/>
      <c r="PVD58"/>
      <c r="PVE58"/>
      <c r="PVF58"/>
      <c r="PVG58"/>
      <c r="PVH58"/>
      <c r="PVI58"/>
      <c r="PVJ58"/>
      <c r="PVK58"/>
      <c r="PVL58"/>
      <c r="PVM58"/>
      <c r="PVN58"/>
      <c r="PVO58"/>
      <c r="PVP58"/>
      <c r="PVQ58"/>
      <c r="PVR58"/>
      <c r="PVS58"/>
      <c r="PVT58"/>
      <c r="PVU58"/>
      <c r="PVV58"/>
      <c r="PVW58"/>
      <c r="PVX58"/>
      <c r="PVY58"/>
      <c r="PVZ58"/>
      <c r="PWA58"/>
      <c r="PWB58"/>
      <c r="PWC58"/>
      <c r="PWD58"/>
      <c r="PWE58"/>
      <c r="PWF58"/>
      <c r="PWG58"/>
      <c r="PWH58"/>
      <c r="PWI58"/>
      <c r="PWJ58"/>
      <c r="PWK58"/>
      <c r="PWL58"/>
      <c r="PWM58"/>
      <c r="PWN58"/>
      <c r="PWO58"/>
      <c r="PWP58"/>
      <c r="PWQ58"/>
      <c r="PWR58"/>
      <c r="PWS58"/>
      <c r="PWT58"/>
      <c r="PWU58"/>
      <c r="PWV58"/>
      <c r="PWW58"/>
      <c r="PWX58"/>
      <c r="PWY58"/>
      <c r="PWZ58"/>
      <c r="PXA58"/>
      <c r="PXB58"/>
      <c r="PXC58"/>
      <c r="PXD58"/>
      <c r="PXE58"/>
      <c r="PXF58"/>
      <c r="PXG58"/>
      <c r="PXH58"/>
      <c r="PXI58"/>
      <c r="PXJ58"/>
      <c r="PXK58"/>
      <c r="PXL58"/>
      <c r="PXM58"/>
      <c r="PXN58"/>
      <c r="PXO58"/>
      <c r="PXP58"/>
      <c r="PXQ58"/>
      <c r="PXR58"/>
      <c r="PXS58"/>
      <c r="PXT58"/>
      <c r="PXU58"/>
      <c r="PXV58"/>
      <c r="PXW58"/>
      <c r="PXX58"/>
      <c r="PXY58"/>
      <c r="PXZ58"/>
      <c r="PYA58"/>
      <c r="PYB58"/>
      <c r="PYC58"/>
      <c r="PYD58"/>
      <c r="PYE58"/>
      <c r="PYF58"/>
      <c r="PYG58"/>
      <c r="PYH58"/>
      <c r="PYI58"/>
      <c r="PYJ58"/>
      <c r="PYK58"/>
      <c r="PYL58"/>
      <c r="PYM58"/>
      <c r="PYN58"/>
      <c r="PYO58"/>
      <c r="PYP58"/>
      <c r="PYQ58"/>
      <c r="PYR58"/>
      <c r="PYS58"/>
      <c r="PYT58"/>
      <c r="PYU58"/>
      <c r="PYV58"/>
      <c r="PYW58"/>
      <c r="PYX58"/>
      <c r="PYY58"/>
      <c r="PYZ58"/>
      <c r="PZA58"/>
      <c r="PZB58"/>
      <c r="PZC58"/>
      <c r="PZD58"/>
      <c r="PZE58"/>
      <c r="PZF58"/>
      <c r="PZG58"/>
      <c r="PZH58"/>
      <c r="PZI58"/>
      <c r="PZJ58"/>
      <c r="PZK58"/>
      <c r="PZL58"/>
      <c r="PZM58"/>
      <c r="PZN58"/>
      <c r="PZO58"/>
      <c r="PZP58"/>
      <c r="PZQ58"/>
      <c r="PZR58"/>
      <c r="PZS58"/>
      <c r="PZT58"/>
      <c r="PZU58"/>
      <c r="PZV58"/>
      <c r="PZW58"/>
      <c r="PZX58"/>
      <c r="PZY58"/>
      <c r="PZZ58"/>
      <c r="QAA58"/>
      <c r="QAB58"/>
      <c r="QAC58"/>
      <c r="QAD58"/>
      <c r="QAE58"/>
      <c r="QAF58"/>
      <c r="QAG58"/>
      <c r="QAH58"/>
      <c r="QAI58"/>
      <c r="QAJ58"/>
      <c r="QAK58"/>
      <c r="QAL58"/>
      <c r="QAM58"/>
      <c r="QAN58"/>
      <c r="QAO58"/>
      <c r="QAP58"/>
      <c r="QAQ58"/>
      <c r="QAR58"/>
      <c r="QAS58"/>
      <c r="QAT58"/>
      <c r="QAU58"/>
      <c r="QAV58"/>
      <c r="QAW58"/>
      <c r="QAX58"/>
      <c r="QAY58"/>
      <c r="QAZ58"/>
      <c r="QBA58"/>
      <c r="QBB58"/>
      <c r="QBC58"/>
      <c r="QBD58"/>
      <c r="QBE58"/>
      <c r="QBF58"/>
      <c r="QBG58"/>
      <c r="QBH58"/>
      <c r="QBI58"/>
      <c r="QBJ58"/>
      <c r="QBK58"/>
      <c r="QBL58"/>
      <c r="QBM58"/>
      <c r="QBN58"/>
      <c r="QBO58"/>
      <c r="QBP58"/>
      <c r="QBQ58"/>
      <c r="QBR58"/>
      <c r="QBS58"/>
      <c r="QBT58"/>
      <c r="QBU58"/>
      <c r="QBV58"/>
      <c r="QBW58"/>
      <c r="QBX58"/>
      <c r="QBY58"/>
      <c r="QBZ58"/>
      <c r="QCA58"/>
      <c r="QCB58"/>
      <c r="QCC58"/>
      <c r="QCD58"/>
      <c r="QCE58"/>
      <c r="QCF58"/>
      <c r="QCG58"/>
      <c r="QCH58"/>
      <c r="QCI58"/>
      <c r="QCJ58"/>
      <c r="QCK58"/>
      <c r="QCL58"/>
      <c r="QCM58"/>
      <c r="QCN58"/>
      <c r="QCO58"/>
      <c r="QCP58"/>
      <c r="QCQ58"/>
      <c r="QCR58"/>
      <c r="QCS58"/>
      <c r="QCT58"/>
      <c r="QCU58"/>
      <c r="QCV58"/>
      <c r="QCW58"/>
      <c r="QCX58"/>
      <c r="QCY58"/>
      <c r="QCZ58"/>
      <c r="QDA58"/>
      <c r="QDB58"/>
      <c r="QDC58"/>
      <c r="QDD58"/>
      <c r="QDE58"/>
      <c r="QDF58"/>
      <c r="QDG58"/>
      <c r="QDH58"/>
      <c r="QDI58"/>
      <c r="QDJ58"/>
      <c r="QDK58"/>
      <c r="QDL58"/>
      <c r="QDM58"/>
      <c r="QDN58"/>
      <c r="QDO58"/>
      <c r="QDP58"/>
      <c r="QDQ58"/>
      <c r="QDR58"/>
      <c r="QDS58"/>
      <c r="QDT58"/>
      <c r="QDU58"/>
      <c r="QDV58"/>
      <c r="QDW58"/>
      <c r="QDX58"/>
      <c r="QDY58"/>
      <c r="QDZ58"/>
      <c r="QEA58"/>
      <c r="QEB58"/>
      <c r="QEC58"/>
      <c r="QED58"/>
      <c r="QEE58"/>
      <c r="QEF58"/>
      <c r="QEG58"/>
      <c r="QEH58"/>
      <c r="QEI58"/>
      <c r="QEJ58"/>
      <c r="QEK58"/>
      <c r="QEL58"/>
      <c r="QEM58"/>
      <c r="QEN58"/>
      <c r="QEO58"/>
      <c r="QEP58"/>
      <c r="QEQ58"/>
      <c r="QER58"/>
      <c r="QES58"/>
      <c r="QET58"/>
      <c r="QEU58"/>
      <c r="QEV58"/>
      <c r="QEW58"/>
      <c r="QEX58"/>
      <c r="QEY58"/>
      <c r="QEZ58"/>
      <c r="QFA58"/>
      <c r="QFB58"/>
      <c r="QFC58"/>
      <c r="QFD58"/>
      <c r="QFE58"/>
      <c r="QFF58"/>
      <c r="QFG58"/>
      <c r="QFH58"/>
      <c r="QFI58"/>
      <c r="QFJ58"/>
      <c r="QFK58"/>
      <c r="QFL58"/>
      <c r="QFM58"/>
      <c r="QFN58"/>
      <c r="QFO58"/>
      <c r="QFP58"/>
      <c r="QFQ58"/>
      <c r="QFR58"/>
      <c r="QFS58"/>
      <c r="QFT58"/>
      <c r="QFU58"/>
      <c r="QFV58"/>
      <c r="QFW58"/>
      <c r="QFX58"/>
      <c r="QFY58"/>
      <c r="QFZ58"/>
      <c r="QGA58"/>
      <c r="QGB58"/>
      <c r="QGC58"/>
      <c r="QGD58"/>
      <c r="QGE58"/>
      <c r="QGF58"/>
      <c r="QGG58"/>
      <c r="QGH58"/>
      <c r="QGI58"/>
      <c r="QGJ58"/>
      <c r="QGK58"/>
      <c r="QGL58"/>
      <c r="QGM58"/>
      <c r="QGN58"/>
      <c r="QGO58"/>
      <c r="QGP58"/>
      <c r="QGQ58"/>
      <c r="QGR58"/>
      <c r="QGS58"/>
      <c r="QGT58"/>
      <c r="QGU58"/>
      <c r="QGV58"/>
      <c r="QGW58"/>
      <c r="QGX58"/>
      <c r="QGY58"/>
      <c r="QGZ58"/>
      <c r="QHA58"/>
      <c r="QHB58"/>
      <c r="QHC58"/>
      <c r="QHD58"/>
      <c r="QHE58"/>
      <c r="QHF58"/>
      <c r="QHG58"/>
      <c r="QHH58"/>
      <c r="QHI58"/>
      <c r="QHJ58"/>
      <c r="QHK58"/>
      <c r="QHL58"/>
      <c r="QHM58"/>
      <c r="QHN58"/>
      <c r="QHO58"/>
      <c r="QHP58"/>
      <c r="QHQ58"/>
      <c r="QHR58"/>
      <c r="QHS58"/>
      <c r="QHT58"/>
      <c r="QHU58"/>
      <c r="QHV58"/>
      <c r="QHW58"/>
      <c r="QHX58"/>
      <c r="QHY58"/>
      <c r="QHZ58"/>
      <c r="QIA58"/>
      <c r="QIB58"/>
      <c r="QIC58"/>
      <c r="QID58"/>
      <c r="QIE58"/>
      <c r="QIF58"/>
      <c r="QIG58"/>
      <c r="QIH58"/>
      <c r="QII58"/>
      <c r="QIJ58"/>
      <c r="QIK58"/>
      <c r="QIL58"/>
      <c r="QIM58"/>
      <c r="QIN58"/>
      <c r="QIO58"/>
      <c r="QIP58"/>
      <c r="QIQ58"/>
      <c r="QIR58"/>
      <c r="QIS58"/>
      <c r="QIT58"/>
      <c r="QIU58"/>
      <c r="QIV58"/>
      <c r="QIW58"/>
      <c r="QIX58"/>
      <c r="QIY58"/>
      <c r="QIZ58"/>
      <c r="QJA58"/>
      <c r="QJB58"/>
      <c r="QJC58"/>
      <c r="QJD58"/>
      <c r="QJE58"/>
      <c r="QJF58"/>
      <c r="QJG58"/>
      <c r="QJH58"/>
      <c r="QJI58"/>
      <c r="QJJ58"/>
      <c r="QJK58"/>
      <c r="QJL58"/>
      <c r="QJM58"/>
      <c r="QJN58"/>
      <c r="QJO58"/>
      <c r="QJP58"/>
      <c r="QJQ58"/>
      <c r="QJR58"/>
      <c r="QJS58"/>
      <c r="QJT58"/>
      <c r="QJU58"/>
      <c r="QJV58"/>
      <c r="QJW58"/>
      <c r="QJX58"/>
      <c r="QJY58"/>
      <c r="QJZ58"/>
      <c r="QKA58"/>
      <c r="QKB58"/>
      <c r="QKC58"/>
      <c r="QKD58"/>
      <c r="QKE58"/>
      <c r="QKF58"/>
      <c r="QKG58"/>
      <c r="QKH58"/>
      <c r="QKI58"/>
      <c r="QKJ58"/>
      <c r="QKK58"/>
      <c r="QKL58"/>
      <c r="QKM58"/>
      <c r="QKN58"/>
      <c r="QKO58"/>
      <c r="QKP58"/>
      <c r="QKQ58"/>
      <c r="QKR58"/>
      <c r="QKS58"/>
      <c r="QKT58"/>
      <c r="QKU58"/>
      <c r="QKV58"/>
      <c r="QKW58"/>
      <c r="QKX58"/>
      <c r="QKY58"/>
      <c r="QKZ58"/>
      <c r="QLA58"/>
      <c r="QLB58"/>
      <c r="QLC58"/>
      <c r="QLD58"/>
      <c r="QLE58"/>
      <c r="QLF58"/>
      <c r="QLG58"/>
      <c r="QLH58"/>
      <c r="QLI58"/>
      <c r="QLJ58"/>
      <c r="QLK58"/>
      <c r="QLL58"/>
      <c r="QLM58"/>
      <c r="QLN58"/>
      <c r="QLO58"/>
      <c r="QLP58"/>
      <c r="QLQ58"/>
      <c r="QLR58"/>
      <c r="QLS58"/>
      <c r="QLT58"/>
      <c r="QLU58"/>
      <c r="QLV58"/>
      <c r="QLW58"/>
      <c r="QLX58"/>
      <c r="QLY58"/>
      <c r="QLZ58"/>
      <c r="QMA58"/>
      <c r="QMB58"/>
      <c r="QMC58"/>
      <c r="QMD58"/>
      <c r="QME58"/>
      <c r="QMF58"/>
      <c r="QMG58"/>
      <c r="QMH58"/>
      <c r="QMI58"/>
      <c r="QMJ58"/>
      <c r="QMK58"/>
      <c r="QML58"/>
      <c r="QMM58"/>
      <c r="QMN58"/>
      <c r="QMO58"/>
      <c r="QMP58"/>
      <c r="QMQ58"/>
      <c r="QMR58"/>
      <c r="QMS58"/>
      <c r="QMT58"/>
      <c r="QMU58"/>
      <c r="QMV58"/>
      <c r="QMW58"/>
      <c r="QMX58"/>
      <c r="QMY58"/>
      <c r="QMZ58"/>
      <c r="QNA58"/>
      <c r="QNB58"/>
      <c r="QNC58"/>
      <c r="QND58"/>
      <c r="QNE58"/>
      <c r="QNF58"/>
      <c r="QNG58"/>
      <c r="QNH58"/>
      <c r="QNI58"/>
      <c r="QNJ58"/>
      <c r="QNK58"/>
      <c r="QNL58"/>
      <c r="QNM58"/>
      <c r="QNN58"/>
      <c r="QNO58"/>
      <c r="QNP58"/>
      <c r="QNQ58"/>
      <c r="QNR58"/>
      <c r="QNS58"/>
      <c r="QNT58"/>
      <c r="QNU58"/>
      <c r="QNV58"/>
      <c r="QNW58"/>
      <c r="QNX58"/>
      <c r="QNY58"/>
      <c r="QNZ58"/>
      <c r="QOA58"/>
      <c r="QOB58"/>
      <c r="QOC58"/>
      <c r="QOD58"/>
      <c r="QOE58"/>
      <c r="QOF58"/>
      <c r="QOG58"/>
      <c r="QOH58"/>
      <c r="QOI58"/>
      <c r="QOJ58"/>
      <c r="QOK58"/>
      <c r="QOL58"/>
      <c r="QOM58"/>
      <c r="QON58"/>
      <c r="QOO58"/>
      <c r="QOP58"/>
      <c r="QOQ58"/>
      <c r="QOR58"/>
      <c r="QOS58"/>
      <c r="QOT58"/>
      <c r="QOU58"/>
      <c r="QOV58"/>
      <c r="QOW58"/>
      <c r="QOX58"/>
      <c r="QOY58"/>
      <c r="QOZ58"/>
      <c r="QPA58"/>
      <c r="QPB58"/>
      <c r="QPC58"/>
      <c r="QPD58"/>
      <c r="QPE58"/>
      <c r="QPF58"/>
      <c r="QPG58"/>
      <c r="QPH58"/>
      <c r="QPI58"/>
      <c r="QPJ58"/>
      <c r="QPK58"/>
      <c r="QPL58"/>
      <c r="QPM58"/>
      <c r="QPN58"/>
      <c r="QPO58"/>
      <c r="QPP58"/>
      <c r="QPQ58"/>
      <c r="QPR58"/>
      <c r="QPS58"/>
      <c r="QPT58"/>
      <c r="QPU58"/>
      <c r="QPV58"/>
      <c r="QPW58"/>
      <c r="QPX58"/>
      <c r="QPY58"/>
      <c r="QPZ58"/>
      <c r="QQA58"/>
      <c r="QQB58"/>
      <c r="QQC58"/>
      <c r="QQD58"/>
      <c r="QQE58"/>
      <c r="QQF58"/>
      <c r="QQG58"/>
      <c r="QQH58"/>
      <c r="QQI58"/>
      <c r="QQJ58"/>
      <c r="QQK58"/>
      <c r="QQL58"/>
      <c r="QQM58"/>
      <c r="QQN58"/>
      <c r="QQO58"/>
      <c r="QQP58"/>
      <c r="QQQ58"/>
      <c r="QQR58"/>
      <c r="QQS58"/>
      <c r="QQT58"/>
      <c r="QQU58"/>
      <c r="QQV58"/>
      <c r="QQW58"/>
      <c r="QQX58"/>
      <c r="QQY58"/>
      <c r="QQZ58"/>
      <c r="QRA58"/>
      <c r="QRB58"/>
      <c r="QRC58"/>
      <c r="QRD58"/>
      <c r="QRE58"/>
      <c r="QRF58"/>
      <c r="QRG58"/>
      <c r="QRH58"/>
      <c r="QRI58"/>
      <c r="QRJ58"/>
      <c r="QRK58"/>
      <c r="QRL58"/>
      <c r="QRM58"/>
      <c r="QRN58"/>
      <c r="QRO58"/>
      <c r="QRP58"/>
      <c r="QRQ58"/>
      <c r="QRR58"/>
      <c r="QRS58"/>
      <c r="QRT58"/>
      <c r="QRU58"/>
      <c r="QRV58"/>
      <c r="QRW58"/>
      <c r="QRX58"/>
      <c r="QRY58"/>
      <c r="QRZ58"/>
      <c r="QSA58"/>
      <c r="QSB58"/>
      <c r="QSC58"/>
      <c r="QSD58"/>
      <c r="QSE58"/>
      <c r="QSF58"/>
      <c r="QSG58"/>
      <c r="QSH58"/>
      <c r="QSI58"/>
      <c r="QSJ58"/>
      <c r="QSK58"/>
      <c r="QSL58"/>
      <c r="QSM58"/>
      <c r="QSN58"/>
      <c r="QSO58"/>
      <c r="QSP58"/>
      <c r="QSQ58"/>
      <c r="QSR58"/>
      <c r="QSS58"/>
      <c r="QST58"/>
      <c r="QSU58"/>
      <c r="QSV58"/>
      <c r="QSW58"/>
      <c r="QSX58"/>
      <c r="QSY58"/>
      <c r="QSZ58"/>
      <c r="QTA58"/>
      <c r="QTB58"/>
      <c r="QTC58"/>
      <c r="QTD58"/>
      <c r="QTE58"/>
      <c r="QTF58"/>
      <c r="QTG58"/>
      <c r="QTH58"/>
      <c r="QTI58"/>
      <c r="QTJ58"/>
      <c r="QTK58"/>
      <c r="QTL58"/>
      <c r="QTM58"/>
      <c r="QTN58"/>
      <c r="QTO58"/>
      <c r="QTP58"/>
      <c r="QTQ58"/>
      <c r="QTR58"/>
      <c r="QTS58"/>
      <c r="QTT58"/>
      <c r="QTU58"/>
      <c r="QTV58"/>
      <c r="QTW58"/>
      <c r="QTX58"/>
      <c r="QTY58"/>
      <c r="QTZ58"/>
      <c r="QUA58"/>
      <c r="QUB58"/>
      <c r="QUC58"/>
      <c r="QUD58"/>
      <c r="QUE58"/>
      <c r="QUF58"/>
      <c r="QUG58"/>
      <c r="QUH58"/>
      <c r="QUI58"/>
      <c r="QUJ58"/>
      <c r="QUK58"/>
      <c r="QUL58"/>
      <c r="QUM58"/>
      <c r="QUN58"/>
      <c r="QUO58"/>
      <c r="QUP58"/>
      <c r="QUQ58"/>
      <c r="QUR58"/>
      <c r="QUS58"/>
      <c r="QUT58"/>
      <c r="QUU58"/>
      <c r="QUV58"/>
      <c r="QUW58"/>
      <c r="QUX58"/>
      <c r="QUY58"/>
      <c r="QUZ58"/>
      <c r="QVA58"/>
      <c r="QVB58"/>
      <c r="QVC58"/>
      <c r="QVD58"/>
      <c r="QVE58"/>
      <c r="QVF58"/>
      <c r="QVG58"/>
      <c r="QVH58"/>
      <c r="QVI58"/>
      <c r="QVJ58"/>
      <c r="QVK58"/>
      <c r="QVL58"/>
      <c r="QVM58"/>
      <c r="QVN58"/>
      <c r="QVO58"/>
      <c r="QVP58"/>
      <c r="QVQ58"/>
      <c r="QVR58"/>
      <c r="QVS58"/>
      <c r="QVT58"/>
      <c r="QVU58"/>
      <c r="QVV58"/>
      <c r="QVW58"/>
      <c r="QVX58"/>
      <c r="QVY58"/>
      <c r="QVZ58"/>
      <c r="QWA58"/>
      <c r="QWB58"/>
      <c r="QWC58"/>
      <c r="QWD58"/>
      <c r="QWE58"/>
      <c r="QWF58"/>
      <c r="QWG58"/>
      <c r="QWH58"/>
      <c r="QWI58"/>
      <c r="QWJ58"/>
      <c r="QWK58"/>
      <c r="QWL58"/>
      <c r="QWM58"/>
      <c r="QWN58"/>
      <c r="QWO58"/>
      <c r="QWP58"/>
      <c r="QWQ58"/>
      <c r="QWR58"/>
      <c r="QWS58"/>
      <c r="QWT58"/>
      <c r="QWU58"/>
      <c r="QWV58"/>
      <c r="QWW58"/>
      <c r="QWX58"/>
      <c r="QWY58"/>
      <c r="QWZ58"/>
      <c r="QXA58"/>
      <c r="QXB58"/>
      <c r="QXC58"/>
      <c r="QXD58"/>
      <c r="QXE58"/>
      <c r="QXF58"/>
      <c r="QXG58"/>
      <c r="QXH58"/>
      <c r="QXI58"/>
      <c r="QXJ58"/>
      <c r="QXK58"/>
      <c r="QXL58"/>
      <c r="QXM58"/>
      <c r="QXN58"/>
      <c r="QXO58"/>
      <c r="QXP58"/>
      <c r="QXQ58"/>
      <c r="QXR58"/>
      <c r="QXS58"/>
      <c r="QXT58"/>
      <c r="QXU58"/>
      <c r="QXV58"/>
      <c r="QXW58"/>
      <c r="QXX58"/>
      <c r="QXY58"/>
      <c r="QXZ58"/>
      <c r="QYA58"/>
      <c r="QYB58"/>
      <c r="QYC58"/>
      <c r="QYD58"/>
      <c r="QYE58"/>
      <c r="QYF58"/>
      <c r="QYG58"/>
      <c r="QYH58"/>
      <c r="QYI58"/>
      <c r="QYJ58"/>
      <c r="QYK58"/>
      <c r="QYL58"/>
      <c r="QYM58"/>
      <c r="QYN58"/>
      <c r="QYO58"/>
      <c r="QYP58"/>
      <c r="QYQ58"/>
      <c r="QYR58"/>
      <c r="QYS58"/>
      <c r="QYT58"/>
      <c r="QYU58"/>
      <c r="QYV58"/>
      <c r="QYW58"/>
      <c r="QYX58"/>
      <c r="QYY58"/>
      <c r="QYZ58"/>
      <c r="QZA58"/>
      <c r="QZB58"/>
      <c r="QZC58"/>
      <c r="QZD58"/>
      <c r="QZE58"/>
      <c r="QZF58"/>
      <c r="QZG58"/>
      <c r="QZH58"/>
      <c r="QZI58"/>
      <c r="QZJ58"/>
      <c r="QZK58"/>
      <c r="QZL58"/>
      <c r="QZM58"/>
      <c r="QZN58"/>
      <c r="QZO58"/>
      <c r="QZP58"/>
      <c r="QZQ58"/>
      <c r="QZR58"/>
      <c r="QZS58"/>
      <c r="QZT58"/>
      <c r="QZU58"/>
      <c r="QZV58"/>
      <c r="QZW58"/>
      <c r="QZX58"/>
      <c r="QZY58"/>
      <c r="QZZ58"/>
      <c r="RAA58"/>
      <c r="RAB58"/>
      <c r="RAC58"/>
      <c r="RAD58"/>
      <c r="RAE58"/>
      <c r="RAF58"/>
      <c r="RAG58"/>
      <c r="RAH58"/>
      <c r="RAI58"/>
      <c r="RAJ58"/>
      <c r="RAK58"/>
      <c r="RAL58"/>
      <c r="RAM58"/>
      <c r="RAN58"/>
      <c r="RAO58"/>
      <c r="RAP58"/>
      <c r="RAQ58"/>
      <c r="RAR58"/>
      <c r="RAS58"/>
      <c r="RAT58"/>
      <c r="RAU58"/>
      <c r="RAV58"/>
      <c r="RAW58"/>
      <c r="RAX58"/>
      <c r="RAY58"/>
      <c r="RAZ58"/>
      <c r="RBA58"/>
      <c r="RBB58"/>
      <c r="RBC58"/>
      <c r="RBD58"/>
      <c r="RBE58"/>
      <c r="RBF58"/>
      <c r="RBG58"/>
      <c r="RBH58"/>
      <c r="RBI58"/>
      <c r="RBJ58"/>
      <c r="RBK58"/>
      <c r="RBL58"/>
      <c r="RBM58"/>
      <c r="RBN58"/>
      <c r="RBO58"/>
      <c r="RBP58"/>
      <c r="RBQ58"/>
      <c r="RBR58"/>
      <c r="RBS58"/>
      <c r="RBT58"/>
      <c r="RBU58"/>
      <c r="RBV58"/>
      <c r="RBW58"/>
      <c r="RBX58"/>
      <c r="RBY58"/>
      <c r="RBZ58"/>
      <c r="RCA58"/>
      <c r="RCB58"/>
      <c r="RCC58"/>
      <c r="RCD58"/>
      <c r="RCE58"/>
      <c r="RCF58"/>
      <c r="RCG58"/>
      <c r="RCH58"/>
      <c r="RCI58"/>
      <c r="RCJ58"/>
      <c r="RCK58"/>
      <c r="RCL58"/>
      <c r="RCM58"/>
      <c r="RCN58"/>
      <c r="RCO58"/>
      <c r="RCP58"/>
      <c r="RCQ58"/>
      <c r="RCR58"/>
      <c r="RCS58"/>
      <c r="RCT58"/>
      <c r="RCU58"/>
      <c r="RCV58"/>
      <c r="RCW58"/>
      <c r="RCX58"/>
      <c r="RCY58"/>
      <c r="RCZ58"/>
      <c r="RDA58"/>
      <c r="RDB58"/>
      <c r="RDC58"/>
      <c r="RDD58"/>
      <c r="RDE58"/>
      <c r="RDF58"/>
      <c r="RDG58"/>
      <c r="RDH58"/>
      <c r="RDI58"/>
      <c r="RDJ58"/>
      <c r="RDK58"/>
      <c r="RDL58"/>
      <c r="RDM58"/>
      <c r="RDN58"/>
      <c r="RDO58"/>
      <c r="RDP58"/>
      <c r="RDQ58"/>
      <c r="RDR58"/>
      <c r="RDS58"/>
      <c r="RDT58"/>
      <c r="RDU58"/>
      <c r="RDV58"/>
      <c r="RDW58"/>
      <c r="RDX58"/>
      <c r="RDY58"/>
      <c r="RDZ58"/>
      <c r="REA58"/>
      <c r="REB58"/>
      <c r="REC58"/>
      <c r="RED58"/>
      <c r="REE58"/>
      <c r="REF58"/>
      <c r="REG58"/>
      <c r="REH58"/>
      <c r="REI58"/>
      <c r="REJ58"/>
      <c r="REK58"/>
      <c r="REL58"/>
      <c r="REM58"/>
      <c r="REN58"/>
      <c r="REO58"/>
      <c r="REP58"/>
      <c r="REQ58"/>
      <c r="RER58"/>
      <c r="RES58"/>
      <c r="RET58"/>
      <c r="REU58"/>
      <c r="REV58"/>
      <c r="REW58"/>
      <c r="REX58"/>
      <c r="REY58"/>
      <c r="REZ58"/>
      <c r="RFA58"/>
      <c r="RFB58"/>
      <c r="RFC58"/>
      <c r="RFD58"/>
      <c r="RFE58"/>
      <c r="RFF58"/>
      <c r="RFG58"/>
      <c r="RFH58"/>
      <c r="RFI58"/>
      <c r="RFJ58"/>
      <c r="RFK58"/>
      <c r="RFL58"/>
      <c r="RFM58"/>
      <c r="RFN58"/>
      <c r="RFO58"/>
      <c r="RFP58"/>
      <c r="RFQ58"/>
      <c r="RFR58"/>
      <c r="RFS58"/>
      <c r="RFT58"/>
      <c r="RFU58"/>
      <c r="RFV58"/>
      <c r="RFW58"/>
      <c r="RFX58"/>
      <c r="RFY58"/>
      <c r="RFZ58"/>
      <c r="RGA58"/>
      <c r="RGB58"/>
      <c r="RGC58"/>
      <c r="RGD58"/>
      <c r="RGE58"/>
      <c r="RGF58"/>
      <c r="RGG58"/>
      <c r="RGH58"/>
      <c r="RGI58"/>
      <c r="RGJ58"/>
      <c r="RGK58"/>
      <c r="RGL58"/>
      <c r="RGM58"/>
      <c r="RGN58"/>
      <c r="RGO58"/>
      <c r="RGP58"/>
      <c r="RGQ58"/>
      <c r="RGR58"/>
      <c r="RGS58"/>
      <c r="RGT58"/>
      <c r="RGU58"/>
      <c r="RGV58"/>
      <c r="RGW58"/>
      <c r="RGX58"/>
      <c r="RGY58"/>
      <c r="RGZ58"/>
      <c r="RHA58"/>
      <c r="RHB58"/>
      <c r="RHC58"/>
      <c r="RHD58"/>
      <c r="RHE58"/>
      <c r="RHF58"/>
      <c r="RHG58"/>
      <c r="RHH58"/>
      <c r="RHI58"/>
      <c r="RHJ58"/>
      <c r="RHK58"/>
      <c r="RHL58"/>
      <c r="RHM58"/>
      <c r="RHN58"/>
      <c r="RHO58"/>
      <c r="RHP58"/>
      <c r="RHQ58"/>
      <c r="RHR58"/>
      <c r="RHS58"/>
      <c r="RHT58"/>
      <c r="RHU58"/>
      <c r="RHV58"/>
      <c r="RHW58"/>
      <c r="RHX58"/>
      <c r="RHY58"/>
      <c r="RHZ58"/>
      <c r="RIA58"/>
      <c r="RIB58"/>
      <c r="RIC58"/>
      <c r="RID58"/>
      <c r="RIE58"/>
      <c r="RIF58"/>
      <c r="RIG58"/>
      <c r="RIH58"/>
      <c r="RII58"/>
      <c r="RIJ58"/>
      <c r="RIK58"/>
      <c r="RIL58"/>
      <c r="RIM58"/>
      <c r="RIN58"/>
      <c r="RIO58"/>
      <c r="RIP58"/>
      <c r="RIQ58"/>
      <c r="RIR58"/>
      <c r="RIS58"/>
      <c r="RIT58"/>
      <c r="RIU58"/>
      <c r="RIV58"/>
      <c r="RIW58"/>
      <c r="RIX58"/>
      <c r="RIY58"/>
      <c r="RIZ58"/>
      <c r="RJA58"/>
      <c r="RJB58"/>
      <c r="RJC58"/>
      <c r="RJD58"/>
      <c r="RJE58"/>
      <c r="RJF58"/>
      <c r="RJG58"/>
      <c r="RJH58"/>
      <c r="RJI58"/>
      <c r="RJJ58"/>
      <c r="RJK58"/>
      <c r="RJL58"/>
      <c r="RJM58"/>
      <c r="RJN58"/>
      <c r="RJO58"/>
      <c r="RJP58"/>
      <c r="RJQ58"/>
      <c r="RJR58"/>
      <c r="RJS58"/>
      <c r="RJT58"/>
      <c r="RJU58"/>
      <c r="RJV58"/>
      <c r="RJW58"/>
      <c r="RJX58"/>
      <c r="RJY58"/>
      <c r="RJZ58"/>
      <c r="RKA58"/>
      <c r="RKB58"/>
      <c r="RKC58"/>
      <c r="RKD58"/>
      <c r="RKE58"/>
      <c r="RKF58"/>
      <c r="RKG58"/>
      <c r="RKH58"/>
      <c r="RKI58"/>
      <c r="RKJ58"/>
      <c r="RKK58"/>
      <c r="RKL58"/>
      <c r="RKM58"/>
      <c r="RKN58"/>
      <c r="RKO58"/>
      <c r="RKP58"/>
      <c r="RKQ58"/>
      <c r="RKR58"/>
      <c r="RKS58"/>
      <c r="RKT58"/>
      <c r="RKU58"/>
      <c r="RKV58"/>
      <c r="RKW58"/>
      <c r="RKX58"/>
      <c r="RKY58"/>
      <c r="RKZ58"/>
      <c r="RLA58"/>
      <c r="RLB58"/>
      <c r="RLC58"/>
      <c r="RLD58"/>
      <c r="RLE58"/>
      <c r="RLF58"/>
      <c r="RLG58"/>
      <c r="RLH58"/>
      <c r="RLI58"/>
      <c r="RLJ58"/>
      <c r="RLK58"/>
      <c r="RLL58"/>
      <c r="RLM58"/>
      <c r="RLN58"/>
      <c r="RLO58"/>
      <c r="RLP58"/>
      <c r="RLQ58"/>
      <c r="RLR58"/>
      <c r="RLS58"/>
      <c r="RLT58"/>
      <c r="RLU58"/>
      <c r="RLV58"/>
      <c r="RLW58"/>
      <c r="RLX58"/>
      <c r="RLY58"/>
      <c r="RLZ58"/>
      <c r="RMA58"/>
      <c r="RMB58"/>
      <c r="RMC58"/>
      <c r="RMD58"/>
      <c r="RME58"/>
      <c r="RMF58"/>
      <c r="RMG58"/>
      <c r="RMH58"/>
      <c r="RMI58"/>
      <c r="RMJ58"/>
      <c r="RMK58"/>
      <c r="RML58"/>
      <c r="RMM58"/>
      <c r="RMN58"/>
      <c r="RMO58"/>
      <c r="RMP58"/>
      <c r="RMQ58"/>
      <c r="RMR58"/>
      <c r="RMS58"/>
      <c r="RMT58"/>
      <c r="RMU58"/>
      <c r="RMV58"/>
      <c r="RMW58"/>
      <c r="RMX58"/>
      <c r="RMY58"/>
      <c r="RMZ58"/>
      <c r="RNA58"/>
      <c r="RNB58"/>
      <c r="RNC58"/>
      <c r="RND58"/>
      <c r="RNE58"/>
      <c r="RNF58"/>
      <c r="RNG58"/>
      <c r="RNH58"/>
      <c r="RNI58"/>
      <c r="RNJ58"/>
      <c r="RNK58"/>
      <c r="RNL58"/>
      <c r="RNM58"/>
      <c r="RNN58"/>
      <c r="RNO58"/>
      <c r="RNP58"/>
      <c r="RNQ58"/>
      <c r="RNR58"/>
      <c r="RNS58"/>
      <c r="RNT58"/>
      <c r="RNU58"/>
      <c r="RNV58"/>
      <c r="RNW58"/>
      <c r="RNX58"/>
      <c r="RNY58"/>
      <c r="RNZ58"/>
      <c r="ROA58"/>
      <c r="ROB58"/>
      <c r="ROC58"/>
      <c r="ROD58"/>
      <c r="ROE58"/>
      <c r="ROF58"/>
      <c r="ROG58"/>
      <c r="ROH58"/>
      <c r="ROI58"/>
      <c r="ROJ58"/>
      <c r="ROK58"/>
      <c r="ROL58"/>
      <c r="ROM58"/>
      <c r="RON58"/>
      <c r="ROO58"/>
      <c r="ROP58"/>
      <c r="ROQ58"/>
      <c r="ROR58"/>
      <c r="ROS58"/>
      <c r="ROT58"/>
      <c r="ROU58"/>
      <c r="ROV58"/>
      <c r="ROW58"/>
      <c r="ROX58"/>
      <c r="ROY58"/>
      <c r="ROZ58"/>
      <c r="RPA58"/>
      <c r="RPB58"/>
      <c r="RPC58"/>
      <c r="RPD58"/>
      <c r="RPE58"/>
      <c r="RPF58"/>
      <c r="RPG58"/>
      <c r="RPH58"/>
      <c r="RPI58"/>
      <c r="RPJ58"/>
      <c r="RPK58"/>
      <c r="RPL58"/>
      <c r="RPM58"/>
      <c r="RPN58"/>
      <c r="RPO58"/>
      <c r="RPP58"/>
      <c r="RPQ58"/>
      <c r="RPR58"/>
      <c r="RPS58"/>
      <c r="RPT58"/>
      <c r="RPU58"/>
      <c r="RPV58"/>
      <c r="RPW58"/>
      <c r="RPX58"/>
      <c r="RPY58"/>
      <c r="RPZ58"/>
      <c r="RQA58"/>
      <c r="RQB58"/>
      <c r="RQC58"/>
      <c r="RQD58"/>
      <c r="RQE58"/>
      <c r="RQF58"/>
      <c r="RQG58"/>
      <c r="RQH58"/>
      <c r="RQI58"/>
      <c r="RQJ58"/>
      <c r="RQK58"/>
      <c r="RQL58"/>
      <c r="RQM58"/>
      <c r="RQN58"/>
      <c r="RQO58"/>
      <c r="RQP58"/>
      <c r="RQQ58"/>
      <c r="RQR58"/>
      <c r="RQS58"/>
      <c r="RQT58"/>
      <c r="RQU58"/>
      <c r="RQV58"/>
      <c r="RQW58"/>
      <c r="RQX58"/>
      <c r="RQY58"/>
      <c r="RQZ58"/>
      <c r="RRA58"/>
      <c r="RRB58"/>
      <c r="RRC58"/>
      <c r="RRD58"/>
      <c r="RRE58"/>
      <c r="RRF58"/>
      <c r="RRG58"/>
      <c r="RRH58"/>
      <c r="RRI58"/>
      <c r="RRJ58"/>
      <c r="RRK58"/>
      <c r="RRL58"/>
      <c r="RRM58"/>
      <c r="RRN58"/>
      <c r="RRO58"/>
      <c r="RRP58"/>
      <c r="RRQ58"/>
      <c r="RRR58"/>
      <c r="RRS58"/>
      <c r="RRT58"/>
      <c r="RRU58"/>
      <c r="RRV58"/>
      <c r="RRW58"/>
      <c r="RRX58"/>
      <c r="RRY58"/>
      <c r="RRZ58"/>
      <c r="RSA58"/>
      <c r="RSB58"/>
      <c r="RSC58"/>
      <c r="RSD58"/>
      <c r="RSE58"/>
      <c r="RSF58"/>
      <c r="RSG58"/>
      <c r="RSH58"/>
      <c r="RSI58"/>
      <c r="RSJ58"/>
      <c r="RSK58"/>
      <c r="RSL58"/>
      <c r="RSM58"/>
      <c r="RSN58"/>
      <c r="RSO58"/>
      <c r="RSP58"/>
      <c r="RSQ58"/>
      <c r="RSR58"/>
      <c r="RSS58"/>
      <c r="RST58"/>
      <c r="RSU58"/>
      <c r="RSV58"/>
      <c r="RSW58"/>
      <c r="RSX58"/>
      <c r="RSY58"/>
      <c r="RSZ58"/>
      <c r="RTA58"/>
      <c r="RTB58"/>
      <c r="RTC58"/>
      <c r="RTD58"/>
      <c r="RTE58"/>
      <c r="RTF58"/>
      <c r="RTG58"/>
      <c r="RTH58"/>
      <c r="RTI58"/>
      <c r="RTJ58"/>
      <c r="RTK58"/>
      <c r="RTL58"/>
      <c r="RTM58"/>
      <c r="RTN58"/>
      <c r="RTO58"/>
      <c r="RTP58"/>
      <c r="RTQ58"/>
      <c r="RTR58"/>
      <c r="RTS58"/>
      <c r="RTT58"/>
      <c r="RTU58"/>
      <c r="RTV58"/>
      <c r="RTW58"/>
      <c r="RTX58"/>
      <c r="RTY58"/>
      <c r="RTZ58"/>
      <c r="RUA58"/>
      <c r="RUB58"/>
      <c r="RUC58"/>
      <c r="RUD58"/>
      <c r="RUE58"/>
      <c r="RUF58"/>
      <c r="RUG58"/>
      <c r="RUH58"/>
      <c r="RUI58"/>
      <c r="RUJ58"/>
      <c r="RUK58"/>
      <c r="RUL58"/>
      <c r="RUM58"/>
      <c r="RUN58"/>
      <c r="RUO58"/>
      <c r="RUP58"/>
      <c r="RUQ58"/>
      <c r="RUR58"/>
      <c r="RUS58"/>
      <c r="RUT58"/>
      <c r="RUU58"/>
      <c r="RUV58"/>
      <c r="RUW58"/>
      <c r="RUX58"/>
      <c r="RUY58"/>
      <c r="RUZ58"/>
      <c r="RVA58"/>
      <c r="RVB58"/>
      <c r="RVC58"/>
      <c r="RVD58"/>
      <c r="RVE58"/>
      <c r="RVF58"/>
      <c r="RVG58"/>
      <c r="RVH58"/>
      <c r="RVI58"/>
      <c r="RVJ58"/>
      <c r="RVK58"/>
      <c r="RVL58"/>
      <c r="RVM58"/>
      <c r="RVN58"/>
      <c r="RVO58"/>
      <c r="RVP58"/>
      <c r="RVQ58"/>
      <c r="RVR58"/>
      <c r="RVS58"/>
      <c r="RVT58"/>
      <c r="RVU58"/>
      <c r="RVV58"/>
      <c r="RVW58"/>
      <c r="RVX58"/>
      <c r="RVY58"/>
      <c r="RVZ58"/>
      <c r="RWA58"/>
      <c r="RWB58"/>
      <c r="RWC58"/>
      <c r="RWD58"/>
      <c r="RWE58"/>
      <c r="RWF58"/>
      <c r="RWG58"/>
      <c r="RWH58"/>
      <c r="RWI58"/>
      <c r="RWJ58"/>
      <c r="RWK58"/>
      <c r="RWL58"/>
      <c r="RWM58"/>
      <c r="RWN58"/>
      <c r="RWO58"/>
      <c r="RWP58"/>
      <c r="RWQ58"/>
      <c r="RWR58"/>
      <c r="RWS58"/>
      <c r="RWT58"/>
      <c r="RWU58"/>
      <c r="RWV58"/>
      <c r="RWW58"/>
      <c r="RWX58"/>
      <c r="RWY58"/>
      <c r="RWZ58"/>
      <c r="RXA58"/>
      <c r="RXB58"/>
      <c r="RXC58"/>
      <c r="RXD58"/>
      <c r="RXE58"/>
      <c r="RXF58"/>
      <c r="RXG58"/>
      <c r="RXH58"/>
      <c r="RXI58"/>
      <c r="RXJ58"/>
      <c r="RXK58"/>
      <c r="RXL58"/>
      <c r="RXM58"/>
      <c r="RXN58"/>
      <c r="RXO58"/>
      <c r="RXP58"/>
      <c r="RXQ58"/>
      <c r="RXR58"/>
      <c r="RXS58"/>
      <c r="RXT58"/>
      <c r="RXU58"/>
      <c r="RXV58"/>
      <c r="RXW58"/>
      <c r="RXX58"/>
      <c r="RXY58"/>
      <c r="RXZ58"/>
      <c r="RYA58"/>
      <c r="RYB58"/>
      <c r="RYC58"/>
      <c r="RYD58"/>
      <c r="RYE58"/>
      <c r="RYF58"/>
      <c r="RYG58"/>
      <c r="RYH58"/>
      <c r="RYI58"/>
      <c r="RYJ58"/>
      <c r="RYK58"/>
      <c r="RYL58"/>
      <c r="RYM58"/>
      <c r="RYN58"/>
      <c r="RYO58"/>
      <c r="RYP58"/>
      <c r="RYQ58"/>
      <c r="RYR58"/>
      <c r="RYS58"/>
      <c r="RYT58"/>
      <c r="RYU58"/>
      <c r="RYV58"/>
      <c r="RYW58"/>
      <c r="RYX58"/>
      <c r="RYY58"/>
      <c r="RYZ58"/>
      <c r="RZA58"/>
      <c r="RZB58"/>
      <c r="RZC58"/>
      <c r="RZD58"/>
      <c r="RZE58"/>
      <c r="RZF58"/>
      <c r="RZG58"/>
      <c r="RZH58"/>
      <c r="RZI58"/>
      <c r="RZJ58"/>
      <c r="RZK58"/>
      <c r="RZL58"/>
      <c r="RZM58"/>
      <c r="RZN58"/>
      <c r="RZO58"/>
      <c r="RZP58"/>
      <c r="RZQ58"/>
      <c r="RZR58"/>
      <c r="RZS58"/>
      <c r="RZT58"/>
      <c r="RZU58"/>
      <c r="RZV58"/>
      <c r="RZW58"/>
      <c r="RZX58"/>
      <c r="RZY58"/>
      <c r="RZZ58"/>
      <c r="SAA58"/>
      <c r="SAB58"/>
      <c r="SAC58"/>
      <c r="SAD58"/>
      <c r="SAE58"/>
      <c r="SAF58"/>
      <c r="SAG58"/>
      <c r="SAH58"/>
      <c r="SAI58"/>
      <c r="SAJ58"/>
      <c r="SAK58"/>
      <c r="SAL58"/>
      <c r="SAM58"/>
      <c r="SAN58"/>
      <c r="SAO58"/>
      <c r="SAP58"/>
      <c r="SAQ58"/>
      <c r="SAR58"/>
      <c r="SAS58"/>
      <c r="SAT58"/>
      <c r="SAU58"/>
      <c r="SAV58"/>
      <c r="SAW58"/>
      <c r="SAX58"/>
      <c r="SAY58"/>
      <c r="SAZ58"/>
      <c r="SBA58"/>
      <c r="SBB58"/>
      <c r="SBC58"/>
      <c r="SBD58"/>
      <c r="SBE58"/>
      <c r="SBF58"/>
      <c r="SBG58"/>
      <c r="SBH58"/>
      <c r="SBI58"/>
      <c r="SBJ58"/>
      <c r="SBK58"/>
      <c r="SBL58"/>
      <c r="SBM58"/>
      <c r="SBN58"/>
      <c r="SBO58"/>
      <c r="SBP58"/>
      <c r="SBQ58"/>
      <c r="SBR58"/>
      <c r="SBS58"/>
      <c r="SBT58"/>
      <c r="SBU58"/>
      <c r="SBV58"/>
      <c r="SBW58"/>
      <c r="SBX58"/>
      <c r="SBY58"/>
      <c r="SBZ58"/>
      <c r="SCA58"/>
      <c r="SCB58"/>
      <c r="SCC58"/>
      <c r="SCD58"/>
      <c r="SCE58"/>
      <c r="SCF58"/>
      <c r="SCG58"/>
      <c r="SCH58"/>
      <c r="SCI58"/>
      <c r="SCJ58"/>
      <c r="SCK58"/>
      <c r="SCL58"/>
      <c r="SCM58"/>
      <c r="SCN58"/>
      <c r="SCO58"/>
      <c r="SCP58"/>
      <c r="SCQ58"/>
      <c r="SCR58"/>
      <c r="SCS58"/>
      <c r="SCT58"/>
      <c r="SCU58"/>
      <c r="SCV58"/>
      <c r="SCW58"/>
      <c r="SCX58"/>
      <c r="SCY58"/>
      <c r="SCZ58"/>
      <c r="SDA58"/>
      <c r="SDB58"/>
      <c r="SDC58"/>
      <c r="SDD58"/>
      <c r="SDE58"/>
      <c r="SDF58"/>
      <c r="SDG58"/>
      <c r="SDH58"/>
      <c r="SDI58"/>
      <c r="SDJ58"/>
      <c r="SDK58"/>
      <c r="SDL58"/>
      <c r="SDM58"/>
      <c r="SDN58"/>
      <c r="SDO58"/>
      <c r="SDP58"/>
      <c r="SDQ58"/>
      <c r="SDR58"/>
      <c r="SDS58"/>
      <c r="SDT58"/>
      <c r="SDU58"/>
      <c r="SDV58"/>
      <c r="SDW58"/>
      <c r="SDX58"/>
      <c r="SDY58"/>
      <c r="SDZ58"/>
      <c r="SEA58"/>
      <c r="SEB58"/>
      <c r="SEC58"/>
      <c r="SED58"/>
      <c r="SEE58"/>
      <c r="SEF58"/>
      <c r="SEG58"/>
      <c r="SEH58"/>
      <c r="SEI58"/>
      <c r="SEJ58"/>
      <c r="SEK58"/>
      <c r="SEL58"/>
      <c r="SEM58"/>
      <c r="SEN58"/>
      <c r="SEO58"/>
      <c r="SEP58"/>
      <c r="SEQ58"/>
      <c r="SER58"/>
      <c r="SES58"/>
      <c r="SET58"/>
      <c r="SEU58"/>
      <c r="SEV58"/>
      <c r="SEW58"/>
      <c r="SEX58"/>
      <c r="SEY58"/>
      <c r="SEZ58"/>
      <c r="SFA58"/>
      <c r="SFB58"/>
      <c r="SFC58"/>
      <c r="SFD58"/>
      <c r="SFE58"/>
      <c r="SFF58"/>
      <c r="SFG58"/>
      <c r="SFH58"/>
      <c r="SFI58"/>
      <c r="SFJ58"/>
      <c r="SFK58"/>
      <c r="SFL58"/>
      <c r="SFM58"/>
      <c r="SFN58"/>
      <c r="SFO58"/>
      <c r="SFP58"/>
      <c r="SFQ58"/>
      <c r="SFR58"/>
      <c r="SFS58"/>
      <c r="SFT58"/>
      <c r="SFU58"/>
      <c r="SFV58"/>
      <c r="SFW58"/>
      <c r="SFX58"/>
      <c r="SFY58"/>
      <c r="SFZ58"/>
      <c r="SGA58"/>
      <c r="SGB58"/>
      <c r="SGC58"/>
      <c r="SGD58"/>
      <c r="SGE58"/>
      <c r="SGF58"/>
      <c r="SGG58"/>
      <c r="SGH58"/>
      <c r="SGI58"/>
      <c r="SGJ58"/>
      <c r="SGK58"/>
      <c r="SGL58"/>
      <c r="SGM58"/>
      <c r="SGN58"/>
      <c r="SGO58"/>
      <c r="SGP58"/>
      <c r="SGQ58"/>
      <c r="SGR58"/>
      <c r="SGS58"/>
      <c r="SGT58"/>
      <c r="SGU58"/>
      <c r="SGV58"/>
      <c r="SGW58"/>
      <c r="SGX58"/>
      <c r="SGY58"/>
      <c r="SGZ58"/>
      <c r="SHA58"/>
      <c r="SHB58"/>
      <c r="SHC58"/>
      <c r="SHD58"/>
      <c r="SHE58"/>
      <c r="SHF58"/>
      <c r="SHG58"/>
      <c r="SHH58"/>
      <c r="SHI58"/>
      <c r="SHJ58"/>
      <c r="SHK58"/>
      <c r="SHL58"/>
      <c r="SHM58"/>
      <c r="SHN58"/>
      <c r="SHO58"/>
      <c r="SHP58"/>
      <c r="SHQ58"/>
      <c r="SHR58"/>
      <c r="SHS58"/>
      <c r="SHT58"/>
      <c r="SHU58"/>
      <c r="SHV58"/>
      <c r="SHW58"/>
      <c r="SHX58"/>
      <c r="SHY58"/>
      <c r="SHZ58"/>
      <c r="SIA58"/>
      <c r="SIB58"/>
      <c r="SIC58"/>
      <c r="SID58"/>
      <c r="SIE58"/>
      <c r="SIF58"/>
      <c r="SIG58"/>
      <c r="SIH58"/>
      <c r="SII58"/>
      <c r="SIJ58"/>
      <c r="SIK58"/>
      <c r="SIL58"/>
      <c r="SIM58"/>
      <c r="SIN58"/>
      <c r="SIO58"/>
      <c r="SIP58"/>
      <c r="SIQ58"/>
      <c r="SIR58"/>
      <c r="SIS58"/>
      <c r="SIT58"/>
      <c r="SIU58"/>
      <c r="SIV58"/>
      <c r="SIW58"/>
      <c r="SIX58"/>
      <c r="SIY58"/>
      <c r="SIZ58"/>
      <c r="SJA58"/>
      <c r="SJB58"/>
      <c r="SJC58"/>
      <c r="SJD58"/>
      <c r="SJE58"/>
      <c r="SJF58"/>
      <c r="SJG58"/>
      <c r="SJH58"/>
      <c r="SJI58"/>
      <c r="SJJ58"/>
      <c r="SJK58"/>
      <c r="SJL58"/>
      <c r="SJM58"/>
      <c r="SJN58"/>
      <c r="SJO58"/>
      <c r="SJP58"/>
      <c r="SJQ58"/>
      <c r="SJR58"/>
      <c r="SJS58"/>
      <c r="SJT58"/>
      <c r="SJU58"/>
      <c r="SJV58"/>
      <c r="SJW58"/>
      <c r="SJX58"/>
      <c r="SJY58"/>
      <c r="SJZ58"/>
      <c r="SKA58"/>
      <c r="SKB58"/>
      <c r="SKC58"/>
      <c r="SKD58"/>
      <c r="SKE58"/>
      <c r="SKF58"/>
      <c r="SKG58"/>
      <c r="SKH58"/>
      <c r="SKI58"/>
      <c r="SKJ58"/>
      <c r="SKK58"/>
      <c r="SKL58"/>
      <c r="SKM58"/>
      <c r="SKN58"/>
      <c r="SKO58"/>
      <c r="SKP58"/>
      <c r="SKQ58"/>
      <c r="SKR58"/>
      <c r="SKS58"/>
      <c r="SKT58"/>
      <c r="SKU58"/>
      <c r="SKV58"/>
      <c r="SKW58"/>
      <c r="SKX58"/>
      <c r="SKY58"/>
      <c r="SKZ58"/>
      <c r="SLA58"/>
      <c r="SLB58"/>
      <c r="SLC58"/>
      <c r="SLD58"/>
      <c r="SLE58"/>
      <c r="SLF58"/>
      <c r="SLG58"/>
      <c r="SLH58"/>
      <c r="SLI58"/>
      <c r="SLJ58"/>
      <c r="SLK58"/>
      <c r="SLL58"/>
      <c r="SLM58"/>
      <c r="SLN58"/>
      <c r="SLO58"/>
      <c r="SLP58"/>
      <c r="SLQ58"/>
      <c r="SLR58"/>
      <c r="SLS58"/>
      <c r="SLT58"/>
      <c r="SLU58"/>
      <c r="SLV58"/>
      <c r="SLW58"/>
      <c r="SLX58"/>
      <c r="SLY58"/>
      <c r="SLZ58"/>
      <c r="SMA58"/>
      <c r="SMB58"/>
      <c r="SMC58"/>
      <c r="SMD58"/>
      <c r="SME58"/>
      <c r="SMF58"/>
      <c r="SMG58"/>
      <c r="SMH58"/>
      <c r="SMI58"/>
      <c r="SMJ58"/>
      <c r="SMK58"/>
      <c r="SML58"/>
      <c r="SMM58"/>
      <c r="SMN58"/>
      <c r="SMO58"/>
      <c r="SMP58"/>
      <c r="SMQ58"/>
      <c r="SMR58"/>
      <c r="SMS58"/>
      <c r="SMT58"/>
      <c r="SMU58"/>
      <c r="SMV58"/>
      <c r="SMW58"/>
      <c r="SMX58"/>
      <c r="SMY58"/>
      <c r="SMZ58"/>
      <c r="SNA58"/>
      <c r="SNB58"/>
      <c r="SNC58"/>
      <c r="SND58"/>
      <c r="SNE58"/>
      <c r="SNF58"/>
      <c r="SNG58"/>
      <c r="SNH58"/>
      <c r="SNI58"/>
      <c r="SNJ58"/>
      <c r="SNK58"/>
      <c r="SNL58"/>
      <c r="SNM58"/>
      <c r="SNN58"/>
      <c r="SNO58"/>
      <c r="SNP58"/>
      <c r="SNQ58"/>
      <c r="SNR58"/>
      <c r="SNS58"/>
      <c r="SNT58"/>
      <c r="SNU58"/>
      <c r="SNV58"/>
      <c r="SNW58"/>
      <c r="SNX58"/>
      <c r="SNY58"/>
      <c r="SNZ58"/>
      <c r="SOA58"/>
      <c r="SOB58"/>
      <c r="SOC58"/>
      <c r="SOD58"/>
      <c r="SOE58"/>
      <c r="SOF58"/>
      <c r="SOG58"/>
      <c r="SOH58"/>
      <c r="SOI58"/>
      <c r="SOJ58"/>
      <c r="SOK58"/>
      <c r="SOL58"/>
      <c r="SOM58"/>
      <c r="SON58"/>
      <c r="SOO58"/>
      <c r="SOP58"/>
      <c r="SOQ58"/>
      <c r="SOR58"/>
      <c r="SOS58"/>
      <c r="SOT58"/>
      <c r="SOU58"/>
      <c r="SOV58"/>
      <c r="SOW58"/>
      <c r="SOX58"/>
      <c r="SOY58"/>
      <c r="SOZ58"/>
      <c r="SPA58"/>
      <c r="SPB58"/>
      <c r="SPC58"/>
      <c r="SPD58"/>
      <c r="SPE58"/>
      <c r="SPF58"/>
      <c r="SPG58"/>
      <c r="SPH58"/>
      <c r="SPI58"/>
      <c r="SPJ58"/>
      <c r="SPK58"/>
      <c r="SPL58"/>
      <c r="SPM58"/>
      <c r="SPN58"/>
      <c r="SPO58"/>
      <c r="SPP58"/>
      <c r="SPQ58"/>
      <c r="SPR58"/>
      <c r="SPS58"/>
      <c r="SPT58"/>
      <c r="SPU58"/>
      <c r="SPV58"/>
      <c r="SPW58"/>
      <c r="SPX58"/>
      <c r="SPY58"/>
      <c r="SPZ58"/>
      <c r="SQA58"/>
      <c r="SQB58"/>
      <c r="SQC58"/>
      <c r="SQD58"/>
      <c r="SQE58"/>
      <c r="SQF58"/>
      <c r="SQG58"/>
      <c r="SQH58"/>
      <c r="SQI58"/>
      <c r="SQJ58"/>
      <c r="SQK58"/>
      <c r="SQL58"/>
      <c r="SQM58"/>
      <c r="SQN58"/>
      <c r="SQO58"/>
      <c r="SQP58"/>
      <c r="SQQ58"/>
      <c r="SQR58"/>
      <c r="SQS58"/>
      <c r="SQT58"/>
      <c r="SQU58"/>
      <c r="SQV58"/>
      <c r="SQW58"/>
      <c r="SQX58"/>
      <c r="SQY58"/>
      <c r="SQZ58"/>
      <c r="SRA58"/>
      <c r="SRB58"/>
      <c r="SRC58"/>
      <c r="SRD58"/>
      <c r="SRE58"/>
      <c r="SRF58"/>
      <c r="SRG58"/>
      <c r="SRH58"/>
      <c r="SRI58"/>
      <c r="SRJ58"/>
      <c r="SRK58"/>
      <c r="SRL58"/>
      <c r="SRM58"/>
      <c r="SRN58"/>
      <c r="SRO58"/>
      <c r="SRP58"/>
      <c r="SRQ58"/>
      <c r="SRR58"/>
      <c r="SRS58"/>
      <c r="SRT58"/>
      <c r="SRU58"/>
      <c r="SRV58"/>
      <c r="SRW58"/>
      <c r="SRX58"/>
      <c r="SRY58"/>
      <c r="SRZ58"/>
      <c r="SSA58"/>
      <c r="SSB58"/>
      <c r="SSC58"/>
      <c r="SSD58"/>
      <c r="SSE58"/>
      <c r="SSF58"/>
      <c r="SSG58"/>
      <c r="SSH58"/>
      <c r="SSI58"/>
      <c r="SSJ58"/>
      <c r="SSK58"/>
      <c r="SSL58"/>
      <c r="SSM58"/>
      <c r="SSN58"/>
      <c r="SSO58"/>
      <c r="SSP58"/>
      <c r="SSQ58"/>
      <c r="SSR58"/>
      <c r="SSS58"/>
      <c r="SST58"/>
      <c r="SSU58"/>
      <c r="SSV58"/>
      <c r="SSW58"/>
      <c r="SSX58"/>
      <c r="SSY58"/>
      <c r="SSZ58"/>
      <c r="STA58"/>
      <c r="STB58"/>
      <c r="STC58"/>
      <c r="STD58"/>
      <c r="STE58"/>
      <c r="STF58"/>
      <c r="STG58"/>
      <c r="STH58"/>
      <c r="STI58"/>
      <c r="STJ58"/>
      <c r="STK58"/>
      <c r="STL58"/>
      <c r="STM58"/>
      <c r="STN58"/>
      <c r="STO58"/>
      <c r="STP58"/>
      <c r="STQ58"/>
      <c r="STR58"/>
      <c r="STS58"/>
      <c r="STT58"/>
      <c r="STU58"/>
      <c r="STV58"/>
      <c r="STW58"/>
      <c r="STX58"/>
      <c r="STY58"/>
      <c r="STZ58"/>
      <c r="SUA58"/>
      <c r="SUB58"/>
      <c r="SUC58"/>
      <c r="SUD58"/>
      <c r="SUE58"/>
      <c r="SUF58"/>
      <c r="SUG58"/>
      <c r="SUH58"/>
      <c r="SUI58"/>
      <c r="SUJ58"/>
      <c r="SUK58"/>
      <c r="SUL58"/>
      <c r="SUM58"/>
      <c r="SUN58"/>
      <c r="SUO58"/>
      <c r="SUP58"/>
      <c r="SUQ58"/>
      <c r="SUR58"/>
      <c r="SUS58"/>
      <c r="SUT58"/>
      <c r="SUU58"/>
      <c r="SUV58"/>
      <c r="SUW58"/>
      <c r="SUX58"/>
      <c r="SUY58"/>
      <c r="SUZ58"/>
      <c r="SVA58"/>
      <c r="SVB58"/>
      <c r="SVC58"/>
      <c r="SVD58"/>
      <c r="SVE58"/>
      <c r="SVF58"/>
      <c r="SVG58"/>
      <c r="SVH58"/>
      <c r="SVI58"/>
      <c r="SVJ58"/>
      <c r="SVK58"/>
      <c r="SVL58"/>
      <c r="SVM58"/>
      <c r="SVN58"/>
      <c r="SVO58"/>
      <c r="SVP58"/>
      <c r="SVQ58"/>
      <c r="SVR58"/>
      <c r="SVS58"/>
      <c r="SVT58"/>
      <c r="SVU58"/>
      <c r="SVV58"/>
      <c r="SVW58"/>
      <c r="SVX58"/>
      <c r="SVY58"/>
      <c r="SVZ58"/>
      <c r="SWA58"/>
      <c r="SWB58"/>
      <c r="SWC58"/>
      <c r="SWD58"/>
      <c r="SWE58"/>
      <c r="SWF58"/>
      <c r="SWG58"/>
      <c r="SWH58"/>
      <c r="SWI58"/>
      <c r="SWJ58"/>
      <c r="SWK58"/>
      <c r="SWL58"/>
      <c r="SWM58"/>
      <c r="SWN58"/>
      <c r="SWO58"/>
      <c r="SWP58"/>
      <c r="SWQ58"/>
      <c r="SWR58"/>
      <c r="SWS58"/>
      <c r="SWT58"/>
      <c r="SWU58"/>
      <c r="SWV58"/>
      <c r="SWW58"/>
      <c r="SWX58"/>
      <c r="SWY58"/>
      <c r="SWZ58"/>
      <c r="SXA58"/>
      <c r="SXB58"/>
      <c r="SXC58"/>
      <c r="SXD58"/>
      <c r="SXE58"/>
      <c r="SXF58"/>
      <c r="SXG58"/>
      <c r="SXH58"/>
      <c r="SXI58"/>
      <c r="SXJ58"/>
      <c r="SXK58"/>
      <c r="SXL58"/>
      <c r="SXM58"/>
      <c r="SXN58"/>
      <c r="SXO58"/>
      <c r="SXP58"/>
      <c r="SXQ58"/>
      <c r="SXR58"/>
      <c r="SXS58"/>
      <c r="SXT58"/>
      <c r="SXU58"/>
      <c r="SXV58"/>
      <c r="SXW58"/>
      <c r="SXX58"/>
      <c r="SXY58"/>
      <c r="SXZ58"/>
      <c r="SYA58"/>
      <c r="SYB58"/>
      <c r="SYC58"/>
      <c r="SYD58"/>
      <c r="SYE58"/>
      <c r="SYF58"/>
      <c r="SYG58"/>
      <c r="SYH58"/>
      <c r="SYI58"/>
      <c r="SYJ58"/>
      <c r="SYK58"/>
      <c r="SYL58"/>
      <c r="SYM58"/>
      <c r="SYN58"/>
      <c r="SYO58"/>
      <c r="SYP58"/>
      <c r="SYQ58"/>
      <c r="SYR58"/>
      <c r="SYS58"/>
      <c r="SYT58"/>
      <c r="SYU58"/>
      <c r="SYV58"/>
      <c r="SYW58"/>
      <c r="SYX58"/>
      <c r="SYY58"/>
      <c r="SYZ58"/>
      <c r="SZA58"/>
      <c r="SZB58"/>
      <c r="SZC58"/>
      <c r="SZD58"/>
      <c r="SZE58"/>
      <c r="SZF58"/>
      <c r="SZG58"/>
      <c r="SZH58"/>
      <c r="SZI58"/>
      <c r="SZJ58"/>
      <c r="SZK58"/>
      <c r="SZL58"/>
      <c r="SZM58"/>
      <c r="SZN58"/>
      <c r="SZO58"/>
      <c r="SZP58"/>
      <c r="SZQ58"/>
      <c r="SZR58"/>
      <c r="SZS58"/>
      <c r="SZT58"/>
      <c r="SZU58"/>
      <c r="SZV58"/>
      <c r="SZW58"/>
      <c r="SZX58"/>
      <c r="SZY58"/>
      <c r="SZZ58"/>
      <c r="TAA58"/>
      <c r="TAB58"/>
      <c r="TAC58"/>
      <c r="TAD58"/>
      <c r="TAE58"/>
      <c r="TAF58"/>
      <c r="TAG58"/>
      <c r="TAH58"/>
      <c r="TAI58"/>
      <c r="TAJ58"/>
      <c r="TAK58"/>
      <c r="TAL58"/>
      <c r="TAM58"/>
      <c r="TAN58"/>
      <c r="TAO58"/>
      <c r="TAP58"/>
      <c r="TAQ58"/>
      <c r="TAR58"/>
      <c r="TAS58"/>
      <c r="TAT58"/>
      <c r="TAU58"/>
      <c r="TAV58"/>
      <c r="TAW58"/>
      <c r="TAX58"/>
      <c r="TAY58"/>
      <c r="TAZ58"/>
      <c r="TBA58"/>
      <c r="TBB58"/>
      <c r="TBC58"/>
      <c r="TBD58"/>
      <c r="TBE58"/>
      <c r="TBF58"/>
      <c r="TBG58"/>
      <c r="TBH58"/>
      <c r="TBI58"/>
      <c r="TBJ58"/>
      <c r="TBK58"/>
      <c r="TBL58"/>
      <c r="TBM58"/>
      <c r="TBN58"/>
      <c r="TBO58"/>
      <c r="TBP58"/>
      <c r="TBQ58"/>
      <c r="TBR58"/>
      <c r="TBS58"/>
      <c r="TBT58"/>
      <c r="TBU58"/>
      <c r="TBV58"/>
      <c r="TBW58"/>
      <c r="TBX58"/>
      <c r="TBY58"/>
      <c r="TBZ58"/>
      <c r="TCA58"/>
      <c r="TCB58"/>
      <c r="TCC58"/>
      <c r="TCD58"/>
      <c r="TCE58"/>
      <c r="TCF58"/>
      <c r="TCG58"/>
      <c r="TCH58"/>
      <c r="TCI58"/>
      <c r="TCJ58"/>
      <c r="TCK58"/>
      <c r="TCL58"/>
      <c r="TCM58"/>
      <c r="TCN58"/>
      <c r="TCO58"/>
      <c r="TCP58"/>
      <c r="TCQ58"/>
      <c r="TCR58"/>
      <c r="TCS58"/>
      <c r="TCT58"/>
      <c r="TCU58"/>
      <c r="TCV58"/>
      <c r="TCW58"/>
      <c r="TCX58"/>
      <c r="TCY58"/>
      <c r="TCZ58"/>
      <c r="TDA58"/>
      <c r="TDB58"/>
      <c r="TDC58"/>
      <c r="TDD58"/>
      <c r="TDE58"/>
      <c r="TDF58"/>
      <c r="TDG58"/>
      <c r="TDH58"/>
      <c r="TDI58"/>
      <c r="TDJ58"/>
      <c r="TDK58"/>
      <c r="TDL58"/>
      <c r="TDM58"/>
      <c r="TDN58"/>
      <c r="TDO58"/>
      <c r="TDP58"/>
      <c r="TDQ58"/>
      <c r="TDR58"/>
      <c r="TDS58"/>
      <c r="TDT58"/>
      <c r="TDU58"/>
      <c r="TDV58"/>
      <c r="TDW58"/>
      <c r="TDX58"/>
      <c r="TDY58"/>
      <c r="TDZ58"/>
      <c r="TEA58"/>
      <c r="TEB58"/>
      <c r="TEC58"/>
      <c r="TED58"/>
      <c r="TEE58"/>
      <c r="TEF58"/>
      <c r="TEG58"/>
      <c r="TEH58"/>
      <c r="TEI58"/>
      <c r="TEJ58"/>
      <c r="TEK58"/>
      <c r="TEL58"/>
      <c r="TEM58"/>
      <c r="TEN58"/>
      <c r="TEO58"/>
      <c r="TEP58"/>
      <c r="TEQ58"/>
      <c r="TER58"/>
      <c r="TES58"/>
      <c r="TET58"/>
      <c r="TEU58"/>
      <c r="TEV58"/>
      <c r="TEW58"/>
      <c r="TEX58"/>
      <c r="TEY58"/>
      <c r="TEZ58"/>
      <c r="TFA58"/>
      <c r="TFB58"/>
      <c r="TFC58"/>
      <c r="TFD58"/>
      <c r="TFE58"/>
      <c r="TFF58"/>
      <c r="TFG58"/>
      <c r="TFH58"/>
      <c r="TFI58"/>
      <c r="TFJ58"/>
      <c r="TFK58"/>
      <c r="TFL58"/>
      <c r="TFM58"/>
      <c r="TFN58"/>
      <c r="TFO58"/>
      <c r="TFP58"/>
      <c r="TFQ58"/>
      <c r="TFR58"/>
      <c r="TFS58"/>
      <c r="TFT58"/>
      <c r="TFU58"/>
      <c r="TFV58"/>
      <c r="TFW58"/>
      <c r="TFX58"/>
      <c r="TFY58"/>
      <c r="TFZ58"/>
      <c r="TGA58"/>
      <c r="TGB58"/>
      <c r="TGC58"/>
      <c r="TGD58"/>
      <c r="TGE58"/>
      <c r="TGF58"/>
      <c r="TGG58"/>
      <c r="TGH58"/>
      <c r="TGI58"/>
      <c r="TGJ58"/>
      <c r="TGK58"/>
      <c r="TGL58"/>
      <c r="TGM58"/>
      <c r="TGN58"/>
      <c r="TGO58"/>
      <c r="TGP58"/>
      <c r="TGQ58"/>
      <c r="TGR58"/>
      <c r="TGS58"/>
      <c r="TGT58"/>
      <c r="TGU58"/>
      <c r="TGV58"/>
      <c r="TGW58"/>
      <c r="TGX58"/>
      <c r="TGY58"/>
      <c r="TGZ58"/>
      <c r="THA58"/>
      <c r="THB58"/>
      <c r="THC58"/>
      <c r="THD58"/>
      <c r="THE58"/>
      <c r="THF58"/>
      <c r="THG58"/>
      <c r="THH58"/>
      <c r="THI58"/>
      <c r="THJ58"/>
      <c r="THK58"/>
      <c r="THL58"/>
      <c r="THM58"/>
      <c r="THN58"/>
      <c r="THO58"/>
      <c r="THP58"/>
      <c r="THQ58"/>
      <c r="THR58"/>
      <c r="THS58"/>
      <c r="THT58"/>
      <c r="THU58"/>
      <c r="THV58"/>
      <c r="THW58"/>
      <c r="THX58"/>
      <c r="THY58"/>
      <c r="THZ58"/>
      <c r="TIA58"/>
      <c r="TIB58"/>
      <c r="TIC58"/>
      <c r="TID58"/>
      <c r="TIE58"/>
      <c r="TIF58"/>
      <c r="TIG58"/>
      <c r="TIH58"/>
      <c r="TII58"/>
      <c r="TIJ58"/>
      <c r="TIK58"/>
      <c r="TIL58"/>
      <c r="TIM58"/>
      <c r="TIN58"/>
      <c r="TIO58"/>
      <c r="TIP58"/>
      <c r="TIQ58"/>
      <c r="TIR58"/>
      <c r="TIS58"/>
      <c r="TIT58"/>
      <c r="TIU58"/>
      <c r="TIV58"/>
      <c r="TIW58"/>
      <c r="TIX58"/>
      <c r="TIY58"/>
      <c r="TIZ58"/>
      <c r="TJA58"/>
      <c r="TJB58"/>
      <c r="TJC58"/>
      <c r="TJD58"/>
      <c r="TJE58"/>
      <c r="TJF58"/>
      <c r="TJG58"/>
      <c r="TJH58"/>
      <c r="TJI58"/>
      <c r="TJJ58"/>
      <c r="TJK58"/>
      <c r="TJL58"/>
      <c r="TJM58"/>
      <c r="TJN58"/>
      <c r="TJO58"/>
      <c r="TJP58"/>
      <c r="TJQ58"/>
      <c r="TJR58"/>
      <c r="TJS58"/>
      <c r="TJT58"/>
      <c r="TJU58"/>
      <c r="TJV58"/>
      <c r="TJW58"/>
      <c r="TJX58"/>
      <c r="TJY58"/>
      <c r="TJZ58"/>
      <c r="TKA58"/>
      <c r="TKB58"/>
      <c r="TKC58"/>
      <c r="TKD58"/>
      <c r="TKE58"/>
      <c r="TKF58"/>
      <c r="TKG58"/>
      <c r="TKH58"/>
      <c r="TKI58"/>
      <c r="TKJ58"/>
      <c r="TKK58"/>
      <c r="TKL58"/>
      <c r="TKM58"/>
      <c r="TKN58"/>
      <c r="TKO58"/>
      <c r="TKP58"/>
      <c r="TKQ58"/>
      <c r="TKR58"/>
      <c r="TKS58"/>
      <c r="TKT58"/>
      <c r="TKU58"/>
      <c r="TKV58"/>
      <c r="TKW58"/>
      <c r="TKX58"/>
      <c r="TKY58"/>
      <c r="TKZ58"/>
      <c r="TLA58"/>
      <c r="TLB58"/>
      <c r="TLC58"/>
      <c r="TLD58"/>
      <c r="TLE58"/>
      <c r="TLF58"/>
      <c r="TLG58"/>
      <c r="TLH58"/>
      <c r="TLI58"/>
      <c r="TLJ58"/>
      <c r="TLK58"/>
      <c r="TLL58"/>
      <c r="TLM58"/>
      <c r="TLN58"/>
      <c r="TLO58"/>
      <c r="TLP58"/>
      <c r="TLQ58"/>
      <c r="TLR58"/>
      <c r="TLS58"/>
      <c r="TLT58"/>
      <c r="TLU58"/>
      <c r="TLV58"/>
      <c r="TLW58"/>
      <c r="TLX58"/>
      <c r="TLY58"/>
      <c r="TLZ58"/>
      <c r="TMA58"/>
      <c r="TMB58"/>
      <c r="TMC58"/>
      <c r="TMD58"/>
      <c r="TME58"/>
      <c r="TMF58"/>
      <c r="TMG58"/>
      <c r="TMH58"/>
      <c r="TMI58"/>
      <c r="TMJ58"/>
      <c r="TMK58"/>
      <c r="TML58"/>
      <c r="TMM58"/>
      <c r="TMN58"/>
      <c r="TMO58"/>
      <c r="TMP58"/>
      <c r="TMQ58"/>
      <c r="TMR58"/>
      <c r="TMS58"/>
      <c r="TMT58"/>
      <c r="TMU58"/>
      <c r="TMV58"/>
      <c r="TMW58"/>
      <c r="TMX58"/>
      <c r="TMY58"/>
      <c r="TMZ58"/>
      <c r="TNA58"/>
      <c r="TNB58"/>
      <c r="TNC58"/>
      <c r="TND58"/>
      <c r="TNE58"/>
      <c r="TNF58"/>
      <c r="TNG58"/>
      <c r="TNH58"/>
      <c r="TNI58"/>
      <c r="TNJ58"/>
      <c r="TNK58"/>
      <c r="TNL58"/>
      <c r="TNM58"/>
      <c r="TNN58"/>
      <c r="TNO58"/>
      <c r="TNP58"/>
      <c r="TNQ58"/>
      <c r="TNR58"/>
      <c r="TNS58"/>
      <c r="TNT58"/>
      <c r="TNU58"/>
      <c r="TNV58"/>
      <c r="TNW58"/>
      <c r="TNX58"/>
      <c r="TNY58"/>
      <c r="TNZ58"/>
      <c r="TOA58"/>
      <c r="TOB58"/>
      <c r="TOC58"/>
      <c r="TOD58"/>
      <c r="TOE58"/>
      <c r="TOF58"/>
      <c r="TOG58"/>
      <c r="TOH58"/>
      <c r="TOI58"/>
      <c r="TOJ58"/>
      <c r="TOK58"/>
      <c r="TOL58"/>
      <c r="TOM58"/>
      <c r="TON58"/>
      <c r="TOO58"/>
      <c r="TOP58"/>
      <c r="TOQ58"/>
      <c r="TOR58"/>
      <c r="TOS58"/>
      <c r="TOT58"/>
      <c r="TOU58"/>
      <c r="TOV58"/>
      <c r="TOW58"/>
      <c r="TOX58"/>
      <c r="TOY58"/>
      <c r="TOZ58"/>
      <c r="TPA58"/>
      <c r="TPB58"/>
      <c r="TPC58"/>
      <c r="TPD58"/>
      <c r="TPE58"/>
      <c r="TPF58"/>
      <c r="TPG58"/>
      <c r="TPH58"/>
      <c r="TPI58"/>
      <c r="TPJ58"/>
      <c r="TPK58"/>
      <c r="TPL58"/>
      <c r="TPM58"/>
      <c r="TPN58"/>
      <c r="TPO58"/>
      <c r="TPP58"/>
      <c r="TPQ58"/>
      <c r="TPR58"/>
      <c r="TPS58"/>
      <c r="TPT58"/>
      <c r="TPU58"/>
      <c r="TPV58"/>
      <c r="TPW58"/>
      <c r="TPX58"/>
      <c r="TPY58"/>
      <c r="TPZ58"/>
      <c r="TQA58"/>
      <c r="TQB58"/>
      <c r="TQC58"/>
      <c r="TQD58"/>
      <c r="TQE58"/>
      <c r="TQF58"/>
      <c r="TQG58"/>
      <c r="TQH58"/>
      <c r="TQI58"/>
      <c r="TQJ58"/>
      <c r="TQK58"/>
      <c r="TQL58"/>
      <c r="TQM58"/>
      <c r="TQN58"/>
      <c r="TQO58"/>
      <c r="TQP58"/>
      <c r="TQQ58"/>
      <c r="TQR58"/>
      <c r="TQS58"/>
      <c r="TQT58"/>
      <c r="TQU58"/>
      <c r="TQV58"/>
      <c r="TQW58"/>
      <c r="TQX58"/>
      <c r="TQY58"/>
      <c r="TQZ58"/>
      <c r="TRA58"/>
      <c r="TRB58"/>
      <c r="TRC58"/>
      <c r="TRD58"/>
      <c r="TRE58"/>
      <c r="TRF58"/>
      <c r="TRG58"/>
      <c r="TRH58"/>
      <c r="TRI58"/>
      <c r="TRJ58"/>
      <c r="TRK58"/>
      <c r="TRL58"/>
      <c r="TRM58"/>
      <c r="TRN58"/>
      <c r="TRO58"/>
      <c r="TRP58"/>
      <c r="TRQ58"/>
      <c r="TRR58"/>
      <c r="TRS58"/>
      <c r="TRT58"/>
      <c r="TRU58"/>
      <c r="TRV58"/>
      <c r="TRW58"/>
      <c r="TRX58"/>
      <c r="TRY58"/>
      <c r="TRZ58"/>
      <c r="TSA58"/>
      <c r="TSB58"/>
      <c r="TSC58"/>
      <c r="TSD58"/>
      <c r="TSE58"/>
      <c r="TSF58"/>
      <c r="TSG58"/>
      <c r="TSH58"/>
      <c r="TSI58"/>
      <c r="TSJ58"/>
      <c r="TSK58"/>
      <c r="TSL58"/>
      <c r="TSM58"/>
      <c r="TSN58"/>
      <c r="TSO58"/>
      <c r="TSP58"/>
      <c r="TSQ58"/>
      <c r="TSR58"/>
      <c r="TSS58"/>
      <c r="TST58"/>
      <c r="TSU58"/>
      <c r="TSV58"/>
      <c r="TSW58"/>
      <c r="TSX58"/>
      <c r="TSY58"/>
      <c r="TSZ58"/>
      <c r="TTA58"/>
      <c r="TTB58"/>
      <c r="TTC58"/>
      <c r="TTD58"/>
      <c r="TTE58"/>
      <c r="TTF58"/>
      <c r="TTG58"/>
      <c r="TTH58"/>
      <c r="TTI58"/>
      <c r="TTJ58"/>
      <c r="TTK58"/>
      <c r="TTL58"/>
      <c r="TTM58"/>
      <c r="TTN58"/>
      <c r="TTO58"/>
      <c r="TTP58"/>
      <c r="TTQ58"/>
      <c r="TTR58"/>
      <c r="TTS58"/>
      <c r="TTT58"/>
      <c r="TTU58"/>
      <c r="TTV58"/>
      <c r="TTW58"/>
      <c r="TTX58"/>
      <c r="TTY58"/>
      <c r="TTZ58"/>
      <c r="TUA58"/>
      <c r="TUB58"/>
      <c r="TUC58"/>
      <c r="TUD58"/>
      <c r="TUE58"/>
      <c r="TUF58"/>
      <c r="TUG58"/>
      <c r="TUH58"/>
      <c r="TUI58"/>
      <c r="TUJ58"/>
      <c r="TUK58"/>
      <c r="TUL58"/>
      <c r="TUM58"/>
      <c r="TUN58"/>
      <c r="TUO58"/>
      <c r="TUP58"/>
      <c r="TUQ58"/>
      <c r="TUR58"/>
      <c r="TUS58"/>
      <c r="TUT58"/>
      <c r="TUU58"/>
      <c r="TUV58"/>
      <c r="TUW58"/>
      <c r="TUX58"/>
      <c r="TUY58"/>
      <c r="TUZ58"/>
      <c r="TVA58"/>
      <c r="TVB58"/>
      <c r="TVC58"/>
      <c r="TVD58"/>
      <c r="TVE58"/>
      <c r="TVF58"/>
      <c r="TVG58"/>
      <c r="TVH58"/>
      <c r="TVI58"/>
      <c r="TVJ58"/>
      <c r="TVK58"/>
      <c r="TVL58"/>
      <c r="TVM58"/>
      <c r="TVN58"/>
      <c r="TVO58"/>
      <c r="TVP58"/>
      <c r="TVQ58"/>
      <c r="TVR58"/>
      <c r="TVS58"/>
      <c r="TVT58"/>
      <c r="TVU58"/>
      <c r="TVV58"/>
      <c r="TVW58"/>
      <c r="TVX58"/>
      <c r="TVY58"/>
      <c r="TVZ58"/>
      <c r="TWA58"/>
      <c r="TWB58"/>
      <c r="TWC58"/>
      <c r="TWD58"/>
      <c r="TWE58"/>
      <c r="TWF58"/>
      <c r="TWG58"/>
      <c r="TWH58"/>
      <c r="TWI58"/>
      <c r="TWJ58"/>
      <c r="TWK58"/>
      <c r="TWL58"/>
      <c r="TWM58"/>
      <c r="TWN58"/>
      <c r="TWO58"/>
      <c r="TWP58"/>
      <c r="TWQ58"/>
      <c r="TWR58"/>
      <c r="TWS58"/>
      <c r="TWT58"/>
      <c r="TWU58"/>
      <c r="TWV58"/>
      <c r="TWW58"/>
      <c r="TWX58"/>
      <c r="TWY58"/>
      <c r="TWZ58"/>
      <c r="TXA58"/>
      <c r="TXB58"/>
      <c r="TXC58"/>
      <c r="TXD58"/>
      <c r="TXE58"/>
      <c r="TXF58"/>
      <c r="TXG58"/>
      <c r="TXH58"/>
      <c r="TXI58"/>
      <c r="TXJ58"/>
      <c r="TXK58"/>
      <c r="TXL58"/>
      <c r="TXM58"/>
      <c r="TXN58"/>
      <c r="TXO58"/>
      <c r="TXP58"/>
      <c r="TXQ58"/>
      <c r="TXR58"/>
      <c r="TXS58"/>
      <c r="TXT58"/>
      <c r="TXU58"/>
      <c r="TXV58"/>
      <c r="TXW58"/>
      <c r="TXX58"/>
      <c r="TXY58"/>
      <c r="TXZ58"/>
      <c r="TYA58"/>
      <c r="TYB58"/>
      <c r="TYC58"/>
      <c r="TYD58"/>
      <c r="TYE58"/>
      <c r="TYF58"/>
      <c r="TYG58"/>
      <c r="TYH58"/>
      <c r="TYI58"/>
      <c r="TYJ58"/>
      <c r="TYK58"/>
      <c r="TYL58"/>
      <c r="TYM58"/>
      <c r="TYN58"/>
      <c r="TYO58"/>
      <c r="TYP58"/>
      <c r="TYQ58"/>
      <c r="TYR58"/>
      <c r="TYS58"/>
      <c r="TYT58"/>
      <c r="TYU58"/>
      <c r="TYV58"/>
      <c r="TYW58"/>
      <c r="TYX58"/>
      <c r="TYY58"/>
      <c r="TYZ58"/>
      <c r="TZA58"/>
      <c r="TZB58"/>
      <c r="TZC58"/>
      <c r="TZD58"/>
      <c r="TZE58"/>
      <c r="TZF58"/>
      <c r="TZG58"/>
      <c r="TZH58"/>
      <c r="TZI58"/>
      <c r="TZJ58"/>
      <c r="TZK58"/>
      <c r="TZL58"/>
      <c r="TZM58"/>
      <c r="TZN58"/>
      <c r="TZO58"/>
      <c r="TZP58"/>
      <c r="TZQ58"/>
      <c r="TZR58"/>
      <c r="TZS58"/>
      <c r="TZT58"/>
      <c r="TZU58"/>
      <c r="TZV58"/>
      <c r="TZW58"/>
      <c r="TZX58"/>
      <c r="TZY58"/>
      <c r="TZZ58"/>
      <c r="UAA58"/>
      <c r="UAB58"/>
      <c r="UAC58"/>
      <c r="UAD58"/>
      <c r="UAE58"/>
      <c r="UAF58"/>
      <c r="UAG58"/>
      <c r="UAH58"/>
      <c r="UAI58"/>
      <c r="UAJ58"/>
      <c r="UAK58"/>
      <c r="UAL58"/>
      <c r="UAM58"/>
      <c r="UAN58"/>
      <c r="UAO58"/>
      <c r="UAP58"/>
      <c r="UAQ58"/>
      <c r="UAR58"/>
      <c r="UAS58"/>
      <c r="UAT58"/>
      <c r="UAU58"/>
      <c r="UAV58"/>
      <c r="UAW58"/>
      <c r="UAX58"/>
      <c r="UAY58"/>
      <c r="UAZ58"/>
      <c r="UBA58"/>
      <c r="UBB58"/>
      <c r="UBC58"/>
      <c r="UBD58"/>
      <c r="UBE58"/>
      <c r="UBF58"/>
      <c r="UBG58"/>
      <c r="UBH58"/>
      <c r="UBI58"/>
      <c r="UBJ58"/>
      <c r="UBK58"/>
      <c r="UBL58"/>
      <c r="UBM58"/>
      <c r="UBN58"/>
      <c r="UBO58"/>
      <c r="UBP58"/>
      <c r="UBQ58"/>
      <c r="UBR58"/>
      <c r="UBS58"/>
      <c r="UBT58"/>
      <c r="UBU58"/>
      <c r="UBV58"/>
      <c r="UBW58"/>
      <c r="UBX58"/>
      <c r="UBY58"/>
      <c r="UBZ58"/>
      <c r="UCA58"/>
      <c r="UCB58"/>
      <c r="UCC58"/>
      <c r="UCD58"/>
      <c r="UCE58"/>
      <c r="UCF58"/>
      <c r="UCG58"/>
      <c r="UCH58"/>
      <c r="UCI58"/>
      <c r="UCJ58"/>
      <c r="UCK58"/>
      <c r="UCL58"/>
      <c r="UCM58"/>
      <c r="UCN58"/>
      <c r="UCO58"/>
      <c r="UCP58"/>
      <c r="UCQ58"/>
      <c r="UCR58"/>
      <c r="UCS58"/>
      <c r="UCT58"/>
      <c r="UCU58"/>
      <c r="UCV58"/>
      <c r="UCW58"/>
      <c r="UCX58"/>
      <c r="UCY58"/>
      <c r="UCZ58"/>
      <c r="UDA58"/>
      <c r="UDB58"/>
      <c r="UDC58"/>
      <c r="UDD58"/>
      <c r="UDE58"/>
      <c r="UDF58"/>
      <c r="UDG58"/>
      <c r="UDH58"/>
      <c r="UDI58"/>
      <c r="UDJ58"/>
      <c r="UDK58"/>
      <c r="UDL58"/>
      <c r="UDM58"/>
      <c r="UDN58"/>
      <c r="UDO58"/>
      <c r="UDP58"/>
      <c r="UDQ58"/>
      <c r="UDR58"/>
      <c r="UDS58"/>
      <c r="UDT58"/>
      <c r="UDU58"/>
      <c r="UDV58"/>
      <c r="UDW58"/>
      <c r="UDX58"/>
      <c r="UDY58"/>
      <c r="UDZ58"/>
      <c r="UEA58"/>
      <c r="UEB58"/>
      <c r="UEC58"/>
      <c r="UED58"/>
      <c r="UEE58"/>
      <c r="UEF58"/>
      <c r="UEG58"/>
      <c r="UEH58"/>
      <c r="UEI58"/>
      <c r="UEJ58"/>
      <c r="UEK58"/>
      <c r="UEL58"/>
      <c r="UEM58"/>
      <c r="UEN58"/>
      <c r="UEO58"/>
      <c r="UEP58"/>
      <c r="UEQ58"/>
      <c r="UER58"/>
      <c r="UES58"/>
      <c r="UET58"/>
      <c r="UEU58"/>
      <c r="UEV58"/>
      <c r="UEW58"/>
      <c r="UEX58"/>
      <c r="UEY58"/>
      <c r="UEZ58"/>
      <c r="UFA58"/>
      <c r="UFB58"/>
      <c r="UFC58"/>
      <c r="UFD58"/>
      <c r="UFE58"/>
      <c r="UFF58"/>
      <c r="UFG58"/>
      <c r="UFH58"/>
      <c r="UFI58"/>
      <c r="UFJ58"/>
      <c r="UFK58"/>
      <c r="UFL58"/>
      <c r="UFM58"/>
      <c r="UFN58"/>
      <c r="UFO58"/>
      <c r="UFP58"/>
      <c r="UFQ58"/>
      <c r="UFR58"/>
      <c r="UFS58"/>
      <c r="UFT58"/>
      <c r="UFU58"/>
      <c r="UFV58"/>
      <c r="UFW58"/>
      <c r="UFX58"/>
      <c r="UFY58"/>
      <c r="UFZ58"/>
      <c r="UGA58"/>
      <c r="UGB58"/>
      <c r="UGC58"/>
      <c r="UGD58"/>
      <c r="UGE58"/>
      <c r="UGF58"/>
      <c r="UGG58"/>
      <c r="UGH58"/>
      <c r="UGI58"/>
      <c r="UGJ58"/>
      <c r="UGK58"/>
      <c r="UGL58"/>
      <c r="UGM58"/>
      <c r="UGN58"/>
      <c r="UGO58"/>
      <c r="UGP58"/>
      <c r="UGQ58"/>
      <c r="UGR58"/>
      <c r="UGS58"/>
      <c r="UGT58"/>
      <c r="UGU58"/>
      <c r="UGV58"/>
      <c r="UGW58"/>
      <c r="UGX58"/>
      <c r="UGY58"/>
      <c r="UGZ58"/>
      <c r="UHA58"/>
      <c r="UHB58"/>
      <c r="UHC58"/>
      <c r="UHD58"/>
      <c r="UHE58"/>
      <c r="UHF58"/>
      <c r="UHG58"/>
      <c r="UHH58"/>
      <c r="UHI58"/>
      <c r="UHJ58"/>
      <c r="UHK58"/>
      <c r="UHL58"/>
      <c r="UHM58"/>
      <c r="UHN58"/>
      <c r="UHO58"/>
      <c r="UHP58"/>
      <c r="UHQ58"/>
      <c r="UHR58"/>
      <c r="UHS58"/>
      <c r="UHT58"/>
      <c r="UHU58"/>
      <c r="UHV58"/>
      <c r="UHW58"/>
      <c r="UHX58"/>
      <c r="UHY58"/>
      <c r="UHZ58"/>
      <c r="UIA58"/>
      <c r="UIB58"/>
      <c r="UIC58"/>
      <c r="UID58"/>
      <c r="UIE58"/>
      <c r="UIF58"/>
      <c r="UIG58"/>
      <c r="UIH58"/>
      <c r="UII58"/>
      <c r="UIJ58"/>
      <c r="UIK58"/>
      <c r="UIL58"/>
      <c r="UIM58"/>
      <c r="UIN58"/>
      <c r="UIO58"/>
      <c r="UIP58"/>
      <c r="UIQ58"/>
      <c r="UIR58"/>
      <c r="UIS58"/>
      <c r="UIT58"/>
      <c r="UIU58"/>
      <c r="UIV58"/>
      <c r="UIW58"/>
      <c r="UIX58"/>
      <c r="UIY58"/>
      <c r="UIZ58"/>
      <c r="UJA58"/>
      <c r="UJB58"/>
      <c r="UJC58"/>
      <c r="UJD58"/>
      <c r="UJE58"/>
      <c r="UJF58"/>
      <c r="UJG58"/>
      <c r="UJH58"/>
      <c r="UJI58"/>
      <c r="UJJ58"/>
      <c r="UJK58"/>
      <c r="UJL58"/>
      <c r="UJM58"/>
      <c r="UJN58"/>
      <c r="UJO58"/>
      <c r="UJP58"/>
      <c r="UJQ58"/>
      <c r="UJR58"/>
      <c r="UJS58"/>
      <c r="UJT58"/>
      <c r="UJU58"/>
      <c r="UJV58"/>
      <c r="UJW58"/>
      <c r="UJX58"/>
      <c r="UJY58"/>
      <c r="UJZ58"/>
      <c r="UKA58"/>
      <c r="UKB58"/>
      <c r="UKC58"/>
      <c r="UKD58"/>
      <c r="UKE58"/>
      <c r="UKF58"/>
      <c r="UKG58"/>
      <c r="UKH58"/>
      <c r="UKI58"/>
      <c r="UKJ58"/>
      <c r="UKK58"/>
      <c r="UKL58"/>
      <c r="UKM58"/>
      <c r="UKN58"/>
      <c r="UKO58"/>
      <c r="UKP58"/>
      <c r="UKQ58"/>
      <c r="UKR58"/>
      <c r="UKS58"/>
      <c r="UKT58"/>
      <c r="UKU58"/>
      <c r="UKV58"/>
      <c r="UKW58"/>
      <c r="UKX58"/>
      <c r="UKY58"/>
      <c r="UKZ58"/>
      <c r="ULA58"/>
      <c r="ULB58"/>
      <c r="ULC58"/>
      <c r="ULD58"/>
      <c r="ULE58"/>
      <c r="ULF58"/>
      <c r="ULG58"/>
      <c r="ULH58"/>
      <c r="ULI58"/>
      <c r="ULJ58"/>
      <c r="ULK58"/>
      <c r="ULL58"/>
      <c r="ULM58"/>
      <c r="ULN58"/>
      <c r="ULO58"/>
      <c r="ULP58"/>
      <c r="ULQ58"/>
      <c r="ULR58"/>
      <c r="ULS58"/>
      <c r="ULT58"/>
      <c r="ULU58"/>
      <c r="ULV58"/>
      <c r="ULW58"/>
      <c r="ULX58"/>
      <c r="ULY58"/>
      <c r="ULZ58"/>
      <c r="UMA58"/>
      <c r="UMB58"/>
      <c r="UMC58"/>
      <c r="UMD58"/>
      <c r="UME58"/>
      <c r="UMF58"/>
      <c r="UMG58"/>
      <c r="UMH58"/>
      <c r="UMI58"/>
      <c r="UMJ58"/>
      <c r="UMK58"/>
      <c r="UML58"/>
      <c r="UMM58"/>
      <c r="UMN58"/>
      <c r="UMO58"/>
      <c r="UMP58"/>
      <c r="UMQ58"/>
      <c r="UMR58"/>
      <c r="UMS58"/>
      <c r="UMT58"/>
      <c r="UMU58"/>
      <c r="UMV58"/>
      <c r="UMW58"/>
      <c r="UMX58"/>
      <c r="UMY58"/>
      <c r="UMZ58"/>
      <c r="UNA58"/>
      <c r="UNB58"/>
      <c r="UNC58"/>
      <c r="UND58"/>
      <c r="UNE58"/>
      <c r="UNF58"/>
      <c r="UNG58"/>
      <c r="UNH58"/>
      <c r="UNI58"/>
      <c r="UNJ58"/>
      <c r="UNK58"/>
      <c r="UNL58"/>
      <c r="UNM58"/>
      <c r="UNN58"/>
      <c r="UNO58"/>
      <c r="UNP58"/>
      <c r="UNQ58"/>
      <c r="UNR58"/>
      <c r="UNS58"/>
      <c r="UNT58"/>
      <c r="UNU58"/>
      <c r="UNV58"/>
      <c r="UNW58"/>
      <c r="UNX58"/>
      <c r="UNY58"/>
      <c r="UNZ58"/>
      <c r="UOA58"/>
      <c r="UOB58"/>
      <c r="UOC58"/>
      <c r="UOD58"/>
      <c r="UOE58"/>
      <c r="UOF58"/>
      <c r="UOG58"/>
      <c r="UOH58"/>
      <c r="UOI58"/>
      <c r="UOJ58"/>
      <c r="UOK58"/>
      <c r="UOL58"/>
      <c r="UOM58"/>
      <c r="UON58"/>
      <c r="UOO58"/>
      <c r="UOP58"/>
      <c r="UOQ58"/>
      <c r="UOR58"/>
      <c r="UOS58"/>
      <c r="UOT58"/>
      <c r="UOU58"/>
      <c r="UOV58"/>
      <c r="UOW58"/>
      <c r="UOX58"/>
      <c r="UOY58"/>
      <c r="UOZ58"/>
      <c r="UPA58"/>
      <c r="UPB58"/>
      <c r="UPC58"/>
      <c r="UPD58"/>
      <c r="UPE58"/>
      <c r="UPF58"/>
      <c r="UPG58"/>
      <c r="UPH58"/>
      <c r="UPI58"/>
      <c r="UPJ58"/>
      <c r="UPK58"/>
      <c r="UPL58"/>
      <c r="UPM58"/>
      <c r="UPN58"/>
      <c r="UPO58"/>
      <c r="UPP58"/>
      <c r="UPQ58"/>
      <c r="UPR58"/>
      <c r="UPS58"/>
      <c r="UPT58"/>
      <c r="UPU58"/>
      <c r="UPV58"/>
      <c r="UPW58"/>
      <c r="UPX58"/>
      <c r="UPY58"/>
      <c r="UPZ58"/>
      <c r="UQA58"/>
      <c r="UQB58"/>
      <c r="UQC58"/>
      <c r="UQD58"/>
      <c r="UQE58"/>
      <c r="UQF58"/>
      <c r="UQG58"/>
      <c r="UQH58"/>
      <c r="UQI58"/>
      <c r="UQJ58"/>
      <c r="UQK58"/>
      <c r="UQL58"/>
      <c r="UQM58"/>
      <c r="UQN58"/>
      <c r="UQO58"/>
      <c r="UQP58"/>
      <c r="UQQ58"/>
      <c r="UQR58"/>
      <c r="UQS58"/>
      <c r="UQT58"/>
      <c r="UQU58"/>
      <c r="UQV58"/>
      <c r="UQW58"/>
      <c r="UQX58"/>
      <c r="UQY58"/>
      <c r="UQZ58"/>
      <c r="URA58"/>
      <c r="URB58"/>
      <c r="URC58"/>
      <c r="URD58"/>
      <c r="URE58"/>
      <c r="URF58"/>
      <c r="URG58"/>
      <c r="URH58"/>
      <c r="URI58"/>
      <c r="URJ58"/>
      <c r="URK58"/>
      <c r="URL58"/>
      <c r="URM58"/>
      <c r="URN58"/>
      <c r="URO58"/>
      <c r="URP58"/>
      <c r="URQ58"/>
      <c r="URR58"/>
      <c r="URS58"/>
      <c r="URT58"/>
      <c r="URU58"/>
      <c r="URV58"/>
      <c r="URW58"/>
      <c r="URX58"/>
      <c r="URY58"/>
      <c r="URZ58"/>
      <c r="USA58"/>
      <c r="USB58"/>
      <c r="USC58"/>
      <c r="USD58"/>
      <c r="USE58"/>
      <c r="USF58"/>
      <c r="USG58"/>
      <c r="USH58"/>
      <c r="USI58"/>
      <c r="USJ58"/>
      <c r="USK58"/>
      <c r="USL58"/>
      <c r="USM58"/>
      <c r="USN58"/>
      <c r="USO58"/>
      <c r="USP58"/>
      <c r="USQ58"/>
      <c r="USR58"/>
      <c r="USS58"/>
      <c r="UST58"/>
      <c r="USU58"/>
      <c r="USV58"/>
      <c r="USW58"/>
      <c r="USX58"/>
      <c r="USY58"/>
      <c r="USZ58"/>
      <c r="UTA58"/>
      <c r="UTB58"/>
      <c r="UTC58"/>
      <c r="UTD58"/>
      <c r="UTE58"/>
      <c r="UTF58"/>
      <c r="UTG58"/>
      <c r="UTH58"/>
      <c r="UTI58"/>
      <c r="UTJ58"/>
      <c r="UTK58"/>
      <c r="UTL58"/>
      <c r="UTM58"/>
      <c r="UTN58"/>
      <c r="UTO58"/>
      <c r="UTP58"/>
      <c r="UTQ58"/>
      <c r="UTR58"/>
      <c r="UTS58"/>
      <c r="UTT58"/>
      <c r="UTU58"/>
      <c r="UTV58"/>
      <c r="UTW58"/>
      <c r="UTX58"/>
      <c r="UTY58"/>
      <c r="UTZ58"/>
      <c r="UUA58"/>
      <c r="UUB58"/>
      <c r="UUC58"/>
      <c r="UUD58"/>
      <c r="UUE58"/>
      <c r="UUF58"/>
      <c r="UUG58"/>
      <c r="UUH58"/>
      <c r="UUI58"/>
      <c r="UUJ58"/>
      <c r="UUK58"/>
      <c r="UUL58"/>
      <c r="UUM58"/>
      <c r="UUN58"/>
      <c r="UUO58"/>
      <c r="UUP58"/>
      <c r="UUQ58"/>
      <c r="UUR58"/>
      <c r="UUS58"/>
      <c r="UUT58"/>
      <c r="UUU58"/>
      <c r="UUV58"/>
      <c r="UUW58"/>
      <c r="UUX58"/>
      <c r="UUY58"/>
      <c r="UUZ58"/>
      <c r="UVA58"/>
      <c r="UVB58"/>
      <c r="UVC58"/>
      <c r="UVD58"/>
      <c r="UVE58"/>
      <c r="UVF58"/>
      <c r="UVG58"/>
      <c r="UVH58"/>
      <c r="UVI58"/>
      <c r="UVJ58"/>
      <c r="UVK58"/>
      <c r="UVL58"/>
      <c r="UVM58"/>
      <c r="UVN58"/>
      <c r="UVO58"/>
      <c r="UVP58"/>
      <c r="UVQ58"/>
      <c r="UVR58"/>
      <c r="UVS58"/>
      <c r="UVT58"/>
      <c r="UVU58"/>
      <c r="UVV58"/>
      <c r="UVW58"/>
      <c r="UVX58"/>
      <c r="UVY58"/>
      <c r="UVZ58"/>
      <c r="UWA58"/>
      <c r="UWB58"/>
      <c r="UWC58"/>
      <c r="UWD58"/>
      <c r="UWE58"/>
      <c r="UWF58"/>
      <c r="UWG58"/>
      <c r="UWH58"/>
      <c r="UWI58"/>
      <c r="UWJ58"/>
      <c r="UWK58"/>
      <c r="UWL58"/>
      <c r="UWM58"/>
      <c r="UWN58"/>
      <c r="UWO58"/>
      <c r="UWP58"/>
      <c r="UWQ58"/>
      <c r="UWR58"/>
      <c r="UWS58"/>
      <c r="UWT58"/>
      <c r="UWU58"/>
      <c r="UWV58"/>
      <c r="UWW58"/>
      <c r="UWX58"/>
      <c r="UWY58"/>
      <c r="UWZ58"/>
      <c r="UXA58"/>
      <c r="UXB58"/>
      <c r="UXC58"/>
      <c r="UXD58"/>
      <c r="UXE58"/>
      <c r="UXF58"/>
      <c r="UXG58"/>
      <c r="UXH58"/>
      <c r="UXI58"/>
      <c r="UXJ58"/>
      <c r="UXK58"/>
      <c r="UXL58"/>
      <c r="UXM58"/>
      <c r="UXN58"/>
      <c r="UXO58"/>
      <c r="UXP58"/>
      <c r="UXQ58"/>
      <c r="UXR58"/>
      <c r="UXS58"/>
      <c r="UXT58"/>
      <c r="UXU58"/>
      <c r="UXV58"/>
      <c r="UXW58"/>
      <c r="UXX58"/>
      <c r="UXY58"/>
      <c r="UXZ58"/>
      <c r="UYA58"/>
      <c r="UYB58"/>
      <c r="UYC58"/>
      <c r="UYD58"/>
      <c r="UYE58"/>
      <c r="UYF58"/>
      <c r="UYG58"/>
      <c r="UYH58"/>
      <c r="UYI58"/>
      <c r="UYJ58"/>
      <c r="UYK58"/>
      <c r="UYL58"/>
      <c r="UYM58"/>
      <c r="UYN58"/>
      <c r="UYO58"/>
      <c r="UYP58"/>
      <c r="UYQ58"/>
      <c r="UYR58"/>
      <c r="UYS58"/>
      <c r="UYT58"/>
      <c r="UYU58"/>
      <c r="UYV58"/>
      <c r="UYW58"/>
      <c r="UYX58"/>
      <c r="UYY58"/>
      <c r="UYZ58"/>
      <c r="UZA58"/>
      <c r="UZB58"/>
      <c r="UZC58"/>
      <c r="UZD58"/>
      <c r="UZE58"/>
      <c r="UZF58"/>
      <c r="UZG58"/>
      <c r="UZH58"/>
      <c r="UZI58"/>
      <c r="UZJ58"/>
      <c r="UZK58"/>
      <c r="UZL58"/>
      <c r="UZM58"/>
      <c r="UZN58"/>
      <c r="UZO58"/>
      <c r="UZP58"/>
      <c r="UZQ58"/>
      <c r="UZR58"/>
      <c r="UZS58"/>
      <c r="UZT58"/>
      <c r="UZU58"/>
      <c r="UZV58"/>
      <c r="UZW58"/>
      <c r="UZX58"/>
      <c r="UZY58"/>
      <c r="UZZ58"/>
      <c r="VAA58"/>
      <c r="VAB58"/>
      <c r="VAC58"/>
      <c r="VAD58"/>
      <c r="VAE58"/>
      <c r="VAF58"/>
      <c r="VAG58"/>
      <c r="VAH58"/>
      <c r="VAI58"/>
      <c r="VAJ58"/>
      <c r="VAK58"/>
      <c r="VAL58"/>
      <c r="VAM58"/>
      <c r="VAN58"/>
      <c r="VAO58"/>
      <c r="VAP58"/>
      <c r="VAQ58"/>
      <c r="VAR58"/>
      <c r="VAS58"/>
      <c r="VAT58"/>
      <c r="VAU58"/>
      <c r="VAV58"/>
      <c r="VAW58"/>
      <c r="VAX58"/>
      <c r="VAY58"/>
      <c r="VAZ58"/>
      <c r="VBA58"/>
      <c r="VBB58"/>
      <c r="VBC58"/>
      <c r="VBD58"/>
      <c r="VBE58"/>
      <c r="VBF58"/>
      <c r="VBG58"/>
      <c r="VBH58"/>
      <c r="VBI58"/>
      <c r="VBJ58"/>
      <c r="VBK58"/>
      <c r="VBL58"/>
      <c r="VBM58"/>
      <c r="VBN58"/>
      <c r="VBO58"/>
      <c r="VBP58"/>
      <c r="VBQ58"/>
      <c r="VBR58"/>
      <c r="VBS58"/>
      <c r="VBT58"/>
      <c r="VBU58"/>
      <c r="VBV58"/>
      <c r="VBW58"/>
      <c r="VBX58"/>
      <c r="VBY58"/>
      <c r="VBZ58"/>
      <c r="VCA58"/>
      <c r="VCB58"/>
      <c r="VCC58"/>
      <c r="VCD58"/>
      <c r="VCE58"/>
      <c r="VCF58"/>
      <c r="VCG58"/>
      <c r="VCH58"/>
      <c r="VCI58"/>
      <c r="VCJ58"/>
      <c r="VCK58"/>
      <c r="VCL58"/>
      <c r="VCM58"/>
      <c r="VCN58"/>
      <c r="VCO58"/>
      <c r="VCP58"/>
      <c r="VCQ58"/>
      <c r="VCR58"/>
      <c r="VCS58"/>
      <c r="VCT58"/>
      <c r="VCU58"/>
      <c r="VCV58"/>
      <c r="VCW58"/>
      <c r="VCX58"/>
      <c r="VCY58"/>
      <c r="VCZ58"/>
      <c r="VDA58"/>
      <c r="VDB58"/>
      <c r="VDC58"/>
      <c r="VDD58"/>
      <c r="VDE58"/>
      <c r="VDF58"/>
      <c r="VDG58"/>
      <c r="VDH58"/>
      <c r="VDI58"/>
      <c r="VDJ58"/>
      <c r="VDK58"/>
      <c r="VDL58"/>
      <c r="VDM58"/>
      <c r="VDN58"/>
      <c r="VDO58"/>
      <c r="VDP58"/>
      <c r="VDQ58"/>
      <c r="VDR58"/>
      <c r="VDS58"/>
      <c r="VDT58"/>
      <c r="VDU58"/>
      <c r="VDV58"/>
      <c r="VDW58"/>
      <c r="VDX58"/>
      <c r="VDY58"/>
      <c r="VDZ58"/>
      <c r="VEA58"/>
      <c r="VEB58"/>
      <c r="VEC58"/>
      <c r="VED58"/>
      <c r="VEE58"/>
      <c r="VEF58"/>
      <c r="VEG58"/>
      <c r="VEH58"/>
      <c r="VEI58"/>
      <c r="VEJ58"/>
      <c r="VEK58"/>
      <c r="VEL58"/>
      <c r="VEM58"/>
      <c r="VEN58"/>
      <c r="VEO58"/>
      <c r="VEP58"/>
      <c r="VEQ58"/>
      <c r="VER58"/>
      <c r="VES58"/>
      <c r="VET58"/>
      <c r="VEU58"/>
      <c r="VEV58"/>
      <c r="VEW58"/>
      <c r="VEX58"/>
      <c r="VEY58"/>
      <c r="VEZ58"/>
      <c r="VFA58"/>
      <c r="VFB58"/>
      <c r="VFC58"/>
      <c r="VFD58"/>
      <c r="VFE58"/>
      <c r="VFF58"/>
      <c r="VFG58"/>
      <c r="VFH58"/>
      <c r="VFI58"/>
      <c r="VFJ58"/>
      <c r="VFK58"/>
      <c r="VFL58"/>
      <c r="VFM58"/>
      <c r="VFN58"/>
      <c r="VFO58"/>
      <c r="VFP58"/>
      <c r="VFQ58"/>
      <c r="VFR58"/>
      <c r="VFS58"/>
      <c r="VFT58"/>
      <c r="VFU58"/>
      <c r="VFV58"/>
      <c r="VFW58"/>
      <c r="VFX58"/>
      <c r="VFY58"/>
      <c r="VFZ58"/>
      <c r="VGA58"/>
      <c r="VGB58"/>
      <c r="VGC58"/>
      <c r="VGD58"/>
      <c r="VGE58"/>
      <c r="VGF58"/>
      <c r="VGG58"/>
      <c r="VGH58"/>
      <c r="VGI58"/>
      <c r="VGJ58"/>
      <c r="VGK58"/>
      <c r="VGL58"/>
      <c r="VGM58"/>
      <c r="VGN58"/>
      <c r="VGO58"/>
      <c r="VGP58"/>
      <c r="VGQ58"/>
      <c r="VGR58"/>
      <c r="VGS58"/>
      <c r="VGT58"/>
      <c r="VGU58"/>
      <c r="VGV58"/>
      <c r="VGW58"/>
      <c r="VGX58"/>
      <c r="VGY58"/>
      <c r="VGZ58"/>
      <c r="VHA58"/>
      <c r="VHB58"/>
      <c r="VHC58"/>
      <c r="VHD58"/>
      <c r="VHE58"/>
      <c r="VHF58"/>
      <c r="VHG58"/>
      <c r="VHH58"/>
      <c r="VHI58"/>
      <c r="VHJ58"/>
      <c r="VHK58"/>
      <c r="VHL58"/>
      <c r="VHM58"/>
      <c r="VHN58"/>
      <c r="VHO58"/>
      <c r="VHP58"/>
      <c r="VHQ58"/>
      <c r="VHR58"/>
      <c r="VHS58"/>
      <c r="VHT58"/>
      <c r="VHU58"/>
      <c r="VHV58"/>
      <c r="VHW58"/>
      <c r="VHX58"/>
      <c r="VHY58"/>
      <c r="VHZ58"/>
      <c r="VIA58"/>
      <c r="VIB58"/>
      <c r="VIC58"/>
      <c r="VID58"/>
      <c r="VIE58"/>
      <c r="VIF58"/>
      <c r="VIG58"/>
      <c r="VIH58"/>
      <c r="VII58"/>
      <c r="VIJ58"/>
      <c r="VIK58"/>
      <c r="VIL58"/>
      <c r="VIM58"/>
      <c r="VIN58"/>
      <c r="VIO58"/>
      <c r="VIP58"/>
      <c r="VIQ58"/>
      <c r="VIR58"/>
      <c r="VIS58"/>
      <c r="VIT58"/>
      <c r="VIU58"/>
      <c r="VIV58"/>
      <c r="VIW58"/>
      <c r="VIX58"/>
      <c r="VIY58"/>
      <c r="VIZ58"/>
      <c r="VJA58"/>
      <c r="VJB58"/>
      <c r="VJC58"/>
      <c r="VJD58"/>
      <c r="VJE58"/>
      <c r="VJF58"/>
      <c r="VJG58"/>
      <c r="VJH58"/>
      <c r="VJI58"/>
      <c r="VJJ58"/>
      <c r="VJK58"/>
      <c r="VJL58"/>
      <c r="VJM58"/>
      <c r="VJN58"/>
      <c r="VJO58"/>
      <c r="VJP58"/>
      <c r="VJQ58"/>
      <c r="VJR58"/>
      <c r="VJS58"/>
      <c r="VJT58"/>
      <c r="VJU58"/>
      <c r="VJV58"/>
      <c r="VJW58"/>
      <c r="VJX58"/>
      <c r="VJY58"/>
      <c r="VJZ58"/>
      <c r="VKA58"/>
      <c r="VKB58"/>
      <c r="VKC58"/>
      <c r="VKD58"/>
      <c r="VKE58"/>
      <c r="VKF58"/>
      <c r="VKG58"/>
      <c r="VKH58"/>
      <c r="VKI58"/>
      <c r="VKJ58"/>
      <c r="VKK58"/>
      <c r="VKL58"/>
      <c r="VKM58"/>
      <c r="VKN58"/>
      <c r="VKO58"/>
      <c r="VKP58"/>
      <c r="VKQ58"/>
      <c r="VKR58"/>
      <c r="VKS58"/>
      <c r="VKT58"/>
      <c r="VKU58"/>
      <c r="VKV58"/>
      <c r="VKW58"/>
      <c r="VKX58"/>
      <c r="VKY58"/>
      <c r="VKZ58"/>
      <c r="VLA58"/>
      <c r="VLB58"/>
      <c r="VLC58"/>
      <c r="VLD58"/>
      <c r="VLE58"/>
      <c r="VLF58"/>
      <c r="VLG58"/>
      <c r="VLH58"/>
      <c r="VLI58"/>
      <c r="VLJ58"/>
      <c r="VLK58"/>
      <c r="VLL58"/>
      <c r="VLM58"/>
      <c r="VLN58"/>
      <c r="VLO58"/>
      <c r="VLP58"/>
      <c r="VLQ58"/>
      <c r="VLR58"/>
      <c r="VLS58"/>
      <c r="VLT58"/>
      <c r="VLU58"/>
      <c r="VLV58"/>
      <c r="VLW58"/>
      <c r="VLX58"/>
      <c r="VLY58"/>
      <c r="VLZ58"/>
      <c r="VMA58"/>
      <c r="VMB58"/>
      <c r="VMC58"/>
      <c r="VMD58"/>
      <c r="VME58"/>
      <c r="VMF58"/>
      <c r="VMG58"/>
      <c r="VMH58"/>
      <c r="VMI58"/>
      <c r="VMJ58"/>
      <c r="VMK58"/>
      <c r="VML58"/>
      <c r="VMM58"/>
      <c r="VMN58"/>
      <c r="VMO58"/>
      <c r="VMP58"/>
      <c r="VMQ58"/>
      <c r="VMR58"/>
      <c r="VMS58"/>
      <c r="VMT58"/>
      <c r="VMU58"/>
      <c r="VMV58"/>
      <c r="VMW58"/>
      <c r="VMX58"/>
      <c r="VMY58"/>
      <c r="VMZ58"/>
      <c r="VNA58"/>
      <c r="VNB58"/>
      <c r="VNC58"/>
      <c r="VND58"/>
      <c r="VNE58"/>
      <c r="VNF58"/>
      <c r="VNG58"/>
      <c r="VNH58"/>
      <c r="VNI58"/>
      <c r="VNJ58"/>
      <c r="VNK58"/>
      <c r="VNL58"/>
      <c r="VNM58"/>
      <c r="VNN58"/>
      <c r="VNO58"/>
      <c r="VNP58"/>
      <c r="VNQ58"/>
      <c r="VNR58"/>
      <c r="VNS58"/>
      <c r="VNT58"/>
      <c r="VNU58"/>
      <c r="VNV58"/>
      <c r="VNW58"/>
      <c r="VNX58"/>
      <c r="VNY58"/>
      <c r="VNZ58"/>
      <c r="VOA58"/>
      <c r="VOB58"/>
      <c r="VOC58"/>
      <c r="VOD58"/>
      <c r="VOE58"/>
      <c r="VOF58"/>
      <c r="VOG58"/>
      <c r="VOH58"/>
      <c r="VOI58"/>
      <c r="VOJ58"/>
      <c r="VOK58"/>
      <c r="VOL58"/>
      <c r="VOM58"/>
      <c r="VON58"/>
      <c r="VOO58"/>
      <c r="VOP58"/>
      <c r="VOQ58"/>
      <c r="VOR58"/>
      <c r="VOS58"/>
      <c r="VOT58"/>
      <c r="VOU58"/>
      <c r="VOV58"/>
      <c r="VOW58"/>
      <c r="VOX58"/>
      <c r="VOY58"/>
      <c r="VOZ58"/>
      <c r="VPA58"/>
      <c r="VPB58"/>
      <c r="VPC58"/>
      <c r="VPD58"/>
      <c r="VPE58"/>
      <c r="VPF58"/>
      <c r="VPG58"/>
      <c r="VPH58"/>
      <c r="VPI58"/>
      <c r="VPJ58"/>
      <c r="VPK58"/>
      <c r="VPL58"/>
      <c r="VPM58"/>
      <c r="VPN58"/>
      <c r="VPO58"/>
      <c r="VPP58"/>
      <c r="VPQ58"/>
      <c r="VPR58"/>
      <c r="VPS58"/>
      <c r="VPT58"/>
      <c r="VPU58"/>
      <c r="VPV58"/>
      <c r="VPW58"/>
      <c r="VPX58"/>
      <c r="VPY58"/>
      <c r="VPZ58"/>
      <c r="VQA58"/>
      <c r="VQB58"/>
      <c r="VQC58"/>
      <c r="VQD58"/>
      <c r="VQE58"/>
      <c r="VQF58"/>
      <c r="VQG58"/>
      <c r="VQH58"/>
      <c r="VQI58"/>
      <c r="VQJ58"/>
      <c r="VQK58"/>
      <c r="VQL58"/>
      <c r="VQM58"/>
      <c r="VQN58"/>
      <c r="VQO58"/>
      <c r="VQP58"/>
      <c r="VQQ58"/>
      <c r="VQR58"/>
      <c r="VQS58"/>
      <c r="VQT58"/>
      <c r="VQU58"/>
      <c r="VQV58"/>
      <c r="VQW58"/>
      <c r="VQX58"/>
      <c r="VQY58"/>
      <c r="VQZ58"/>
      <c r="VRA58"/>
      <c r="VRB58"/>
      <c r="VRC58"/>
      <c r="VRD58"/>
      <c r="VRE58"/>
      <c r="VRF58"/>
      <c r="VRG58"/>
      <c r="VRH58"/>
      <c r="VRI58"/>
      <c r="VRJ58"/>
      <c r="VRK58"/>
      <c r="VRL58"/>
      <c r="VRM58"/>
      <c r="VRN58"/>
      <c r="VRO58"/>
      <c r="VRP58"/>
      <c r="VRQ58"/>
      <c r="VRR58"/>
      <c r="VRS58"/>
      <c r="VRT58"/>
      <c r="VRU58"/>
      <c r="VRV58"/>
      <c r="VRW58"/>
      <c r="VRX58"/>
      <c r="VRY58"/>
      <c r="VRZ58"/>
      <c r="VSA58"/>
      <c r="VSB58"/>
      <c r="VSC58"/>
      <c r="VSD58"/>
      <c r="VSE58"/>
      <c r="VSF58"/>
      <c r="VSG58"/>
      <c r="VSH58"/>
      <c r="VSI58"/>
      <c r="VSJ58"/>
      <c r="VSK58"/>
      <c r="VSL58"/>
      <c r="VSM58"/>
      <c r="VSN58"/>
      <c r="VSO58"/>
      <c r="VSP58"/>
      <c r="VSQ58"/>
      <c r="VSR58"/>
      <c r="VSS58"/>
      <c r="VST58"/>
      <c r="VSU58"/>
      <c r="VSV58"/>
      <c r="VSW58"/>
      <c r="VSX58"/>
      <c r="VSY58"/>
      <c r="VSZ58"/>
      <c r="VTA58"/>
      <c r="VTB58"/>
      <c r="VTC58"/>
      <c r="VTD58"/>
      <c r="VTE58"/>
      <c r="VTF58"/>
      <c r="VTG58"/>
      <c r="VTH58"/>
      <c r="VTI58"/>
      <c r="VTJ58"/>
      <c r="VTK58"/>
      <c r="VTL58"/>
      <c r="VTM58"/>
      <c r="VTN58"/>
      <c r="VTO58"/>
      <c r="VTP58"/>
      <c r="VTQ58"/>
      <c r="VTR58"/>
      <c r="VTS58"/>
      <c r="VTT58"/>
      <c r="VTU58"/>
      <c r="VTV58"/>
      <c r="VTW58"/>
      <c r="VTX58"/>
      <c r="VTY58"/>
      <c r="VTZ58"/>
      <c r="VUA58"/>
      <c r="VUB58"/>
      <c r="VUC58"/>
      <c r="VUD58"/>
      <c r="VUE58"/>
      <c r="VUF58"/>
      <c r="VUG58"/>
      <c r="VUH58"/>
      <c r="VUI58"/>
      <c r="VUJ58"/>
      <c r="VUK58"/>
      <c r="VUL58"/>
      <c r="VUM58"/>
      <c r="VUN58"/>
      <c r="VUO58"/>
      <c r="VUP58"/>
      <c r="VUQ58"/>
      <c r="VUR58"/>
      <c r="VUS58"/>
      <c r="VUT58"/>
      <c r="VUU58"/>
      <c r="VUV58"/>
      <c r="VUW58"/>
      <c r="VUX58"/>
      <c r="VUY58"/>
      <c r="VUZ58"/>
      <c r="VVA58"/>
      <c r="VVB58"/>
      <c r="VVC58"/>
      <c r="VVD58"/>
      <c r="VVE58"/>
      <c r="VVF58"/>
      <c r="VVG58"/>
      <c r="VVH58"/>
      <c r="VVI58"/>
      <c r="VVJ58"/>
      <c r="VVK58"/>
      <c r="VVL58"/>
      <c r="VVM58"/>
      <c r="VVN58"/>
      <c r="VVO58"/>
      <c r="VVP58"/>
      <c r="VVQ58"/>
      <c r="VVR58"/>
      <c r="VVS58"/>
      <c r="VVT58"/>
      <c r="VVU58"/>
      <c r="VVV58"/>
      <c r="VVW58"/>
      <c r="VVX58"/>
      <c r="VVY58"/>
      <c r="VVZ58"/>
      <c r="VWA58"/>
      <c r="VWB58"/>
      <c r="VWC58"/>
      <c r="VWD58"/>
      <c r="VWE58"/>
      <c r="VWF58"/>
      <c r="VWG58"/>
      <c r="VWH58"/>
      <c r="VWI58"/>
      <c r="VWJ58"/>
      <c r="VWK58"/>
      <c r="VWL58"/>
      <c r="VWM58"/>
      <c r="VWN58"/>
      <c r="VWO58"/>
      <c r="VWP58"/>
      <c r="VWQ58"/>
      <c r="VWR58"/>
      <c r="VWS58"/>
      <c r="VWT58"/>
      <c r="VWU58"/>
      <c r="VWV58"/>
      <c r="VWW58"/>
      <c r="VWX58"/>
      <c r="VWY58"/>
      <c r="VWZ58"/>
      <c r="VXA58"/>
      <c r="VXB58"/>
      <c r="VXC58"/>
      <c r="VXD58"/>
      <c r="VXE58"/>
      <c r="VXF58"/>
      <c r="VXG58"/>
      <c r="VXH58"/>
      <c r="VXI58"/>
      <c r="VXJ58"/>
      <c r="VXK58"/>
      <c r="VXL58"/>
      <c r="VXM58"/>
      <c r="VXN58"/>
      <c r="VXO58"/>
      <c r="VXP58"/>
      <c r="VXQ58"/>
      <c r="VXR58"/>
      <c r="VXS58"/>
      <c r="VXT58"/>
      <c r="VXU58"/>
      <c r="VXV58"/>
      <c r="VXW58"/>
      <c r="VXX58"/>
      <c r="VXY58"/>
      <c r="VXZ58"/>
      <c r="VYA58"/>
      <c r="VYB58"/>
      <c r="VYC58"/>
      <c r="VYD58"/>
      <c r="VYE58"/>
      <c r="VYF58"/>
      <c r="VYG58"/>
      <c r="VYH58"/>
      <c r="VYI58"/>
      <c r="VYJ58"/>
      <c r="VYK58"/>
      <c r="VYL58"/>
      <c r="VYM58"/>
      <c r="VYN58"/>
      <c r="VYO58"/>
      <c r="VYP58"/>
      <c r="VYQ58"/>
      <c r="VYR58"/>
      <c r="VYS58"/>
      <c r="VYT58"/>
      <c r="VYU58"/>
      <c r="VYV58"/>
      <c r="VYW58"/>
      <c r="VYX58"/>
      <c r="VYY58"/>
      <c r="VYZ58"/>
      <c r="VZA58"/>
      <c r="VZB58"/>
      <c r="VZC58"/>
      <c r="VZD58"/>
      <c r="VZE58"/>
      <c r="VZF58"/>
      <c r="VZG58"/>
      <c r="VZH58"/>
      <c r="VZI58"/>
      <c r="VZJ58"/>
      <c r="VZK58"/>
      <c r="VZL58"/>
      <c r="VZM58"/>
      <c r="VZN58"/>
      <c r="VZO58"/>
      <c r="VZP58"/>
      <c r="VZQ58"/>
      <c r="VZR58"/>
      <c r="VZS58"/>
      <c r="VZT58"/>
      <c r="VZU58"/>
      <c r="VZV58"/>
      <c r="VZW58"/>
      <c r="VZX58"/>
      <c r="VZY58"/>
      <c r="VZZ58"/>
      <c r="WAA58"/>
      <c r="WAB58"/>
      <c r="WAC58"/>
      <c r="WAD58"/>
      <c r="WAE58"/>
      <c r="WAF58"/>
      <c r="WAG58"/>
      <c r="WAH58"/>
      <c r="WAI58"/>
      <c r="WAJ58"/>
      <c r="WAK58"/>
      <c r="WAL58"/>
      <c r="WAM58"/>
      <c r="WAN58"/>
      <c r="WAO58"/>
      <c r="WAP58"/>
      <c r="WAQ58"/>
      <c r="WAR58"/>
      <c r="WAS58"/>
      <c r="WAT58"/>
      <c r="WAU58"/>
      <c r="WAV58"/>
      <c r="WAW58"/>
      <c r="WAX58"/>
      <c r="WAY58"/>
      <c r="WAZ58"/>
      <c r="WBA58"/>
      <c r="WBB58"/>
      <c r="WBC58"/>
      <c r="WBD58"/>
      <c r="WBE58"/>
      <c r="WBF58"/>
      <c r="WBG58"/>
      <c r="WBH58"/>
      <c r="WBI58"/>
      <c r="WBJ58"/>
      <c r="WBK58"/>
      <c r="WBL58"/>
      <c r="WBM58"/>
      <c r="WBN58"/>
      <c r="WBO58"/>
      <c r="WBP58"/>
      <c r="WBQ58"/>
      <c r="WBR58"/>
      <c r="WBS58"/>
      <c r="WBT58"/>
      <c r="WBU58"/>
      <c r="WBV58"/>
      <c r="WBW58"/>
      <c r="WBX58"/>
      <c r="WBY58"/>
      <c r="WBZ58"/>
      <c r="WCA58"/>
      <c r="WCB58"/>
      <c r="WCC58"/>
      <c r="WCD58"/>
      <c r="WCE58"/>
      <c r="WCF58"/>
      <c r="WCG58"/>
      <c r="WCH58"/>
      <c r="WCI58"/>
      <c r="WCJ58"/>
      <c r="WCK58"/>
      <c r="WCL58"/>
      <c r="WCM58"/>
      <c r="WCN58"/>
      <c r="WCO58"/>
      <c r="WCP58"/>
      <c r="WCQ58"/>
      <c r="WCR58"/>
      <c r="WCS58"/>
      <c r="WCT58"/>
      <c r="WCU58"/>
      <c r="WCV58"/>
      <c r="WCW58"/>
      <c r="WCX58"/>
      <c r="WCY58"/>
      <c r="WCZ58"/>
      <c r="WDA58"/>
      <c r="WDB58"/>
      <c r="WDC58"/>
      <c r="WDD58"/>
      <c r="WDE58"/>
      <c r="WDF58"/>
      <c r="WDG58"/>
      <c r="WDH58"/>
      <c r="WDI58"/>
      <c r="WDJ58"/>
      <c r="WDK58"/>
      <c r="WDL58"/>
      <c r="WDM58"/>
      <c r="WDN58"/>
      <c r="WDO58"/>
      <c r="WDP58"/>
      <c r="WDQ58"/>
      <c r="WDR58"/>
      <c r="WDS58"/>
      <c r="WDT58"/>
      <c r="WDU58"/>
      <c r="WDV58"/>
      <c r="WDW58"/>
      <c r="WDX58"/>
      <c r="WDY58"/>
      <c r="WDZ58"/>
      <c r="WEA58"/>
      <c r="WEB58"/>
      <c r="WEC58"/>
      <c r="WED58"/>
      <c r="WEE58"/>
      <c r="WEF58"/>
      <c r="WEG58"/>
      <c r="WEH58"/>
      <c r="WEI58"/>
      <c r="WEJ58"/>
      <c r="WEK58"/>
      <c r="WEL58"/>
      <c r="WEM58"/>
      <c r="WEN58"/>
      <c r="WEO58"/>
      <c r="WEP58"/>
      <c r="WEQ58"/>
      <c r="WER58"/>
      <c r="WES58"/>
      <c r="WET58"/>
      <c r="WEU58"/>
      <c r="WEV58"/>
      <c r="WEW58"/>
      <c r="WEX58"/>
      <c r="WEY58"/>
      <c r="WEZ58"/>
      <c r="WFA58"/>
      <c r="WFB58"/>
      <c r="WFC58"/>
      <c r="WFD58"/>
      <c r="WFE58"/>
      <c r="WFF58"/>
      <c r="WFG58"/>
      <c r="WFH58"/>
      <c r="WFI58"/>
      <c r="WFJ58"/>
      <c r="WFK58"/>
      <c r="WFL58"/>
      <c r="WFM58"/>
      <c r="WFN58"/>
      <c r="WFO58"/>
      <c r="WFP58"/>
      <c r="WFQ58"/>
      <c r="WFR58"/>
      <c r="WFS58"/>
      <c r="WFT58"/>
      <c r="WFU58"/>
      <c r="WFV58"/>
      <c r="WFW58"/>
      <c r="WFX58"/>
      <c r="WFY58"/>
      <c r="WFZ58"/>
      <c r="WGA58"/>
      <c r="WGB58"/>
      <c r="WGC58"/>
      <c r="WGD58"/>
      <c r="WGE58"/>
      <c r="WGF58"/>
      <c r="WGG58"/>
      <c r="WGH58"/>
      <c r="WGI58"/>
      <c r="WGJ58"/>
      <c r="WGK58"/>
      <c r="WGL58"/>
      <c r="WGM58"/>
      <c r="WGN58"/>
      <c r="WGO58"/>
      <c r="WGP58"/>
      <c r="WGQ58"/>
      <c r="WGR58"/>
      <c r="WGS58"/>
      <c r="WGT58"/>
      <c r="WGU58"/>
      <c r="WGV58"/>
      <c r="WGW58"/>
      <c r="WGX58"/>
      <c r="WGY58"/>
      <c r="WGZ58"/>
      <c r="WHA58"/>
      <c r="WHB58"/>
      <c r="WHC58"/>
      <c r="WHD58"/>
      <c r="WHE58"/>
      <c r="WHF58"/>
      <c r="WHG58"/>
      <c r="WHH58"/>
      <c r="WHI58"/>
      <c r="WHJ58"/>
      <c r="WHK58"/>
      <c r="WHL58"/>
      <c r="WHM58"/>
      <c r="WHN58"/>
      <c r="WHO58"/>
      <c r="WHP58"/>
      <c r="WHQ58"/>
      <c r="WHR58"/>
      <c r="WHS58"/>
      <c r="WHT58"/>
      <c r="WHU58"/>
      <c r="WHV58"/>
      <c r="WHW58"/>
      <c r="WHX58"/>
      <c r="WHY58"/>
      <c r="WHZ58"/>
      <c r="WIA58"/>
      <c r="WIB58"/>
      <c r="WIC58"/>
      <c r="WID58"/>
      <c r="WIE58"/>
      <c r="WIF58"/>
      <c r="WIG58"/>
      <c r="WIH58"/>
      <c r="WII58"/>
      <c r="WIJ58"/>
      <c r="WIK58"/>
      <c r="WIL58"/>
      <c r="WIM58"/>
      <c r="WIN58"/>
      <c r="WIO58"/>
      <c r="WIP58"/>
      <c r="WIQ58"/>
      <c r="WIR58"/>
      <c r="WIS58"/>
      <c r="WIT58"/>
      <c r="WIU58"/>
      <c r="WIV58"/>
      <c r="WIW58"/>
      <c r="WIX58"/>
      <c r="WIY58"/>
      <c r="WIZ58"/>
      <c r="WJA58"/>
      <c r="WJB58"/>
      <c r="WJC58"/>
      <c r="WJD58"/>
      <c r="WJE58"/>
      <c r="WJF58"/>
      <c r="WJG58"/>
      <c r="WJH58"/>
      <c r="WJI58"/>
      <c r="WJJ58"/>
      <c r="WJK58"/>
      <c r="WJL58"/>
      <c r="WJM58"/>
      <c r="WJN58"/>
      <c r="WJO58"/>
      <c r="WJP58"/>
      <c r="WJQ58"/>
      <c r="WJR58"/>
      <c r="WJS58"/>
      <c r="WJT58"/>
      <c r="WJU58"/>
      <c r="WJV58"/>
      <c r="WJW58"/>
      <c r="WJX58"/>
      <c r="WJY58"/>
      <c r="WJZ58"/>
      <c r="WKA58"/>
      <c r="WKB58"/>
      <c r="WKC58"/>
      <c r="WKD58"/>
      <c r="WKE58"/>
      <c r="WKF58"/>
      <c r="WKG58"/>
      <c r="WKH58"/>
      <c r="WKI58"/>
      <c r="WKJ58"/>
      <c r="WKK58"/>
      <c r="WKL58"/>
      <c r="WKM58"/>
      <c r="WKN58"/>
      <c r="WKO58"/>
      <c r="WKP58"/>
      <c r="WKQ58"/>
      <c r="WKR58"/>
      <c r="WKS58"/>
      <c r="WKT58"/>
      <c r="WKU58"/>
      <c r="WKV58"/>
      <c r="WKW58"/>
      <c r="WKX58"/>
      <c r="WKY58"/>
      <c r="WKZ58"/>
      <c r="WLA58"/>
      <c r="WLB58"/>
      <c r="WLC58"/>
      <c r="WLD58"/>
      <c r="WLE58"/>
      <c r="WLF58"/>
      <c r="WLG58"/>
      <c r="WLH58"/>
      <c r="WLI58"/>
      <c r="WLJ58"/>
      <c r="WLK58"/>
      <c r="WLL58"/>
      <c r="WLM58"/>
      <c r="WLN58"/>
      <c r="WLO58"/>
      <c r="WLP58"/>
      <c r="WLQ58"/>
      <c r="WLR58"/>
      <c r="WLS58"/>
      <c r="WLT58"/>
      <c r="WLU58"/>
      <c r="WLV58"/>
      <c r="WLW58"/>
      <c r="WLX58"/>
      <c r="WLY58"/>
      <c r="WLZ58"/>
      <c r="WMA58"/>
      <c r="WMB58"/>
      <c r="WMC58"/>
      <c r="WMD58"/>
      <c r="WME58"/>
      <c r="WMF58"/>
      <c r="WMG58"/>
      <c r="WMH58"/>
      <c r="WMI58"/>
      <c r="WMJ58"/>
      <c r="WMK58"/>
      <c r="WML58"/>
      <c r="WMM58"/>
      <c r="WMN58"/>
      <c r="WMO58"/>
      <c r="WMP58"/>
      <c r="WMQ58"/>
      <c r="WMR58"/>
      <c r="WMS58"/>
      <c r="WMT58"/>
      <c r="WMU58"/>
      <c r="WMV58"/>
      <c r="WMW58"/>
      <c r="WMX58"/>
      <c r="WMY58"/>
      <c r="WMZ58"/>
      <c r="WNA58"/>
      <c r="WNB58"/>
      <c r="WNC58"/>
      <c r="WND58"/>
      <c r="WNE58"/>
      <c r="WNF58"/>
      <c r="WNG58"/>
      <c r="WNH58"/>
      <c r="WNI58"/>
      <c r="WNJ58"/>
      <c r="WNK58"/>
      <c r="WNL58"/>
      <c r="WNM58"/>
      <c r="WNN58"/>
      <c r="WNO58"/>
      <c r="WNP58"/>
      <c r="WNQ58"/>
      <c r="WNR58"/>
      <c r="WNS58"/>
      <c r="WNT58"/>
      <c r="WNU58"/>
      <c r="WNV58"/>
      <c r="WNW58"/>
      <c r="WNX58"/>
      <c r="WNY58"/>
      <c r="WNZ58"/>
      <c r="WOA58"/>
      <c r="WOB58"/>
      <c r="WOC58"/>
      <c r="WOD58"/>
      <c r="WOE58"/>
      <c r="WOF58"/>
      <c r="WOG58"/>
      <c r="WOH58"/>
      <c r="WOI58"/>
      <c r="WOJ58"/>
      <c r="WOK58"/>
      <c r="WOL58"/>
      <c r="WOM58"/>
      <c r="WON58"/>
      <c r="WOO58"/>
      <c r="WOP58"/>
      <c r="WOQ58"/>
      <c r="WOR58"/>
      <c r="WOS58"/>
      <c r="WOT58"/>
      <c r="WOU58"/>
      <c r="WOV58"/>
      <c r="WOW58"/>
      <c r="WOX58"/>
      <c r="WOY58"/>
      <c r="WOZ58"/>
      <c r="WPA58"/>
      <c r="WPB58"/>
      <c r="WPC58"/>
      <c r="WPD58"/>
      <c r="WPE58"/>
      <c r="WPF58"/>
      <c r="WPG58"/>
      <c r="WPH58"/>
      <c r="WPI58"/>
      <c r="WPJ58"/>
      <c r="WPK58"/>
      <c r="WPL58"/>
      <c r="WPM58"/>
      <c r="WPN58"/>
      <c r="WPO58"/>
      <c r="WPP58"/>
      <c r="WPQ58"/>
      <c r="WPR58"/>
      <c r="WPS58"/>
      <c r="WPT58"/>
      <c r="WPU58"/>
      <c r="WPV58"/>
      <c r="WPW58"/>
      <c r="WPX58"/>
      <c r="WPY58"/>
      <c r="WPZ58"/>
      <c r="WQA58"/>
      <c r="WQB58"/>
      <c r="WQC58"/>
      <c r="WQD58"/>
      <c r="WQE58"/>
      <c r="WQF58"/>
      <c r="WQG58"/>
      <c r="WQH58"/>
      <c r="WQI58"/>
      <c r="WQJ58"/>
      <c r="WQK58"/>
      <c r="WQL58"/>
      <c r="WQM58"/>
      <c r="WQN58"/>
      <c r="WQO58"/>
      <c r="WQP58"/>
      <c r="WQQ58"/>
      <c r="WQR58"/>
      <c r="WQS58"/>
      <c r="WQT58"/>
      <c r="WQU58"/>
      <c r="WQV58"/>
      <c r="WQW58"/>
      <c r="WQX58"/>
      <c r="WQY58"/>
      <c r="WQZ58"/>
      <c r="WRA58"/>
      <c r="WRB58"/>
      <c r="WRC58"/>
      <c r="WRD58"/>
      <c r="WRE58"/>
      <c r="WRF58"/>
      <c r="WRG58"/>
      <c r="WRH58"/>
      <c r="WRI58"/>
      <c r="WRJ58"/>
      <c r="WRK58"/>
      <c r="WRL58"/>
      <c r="WRM58"/>
      <c r="WRN58"/>
      <c r="WRO58"/>
      <c r="WRP58"/>
      <c r="WRQ58"/>
      <c r="WRR58"/>
      <c r="WRS58"/>
      <c r="WRT58"/>
      <c r="WRU58"/>
      <c r="WRV58"/>
      <c r="WRW58"/>
      <c r="WRX58"/>
      <c r="WRY58"/>
      <c r="WRZ58"/>
      <c r="WSA58"/>
      <c r="WSB58"/>
      <c r="WSC58"/>
      <c r="WSD58"/>
      <c r="WSE58"/>
      <c r="WSF58"/>
      <c r="WSG58"/>
      <c r="WSH58"/>
      <c r="WSI58"/>
      <c r="WSJ58"/>
      <c r="WSK58"/>
      <c r="WSL58"/>
      <c r="WSM58"/>
      <c r="WSN58"/>
      <c r="WSO58"/>
      <c r="WSP58"/>
      <c r="WSQ58"/>
      <c r="WSR58"/>
      <c r="WSS58"/>
      <c r="WST58"/>
      <c r="WSU58"/>
      <c r="WSV58"/>
      <c r="WSW58"/>
      <c r="WSX58"/>
      <c r="WSY58"/>
      <c r="WSZ58"/>
      <c r="WTA58"/>
      <c r="WTB58"/>
      <c r="WTC58"/>
      <c r="WTD58"/>
      <c r="WTE58"/>
      <c r="WTF58"/>
      <c r="WTG58"/>
      <c r="WTH58"/>
      <c r="WTI58"/>
      <c r="WTJ58"/>
      <c r="WTK58"/>
      <c r="WTL58"/>
      <c r="WTM58"/>
      <c r="WTN58"/>
      <c r="WTO58"/>
      <c r="WTP58"/>
      <c r="WTQ58"/>
      <c r="WTR58"/>
      <c r="WTS58"/>
      <c r="WTT58"/>
      <c r="WTU58"/>
      <c r="WTV58"/>
      <c r="WTW58"/>
      <c r="WTX58"/>
      <c r="WTY58"/>
      <c r="WTZ58"/>
      <c r="WUA58"/>
      <c r="WUB58"/>
      <c r="WUC58"/>
      <c r="WUD58"/>
      <c r="WUE58"/>
      <c r="WUF58"/>
      <c r="WUG58"/>
      <c r="WUH58"/>
      <c r="WUI58"/>
      <c r="WUJ58"/>
      <c r="WUK58"/>
      <c r="WUL58"/>
      <c r="WUM58"/>
      <c r="WUN58"/>
      <c r="WUO58"/>
      <c r="WUP58"/>
      <c r="WUQ58"/>
      <c r="WUR58"/>
      <c r="WUS58"/>
      <c r="WUT58"/>
      <c r="WUU58"/>
      <c r="WUV58"/>
      <c r="WUW58"/>
      <c r="WUX58"/>
      <c r="WUY58"/>
      <c r="WUZ58"/>
      <c r="WVA58"/>
      <c r="WVB58"/>
      <c r="WVC58"/>
      <c r="WVD58"/>
      <c r="WVE58"/>
      <c r="WVF58"/>
      <c r="WVG58"/>
      <c r="WVH58"/>
      <c r="WVI58"/>
      <c r="WVJ58"/>
      <c r="WVK58"/>
      <c r="WVL58"/>
      <c r="WVM58"/>
      <c r="WVN58"/>
      <c r="WVO58"/>
      <c r="WVP58"/>
      <c r="WVQ58"/>
      <c r="WVR58"/>
      <c r="WVS58"/>
      <c r="WVT58"/>
      <c r="WVU58"/>
      <c r="WVV58"/>
      <c r="WVW58"/>
      <c r="WVX58"/>
      <c r="WVY58"/>
      <c r="WVZ58"/>
      <c r="WWA58"/>
      <c r="WWB58"/>
      <c r="WWC58"/>
      <c r="WWD58"/>
      <c r="WWE58"/>
      <c r="WWF58"/>
      <c r="WWG58"/>
      <c r="WWH58"/>
      <c r="WWI58"/>
      <c r="WWJ58"/>
      <c r="WWK58"/>
      <c r="WWL58"/>
      <c r="WWM58"/>
      <c r="WWN58"/>
      <c r="WWO58"/>
      <c r="WWP58"/>
      <c r="WWQ58"/>
      <c r="WWR58"/>
      <c r="WWS58"/>
      <c r="WWT58"/>
      <c r="WWU58"/>
      <c r="WWV58"/>
      <c r="WWW58"/>
      <c r="WWX58"/>
      <c r="WWY58"/>
      <c r="WWZ58"/>
      <c r="WXA58"/>
      <c r="WXB58"/>
      <c r="WXC58"/>
      <c r="WXD58"/>
      <c r="WXE58"/>
      <c r="WXF58"/>
      <c r="WXG58"/>
      <c r="WXH58"/>
      <c r="WXI58"/>
      <c r="WXJ58"/>
      <c r="WXK58"/>
      <c r="WXL58"/>
      <c r="WXM58"/>
      <c r="WXN58"/>
      <c r="WXO58"/>
      <c r="WXP58"/>
      <c r="WXQ58"/>
      <c r="WXR58"/>
      <c r="WXS58"/>
      <c r="WXT58"/>
      <c r="WXU58"/>
      <c r="WXV58"/>
      <c r="WXW58"/>
      <c r="WXX58"/>
      <c r="WXY58"/>
      <c r="WXZ58"/>
      <c r="WYA58"/>
      <c r="WYB58"/>
      <c r="WYC58"/>
      <c r="WYD58"/>
      <c r="WYE58"/>
      <c r="WYF58"/>
      <c r="WYG58"/>
      <c r="WYH58"/>
      <c r="WYI58"/>
      <c r="WYJ58"/>
      <c r="WYK58"/>
      <c r="WYL58"/>
      <c r="WYM58"/>
      <c r="WYN58"/>
      <c r="WYO58"/>
      <c r="WYP58"/>
      <c r="WYQ58"/>
      <c r="WYR58"/>
      <c r="WYS58"/>
      <c r="WYT58"/>
      <c r="WYU58"/>
      <c r="WYV58"/>
      <c r="WYW58"/>
      <c r="WYX58"/>
      <c r="WYY58"/>
      <c r="WYZ58"/>
      <c r="WZA58"/>
      <c r="WZB58"/>
      <c r="WZC58"/>
      <c r="WZD58"/>
      <c r="WZE58"/>
      <c r="WZF58"/>
      <c r="WZG58"/>
      <c r="WZH58"/>
      <c r="WZI58"/>
      <c r="WZJ58"/>
      <c r="WZK58"/>
      <c r="WZL58"/>
      <c r="WZM58"/>
      <c r="WZN58"/>
      <c r="WZO58"/>
      <c r="WZP58"/>
      <c r="WZQ58"/>
      <c r="WZR58"/>
      <c r="WZS58"/>
      <c r="WZT58"/>
      <c r="WZU58"/>
      <c r="WZV58"/>
      <c r="WZW58"/>
      <c r="WZX58"/>
      <c r="WZY58"/>
      <c r="WZZ58"/>
      <c r="XAA58"/>
      <c r="XAB58"/>
      <c r="XAC58"/>
      <c r="XAD58"/>
      <c r="XAE58"/>
      <c r="XAF58"/>
      <c r="XAG58"/>
      <c r="XAH58"/>
      <c r="XAI58"/>
      <c r="XAJ58"/>
      <c r="XAK58"/>
      <c r="XAL58"/>
      <c r="XAM58"/>
      <c r="XAN58"/>
      <c r="XAO58"/>
      <c r="XAP58"/>
      <c r="XAQ58"/>
      <c r="XAR58"/>
      <c r="XAS58"/>
      <c r="XAT58"/>
      <c r="XAU58"/>
      <c r="XAV58"/>
      <c r="XAW58"/>
      <c r="XAX58"/>
      <c r="XAY58"/>
      <c r="XAZ58"/>
      <c r="XBA58"/>
      <c r="XBB58"/>
      <c r="XBC58"/>
      <c r="XBD58"/>
      <c r="XBE58"/>
      <c r="XBF58"/>
      <c r="XBG58"/>
      <c r="XBH58"/>
      <c r="XBI58"/>
      <c r="XBJ58"/>
      <c r="XBK58"/>
      <c r="XBL58"/>
      <c r="XBM58"/>
      <c r="XBN58"/>
      <c r="XBO58"/>
      <c r="XBP58"/>
      <c r="XBQ58"/>
      <c r="XBR58"/>
      <c r="XBS58"/>
      <c r="XBT58"/>
      <c r="XBU58"/>
      <c r="XBV58"/>
      <c r="XBW58"/>
      <c r="XBX58"/>
      <c r="XBY58"/>
      <c r="XBZ58"/>
      <c r="XCA58"/>
      <c r="XCB58"/>
      <c r="XCC58"/>
      <c r="XCD58"/>
      <c r="XCE58"/>
      <c r="XCF58"/>
      <c r="XCG58"/>
      <c r="XCH58"/>
      <c r="XCI58"/>
      <c r="XCJ58"/>
      <c r="XCK58"/>
      <c r="XCL58"/>
      <c r="XCM58"/>
      <c r="XCN58"/>
      <c r="XCO58"/>
      <c r="XCP58"/>
      <c r="XCQ58"/>
      <c r="XCR58"/>
      <c r="XCS58"/>
      <c r="XCT58"/>
      <c r="XCU58"/>
      <c r="XCV58"/>
      <c r="XCW58"/>
      <c r="XCX58"/>
      <c r="XCY58"/>
      <c r="XCZ58"/>
      <c r="XDA58"/>
      <c r="XDB58"/>
      <c r="XDC58"/>
      <c r="XDD58"/>
      <c r="XDE58"/>
      <c r="XDF58"/>
      <c r="XDG58"/>
      <c r="XDH58"/>
      <c r="XDI58"/>
      <c r="XDJ58"/>
      <c r="XDK58"/>
      <c r="XDL58"/>
      <c r="XDM58"/>
      <c r="XDN58"/>
      <c r="XDO58"/>
      <c r="XDP58"/>
      <c r="XDQ58"/>
      <c r="XDR58"/>
      <c r="XDS58"/>
      <c r="XDT58"/>
      <c r="XDU58"/>
      <c r="XDV58"/>
      <c r="XDW58"/>
      <c r="XDX58"/>
      <c r="XDY58"/>
      <c r="XDZ58"/>
      <c r="XEA58"/>
      <c r="XEB58"/>
      <c r="XEC58"/>
      <c r="XED58"/>
      <c r="XEE58"/>
      <c r="XEF58"/>
      <c r="XEG58"/>
      <c r="XEH58"/>
    </row>
    <row r="59" spans="2:16362">
      <c r="B59" s="28" t="s">
        <v>38</v>
      </c>
      <c r="C59" s="11" t="s">
        <v>167</v>
      </c>
      <c r="D59" s="11" t="s">
        <v>244</v>
      </c>
      <c r="E59" s="12" t="s">
        <v>344</v>
      </c>
      <c r="F59" s="12" t="s">
        <v>435</v>
      </c>
      <c r="G59" s="12">
        <v>1</v>
      </c>
      <c r="H59" s="13">
        <v>1</v>
      </c>
      <c r="I59" s="13" t="s">
        <v>457</v>
      </c>
      <c r="J59" s="17">
        <v>0</v>
      </c>
      <c r="K59" s="17" t="s">
        <v>484</v>
      </c>
      <c r="L59" s="17" t="s">
        <v>484</v>
      </c>
    </row>
    <row r="60" spans="2:16362">
      <c r="B60" s="28" t="s">
        <v>40</v>
      </c>
      <c r="C60" s="11" t="s">
        <v>169</v>
      </c>
      <c r="D60" s="11" t="s">
        <v>246</v>
      </c>
      <c r="E60" s="12" t="s">
        <v>346</v>
      </c>
      <c r="F60" s="12" t="s">
        <v>435</v>
      </c>
      <c r="G60" s="12">
        <v>1</v>
      </c>
      <c r="H60" s="13">
        <v>1</v>
      </c>
      <c r="I60" s="13" t="s">
        <v>465</v>
      </c>
      <c r="J60" s="17">
        <v>0</v>
      </c>
      <c r="K60" s="17" t="s">
        <v>484</v>
      </c>
      <c r="L60" s="17" t="s">
        <v>484</v>
      </c>
    </row>
    <row r="61" spans="2:16362">
      <c r="B61" s="28" t="s">
        <v>41</v>
      </c>
      <c r="C61" s="11" t="s">
        <v>170</v>
      </c>
      <c r="D61" s="11" t="s">
        <v>247</v>
      </c>
      <c r="E61" s="12" t="s">
        <v>347</v>
      </c>
      <c r="F61" s="12" t="s">
        <v>435</v>
      </c>
      <c r="G61" s="12">
        <v>1</v>
      </c>
      <c r="H61" s="13">
        <v>1</v>
      </c>
      <c r="I61" s="13" t="s">
        <v>532</v>
      </c>
      <c r="J61" s="17">
        <v>0</v>
      </c>
      <c r="K61" s="17" t="s">
        <v>484</v>
      </c>
      <c r="L61" s="17" t="s">
        <v>484</v>
      </c>
    </row>
    <row r="62" spans="2:16362">
      <c r="B62" s="28" t="s">
        <v>48</v>
      </c>
      <c r="C62" s="11" t="s">
        <v>177</v>
      </c>
      <c r="D62" s="11" t="s">
        <v>254</v>
      </c>
      <c r="E62" s="12" t="s">
        <v>353</v>
      </c>
      <c r="F62" s="12" t="s">
        <v>435</v>
      </c>
      <c r="G62" s="12">
        <v>1</v>
      </c>
      <c r="H62" s="13">
        <v>1</v>
      </c>
      <c r="I62" s="13" t="s">
        <v>465</v>
      </c>
      <c r="J62" s="17">
        <v>0</v>
      </c>
      <c r="K62" s="17" t="s">
        <v>439</v>
      </c>
      <c r="L62" s="17" t="s">
        <v>439</v>
      </c>
    </row>
    <row r="63" spans="2:16362">
      <c r="B63" s="28" t="s">
        <v>51</v>
      </c>
      <c r="C63" s="11" t="s">
        <v>180</v>
      </c>
      <c r="D63" s="11" t="s">
        <v>256</v>
      </c>
      <c r="E63" s="12" t="s">
        <v>356</v>
      </c>
      <c r="F63" s="12" t="s">
        <v>435</v>
      </c>
      <c r="G63" s="12">
        <v>1</v>
      </c>
      <c r="H63" s="13">
        <v>1</v>
      </c>
      <c r="I63" s="13" t="s">
        <v>465</v>
      </c>
      <c r="J63" s="17">
        <v>0</v>
      </c>
      <c r="K63" s="17" t="s">
        <v>484</v>
      </c>
      <c r="L63" s="17" t="s">
        <v>484</v>
      </c>
    </row>
    <row r="64" spans="2:16362">
      <c r="B64" s="28" t="s">
        <v>64</v>
      </c>
      <c r="C64" s="11" t="s">
        <v>191</v>
      </c>
      <c r="D64" s="11" t="s">
        <v>269</v>
      </c>
      <c r="E64" s="12" t="s">
        <v>367</v>
      </c>
      <c r="F64" s="12" t="s">
        <v>544</v>
      </c>
      <c r="G64" s="12">
        <v>1</v>
      </c>
      <c r="H64" s="13">
        <v>2</v>
      </c>
      <c r="I64" s="13" t="s">
        <v>459</v>
      </c>
      <c r="J64" s="17">
        <v>0</v>
      </c>
      <c r="K64" s="17" t="s">
        <v>484</v>
      </c>
      <c r="L64" s="17" t="s">
        <v>484</v>
      </c>
    </row>
    <row r="65" spans="2:12">
      <c r="B65" s="28" t="s">
        <v>71</v>
      </c>
      <c r="C65" s="11" t="s">
        <v>195</v>
      </c>
      <c r="D65" s="11" t="s">
        <v>546</v>
      </c>
      <c r="E65" s="12" t="s">
        <v>373</v>
      </c>
      <c r="F65" s="12" t="s">
        <v>435</v>
      </c>
      <c r="G65" s="12">
        <v>1</v>
      </c>
      <c r="H65" s="13">
        <v>1</v>
      </c>
      <c r="I65" s="13" t="s">
        <v>457</v>
      </c>
      <c r="J65" s="17">
        <v>0</v>
      </c>
      <c r="K65" s="17" t="s">
        <v>521</v>
      </c>
      <c r="L65" s="17" t="s">
        <v>512</v>
      </c>
    </row>
    <row r="66" spans="2:12">
      <c r="B66" s="28" t="s">
        <v>94</v>
      </c>
      <c r="C66" s="11" t="s">
        <v>555</v>
      </c>
      <c r="D66" s="11" t="s">
        <v>295</v>
      </c>
      <c r="E66" s="12" t="s">
        <v>556</v>
      </c>
      <c r="F66" s="12" t="s">
        <v>717</v>
      </c>
      <c r="G66" s="12">
        <v>1</v>
      </c>
      <c r="H66" s="13">
        <v>0</v>
      </c>
      <c r="I66" s="13" t="s">
        <v>484</v>
      </c>
      <c r="J66" s="17">
        <v>0</v>
      </c>
      <c r="K66" s="17" t="s">
        <v>439</v>
      </c>
      <c r="L66" s="17" t="s">
        <v>439</v>
      </c>
    </row>
    <row r="67" spans="2:12">
      <c r="B67" s="28" t="s">
        <v>132</v>
      </c>
      <c r="C67" s="11" t="s">
        <v>599</v>
      </c>
      <c r="D67" s="11" t="s">
        <v>590</v>
      </c>
      <c r="E67" s="12" t="s">
        <v>596</v>
      </c>
      <c r="F67" s="12" t="s">
        <v>435</v>
      </c>
      <c r="G67" s="12">
        <v>1</v>
      </c>
      <c r="H67" s="13">
        <v>1</v>
      </c>
      <c r="I67" s="13" t="s">
        <v>465</v>
      </c>
      <c r="J67" s="17">
        <v>0</v>
      </c>
      <c r="K67" s="17" t="s">
        <v>439</v>
      </c>
      <c r="L67" s="17" t="s">
        <v>439</v>
      </c>
    </row>
    <row r="68" spans="2:12">
      <c r="B68" s="28" t="s">
        <v>133</v>
      </c>
      <c r="C68" s="11" t="s">
        <v>600</v>
      </c>
      <c r="D68" s="11" t="s">
        <v>591</v>
      </c>
      <c r="E68" s="12" t="s">
        <v>595</v>
      </c>
      <c r="F68" s="12" t="s">
        <v>435</v>
      </c>
      <c r="G68" s="12">
        <v>1</v>
      </c>
      <c r="H68" s="13">
        <v>1</v>
      </c>
      <c r="I68" s="13" t="s">
        <v>456</v>
      </c>
      <c r="J68" s="17">
        <v>0</v>
      </c>
      <c r="K68" s="17" t="s">
        <v>439</v>
      </c>
      <c r="L68" s="17" t="s">
        <v>439</v>
      </c>
    </row>
    <row r="69" spans="2:12">
      <c r="B69" s="28" t="s">
        <v>145</v>
      </c>
      <c r="C69" s="11" t="s">
        <v>228</v>
      </c>
      <c r="D69" s="11" t="s">
        <v>319</v>
      </c>
      <c r="E69" s="12" t="s">
        <v>420</v>
      </c>
      <c r="F69" s="12" t="s">
        <v>435</v>
      </c>
      <c r="G69" s="12">
        <v>1</v>
      </c>
      <c r="H69" s="13">
        <v>1</v>
      </c>
      <c r="I69" s="13" t="s">
        <v>457</v>
      </c>
      <c r="J69" s="17">
        <v>0</v>
      </c>
      <c r="K69" s="17" t="s">
        <v>439</v>
      </c>
      <c r="L69" s="17" t="s">
        <v>439</v>
      </c>
    </row>
    <row r="70" spans="2:12">
      <c r="B70" s="28" t="s">
        <v>148</v>
      </c>
      <c r="C70" s="11" t="s">
        <v>629</v>
      </c>
      <c r="D70" s="11" t="s">
        <v>628</v>
      </c>
      <c r="E70" s="12" t="s">
        <v>626</v>
      </c>
      <c r="F70" s="12" t="s">
        <v>435</v>
      </c>
      <c r="G70" s="12">
        <v>1</v>
      </c>
      <c r="H70" s="13">
        <v>0</v>
      </c>
      <c r="I70" s="13" t="s">
        <v>484</v>
      </c>
      <c r="J70" s="17">
        <v>0</v>
      </c>
      <c r="K70" s="17" t="s">
        <v>439</v>
      </c>
      <c r="L70" s="17" t="s">
        <v>439</v>
      </c>
    </row>
    <row r="71" spans="2:12">
      <c r="B71" s="28" t="s">
        <v>154</v>
      </c>
      <c r="C71" s="11" t="s">
        <v>232</v>
      </c>
      <c r="D71" s="11" t="s">
        <v>324</v>
      </c>
      <c r="E71" s="12" t="s">
        <v>424</v>
      </c>
      <c r="F71" s="12" t="s">
        <v>435</v>
      </c>
      <c r="G71" s="12">
        <v>1</v>
      </c>
      <c r="H71" s="13">
        <v>1</v>
      </c>
      <c r="I71" s="13" t="s">
        <v>465</v>
      </c>
      <c r="J71" s="17">
        <v>1</v>
      </c>
      <c r="K71" s="17" t="s">
        <v>521</v>
      </c>
      <c r="L71" s="17" t="s">
        <v>513</v>
      </c>
    </row>
    <row r="72" spans="2:12">
      <c r="B72" s="28" t="s">
        <v>661</v>
      </c>
      <c r="C72" s="11" t="s">
        <v>648</v>
      </c>
      <c r="D72" s="11" t="s">
        <v>650</v>
      </c>
      <c r="E72" s="12" t="s">
        <v>651</v>
      </c>
      <c r="F72" s="12" t="s">
        <v>435</v>
      </c>
      <c r="G72" s="12">
        <v>1</v>
      </c>
      <c r="H72" s="13">
        <v>1</v>
      </c>
      <c r="I72" s="13" t="s">
        <v>465</v>
      </c>
      <c r="J72" s="17">
        <v>1</v>
      </c>
      <c r="K72" s="17" t="s">
        <v>521</v>
      </c>
      <c r="L72" s="17" t="s">
        <v>512</v>
      </c>
    </row>
    <row r="73" spans="2:12">
      <c r="B73" s="28" t="s">
        <v>689</v>
      </c>
      <c r="C73" s="11" t="s">
        <v>623</v>
      </c>
      <c r="D73" s="11" t="s">
        <v>328</v>
      </c>
      <c r="E73" s="12" t="s">
        <v>718</v>
      </c>
      <c r="F73" s="29" t="s">
        <v>435</v>
      </c>
      <c r="G73" s="12">
        <v>1</v>
      </c>
      <c r="H73" s="13">
        <v>0</v>
      </c>
      <c r="I73" s="13" t="s">
        <v>484</v>
      </c>
      <c r="J73" s="17">
        <v>1</v>
      </c>
      <c r="K73" s="17" t="s">
        <v>521</v>
      </c>
      <c r="L73" s="17" t="s">
        <v>512</v>
      </c>
    </row>
    <row r="74" spans="2:12">
      <c r="B74" s="28" t="s">
        <v>693</v>
      </c>
      <c r="C74" s="11" t="s">
        <v>668</v>
      </c>
      <c r="D74" s="11" t="s">
        <v>670</v>
      </c>
      <c r="E74" s="12" t="s">
        <v>675</v>
      </c>
      <c r="F74" s="12" t="s">
        <v>435</v>
      </c>
      <c r="G74" s="12">
        <v>1</v>
      </c>
      <c r="H74" s="13">
        <v>1</v>
      </c>
      <c r="I74" s="13" t="s">
        <v>465</v>
      </c>
      <c r="J74" s="17">
        <v>0</v>
      </c>
      <c r="K74" s="17" t="s">
        <v>439</v>
      </c>
      <c r="L74" s="17" t="s">
        <v>439</v>
      </c>
    </row>
    <row r="75" spans="2:12">
      <c r="B75" s="28" t="s">
        <v>695</v>
      </c>
      <c r="C75" s="11" t="s">
        <v>676</v>
      </c>
      <c r="D75" s="11" t="s">
        <v>331</v>
      </c>
      <c r="E75" s="12" t="s">
        <v>678</v>
      </c>
      <c r="F75" s="12" t="s">
        <v>435</v>
      </c>
      <c r="G75" s="12">
        <v>1</v>
      </c>
      <c r="H75" s="13">
        <v>1</v>
      </c>
      <c r="I75" s="13" t="s">
        <v>465</v>
      </c>
      <c r="J75" s="17">
        <v>1</v>
      </c>
      <c r="K75" s="17" t="s">
        <v>521</v>
      </c>
      <c r="L75" s="17" t="s">
        <v>513</v>
      </c>
    </row>
    <row r="76" spans="2:12">
      <c r="B76" s="28" t="s">
        <v>696</v>
      </c>
      <c r="C76" s="11" t="s">
        <v>674</v>
      </c>
      <c r="D76" s="11" t="s">
        <v>677</v>
      </c>
      <c r="E76" s="12" t="s">
        <v>679</v>
      </c>
      <c r="F76" s="12" t="s">
        <v>435</v>
      </c>
      <c r="G76" s="12">
        <v>1</v>
      </c>
      <c r="H76" s="13">
        <v>1</v>
      </c>
      <c r="I76" s="13" t="s">
        <v>465</v>
      </c>
      <c r="J76" s="17">
        <v>0</v>
      </c>
      <c r="K76" s="17" t="s">
        <v>439</v>
      </c>
      <c r="L76" s="17" t="s">
        <v>439</v>
      </c>
    </row>
    <row r="77" spans="2:12">
      <c r="B77" s="98" t="s">
        <v>709</v>
      </c>
      <c r="G77" s="79">
        <f>SUM(G59:G76)</f>
        <v>18</v>
      </c>
      <c r="H77" s="79">
        <f>SUM(H59:H76)</f>
        <v>16</v>
      </c>
      <c r="J77" s="79">
        <f>SUM(J59:J76)</f>
        <v>4</v>
      </c>
    </row>
    <row r="78" spans="2:12">
      <c r="B78" s="98" t="s">
        <v>1053</v>
      </c>
      <c r="C78" s="79">
        <f>J77/G77</f>
        <v>0.22222222222222221</v>
      </c>
    </row>
    <row r="79" spans="2:12">
      <c r="B79" s="98" t="s">
        <v>1034</v>
      </c>
      <c r="C79" s="99">
        <f>H77/G77</f>
        <v>0.88888888888888884</v>
      </c>
    </row>
    <row r="81" spans="2:6">
      <c r="B81" s="79" t="s">
        <v>1054</v>
      </c>
    </row>
    <row r="82" spans="2:6">
      <c r="B82" s="79" t="s">
        <v>1055</v>
      </c>
      <c r="C82" s="79" t="s">
        <v>457</v>
      </c>
      <c r="D82" s="79" t="s">
        <v>465</v>
      </c>
      <c r="E82" s="79" t="s">
        <v>456</v>
      </c>
      <c r="F82" s="79" t="s">
        <v>709</v>
      </c>
    </row>
    <row r="83" spans="2:6">
      <c r="C83" s="79">
        <v>70</v>
      </c>
      <c r="D83" s="79">
        <v>57</v>
      </c>
      <c r="E83" s="79">
        <v>20</v>
      </c>
      <c r="F83" s="79">
        <v>147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07C7CB6-B3DD-514D-9F60-2D1BED6037C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Isopo</vt:lpstr>
      <vt:lpstr>Heike Chapter 2</vt:lpstr>
      <vt:lpstr>Prelim Analysis</vt:lpstr>
      <vt:lpstr>RD vs argument realisation</vt:lpstr>
      <vt:lpstr>Exaltation vs pro-drop</vt:lpstr>
      <vt:lpstr>LVC vs RD</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Artemii Kuznetsov</cp:lastModifiedBy>
  <dcterms:created xsi:type="dcterms:W3CDTF">2025-11-24T12:15:27Z</dcterms:created>
  <dcterms:modified xsi:type="dcterms:W3CDTF">2026-01-06T10:21:55Z</dcterms:modified>
</cp:coreProperties>
</file>