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vkoy/Desktop/Research/RD pilot study/LMJ/"/>
    </mc:Choice>
  </mc:AlternateContent>
  <xr:revisionPtr revIDLastSave="0" documentId="13_ncr:1_{0CF2942D-0003-9E4F-A807-23AF8102BEE2}" xr6:coauthVersionLast="47" xr6:coauthVersionMax="47" xr10:uidLastSave="{00000000-0000-0000-0000-000000000000}"/>
  <bookViews>
    <workbookView xWindow="0" yWindow="740" windowWidth="34560" windowHeight="21600" xr2:uid="{EE498B94-C9F3-854E-9528-045621CFD35A}"/>
  </bookViews>
  <sheets>
    <sheet name="Isopo" sheetId="2" r:id="rId1"/>
    <sheet name="Sheet1" sheetId="4" r:id="rId2"/>
    <sheet name="Sta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/>
  <c r="C4" i="3"/>
  <c r="D4" i="3"/>
  <c r="B5" i="3"/>
  <c r="C5" i="3"/>
  <c r="D5" i="3"/>
  <c r="B6" i="3"/>
  <c r="C6" i="3"/>
  <c r="D6" i="3"/>
  <c r="B7" i="3"/>
  <c r="C7" i="3"/>
  <c r="D7" i="3"/>
  <c r="B8" i="3"/>
  <c r="C8" i="3"/>
  <c r="D8" i="3"/>
  <c r="E102" i="2"/>
  <c r="F102" i="2"/>
  <c r="G102" i="2"/>
  <c r="H102" i="2"/>
  <c r="I102" i="2"/>
  <c r="J102" i="2"/>
  <c r="K102" i="2"/>
  <c r="L102" i="2"/>
  <c r="D102" i="2"/>
  <c r="B107" i="2" l="1"/>
  <c r="B103" i="2"/>
  <c r="B104" i="2"/>
  <c r="B105" i="2"/>
  <c r="B106" i="2"/>
  <c r="F10" i="2"/>
</calcChain>
</file>

<file path=xl/sharedStrings.xml><?xml version="1.0" encoding="utf-8"?>
<sst xmlns="http://schemas.openxmlformats.org/spreadsheetml/2006/main" count="330" uniqueCount="313">
  <si>
    <t>Clause</t>
  </si>
  <si>
    <t>Translation</t>
  </si>
  <si>
    <t>Predicate</t>
  </si>
  <si>
    <t>~Ø-Verbal</t>
  </si>
  <si>
    <t>ACT-ARG</t>
  </si>
  <si>
    <t>NON-ARG</t>
  </si>
  <si>
    <t>V-ARG-Ø-ARG</t>
  </si>
  <si>
    <t>GAP-NON-ARG</t>
  </si>
  <si>
    <t>GAP-ACT-ARG</t>
  </si>
  <si>
    <t>Totals</t>
  </si>
  <si>
    <t>RD2</t>
  </si>
  <si>
    <t>ACT-ARG/~Ø-Verbal</t>
  </si>
  <si>
    <t>RD2+</t>
  </si>
  <si>
    <t>(ACT-ARG+V-ARG-Ø-ARG)/~Ø-Verbal</t>
  </si>
  <si>
    <t>RD2++</t>
  </si>
  <si>
    <t>(ACT-ARG+GAP-ACT-ARG)/~Ø-Verbal</t>
  </si>
  <si>
    <t>RD2+++</t>
  </si>
  <si>
    <t>(ACT-ARG+V-ARG-Ø-ARG+GAP-ACT-ARG)/~Ø-Verbal</t>
  </si>
  <si>
    <t>RD2-</t>
  </si>
  <si>
    <t>V-ARG-Ø-ARG/~Ø-Verbal</t>
  </si>
  <si>
    <t>NMLZ head</t>
  </si>
  <si>
    <t>NOM EXH MORPH</t>
  </si>
  <si>
    <t>Сomment</t>
  </si>
  <si>
    <t>EXALT INSIG</t>
  </si>
  <si>
    <t>ＥＶＲＯＰＡの内Ｐｈｒｉｇｉａと言う国のＴｒｏｉａと言う城裡の近辺にＡｍｏｎｉａと言う里がおぢゃる</t>
  </si>
  <si>
    <t>その里に名をばＥｓｏｐｏと言うて</t>
  </si>
  <si>
    <t>異形不思議な人体がおぢゃったが</t>
  </si>
  <si>
    <t>EVROPA no vchi Phrigiatoyŭ cunino Troia toyŭ jŏrino qinpenni Amoniato yŭ ſatoga vogiaru.</t>
  </si>
  <si>
    <t>to qicoyeta</t>
  </si>
  <si>
    <t>Mazzu cŏbeua togari</t>
  </si>
  <si>
    <t>manacoua tçubô xicamo dete</t>
  </si>
  <si>
    <t>cubiua yugami</t>
  </si>
  <si>
    <t>taqe-ua ficŭ</t>
  </si>
  <si>
    <t>yocobarini,xeua cugumi</t>
  </si>
  <si>
    <t>faraua fare</t>
  </si>
  <si>
    <t>taredete</t>
  </si>
  <si>
    <t>cotobaua domoride vogiatta</t>
  </si>
  <si>
    <t>Corerano ſugata vomotte</t>
  </si>
  <si>
    <t>cotoua vorinacatta</t>
  </si>
  <si>
    <t>Arutoqi xujin Eſopoga vyeuo vomouaruru</t>
  </si>
  <si>
    <t>to miyureba</t>
  </si>
  <si>
    <t>ategauŏzu</t>
  </si>
  <si>
    <t>to vomoi ſadame</t>
  </si>
  <si>
    <t>nôguuo coxiraye atayete</t>
  </si>
  <si>
    <t>Ｅｕｒｏｐａの天下にこの人に勝って</t>
  </si>
  <si>
    <t>醜い者もおりなかった</t>
  </si>
  <si>
    <t>と聞こえた</t>
  </si>
  <si>
    <t>先づ頭は尖り，</t>
  </si>
  <si>
    <t>眼はつぼう然も出て</t>
  </si>
  <si>
    <t>首は歪み</t>
  </si>
  <si>
    <t>丈は低う</t>
  </si>
  <si>
    <t>横張りに，背は屈み</t>
  </si>
  <si>
    <t>腹は腫れ</t>
  </si>
  <si>
    <t>垂れ出て</t>
  </si>
  <si>
    <t>言葉は吃りでおぢゃった</t>
  </si>
  <si>
    <t>これ等の姿を持って</t>
  </si>
  <si>
    <t>醜い事天下無双で有った</t>
  </si>
  <si>
    <t>ごとく，知恵の長けた</t>
  </si>
  <si>
    <t>者もこの人に並ぶ</t>
  </si>
  <si>
    <t>事はおりなかった</t>
  </si>
  <si>
    <t>或る時主人Ｅｓｏｐｏが上を思わるる</t>
  </si>
  <si>
    <t>と見ゆれば</t>
  </si>
  <si>
    <t>と思い定め</t>
  </si>
  <si>
    <t>農具を拵え与えて</t>
  </si>
  <si>
    <t>田畠へ遣らるれば</t>
  </si>
  <si>
    <t>Eſopomomata cocoroyogueni ſono xoſauo naita</t>
  </si>
  <si>
    <t>Ｅｓｏｐｏも又快気にその所作を成いた．</t>
  </si>
  <si>
    <t>然れば程経てかの主人その田畠を見舞いに出でられたれば</t>
  </si>
  <si>
    <t>Xicareba fodofete cano xujin ſono denbacu uo mimaini ideraretareba</t>
  </si>
  <si>
    <t>或る百姓上々の熟柿を持って来て</t>
  </si>
  <si>
    <t>aru fiacuxŏ jŏjŏno jucuxiuo motteqite</t>
  </si>
  <si>
    <t>xujinni ſaſagureba</t>
  </si>
  <si>
    <t>主人に捧ぐれば</t>
  </si>
  <si>
    <t>色香も一段良うて</t>
  </si>
  <si>
    <t>見事に有った</t>
  </si>
  <si>
    <t>migotoniatta</t>
  </si>
  <si>
    <t>tadaima xŏquan xôzuredomo</t>
  </si>
  <si>
    <t>只今賞翫せうずれども</t>
  </si>
  <si>
    <t>風呂へ入れば</t>
  </si>
  <si>
    <t>furoye ireba</t>
  </si>
  <si>
    <t>その風呂上がりの為に蓄え置けと</t>
  </si>
  <si>
    <t>有って</t>
  </si>
  <si>
    <t>ſoba chicŏ tçucauaruru</t>
  </si>
  <si>
    <t>側近う使わるる</t>
  </si>
  <si>
    <t>ſonomiua furoni irareta</t>
  </si>
  <si>
    <t>その身は風呂に入られた</t>
  </si>
  <si>
    <t>然る所にＥｓｏｐｏ畑より帰り来れば</t>
  </si>
  <si>
    <t>Xicarutocoroni Eſopo fataqeyori cayeriqureba　</t>
  </si>
  <si>
    <t>様は：良い幸いぢゃ</t>
  </si>
  <si>
    <t>いざこの柿を両人して取り食うて</t>
  </si>
  <si>
    <t>ſono togameno arŏzuru</t>
  </si>
  <si>
    <t>その咎めの有らうずる</t>
  </si>
  <si>
    <t>toqiua,cuchiuo ſoroyete</t>
  </si>
  <si>
    <t>時は，口を揃えて</t>
  </si>
  <si>
    <t>Eſoponi coreuo iyvôxete</t>
  </si>
  <si>
    <t>cochiua ſoravſo fuite yte</t>
  </si>
  <si>
    <t>こちは空嘯吹いて居て</t>
  </si>
  <si>
    <t>arecoſo ſono jucuxiuoba tabetareto</t>
  </si>
  <si>
    <t>あれこそその熟柿をば食べたれと</t>
  </si>
  <si>
    <t>fanecaqeôzuruni</t>
  </si>
  <si>
    <t>撥ね掛けうずるに</t>
  </si>
  <si>
    <t>dancŏ xite</t>
  </si>
  <si>
    <t>totte</t>
  </si>
  <si>
    <t>xocuxita</t>
  </si>
  <si>
    <t>取って</t>
  </si>
  <si>
    <t>食した</t>
  </si>
  <si>
    <t>扠食し終わって</t>
  </si>
  <si>
    <t>Sate xocuxi vouatte</t>
  </si>
  <si>
    <t>後，互いに目弾きして</t>
  </si>
  <si>
    <t>nochi,tagaini mefajiqi xite</t>
  </si>
  <si>
    <t>yŭ</t>
  </si>
  <si>
    <t>yŏua:ſatemo buquafôna Eſopo cana</t>
  </si>
  <si>
    <t>ſaſayaqimauatta</t>
  </si>
  <si>
    <t>言う</t>
  </si>
  <si>
    <t>様は：扠も無果報なＥｓｏｐｏ哉！</t>
  </si>
  <si>
    <t>如何様この祟りが有らうずと</t>
  </si>
  <si>
    <t>囁き回った</t>
  </si>
  <si>
    <t>Sate xujin furo cara agari</t>
  </si>
  <si>
    <t>扠主人風呂から上がり</t>
  </si>
  <si>
    <t xml:space="preserve">miguino nininno monodomoga vocaſanu </t>
  </si>
  <si>
    <t>cauode mŏſuua</t>
  </si>
  <si>
    <t>右の二人の者共が犯さぬ</t>
  </si>
  <si>
    <t>顔で申すは</t>
  </si>
  <si>
    <t>それをばＥｓｏｐｏこそ盗んで</t>
  </si>
  <si>
    <t>ſoreuoba Eſopocoſo nuſunde</t>
  </si>
  <si>
    <t>tabetegozare</t>
  </si>
  <si>
    <t>食べて御座れ</t>
  </si>
  <si>
    <t>ſonotoqi cano xujin ua farani tatexicotte</t>
  </si>
  <si>
    <t>その時かの主人は腹に立て凝って</t>
  </si>
  <si>
    <t>Eſopouo mexiyoxe</t>
  </si>
  <si>
    <t>Ｅｓｏｐｏを召し寄せ</t>
  </si>
  <si>
    <t>iuaruruua</t>
  </si>
  <si>
    <t>言わるるは</t>
  </si>
  <si>
    <t>vomoiqitte yta</t>
  </si>
  <si>
    <t>vogiaru</t>
  </si>
  <si>
    <t>yŭte</t>
  </si>
  <si>
    <t>[...] nauoba Eſopoto yŭte</t>
  </si>
  <si>
    <t>[Sono ſatoni] yguiŏ fuxiguina jintaiga vogiattaga</t>
  </si>
  <si>
    <t>vogiattaga</t>
  </si>
  <si>
    <t>maſatte</t>
  </si>
  <si>
    <t>[...] cono fitoni maſatte</t>
  </si>
  <si>
    <t>[ſono jidai Europano tencani] minicui mo nomo vorinacatta</t>
  </si>
  <si>
    <t xml:space="preserve"> vorinacatta</t>
  </si>
  <si>
    <t>is oru an EX verb in LMJ?</t>
  </si>
  <si>
    <t xml:space="preserve"> qicoyeta</t>
  </si>
  <si>
    <t>togari</t>
  </si>
  <si>
    <t>dete</t>
  </si>
  <si>
    <t>tare</t>
  </si>
  <si>
    <t>両の頬は垂れ</t>
  </si>
  <si>
    <t>瞳の先は平らかに，</t>
  </si>
  <si>
    <t>riŏno fôua tare</t>
  </si>
  <si>
    <t>fitomi no ſaqiua tairacani,</t>
  </si>
  <si>
    <t xml:space="preserve"> tairacani</t>
  </si>
  <si>
    <t>yugami</t>
  </si>
  <si>
    <t>ficŭ</t>
  </si>
  <si>
    <t>cugumi</t>
  </si>
  <si>
    <t xml:space="preserve"> fare</t>
  </si>
  <si>
    <t>de vogiatta</t>
  </si>
  <si>
    <t>vomotte</t>
  </si>
  <si>
    <t>de atta</t>
  </si>
  <si>
    <t>minicui coto tenca busŏ de atta</t>
  </si>
  <si>
    <t>yararureba</t>
  </si>
  <si>
    <t xml:space="preserve">monomo cono fitoni narabu </t>
  </si>
  <si>
    <t xml:space="preserve">gotoqu chiyeno taqeta </t>
  </si>
  <si>
    <t xml:space="preserve">narabu </t>
  </si>
  <si>
    <t>vorinacatta</t>
  </si>
  <si>
    <t>vomouaruru</t>
  </si>
  <si>
    <t>niyŏmajij</t>
  </si>
  <si>
    <t>miyureba</t>
  </si>
  <si>
    <t>様は：公界の捌き或いは内証の取り扱いなどは如何にも似合うまじい</t>
  </si>
  <si>
    <t>yŏ-ua:cugaino ſabaqi aruiua naixôno toriatçucai nadoua icanimo niyŏmajij</t>
  </si>
  <si>
    <t>せめて農人の所作をなりともあてがわうず</t>
  </si>
  <si>
    <t>xemete nônin no xoſauo naritomo ategauŏzu</t>
  </si>
  <si>
    <t>should the -to part be considered a clausal subject of miyureba?</t>
  </si>
  <si>
    <t xml:space="preserve"> vomoi ſadame</t>
  </si>
  <si>
    <t>should the -to part be considered a clausal subject?</t>
  </si>
  <si>
    <t>atayete</t>
  </si>
  <si>
    <t>denbacu ye yararureba</t>
  </si>
  <si>
    <t>naita</t>
  </si>
  <si>
    <t xml:space="preserve"> ideraretareba</t>
  </si>
  <si>
    <t>motteqite</t>
  </si>
  <si>
    <t>ſaſagureba</t>
  </si>
  <si>
    <t>irocamo ychidan yôte</t>
  </si>
  <si>
    <t>yôte</t>
  </si>
  <si>
    <t>niatta</t>
  </si>
  <si>
    <t>yorocobi</t>
  </si>
  <si>
    <t>に因って喜び</t>
  </si>
  <si>
    <t>斜めならなんだ</t>
  </si>
  <si>
    <t>ni yotte yorocobi</t>
  </si>
  <si>
    <t>nanome narananda</t>
  </si>
  <si>
    <t>narananda</t>
  </si>
  <si>
    <t>xôzuredomo</t>
  </si>
  <si>
    <t>ireba</t>
  </si>
  <si>
    <t xml:space="preserve"> tacuuaye voqe</t>
  </si>
  <si>
    <t xml:space="preserve">ſono furoagarino tameni tacuuaye voqe </t>
  </si>
  <si>
    <t>to atte</t>
  </si>
  <si>
    <t>tçucauaruru</t>
  </si>
  <si>
    <t>nininno coxŏni azzuqevocare</t>
  </si>
  <si>
    <t>二人の小姓に預け置かれ</t>
  </si>
  <si>
    <t>irareta</t>
  </si>
  <si>
    <t>azzuqevocare</t>
  </si>
  <si>
    <t>cayeriqureba　</t>
  </si>
  <si>
    <t>vomô</t>
  </si>
  <si>
    <t>かの柿を預かった</t>
  </si>
  <si>
    <t>者共思う</t>
  </si>
  <si>
    <t>monodomo vomô</t>
  </si>
  <si>
    <t>cano caqi uo azzucatta</t>
  </si>
  <si>
    <t>azzucatta</t>
  </si>
  <si>
    <t>yŏua:yoi ſaiuaigia</t>
  </si>
  <si>
    <t>ſaiuaigia</t>
  </si>
  <si>
    <t>iza cono caqiuo riŏninxite</t>
  </si>
  <si>
    <t>toricŭte</t>
  </si>
  <si>
    <t>arŏzuru</t>
  </si>
  <si>
    <t>ſoroyete</t>
  </si>
  <si>
    <t>Ｅｓｏｐｏにこれを言い負おせて</t>
  </si>
  <si>
    <t>iyvôxete</t>
  </si>
  <si>
    <t>fuite yte</t>
  </si>
  <si>
    <t>tabetareto</t>
  </si>
  <si>
    <t>arŏzoto</t>
  </si>
  <si>
    <t>nanno xiſi ga arŏzoto</t>
  </si>
  <si>
    <t>何の子細が有らうぞ</t>
  </si>
  <si>
    <t>と談合して</t>
  </si>
  <si>
    <t>mefajiqi xite</t>
  </si>
  <si>
    <t>N/A</t>
  </si>
  <si>
    <t>arŏzuto</t>
  </si>
  <si>
    <t>icaſama cono tatari ga arŏzu</t>
  </si>
  <si>
    <t>to ſaſayaqimauatta</t>
  </si>
  <si>
    <t>should the -to part be considered a clausal complement?</t>
  </si>
  <si>
    <t>agari</t>
  </si>
  <si>
    <t>と言わるれば</t>
  </si>
  <si>
    <t>件の柿を湯上がりに持って来い</t>
  </si>
  <si>
    <t>cudanno caqiuo yuagarini mottecoi</t>
  </si>
  <si>
    <t>to iuarureba</t>
  </si>
  <si>
    <t>mottecoi</t>
  </si>
  <si>
    <t>not sure if nominalised verbs expressing purpose should be treated as arguments of motion verbs</t>
  </si>
  <si>
    <t xml:space="preserve"> iuarureba</t>
  </si>
  <si>
    <t xml:space="preserve">vocaſanu </t>
  </si>
  <si>
    <t>mŏſuua</t>
  </si>
  <si>
    <t>nuſunde</t>
  </si>
  <si>
    <t>tatexicotte</t>
  </si>
  <si>
    <t>mexiyoxe</t>
  </si>
  <si>
    <t>食らうたぞ</t>
  </si>
  <si>
    <t>分別はしたれども</t>
  </si>
  <si>
    <t>curŏtazo</t>
  </si>
  <si>
    <t>to qexiqiuo cayete</t>
  </si>
  <si>
    <t>xicararureba</t>
  </si>
  <si>
    <t>その時Ｅｓｏｐｏこれを聞いて</t>
  </si>
  <si>
    <t>ſonotoqi  Eſopo coreuo qijte</t>
  </si>
  <si>
    <t>funbetua xitaredomo</t>
  </si>
  <si>
    <t>ni qimouo tçubuitareba</t>
  </si>
  <si>
    <t xml:space="preserve">cauo vchiacamete </t>
  </si>
  <si>
    <t>mono gia</t>
  </si>
  <si>
    <t>ſore chŏchacu xei</t>
  </si>
  <si>
    <t>to iytçuqeraruru</t>
  </si>
  <si>
    <t>niſannin fodo tachicacari</t>
  </si>
  <si>
    <t>元来吃りぢゃ</t>
  </si>
  <si>
    <t>に，又その叱らるる</t>
  </si>
  <si>
    <t>に肝を潰いたれば，</t>
  </si>
  <si>
    <t>物言う</t>
  </si>
  <si>
    <t>事も適わいで，</t>
  </si>
  <si>
    <t>顔打ち赤めて</t>
  </si>
  <si>
    <t>cotomo canauaide</t>
  </si>
  <si>
    <t>とちめく</t>
  </si>
  <si>
    <t>tochimequ</t>
  </si>
  <si>
    <t>fodocoſoare tçuye bŏuo vottotte</t>
  </si>
  <si>
    <t>二三人ほど立ち掛かり</t>
  </si>
  <si>
    <t>程こそ有れ，杖棒を押っ取って</t>
  </si>
  <si>
    <t>tachimachi chŏchacu xôto ſuru</t>
  </si>
  <si>
    <t>忽ち打擲せうとする</t>
  </si>
  <si>
    <t>xŏquan xôto</t>
  </si>
  <si>
    <t>ta vomoiqitte yta</t>
  </si>
  <si>
    <t>[...] miga xŏquan xô</t>
  </si>
  <si>
    <t>身が賞翫せう</t>
  </si>
  <si>
    <t>と思い切って居た</t>
  </si>
  <si>
    <t>vomôte</t>
  </si>
  <si>
    <t>何と思うて</t>
  </si>
  <si>
    <t xml:space="preserve">その熟柿をば[如何に畜生なみちれない悪戯者]取って </t>
  </si>
  <si>
    <t>ſono jucuxiuoba [icani chicuxŏna michirenai itazzuramono] totte</t>
  </si>
  <si>
    <t xml:space="preserve"> nanto vomôte</t>
  </si>
  <si>
    <t>cayete</t>
  </si>
  <si>
    <t>[と]叱らるれば</t>
  </si>
  <si>
    <t>[…]気色を変えて</t>
  </si>
  <si>
    <t>qijte</t>
  </si>
  <si>
    <t>xitaredomo</t>
  </si>
  <si>
    <t xml:space="preserve"> gia</t>
  </si>
  <si>
    <t>guanrai domori gia</t>
  </si>
  <si>
    <t>ni mata ſono xicararu</t>
  </si>
  <si>
    <t>monoyŭ</t>
  </si>
  <si>
    <t>canauaide</t>
  </si>
  <si>
    <t xml:space="preserve">vchiacamete </t>
  </si>
  <si>
    <t xml:space="preserve">magai monai </t>
  </si>
  <si>
    <t xml:space="preserve">niyotte xujin ſarebacoſo magai mo nai </t>
  </si>
  <si>
    <t xml:space="preserve">arega  totte </t>
  </si>
  <si>
    <t xml:space="preserve">curŏta </t>
  </si>
  <si>
    <t>あれが取って</t>
  </si>
  <si>
    <t>食らうた</t>
  </si>
  <si>
    <t xml:space="preserve">totte </t>
  </si>
  <si>
    <t>gia</t>
  </si>
  <si>
    <t>chŏchacu xei</t>
  </si>
  <si>
    <t>それ打擲せい</t>
  </si>
  <si>
    <t>iytçuqeraruru</t>
  </si>
  <si>
    <t>vottotte</t>
  </si>
  <si>
    <t>に因って，[…]さればこそ紛いも無い</t>
  </si>
  <si>
    <t>と[主人]言い付けらるる</t>
  </si>
  <si>
    <t>tachicacari</t>
  </si>
  <si>
    <t>chŏchacu xôto ſuru</t>
  </si>
  <si>
    <t>ni nozonde xujinno aximotoni firefuxi</t>
  </si>
  <si>
    <t>に臨んで主人の足元に平伏し</t>
  </si>
  <si>
    <t xml:space="preserve"> nozonde xujinno aximotoni firefuxi</t>
  </si>
  <si>
    <t>xicararu</t>
  </si>
  <si>
    <t>tçubuitareba</t>
  </si>
  <si>
    <t>Isopo</t>
  </si>
  <si>
    <t>物ぢゃ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</si>
</sst>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1"/>
      <name val="Calibri"/>
      <family val="2"/>
    </font>
    <font>
      <sz val="12"/>
      <color rgb="FF000000"/>
      <name val="Aptos Narrow"/>
      <family val="2"/>
      <scheme val="minor"/>
    </font>
    <font>
      <sz val="14"/>
      <color rgb="FF000000"/>
      <name val="-webkit-standard"/>
    </font>
    <font>
      <sz val="12"/>
      <color rgb="FFFF0000"/>
      <name val="Calibri"/>
      <family val="2"/>
    </font>
    <font>
      <sz val="12"/>
      <color rgb="FF000000"/>
      <name val="-webkit-standard"/>
    </font>
    <font>
      <sz val="12"/>
      <color rgb="FF000000"/>
      <name val="Calibri"/>
      <family val="2"/>
    </font>
    <font>
      <sz val="12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2" xfId="0" applyBorder="1"/>
    <xf numFmtId="0" fontId="3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6" fillId="0" borderId="1" xfId="0" applyFont="1" applyBorder="1"/>
    <xf numFmtId="0" fontId="0" fillId="7" borderId="0" xfId="0" applyFill="1"/>
    <xf numFmtId="0" fontId="0" fillId="0" borderId="0" xfId="0" applyBorder="1"/>
    <xf numFmtId="0" fontId="7" fillId="0" borderId="0" xfId="0" applyFont="1" applyBorder="1"/>
    <xf numFmtId="0" fontId="2" fillId="0" borderId="0" xfId="0" applyFont="1" applyBorder="1" applyAlignment="1">
      <alignment vertical="center"/>
    </xf>
    <xf numFmtId="0" fontId="2" fillId="0" borderId="0" xfId="0" applyFont="1" applyBorder="1"/>
    <xf numFmtId="0" fontId="4" fillId="0" borderId="0" xfId="0" applyFont="1" applyBorder="1"/>
    <xf numFmtId="0" fontId="8" fillId="0" borderId="0" xfId="0" applyFont="1" applyBorder="1" applyAlignment="1">
      <alignment vertical="center"/>
    </xf>
    <xf numFmtId="0" fontId="0" fillId="0" borderId="0" xfId="0" applyFill="1" applyBorder="1"/>
    <xf numFmtId="0" fontId="5" fillId="0" borderId="0" xfId="0" applyFont="1" applyBorder="1"/>
    <xf numFmtId="0" fontId="1" fillId="0" borderId="0" xfId="0" applyFont="1" applyFill="1" applyBorder="1"/>
    <xf numFmtId="0" fontId="7" fillId="0" borderId="0" xfId="0" applyFont="1" applyFill="1" applyBorder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2680C-E4D7-0446-A46E-1A9724A28577}">
  <dimension ref="A1:M131"/>
  <sheetViews>
    <sheetView tabSelected="1" workbookViewId="0">
      <selection activeCell="B24" sqref="B24"/>
    </sheetView>
  </sheetViews>
  <sheetFormatPr baseColWidth="10" defaultRowHeight="16"/>
  <cols>
    <col min="1" max="16384" width="10.83203125" style="10"/>
  </cols>
  <sheetData>
    <row r="1" spans="1:1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23</v>
      </c>
      <c r="H1" s="10" t="s">
        <v>6</v>
      </c>
      <c r="I1" s="10" t="s">
        <v>7</v>
      </c>
      <c r="J1" s="10" t="s">
        <v>8</v>
      </c>
      <c r="K1" s="10" t="s">
        <v>20</v>
      </c>
      <c r="L1" s="10" t="s">
        <v>21</v>
      </c>
      <c r="M1" s="10" t="s">
        <v>22</v>
      </c>
    </row>
    <row r="2" spans="1:13">
      <c r="A2" s="10" t="s">
        <v>27</v>
      </c>
      <c r="B2" s="11" t="s">
        <v>24</v>
      </c>
      <c r="C2" s="10" t="s">
        <v>134</v>
      </c>
      <c r="D2" s="10">
        <v>1</v>
      </c>
      <c r="E2" s="10">
        <v>1</v>
      </c>
      <c r="F2" s="10">
        <v>1</v>
      </c>
      <c r="G2" s="16">
        <v>0</v>
      </c>
      <c r="H2" s="16">
        <v>0</v>
      </c>
      <c r="I2" s="16">
        <v>0</v>
      </c>
      <c r="J2" s="16">
        <v>0</v>
      </c>
      <c r="K2" s="16">
        <v>0</v>
      </c>
      <c r="L2" s="16">
        <v>0</v>
      </c>
    </row>
    <row r="3" spans="1:13">
      <c r="A3" s="10" t="s">
        <v>136</v>
      </c>
      <c r="B3" s="11" t="s">
        <v>25</v>
      </c>
      <c r="C3" s="10" t="s">
        <v>135</v>
      </c>
      <c r="D3" s="10">
        <v>1</v>
      </c>
      <c r="E3" s="10">
        <v>1</v>
      </c>
      <c r="F3" s="10">
        <v>0</v>
      </c>
      <c r="G3" s="16">
        <v>0</v>
      </c>
      <c r="H3" s="16">
        <v>0</v>
      </c>
      <c r="I3" s="16">
        <v>0</v>
      </c>
      <c r="J3" s="16">
        <v>0</v>
      </c>
      <c r="K3" s="16">
        <v>0</v>
      </c>
      <c r="L3" s="16">
        <v>0</v>
      </c>
    </row>
    <row r="4" spans="1:13">
      <c r="A4" s="16" t="s">
        <v>137</v>
      </c>
      <c r="B4" s="11" t="s">
        <v>26</v>
      </c>
      <c r="C4" s="10" t="s">
        <v>138</v>
      </c>
      <c r="D4" s="10">
        <v>1</v>
      </c>
      <c r="E4" s="10">
        <v>1</v>
      </c>
      <c r="F4" s="10">
        <v>1</v>
      </c>
      <c r="G4" s="16">
        <v>0</v>
      </c>
      <c r="H4" s="16">
        <v>0</v>
      </c>
      <c r="I4" s="16">
        <v>0</v>
      </c>
      <c r="J4" s="16">
        <v>0</v>
      </c>
      <c r="K4" s="16">
        <v>0</v>
      </c>
      <c r="L4" s="16">
        <v>0</v>
      </c>
    </row>
    <row r="5" spans="1:13">
      <c r="A5" s="16" t="s">
        <v>140</v>
      </c>
      <c r="B5" s="11" t="s">
        <v>44</v>
      </c>
      <c r="C5" s="10" t="s">
        <v>139</v>
      </c>
      <c r="D5" s="16">
        <v>1</v>
      </c>
      <c r="E5" s="16">
        <v>1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</row>
    <row r="6" spans="1:13">
      <c r="A6" s="10" t="s">
        <v>141</v>
      </c>
      <c r="B6" s="11" t="s">
        <v>45</v>
      </c>
      <c r="C6" s="10" t="s">
        <v>142</v>
      </c>
      <c r="D6" s="16">
        <v>1</v>
      </c>
      <c r="E6" s="16">
        <v>2</v>
      </c>
      <c r="F6" s="16">
        <v>1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 t="s">
        <v>143</v>
      </c>
    </row>
    <row r="7" spans="1:13">
      <c r="A7" s="10" t="s">
        <v>28</v>
      </c>
      <c r="B7" s="11" t="s">
        <v>46</v>
      </c>
      <c r="C7" s="10" t="s">
        <v>144</v>
      </c>
      <c r="D7" s="16">
        <v>1</v>
      </c>
      <c r="E7" s="16">
        <v>1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</row>
    <row r="8" spans="1:13">
      <c r="A8" s="16" t="s">
        <v>29</v>
      </c>
      <c r="B8" s="10" t="s">
        <v>47</v>
      </c>
      <c r="C8" s="10" t="s">
        <v>145</v>
      </c>
      <c r="D8" s="16">
        <v>1</v>
      </c>
      <c r="E8" s="16">
        <v>1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</row>
    <row r="9" spans="1:13">
      <c r="A9" s="10" t="s">
        <v>30</v>
      </c>
      <c r="B9" s="11" t="s">
        <v>48</v>
      </c>
      <c r="C9" s="10" t="s">
        <v>146</v>
      </c>
      <c r="D9" s="16">
        <v>1</v>
      </c>
      <c r="E9" s="16">
        <v>1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</row>
    <row r="10" spans="1:13">
      <c r="A10" s="10" t="s">
        <v>151</v>
      </c>
      <c r="B10" s="11" t="s">
        <v>149</v>
      </c>
      <c r="C10" s="10" t="s">
        <v>152</v>
      </c>
      <c r="D10" s="16">
        <v>1</v>
      </c>
      <c r="E10" s="16">
        <v>1</v>
      </c>
      <c r="F10" s="16">
        <f>-G98</f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</row>
    <row r="11" spans="1:13">
      <c r="A11" s="10" t="s">
        <v>150</v>
      </c>
      <c r="B11" s="11" t="s">
        <v>148</v>
      </c>
      <c r="C11" s="10" t="s">
        <v>147</v>
      </c>
      <c r="D11" s="16">
        <v>1</v>
      </c>
      <c r="E11" s="16">
        <v>1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</row>
    <row r="12" spans="1:13">
      <c r="A12" s="10" t="s">
        <v>31</v>
      </c>
      <c r="B12" s="11" t="s">
        <v>49</v>
      </c>
      <c r="C12" s="10" t="s">
        <v>153</v>
      </c>
      <c r="D12" s="16">
        <v>1</v>
      </c>
      <c r="E12" s="16">
        <v>1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</row>
    <row r="13" spans="1:13">
      <c r="A13" s="10" t="s">
        <v>32</v>
      </c>
      <c r="B13" s="11" t="s">
        <v>50</v>
      </c>
      <c r="C13" s="10" t="s">
        <v>154</v>
      </c>
      <c r="D13" s="16">
        <v>1</v>
      </c>
      <c r="E13" s="16">
        <v>1</v>
      </c>
      <c r="F13" s="16">
        <v>0</v>
      </c>
      <c r="G13" s="10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</row>
    <row r="14" spans="1:13">
      <c r="A14" s="10" t="s">
        <v>33</v>
      </c>
      <c r="B14" s="11" t="s">
        <v>51</v>
      </c>
      <c r="C14" s="10" t="s">
        <v>155</v>
      </c>
      <c r="D14" s="16">
        <v>1</v>
      </c>
      <c r="E14" s="16">
        <v>1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</row>
    <row r="15" spans="1:13">
      <c r="A15" s="10" t="s">
        <v>34</v>
      </c>
      <c r="B15" s="11" t="s">
        <v>52</v>
      </c>
      <c r="C15" s="10" t="s">
        <v>156</v>
      </c>
      <c r="D15" s="16">
        <v>1</v>
      </c>
      <c r="E15" s="16">
        <v>1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</row>
    <row r="16" spans="1:13">
      <c r="A16" s="10" t="s">
        <v>35</v>
      </c>
      <c r="B16" s="11" t="s">
        <v>53</v>
      </c>
      <c r="C16" s="10" t="s">
        <v>35</v>
      </c>
      <c r="D16" s="16">
        <v>1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</row>
    <row r="17" spans="1:13">
      <c r="A17" s="10" t="s">
        <v>36</v>
      </c>
      <c r="B17" s="11" t="s">
        <v>54</v>
      </c>
      <c r="C17" s="10" t="s">
        <v>157</v>
      </c>
      <c r="D17" s="16">
        <v>1</v>
      </c>
      <c r="E17" s="16">
        <v>1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</row>
    <row r="18" spans="1:13">
      <c r="A18" s="10" t="s">
        <v>37</v>
      </c>
      <c r="B18" s="11" t="s">
        <v>55</v>
      </c>
      <c r="C18" s="10" t="s">
        <v>158</v>
      </c>
      <c r="D18" s="16">
        <v>1</v>
      </c>
      <c r="E18" s="16">
        <v>1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</row>
    <row r="19" spans="1:13">
      <c r="A19" s="10" t="s">
        <v>160</v>
      </c>
      <c r="B19" s="11" t="s">
        <v>56</v>
      </c>
      <c r="C19" s="10" t="s">
        <v>159</v>
      </c>
      <c r="D19" s="16">
        <v>1</v>
      </c>
      <c r="E19" s="16">
        <v>1</v>
      </c>
      <c r="F19" s="16">
        <v>1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</row>
    <row r="20" spans="1:13">
      <c r="A20" s="10" t="s">
        <v>163</v>
      </c>
      <c r="B20" s="11" t="s">
        <v>57</v>
      </c>
      <c r="C20" s="10" t="s">
        <v>161</v>
      </c>
      <c r="D20" s="16">
        <v>1</v>
      </c>
      <c r="E20" s="16">
        <v>1</v>
      </c>
      <c r="F20" s="16">
        <v>1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</row>
    <row r="21" spans="1:13">
      <c r="A21" s="16" t="s">
        <v>162</v>
      </c>
      <c r="B21" s="11" t="s">
        <v>58</v>
      </c>
      <c r="C21" s="10" t="s">
        <v>164</v>
      </c>
      <c r="D21" s="16">
        <v>1</v>
      </c>
      <c r="E21" s="16">
        <v>2</v>
      </c>
      <c r="F21" s="16">
        <v>0</v>
      </c>
      <c r="G21" s="16">
        <v>0</v>
      </c>
      <c r="H21" s="16">
        <v>0</v>
      </c>
      <c r="I21" s="16">
        <v>1</v>
      </c>
      <c r="J21" s="16">
        <v>0</v>
      </c>
      <c r="K21" s="16">
        <v>0</v>
      </c>
      <c r="L21" s="16">
        <v>0</v>
      </c>
    </row>
    <row r="22" spans="1:13">
      <c r="A22" s="16" t="s">
        <v>38</v>
      </c>
      <c r="B22" s="11" t="s">
        <v>59</v>
      </c>
      <c r="C22" s="10" t="s">
        <v>165</v>
      </c>
      <c r="D22" s="16">
        <v>1</v>
      </c>
      <c r="E22" s="16">
        <v>1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</row>
    <row r="23" spans="1:13">
      <c r="A23" s="16" t="s">
        <v>39</v>
      </c>
      <c r="B23" s="11" t="s">
        <v>60</v>
      </c>
      <c r="C23" s="12" t="s">
        <v>166</v>
      </c>
      <c r="D23" s="16">
        <v>1</v>
      </c>
      <c r="E23" s="16">
        <v>2</v>
      </c>
      <c r="F23" s="16">
        <v>1</v>
      </c>
      <c r="G23" s="16">
        <v>1</v>
      </c>
      <c r="H23" s="16">
        <v>0</v>
      </c>
      <c r="I23" s="16">
        <v>1</v>
      </c>
      <c r="J23" s="16">
        <v>0</v>
      </c>
      <c r="K23" s="16">
        <v>0</v>
      </c>
      <c r="L23" s="16">
        <v>0</v>
      </c>
    </row>
    <row r="24" spans="1:13">
      <c r="A24" s="16" t="s">
        <v>170</v>
      </c>
      <c r="B24" s="11" t="s">
        <v>169</v>
      </c>
      <c r="C24" s="12" t="s">
        <v>167</v>
      </c>
      <c r="D24" s="16">
        <v>1</v>
      </c>
      <c r="E24" s="16">
        <v>1</v>
      </c>
      <c r="F24" s="16">
        <v>1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</row>
    <row r="25" spans="1:13">
      <c r="A25" s="10" t="s">
        <v>40</v>
      </c>
      <c r="B25" s="11" t="s">
        <v>61</v>
      </c>
      <c r="C25" s="10" t="s">
        <v>168</v>
      </c>
      <c r="D25" s="16">
        <v>1</v>
      </c>
      <c r="E25" s="18">
        <v>1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0" t="s">
        <v>173</v>
      </c>
    </row>
    <row r="26" spans="1:13">
      <c r="A26" s="10" t="s">
        <v>172</v>
      </c>
      <c r="B26" s="11" t="s">
        <v>171</v>
      </c>
      <c r="C26" s="13" t="s">
        <v>41</v>
      </c>
      <c r="D26" s="16">
        <v>1</v>
      </c>
      <c r="E26" s="16">
        <v>1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</row>
    <row r="27" spans="1:13">
      <c r="A27" s="16" t="s">
        <v>42</v>
      </c>
      <c r="B27" s="11" t="s">
        <v>62</v>
      </c>
      <c r="C27" s="10" t="s">
        <v>174</v>
      </c>
      <c r="D27" s="16">
        <v>1</v>
      </c>
      <c r="E27" s="17">
        <v>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0" t="s">
        <v>175</v>
      </c>
    </row>
    <row r="28" spans="1:13">
      <c r="A28" s="16" t="s">
        <v>43</v>
      </c>
      <c r="B28" s="11" t="s">
        <v>63</v>
      </c>
      <c r="C28" s="10" t="s">
        <v>176</v>
      </c>
      <c r="D28" s="16">
        <v>1</v>
      </c>
      <c r="E28" s="16">
        <v>1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</row>
    <row r="29" spans="1:13">
      <c r="A29" s="16" t="s">
        <v>177</v>
      </c>
      <c r="B29" s="11" t="s">
        <v>64</v>
      </c>
      <c r="C29" s="10" t="s">
        <v>161</v>
      </c>
      <c r="D29" s="16">
        <v>1</v>
      </c>
      <c r="E29" s="16">
        <v>1</v>
      </c>
      <c r="F29" s="16">
        <v>0</v>
      </c>
      <c r="G29" s="16">
        <v>0</v>
      </c>
      <c r="H29" s="16">
        <v>1</v>
      </c>
      <c r="I29" s="16">
        <v>0</v>
      </c>
      <c r="J29" s="16">
        <v>0</v>
      </c>
      <c r="K29" s="16">
        <v>0</v>
      </c>
      <c r="L29" s="16">
        <v>0</v>
      </c>
    </row>
    <row r="30" spans="1:13">
      <c r="A30" s="10" t="s">
        <v>65</v>
      </c>
      <c r="B30" s="11" t="s">
        <v>66</v>
      </c>
      <c r="C30" s="10" t="s">
        <v>178</v>
      </c>
      <c r="D30" s="16">
        <v>1</v>
      </c>
      <c r="E30" s="16">
        <v>2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</row>
    <row r="31" spans="1:13">
      <c r="A31" s="10" t="s">
        <v>68</v>
      </c>
      <c r="B31" s="11" t="s">
        <v>67</v>
      </c>
      <c r="C31" s="10" t="s">
        <v>179</v>
      </c>
      <c r="D31" s="16">
        <v>1</v>
      </c>
      <c r="E31" s="16">
        <v>2</v>
      </c>
      <c r="F31" s="16">
        <v>0</v>
      </c>
      <c r="G31" s="16">
        <v>1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</row>
    <row r="32" spans="1:13">
      <c r="A32" s="16" t="s">
        <v>70</v>
      </c>
      <c r="B32" s="11" t="s">
        <v>69</v>
      </c>
      <c r="C32" s="10" t="s">
        <v>180</v>
      </c>
      <c r="D32" s="16">
        <v>1</v>
      </c>
      <c r="E32" s="16">
        <v>2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</row>
    <row r="33" spans="1:12">
      <c r="A33" s="10" t="s">
        <v>71</v>
      </c>
      <c r="B33" s="11" t="s">
        <v>72</v>
      </c>
      <c r="C33" s="10" t="s">
        <v>181</v>
      </c>
      <c r="D33" s="16">
        <v>1</v>
      </c>
      <c r="E33" s="16">
        <v>1</v>
      </c>
      <c r="F33" s="16">
        <v>0</v>
      </c>
      <c r="G33" s="16">
        <v>0</v>
      </c>
      <c r="H33" s="16">
        <v>1</v>
      </c>
      <c r="I33" s="16">
        <v>0</v>
      </c>
      <c r="J33" s="16">
        <v>0</v>
      </c>
      <c r="K33" s="16">
        <v>0</v>
      </c>
      <c r="L33" s="16">
        <v>0</v>
      </c>
    </row>
    <row r="34" spans="1:12">
      <c r="A34" s="10" t="s">
        <v>182</v>
      </c>
      <c r="B34" s="11" t="s">
        <v>73</v>
      </c>
      <c r="C34" s="10" t="s">
        <v>183</v>
      </c>
      <c r="D34" s="16">
        <v>1</v>
      </c>
      <c r="E34" s="16">
        <v>1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</row>
    <row r="35" spans="1:12">
      <c r="A35" s="16" t="s">
        <v>75</v>
      </c>
      <c r="B35" s="11" t="s">
        <v>74</v>
      </c>
      <c r="C35" s="10" t="s">
        <v>184</v>
      </c>
      <c r="D35" s="16">
        <v>1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</row>
    <row r="36" spans="1:12">
      <c r="A36" s="16" t="s">
        <v>188</v>
      </c>
      <c r="B36" s="11" t="s">
        <v>186</v>
      </c>
      <c r="C36" s="10" t="s">
        <v>185</v>
      </c>
      <c r="D36" s="16">
        <v>1</v>
      </c>
      <c r="E36" s="16">
        <v>0</v>
      </c>
      <c r="F36" s="16">
        <v>1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</row>
    <row r="37" spans="1:12">
      <c r="A37" s="16" t="s">
        <v>189</v>
      </c>
      <c r="B37" s="11" t="s">
        <v>187</v>
      </c>
      <c r="C37" s="10" t="s">
        <v>190</v>
      </c>
      <c r="D37" s="16">
        <v>1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</row>
    <row r="38" spans="1:12">
      <c r="A38" s="10" t="s">
        <v>76</v>
      </c>
      <c r="B38" s="11" t="s">
        <v>77</v>
      </c>
      <c r="C38" s="10" t="s">
        <v>191</v>
      </c>
      <c r="D38" s="16">
        <v>1</v>
      </c>
      <c r="E38" s="16">
        <v>0</v>
      </c>
      <c r="F38" s="16">
        <v>1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</row>
    <row r="39" spans="1:12">
      <c r="A39" s="10" t="s">
        <v>79</v>
      </c>
      <c r="B39" s="11" t="s">
        <v>78</v>
      </c>
      <c r="C39" s="10" t="s">
        <v>192</v>
      </c>
      <c r="D39" s="16">
        <v>1</v>
      </c>
      <c r="E39" s="16">
        <v>1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</row>
    <row r="40" spans="1:12">
      <c r="A40" s="16" t="s">
        <v>194</v>
      </c>
      <c r="B40" s="11" t="s">
        <v>80</v>
      </c>
      <c r="C40" s="10" t="s">
        <v>193</v>
      </c>
      <c r="D40" s="16">
        <v>1</v>
      </c>
      <c r="E40" s="16">
        <v>0</v>
      </c>
      <c r="F40" s="16">
        <v>1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</row>
    <row r="41" spans="1:12">
      <c r="A41" s="16" t="s">
        <v>195</v>
      </c>
      <c r="B41" s="11" t="s">
        <v>81</v>
      </c>
      <c r="C41" s="10" t="s">
        <v>195</v>
      </c>
      <c r="D41" s="16">
        <v>1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</row>
    <row r="42" spans="1:12" ht="17" customHeight="1">
      <c r="A42" s="16" t="s">
        <v>82</v>
      </c>
      <c r="B42" s="11" t="s">
        <v>83</v>
      </c>
      <c r="C42" s="10" t="s">
        <v>196</v>
      </c>
      <c r="D42" s="16">
        <v>1</v>
      </c>
      <c r="E42" s="16">
        <v>0</v>
      </c>
      <c r="F42" s="16">
        <v>1</v>
      </c>
      <c r="G42" s="16">
        <v>0</v>
      </c>
      <c r="H42" s="16">
        <v>1</v>
      </c>
      <c r="I42" s="16">
        <v>0</v>
      </c>
      <c r="J42" s="16">
        <v>1</v>
      </c>
      <c r="K42" s="16">
        <v>0</v>
      </c>
      <c r="L42" s="16">
        <v>0</v>
      </c>
    </row>
    <row r="43" spans="1:12">
      <c r="A43" s="16" t="s">
        <v>197</v>
      </c>
      <c r="B43" s="11" t="s">
        <v>198</v>
      </c>
      <c r="C43" s="10" t="s">
        <v>200</v>
      </c>
      <c r="D43" s="16">
        <v>1</v>
      </c>
      <c r="E43" s="16">
        <v>1</v>
      </c>
      <c r="F43" s="16">
        <v>0</v>
      </c>
      <c r="G43" s="16">
        <v>0</v>
      </c>
      <c r="H43" s="16">
        <v>1</v>
      </c>
      <c r="I43" s="16">
        <v>0</v>
      </c>
      <c r="J43" s="16">
        <v>0</v>
      </c>
      <c r="K43" s="16">
        <v>0</v>
      </c>
      <c r="L43" s="16">
        <v>0</v>
      </c>
    </row>
    <row r="44" spans="1:12">
      <c r="A44" s="16" t="s">
        <v>84</v>
      </c>
      <c r="B44" s="11" t="s">
        <v>85</v>
      </c>
      <c r="C44" s="10" t="s">
        <v>199</v>
      </c>
      <c r="D44" s="16">
        <v>1</v>
      </c>
      <c r="E44" s="16">
        <v>2</v>
      </c>
      <c r="F44" s="16">
        <v>0</v>
      </c>
      <c r="G44" s="16">
        <v>1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</row>
    <row r="45" spans="1:12">
      <c r="A45" s="16" t="s">
        <v>87</v>
      </c>
      <c r="B45" s="11" t="s">
        <v>86</v>
      </c>
      <c r="C45" s="10" t="s">
        <v>201</v>
      </c>
      <c r="D45" s="16">
        <v>1</v>
      </c>
      <c r="E45" s="16">
        <v>2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</row>
    <row r="46" spans="1:12">
      <c r="A46" s="16" t="s">
        <v>206</v>
      </c>
      <c r="B46" s="11" t="s">
        <v>203</v>
      </c>
      <c r="C46" s="10" t="s">
        <v>207</v>
      </c>
      <c r="D46" s="16">
        <v>1</v>
      </c>
      <c r="E46" s="16">
        <v>1</v>
      </c>
      <c r="F46" s="16">
        <v>0</v>
      </c>
      <c r="G46" s="16">
        <v>0</v>
      </c>
      <c r="H46" s="16">
        <v>0</v>
      </c>
      <c r="I46" s="16">
        <v>0</v>
      </c>
      <c r="J46" s="16">
        <v>1</v>
      </c>
      <c r="K46" s="16">
        <v>0</v>
      </c>
      <c r="L46" s="16">
        <v>0</v>
      </c>
    </row>
    <row r="47" spans="1:12">
      <c r="A47" s="16" t="s">
        <v>205</v>
      </c>
      <c r="B47" s="11" t="s">
        <v>204</v>
      </c>
      <c r="C47" s="10" t="s">
        <v>202</v>
      </c>
      <c r="D47" s="16">
        <v>1</v>
      </c>
      <c r="E47" s="16">
        <v>1</v>
      </c>
      <c r="F47" s="16">
        <v>0</v>
      </c>
      <c r="G47" s="16">
        <v>0</v>
      </c>
      <c r="H47" s="16">
        <v>0</v>
      </c>
      <c r="I47" s="16">
        <v>1</v>
      </c>
      <c r="J47" s="16">
        <v>0</v>
      </c>
      <c r="K47" s="16">
        <v>0</v>
      </c>
      <c r="L47" s="16">
        <v>0</v>
      </c>
    </row>
    <row r="48" spans="1:12">
      <c r="A48" s="10" t="s">
        <v>208</v>
      </c>
      <c r="B48" s="11" t="s">
        <v>88</v>
      </c>
      <c r="C48" s="10" t="s">
        <v>209</v>
      </c>
      <c r="D48" s="16">
        <v>1</v>
      </c>
      <c r="E48" s="16">
        <v>1</v>
      </c>
      <c r="F48" s="16">
        <v>1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</row>
    <row r="49" spans="1:12" ht="18">
      <c r="A49" s="16" t="s">
        <v>210</v>
      </c>
      <c r="B49" s="14" t="s">
        <v>89</v>
      </c>
      <c r="C49" s="10" t="s">
        <v>211</v>
      </c>
      <c r="D49" s="16">
        <v>1</v>
      </c>
      <c r="E49" s="16">
        <v>1</v>
      </c>
      <c r="F49" s="16">
        <v>1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</row>
    <row r="50" spans="1:12">
      <c r="A50" s="10" t="s">
        <v>90</v>
      </c>
      <c r="B50" s="11" t="s">
        <v>91</v>
      </c>
      <c r="C50" s="10" t="s">
        <v>212</v>
      </c>
      <c r="D50" s="16">
        <v>1</v>
      </c>
      <c r="E50" s="16">
        <v>1</v>
      </c>
      <c r="F50" s="16">
        <v>0</v>
      </c>
      <c r="G50" s="16">
        <v>0</v>
      </c>
      <c r="H50" s="16">
        <v>0</v>
      </c>
      <c r="I50" s="16">
        <v>1</v>
      </c>
      <c r="J50" s="16">
        <v>0</v>
      </c>
      <c r="K50" s="16">
        <v>0</v>
      </c>
      <c r="L50" s="16">
        <v>0</v>
      </c>
    </row>
    <row r="51" spans="1:12">
      <c r="A51" s="10" t="s">
        <v>92</v>
      </c>
      <c r="B51" s="11" t="s">
        <v>93</v>
      </c>
      <c r="C51" s="10" t="s">
        <v>213</v>
      </c>
      <c r="D51" s="16">
        <v>1</v>
      </c>
      <c r="E51" s="16">
        <v>1</v>
      </c>
      <c r="F51" s="16">
        <v>1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</row>
    <row r="52" spans="1:12">
      <c r="A52" s="10" t="s">
        <v>94</v>
      </c>
      <c r="B52" s="11" t="s">
        <v>214</v>
      </c>
      <c r="C52" s="10" t="s">
        <v>215</v>
      </c>
      <c r="D52" s="16">
        <v>1</v>
      </c>
      <c r="E52" s="16">
        <v>2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</row>
    <row r="53" spans="1:12">
      <c r="A53" s="10" t="s">
        <v>95</v>
      </c>
      <c r="B53" s="11" t="s">
        <v>96</v>
      </c>
      <c r="C53" s="10" t="s">
        <v>216</v>
      </c>
      <c r="D53" s="16">
        <v>1</v>
      </c>
      <c r="E53" s="16">
        <v>1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</row>
    <row r="54" spans="1:12">
      <c r="A54" s="10" t="s">
        <v>97</v>
      </c>
      <c r="B54" s="11" t="s">
        <v>98</v>
      </c>
      <c r="C54" s="10" t="s">
        <v>217</v>
      </c>
      <c r="D54" s="16">
        <v>1</v>
      </c>
      <c r="E54" s="16">
        <v>2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</row>
    <row r="55" spans="1:12">
      <c r="A55" s="10" t="s">
        <v>99</v>
      </c>
      <c r="B55" s="11" t="s">
        <v>100</v>
      </c>
      <c r="C55" s="10" t="s">
        <v>99</v>
      </c>
      <c r="D55" s="16">
        <v>1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</row>
    <row r="56" spans="1:12">
      <c r="A56" s="10" t="s">
        <v>219</v>
      </c>
      <c r="B56" s="11" t="s">
        <v>220</v>
      </c>
      <c r="C56" s="12" t="s">
        <v>218</v>
      </c>
      <c r="D56" s="16">
        <v>1</v>
      </c>
      <c r="E56" s="16">
        <v>1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</row>
    <row r="57" spans="1:12">
      <c r="A57" s="10" t="s">
        <v>101</v>
      </c>
      <c r="B57" s="11" t="s">
        <v>221</v>
      </c>
      <c r="C57" s="12" t="s">
        <v>101</v>
      </c>
      <c r="D57" s="16">
        <v>1</v>
      </c>
      <c r="E57" s="16">
        <v>0</v>
      </c>
      <c r="F57" s="16">
        <v>1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</row>
    <row r="58" spans="1:12">
      <c r="A58" s="10" t="s">
        <v>102</v>
      </c>
      <c r="B58" s="11" t="s">
        <v>104</v>
      </c>
      <c r="C58" s="10" t="s">
        <v>102</v>
      </c>
      <c r="D58" s="16">
        <v>1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</row>
    <row r="59" spans="1:12">
      <c r="A59" s="10" t="s">
        <v>103</v>
      </c>
      <c r="B59" s="11" t="s">
        <v>105</v>
      </c>
      <c r="C59" s="10" t="s">
        <v>103</v>
      </c>
      <c r="D59" s="16">
        <v>1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</row>
    <row r="60" spans="1:12">
      <c r="A60" s="10" t="s">
        <v>107</v>
      </c>
      <c r="B60" s="11" t="s">
        <v>106</v>
      </c>
      <c r="C60" s="10" t="s">
        <v>107</v>
      </c>
      <c r="D60" s="16">
        <v>1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</row>
    <row r="61" spans="1:12">
      <c r="A61" s="10" t="s">
        <v>109</v>
      </c>
      <c r="B61" s="11" t="s">
        <v>108</v>
      </c>
      <c r="C61" s="10" t="s">
        <v>222</v>
      </c>
      <c r="D61" s="16">
        <v>1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</row>
    <row r="62" spans="1:12">
      <c r="A62" s="10" t="s">
        <v>110</v>
      </c>
      <c r="B62" s="11" t="s">
        <v>113</v>
      </c>
      <c r="C62" s="10" t="s">
        <v>110</v>
      </c>
      <c r="D62" s="16">
        <v>1</v>
      </c>
      <c r="E62" s="16">
        <v>0</v>
      </c>
      <c r="F62" s="16">
        <v>0</v>
      </c>
      <c r="G62" s="16">
        <v>0</v>
      </c>
      <c r="H62" s="16">
        <v>0</v>
      </c>
      <c r="I62" s="16">
        <v>1</v>
      </c>
      <c r="J62" s="16">
        <v>0</v>
      </c>
      <c r="K62" s="16">
        <v>0</v>
      </c>
      <c r="L62" s="16">
        <v>0</v>
      </c>
    </row>
    <row r="63" spans="1:12">
      <c r="A63" s="10" t="s">
        <v>111</v>
      </c>
      <c r="B63" s="11" t="s">
        <v>114</v>
      </c>
      <c r="C63" s="16" t="s">
        <v>223</v>
      </c>
      <c r="D63" s="16">
        <v>0</v>
      </c>
      <c r="E63" s="16">
        <v>1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</row>
    <row r="64" spans="1:12">
      <c r="A64" s="10" t="s">
        <v>225</v>
      </c>
      <c r="B64" s="11" t="s">
        <v>115</v>
      </c>
      <c r="C64" s="10" t="s">
        <v>224</v>
      </c>
      <c r="D64" s="16">
        <v>1</v>
      </c>
      <c r="E64" s="16">
        <v>1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</row>
    <row r="65" spans="1:13">
      <c r="A65" s="10" t="s">
        <v>226</v>
      </c>
      <c r="B65" s="11" t="s">
        <v>116</v>
      </c>
      <c r="C65" s="10" t="s">
        <v>112</v>
      </c>
      <c r="D65" s="16">
        <v>1</v>
      </c>
      <c r="E65" s="16">
        <v>1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0" t="s">
        <v>227</v>
      </c>
    </row>
    <row r="66" spans="1:13" ht="16" customHeight="1">
      <c r="A66" s="10" t="s">
        <v>117</v>
      </c>
      <c r="B66" s="11" t="s">
        <v>118</v>
      </c>
      <c r="C66" s="10" t="s">
        <v>228</v>
      </c>
      <c r="D66" s="16">
        <v>1</v>
      </c>
      <c r="E66" s="16">
        <v>2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</row>
    <row r="67" spans="1:13">
      <c r="A67" s="10" t="s">
        <v>231</v>
      </c>
      <c r="B67" s="11" t="s">
        <v>230</v>
      </c>
      <c r="C67" s="10" t="s">
        <v>233</v>
      </c>
      <c r="D67" s="16">
        <v>1</v>
      </c>
      <c r="E67" s="18">
        <v>2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0" t="s">
        <v>234</v>
      </c>
    </row>
    <row r="68" spans="1:13">
      <c r="A68" s="10" t="s">
        <v>232</v>
      </c>
      <c r="B68" s="11" t="s">
        <v>229</v>
      </c>
      <c r="C68" s="10" t="s">
        <v>235</v>
      </c>
      <c r="D68" s="16">
        <v>1</v>
      </c>
      <c r="E68" s="16">
        <v>1</v>
      </c>
      <c r="F68" s="16">
        <v>0</v>
      </c>
      <c r="G68" s="16">
        <v>0</v>
      </c>
      <c r="H68" s="16">
        <v>1</v>
      </c>
      <c r="I68" s="16">
        <v>0</v>
      </c>
      <c r="J68" s="16">
        <v>0</v>
      </c>
      <c r="K68" s="16">
        <v>0</v>
      </c>
      <c r="L68" s="16">
        <v>0</v>
      </c>
    </row>
    <row r="69" spans="1:13">
      <c r="A69" s="10" t="s">
        <v>119</v>
      </c>
      <c r="B69" s="11" t="s">
        <v>121</v>
      </c>
      <c r="C69" s="10" t="s">
        <v>236</v>
      </c>
      <c r="D69" s="16">
        <v>1</v>
      </c>
      <c r="E69" s="16">
        <v>1</v>
      </c>
      <c r="F69" s="16">
        <v>0</v>
      </c>
      <c r="G69" s="16">
        <v>0</v>
      </c>
      <c r="H69" s="16">
        <v>0</v>
      </c>
      <c r="I69" s="16">
        <v>1</v>
      </c>
      <c r="J69" s="16">
        <v>0</v>
      </c>
      <c r="K69" s="16">
        <v>0</v>
      </c>
      <c r="L69" s="16">
        <v>0</v>
      </c>
    </row>
    <row r="70" spans="1:13">
      <c r="A70" s="10" t="s">
        <v>120</v>
      </c>
      <c r="B70" s="11" t="s">
        <v>122</v>
      </c>
      <c r="C70" s="10" t="s">
        <v>237</v>
      </c>
      <c r="D70" s="16">
        <v>1</v>
      </c>
      <c r="E70" s="16">
        <v>0</v>
      </c>
      <c r="F70" s="16">
        <v>1</v>
      </c>
      <c r="G70" s="16">
        <v>0</v>
      </c>
      <c r="H70" s="16">
        <v>1</v>
      </c>
      <c r="I70" s="16">
        <v>0</v>
      </c>
      <c r="J70" s="16">
        <v>0</v>
      </c>
      <c r="K70" s="16">
        <v>1</v>
      </c>
      <c r="L70" s="16">
        <v>0</v>
      </c>
    </row>
    <row r="71" spans="1:13">
      <c r="A71" s="16" t="s">
        <v>124</v>
      </c>
      <c r="B71" s="11" t="s">
        <v>123</v>
      </c>
      <c r="C71" s="10" t="s">
        <v>238</v>
      </c>
      <c r="D71" s="16">
        <v>1</v>
      </c>
      <c r="E71" s="16">
        <v>2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</row>
    <row r="72" spans="1:13">
      <c r="A72" s="10" t="s">
        <v>125</v>
      </c>
      <c r="B72" s="11" t="s">
        <v>126</v>
      </c>
      <c r="C72" s="10" t="s">
        <v>125</v>
      </c>
      <c r="D72" s="16">
        <v>1</v>
      </c>
      <c r="E72" s="16">
        <v>0</v>
      </c>
      <c r="F72" s="16">
        <v>0</v>
      </c>
      <c r="G72" s="16">
        <v>0</v>
      </c>
      <c r="H72" s="16">
        <v>1</v>
      </c>
      <c r="I72" s="16">
        <v>0</v>
      </c>
      <c r="J72" s="16">
        <v>0</v>
      </c>
      <c r="K72" s="16">
        <v>0</v>
      </c>
      <c r="L72" s="16">
        <v>0</v>
      </c>
    </row>
    <row r="73" spans="1:13">
      <c r="A73" s="10" t="s">
        <v>127</v>
      </c>
      <c r="B73" s="11" t="s">
        <v>128</v>
      </c>
      <c r="C73" s="10" t="s">
        <v>239</v>
      </c>
      <c r="D73" s="16">
        <v>1</v>
      </c>
      <c r="E73" s="16">
        <v>2</v>
      </c>
      <c r="F73" s="16">
        <v>1</v>
      </c>
      <c r="G73" s="10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</row>
    <row r="74" spans="1:13">
      <c r="A74" s="10" t="s">
        <v>129</v>
      </c>
      <c r="B74" s="11" t="s">
        <v>130</v>
      </c>
      <c r="C74" s="10" t="s">
        <v>240</v>
      </c>
      <c r="D74" s="16">
        <v>1</v>
      </c>
      <c r="E74" s="16">
        <v>1</v>
      </c>
      <c r="F74" s="16">
        <v>0</v>
      </c>
      <c r="G74" s="16">
        <v>0</v>
      </c>
      <c r="H74" s="16">
        <v>1</v>
      </c>
      <c r="I74" s="16">
        <v>0</v>
      </c>
      <c r="J74" s="16">
        <v>0</v>
      </c>
      <c r="K74" s="16">
        <v>0</v>
      </c>
      <c r="L74" s="16">
        <v>0</v>
      </c>
    </row>
    <row r="75" spans="1:13">
      <c r="A75" s="10" t="s">
        <v>131</v>
      </c>
      <c r="B75" s="11" t="s">
        <v>132</v>
      </c>
      <c r="C75" s="10" t="s">
        <v>131</v>
      </c>
      <c r="D75" s="16">
        <v>1</v>
      </c>
      <c r="E75" s="16">
        <v>0</v>
      </c>
      <c r="F75" s="16">
        <v>0</v>
      </c>
      <c r="G75" s="16">
        <v>0</v>
      </c>
      <c r="H75" s="16">
        <v>1</v>
      </c>
      <c r="I75" s="16">
        <v>0</v>
      </c>
      <c r="J75" s="16">
        <v>0</v>
      </c>
      <c r="K75" s="16">
        <v>0</v>
      </c>
      <c r="L75" s="16">
        <v>0</v>
      </c>
    </row>
    <row r="76" spans="1:13">
      <c r="A76" s="10" t="s">
        <v>271</v>
      </c>
      <c r="B76" s="11" t="s">
        <v>272</v>
      </c>
      <c r="C76" s="10" t="s">
        <v>269</v>
      </c>
      <c r="D76" s="16">
        <v>1</v>
      </c>
      <c r="E76" s="16">
        <v>1</v>
      </c>
      <c r="F76" s="16">
        <v>0</v>
      </c>
      <c r="G76" s="16">
        <v>0</v>
      </c>
      <c r="H76" s="16">
        <v>0</v>
      </c>
      <c r="I76" s="16">
        <v>0</v>
      </c>
      <c r="J76" s="2">
        <v>1</v>
      </c>
      <c r="K76" s="16">
        <v>0</v>
      </c>
      <c r="L76" s="16">
        <v>0</v>
      </c>
    </row>
    <row r="77" spans="1:13">
      <c r="A77" s="10" t="s">
        <v>270</v>
      </c>
      <c r="B77" s="11" t="s">
        <v>273</v>
      </c>
      <c r="C77" s="10" t="s">
        <v>133</v>
      </c>
      <c r="D77" s="16">
        <v>1</v>
      </c>
      <c r="E77" s="16">
        <v>1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</row>
    <row r="78" spans="1:13" ht="18" customHeight="1">
      <c r="A78" s="10" t="s">
        <v>277</v>
      </c>
      <c r="B78" s="11" t="s">
        <v>276</v>
      </c>
      <c r="C78" s="10" t="s">
        <v>102</v>
      </c>
      <c r="D78" s="16">
        <v>1</v>
      </c>
      <c r="E78" s="16">
        <v>1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</row>
    <row r="79" spans="1:13">
      <c r="A79" s="10" t="s">
        <v>278</v>
      </c>
      <c r="B79" s="11" t="s">
        <v>275</v>
      </c>
      <c r="C79" s="10" t="s">
        <v>274</v>
      </c>
      <c r="D79" s="16">
        <v>1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</row>
    <row r="80" spans="1:13">
      <c r="A80" s="16" t="s">
        <v>243</v>
      </c>
      <c r="B80" s="11" t="s">
        <v>241</v>
      </c>
      <c r="C80" s="10" t="s">
        <v>243</v>
      </c>
      <c r="D80" s="16">
        <v>1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</row>
    <row r="81" spans="1:12">
      <c r="A81" s="10" t="s">
        <v>244</v>
      </c>
      <c r="B81" s="11" t="s">
        <v>281</v>
      </c>
      <c r="C81" s="10" t="s">
        <v>279</v>
      </c>
      <c r="D81" s="16">
        <v>1</v>
      </c>
      <c r="E81" s="16">
        <v>1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</row>
    <row r="82" spans="1:12">
      <c r="A82" s="10" t="s">
        <v>245</v>
      </c>
      <c r="B82" s="11" t="s">
        <v>280</v>
      </c>
      <c r="C82" s="10" t="s">
        <v>245</v>
      </c>
      <c r="D82" s="16">
        <v>1</v>
      </c>
      <c r="E82" s="16">
        <v>0</v>
      </c>
      <c r="F82" s="16">
        <v>0</v>
      </c>
      <c r="G82" s="16">
        <v>0</v>
      </c>
      <c r="H82" s="16">
        <v>1</v>
      </c>
      <c r="I82" s="16">
        <v>0</v>
      </c>
      <c r="J82" s="16">
        <v>0</v>
      </c>
      <c r="K82" s="16">
        <v>0</v>
      </c>
      <c r="L82" s="16">
        <v>0</v>
      </c>
    </row>
    <row r="83" spans="1:12">
      <c r="A83" s="10" t="s">
        <v>247</v>
      </c>
      <c r="B83" s="11" t="s">
        <v>246</v>
      </c>
      <c r="C83" s="10" t="s">
        <v>282</v>
      </c>
      <c r="D83" s="16">
        <v>1</v>
      </c>
      <c r="E83" s="16">
        <v>2</v>
      </c>
      <c r="F83" s="16">
        <v>1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</row>
    <row r="84" spans="1:12">
      <c r="A84" s="10" t="s">
        <v>248</v>
      </c>
      <c r="B84" s="11" t="s">
        <v>242</v>
      </c>
      <c r="C84" s="10" t="s">
        <v>283</v>
      </c>
      <c r="D84" s="16">
        <v>1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</row>
    <row r="85" spans="1:12">
      <c r="A85" s="10" t="s">
        <v>285</v>
      </c>
      <c r="B85" s="11" t="s">
        <v>255</v>
      </c>
      <c r="C85" s="10" t="s">
        <v>284</v>
      </c>
      <c r="D85" s="16">
        <v>1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</row>
    <row r="86" spans="1:12">
      <c r="A86" s="16" t="s">
        <v>286</v>
      </c>
      <c r="B86" s="11" t="s">
        <v>256</v>
      </c>
      <c r="C86" s="10" t="s">
        <v>309</v>
      </c>
      <c r="D86" s="16">
        <v>1</v>
      </c>
      <c r="E86" s="16">
        <v>0</v>
      </c>
      <c r="F86" s="16">
        <v>1</v>
      </c>
      <c r="G86" s="16">
        <v>0</v>
      </c>
      <c r="H86" s="16">
        <v>0</v>
      </c>
      <c r="I86" s="16">
        <v>0</v>
      </c>
      <c r="J86" s="16">
        <v>0</v>
      </c>
      <c r="K86" s="16">
        <v>1</v>
      </c>
      <c r="L86" s="16">
        <v>0</v>
      </c>
    </row>
    <row r="87" spans="1:12">
      <c r="A87" s="10" t="s">
        <v>249</v>
      </c>
      <c r="B87" s="15" t="s">
        <v>257</v>
      </c>
      <c r="C87" s="10" t="s">
        <v>310</v>
      </c>
      <c r="D87" s="16">
        <v>1</v>
      </c>
      <c r="E87" s="16">
        <v>1</v>
      </c>
      <c r="F87" s="16">
        <v>1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</row>
    <row r="88" spans="1:12">
      <c r="A88" s="10" t="s">
        <v>287</v>
      </c>
      <c r="B88" s="11" t="s">
        <v>258</v>
      </c>
      <c r="C88" s="10" t="s">
        <v>287</v>
      </c>
      <c r="D88" s="16">
        <v>1</v>
      </c>
      <c r="E88" s="16">
        <v>1</v>
      </c>
      <c r="F88" s="16">
        <v>0</v>
      </c>
      <c r="G88" s="16">
        <v>0</v>
      </c>
      <c r="H88" s="16">
        <v>0</v>
      </c>
      <c r="I88" s="16">
        <v>1</v>
      </c>
      <c r="J88" s="16">
        <v>0</v>
      </c>
      <c r="K88" s="16">
        <v>0</v>
      </c>
      <c r="L88" s="16">
        <v>0</v>
      </c>
    </row>
    <row r="89" spans="1:12">
      <c r="A89" s="10" t="s">
        <v>261</v>
      </c>
      <c r="B89" s="11" t="s">
        <v>259</v>
      </c>
      <c r="C89" s="10" t="s">
        <v>288</v>
      </c>
      <c r="D89" s="16">
        <v>1</v>
      </c>
      <c r="E89" s="16">
        <v>1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</row>
    <row r="90" spans="1:12">
      <c r="A90" s="10" t="s">
        <v>250</v>
      </c>
      <c r="B90" s="11" t="s">
        <v>260</v>
      </c>
      <c r="C90" s="10" t="s">
        <v>289</v>
      </c>
      <c r="D90" s="16">
        <v>1</v>
      </c>
      <c r="E90" s="16">
        <v>1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</row>
    <row r="91" spans="1:12">
      <c r="A91" s="10" t="s">
        <v>263</v>
      </c>
      <c r="B91" s="11" t="s">
        <v>262</v>
      </c>
      <c r="C91" s="10" t="s">
        <v>263</v>
      </c>
      <c r="D91" s="16">
        <v>1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</row>
    <row r="92" spans="1:12">
      <c r="A92" s="10" t="s">
        <v>291</v>
      </c>
      <c r="B92" s="11" t="s">
        <v>302</v>
      </c>
      <c r="C92" s="10" t="s">
        <v>290</v>
      </c>
      <c r="D92" s="16">
        <v>1</v>
      </c>
      <c r="E92" s="16">
        <v>1</v>
      </c>
      <c r="F92" s="16">
        <v>1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</row>
    <row r="93" spans="1:12">
      <c r="A93" s="16" t="s">
        <v>292</v>
      </c>
      <c r="B93" s="11" t="s">
        <v>294</v>
      </c>
      <c r="C93" s="10" t="s">
        <v>296</v>
      </c>
      <c r="D93" s="16">
        <v>1</v>
      </c>
      <c r="E93" s="16">
        <v>1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</row>
    <row r="94" spans="1:12">
      <c r="A94" s="16" t="s">
        <v>293</v>
      </c>
      <c r="B94" s="11" t="s">
        <v>295</v>
      </c>
      <c r="C94" s="10" t="s">
        <v>293</v>
      </c>
      <c r="D94" s="16">
        <v>1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1</v>
      </c>
      <c r="K94" s="16">
        <v>0</v>
      </c>
      <c r="L94" s="16">
        <v>0</v>
      </c>
    </row>
    <row r="95" spans="1:12">
      <c r="A95" s="10" t="s">
        <v>251</v>
      </c>
      <c r="B95" s="11" t="s">
        <v>312</v>
      </c>
      <c r="C95" s="10" t="s">
        <v>297</v>
      </c>
      <c r="D95" s="16">
        <v>1</v>
      </c>
      <c r="E95" s="16">
        <v>1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</row>
    <row r="96" spans="1:12">
      <c r="A96" s="10" t="s">
        <v>252</v>
      </c>
      <c r="B96" s="11" t="s">
        <v>299</v>
      </c>
      <c r="C96" s="10" t="s">
        <v>298</v>
      </c>
      <c r="D96" s="16">
        <v>1</v>
      </c>
      <c r="E96" s="16">
        <v>1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</row>
    <row r="97" spans="1:12">
      <c r="A97" s="10" t="s">
        <v>253</v>
      </c>
      <c r="B97" s="11" t="s">
        <v>303</v>
      </c>
      <c r="C97" s="10" t="s">
        <v>300</v>
      </c>
      <c r="D97" s="16">
        <v>1</v>
      </c>
      <c r="E97" s="16">
        <v>2</v>
      </c>
      <c r="F97" s="16">
        <v>0</v>
      </c>
      <c r="G97" s="16">
        <v>1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</row>
    <row r="98" spans="1:12">
      <c r="A98" s="16" t="s">
        <v>264</v>
      </c>
      <c r="B98" s="10" t="s">
        <v>266</v>
      </c>
      <c r="C98" s="10" t="s">
        <v>301</v>
      </c>
      <c r="D98" s="16">
        <v>1</v>
      </c>
      <c r="E98" s="16">
        <v>1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</row>
    <row r="99" spans="1:12">
      <c r="A99" s="10" t="s">
        <v>254</v>
      </c>
      <c r="B99" s="19" t="s">
        <v>265</v>
      </c>
      <c r="C99" s="10" t="s">
        <v>304</v>
      </c>
      <c r="D99" s="16">
        <v>1</v>
      </c>
      <c r="E99" s="16">
        <v>1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</row>
    <row r="100" spans="1:12">
      <c r="A100" s="16" t="s">
        <v>267</v>
      </c>
      <c r="B100" s="10" t="s">
        <v>268</v>
      </c>
      <c r="C100" s="10" t="s">
        <v>305</v>
      </c>
      <c r="D100" s="16">
        <v>1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</row>
    <row r="101" spans="1:12">
      <c r="A101" s="16" t="s">
        <v>306</v>
      </c>
      <c r="B101" s="10" t="s">
        <v>307</v>
      </c>
      <c r="C101" s="10" t="s">
        <v>308</v>
      </c>
      <c r="D101" s="16">
        <v>1</v>
      </c>
      <c r="E101" s="16">
        <v>1</v>
      </c>
      <c r="F101" s="16">
        <v>1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</row>
    <row r="102" spans="1:12" customFormat="1" ht="17" thickBot="1">
      <c r="A102" s="8" t="s">
        <v>9</v>
      </c>
      <c r="B102" s="1"/>
      <c r="C102" s="1"/>
      <c r="D102" s="1">
        <f>SUM(D2:D101)</f>
        <v>99</v>
      </c>
      <c r="E102" s="1">
        <f t="shared" ref="E102:L102" si="0">SUM(E2:E101)</f>
        <v>89</v>
      </c>
      <c r="F102" s="1">
        <f t="shared" si="0"/>
        <v>22</v>
      </c>
      <c r="G102" s="1">
        <f t="shared" si="0"/>
        <v>4</v>
      </c>
      <c r="H102" s="1">
        <f t="shared" si="0"/>
        <v>10</v>
      </c>
      <c r="I102" s="1">
        <f t="shared" si="0"/>
        <v>7</v>
      </c>
      <c r="J102" s="1">
        <f t="shared" si="0"/>
        <v>4</v>
      </c>
      <c r="K102" s="1">
        <f t="shared" si="0"/>
        <v>2</v>
      </c>
      <c r="L102" s="1">
        <f t="shared" si="0"/>
        <v>0</v>
      </c>
    </row>
    <row r="103" spans="1:12" customFormat="1" ht="15" customHeight="1">
      <c r="A103" s="3" t="s">
        <v>10</v>
      </c>
      <c r="B103" s="9">
        <f>E102/D102</f>
        <v>0.89898989898989901</v>
      </c>
      <c r="C103" t="s">
        <v>11</v>
      </c>
    </row>
    <row r="104" spans="1:12" customFormat="1">
      <c r="A104" s="5" t="s">
        <v>12</v>
      </c>
      <c r="B104" s="4">
        <f>(E102+G102)/D102</f>
        <v>0.93939393939393945</v>
      </c>
      <c r="C104" t="s">
        <v>13</v>
      </c>
    </row>
    <row r="105" spans="1:12" customFormat="1">
      <c r="A105" s="6" t="s">
        <v>14</v>
      </c>
      <c r="B105" s="4">
        <f>(E102+I102)/D102</f>
        <v>0.96969696969696972</v>
      </c>
      <c r="C105" t="s">
        <v>15</v>
      </c>
    </row>
    <row r="106" spans="1:12" customFormat="1">
      <c r="A106" s="7" t="s">
        <v>16</v>
      </c>
      <c r="B106" s="4">
        <f>(E102+I102+G102)/D102</f>
        <v>1.0101010101010102</v>
      </c>
      <c r="C106" t="s">
        <v>17</v>
      </c>
    </row>
    <row r="107" spans="1:12" customFormat="1">
      <c r="A107" t="s">
        <v>18</v>
      </c>
      <c r="B107" s="9">
        <f>G102/D102</f>
        <v>4.0404040404040407E-2</v>
      </c>
      <c r="C107" t="s">
        <v>19</v>
      </c>
    </row>
    <row r="108" spans="1:12">
      <c r="B108" s="11"/>
    </row>
    <row r="109" spans="1:12">
      <c r="B109" s="11"/>
    </row>
    <row r="110" spans="1:12">
      <c r="B110" s="11"/>
    </row>
    <row r="111" spans="1:12">
      <c r="B111" s="11"/>
    </row>
    <row r="112" spans="1:12">
      <c r="B112" s="11"/>
    </row>
    <row r="113" spans="2:2">
      <c r="B113" s="11"/>
    </row>
    <row r="116" spans="2:2">
      <c r="B116" s="11"/>
    </row>
    <row r="118" spans="2:2">
      <c r="B118" s="11"/>
    </row>
    <row r="119" spans="2:2">
      <c r="B119" s="11"/>
    </row>
    <row r="120" spans="2:2">
      <c r="B120" s="11"/>
    </row>
    <row r="121" spans="2:2">
      <c r="B121" s="11"/>
    </row>
    <row r="122" spans="2:2">
      <c r="B122" s="11"/>
    </row>
    <row r="123" spans="2:2">
      <c r="B123" s="11"/>
    </row>
    <row r="124" spans="2:2">
      <c r="B124" s="11"/>
    </row>
    <row r="125" spans="2:2">
      <c r="B125" s="11"/>
    </row>
    <row r="126" spans="2:2">
      <c r="B126" s="11"/>
    </row>
    <row r="127" spans="2:2">
      <c r="B127" s="11"/>
    </row>
    <row r="128" spans="2:2">
      <c r="B128" s="11"/>
    </row>
    <row r="129" spans="2:2">
      <c r="B129" s="11"/>
    </row>
    <row r="130" spans="2:2">
      <c r="B130" s="11"/>
    </row>
    <row r="131" spans="2:2">
      <c r="B131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08E0-75CD-9E46-AACC-E4BFD4A3963E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BA1D4-22C4-D743-A426-94DF112D1497}">
  <dimension ref="B3:D8"/>
  <sheetViews>
    <sheetView workbookViewId="0">
      <selection activeCell="B10" sqref="B10"/>
    </sheetView>
  </sheetViews>
  <sheetFormatPr baseColWidth="10" defaultRowHeight="16"/>
  <sheetData>
    <row r="3" spans="2:4">
      <c r="B3" s="20" t="s">
        <v>311</v>
      </c>
    </row>
    <row r="4" spans="2:4">
      <c r="B4" s="9" t="str">
        <f>Isopo!A103</f>
        <v>RD2</v>
      </c>
      <c r="C4" s="9">
        <f>Isopo!B103</f>
        <v>0.89898989898989901</v>
      </c>
      <c r="D4" t="str">
        <f>Isopo!C103</f>
        <v>ACT-ARG/~Ø-Verbal</v>
      </c>
    </row>
    <row r="5" spans="2:4">
      <c r="B5" t="str">
        <f>Isopo!A104</f>
        <v>RD2+</v>
      </c>
      <c r="C5">
        <f>Isopo!B104</f>
        <v>0.93939393939393945</v>
      </c>
      <c r="D5" t="str">
        <f>Isopo!C104</f>
        <v>(ACT-ARG+V-ARG-Ø-ARG)/~Ø-Verbal</v>
      </c>
    </row>
    <row r="6" spans="2:4">
      <c r="B6" t="str">
        <f>Isopo!A105</f>
        <v>RD2++</v>
      </c>
      <c r="C6">
        <f>Isopo!B105</f>
        <v>0.96969696969696972</v>
      </c>
      <c r="D6" t="str">
        <f>Isopo!C105</f>
        <v>(ACT-ARG+GAP-ACT-ARG)/~Ø-Verbal</v>
      </c>
    </row>
    <row r="7" spans="2:4">
      <c r="B7" t="str">
        <f>Isopo!A106</f>
        <v>RD2+++</v>
      </c>
      <c r="C7">
        <f>Isopo!B106</f>
        <v>1.0101010101010102</v>
      </c>
      <c r="D7" t="str">
        <f>Isopo!C106</f>
        <v>(ACT-ARG+V-ARG-Ø-ARG+GAP-ACT-ARG)/~Ø-Verbal</v>
      </c>
    </row>
    <row r="8" spans="2:4">
      <c r="B8" s="9" t="str">
        <f>Isopo!A107</f>
        <v>RD2-</v>
      </c>
      <c r="C8" s="9">
        <f>Isopo!B107</f>
        <v>4.0404040404040407E-2</v>
      </c>
      <c r="D8" t="str">
        <f>Isopo!C107</f>
        <v>V-ARG-Ø-ARG/~Ø-Verbal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Isopo</vt:lpstr>
      <vt:lpstr>Sheet1</vt:lpstr>
      <vt:lpstr>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Artemii Kuznetsov</dc:creator>
  <cp:lastModifiedBy>Artemii Kuznetsov</cp:lastModifiedBy>
  <dcterms:created xsi:type="dcterms:W3CDTF">2024-12-06T13:54:08Z</dcterms:created>
  <dcterms:modified xsi:type="dcterms:W3CDTF">2025-03-02T16:46:09Z</dcterms:modified>
</cp:coreProperties>
</file>