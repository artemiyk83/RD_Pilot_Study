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24226"/>
  <mc:AlternateContent xmlns:mc="http://schemas.openxmlformats.org/markup-compatibility/2006">
    <mc:Choice Requires="x15">
      <x15ac:absPath xmlns:x15ac="http://schemas.microsoft.com/office/spreadsheetml/2010/11/ac" url="https://unioxfordnexus-my.sharepoint.com/personal/hert6669_ox_ac_uk/Documents/CoS Chapter/RD Annotation/LMJ/"/>
    </mc:Choice>
  </mc:AlternateContent>
  <xr:revisionPtr revIDLastSave="0" documentId="8_{ADE2FDE4-16E8-F641-92F1-05BC02BC51F2}" xr6:coauthVersionLast="47" xr6:coauthVersionMax="47" xr10:uidLastSave="{00000000-0000-0000-0000-000000000000}"/>
  <bookViews>
    <workbookView xWindow="20" yWindow="760" windowWidth="34560" windowHeight="20320" xr2:uid="{00000000-000D-0000-FFFF-FFFF00000000}"/>
  </bookViews>
  <sheets>
    <sheet name="Isopo" sheetId="2" r:id="rId1"/>
    <sheet name="Heike Chapter 2" sheetId="1" r:id="rId2"/>
    <sheet name="Prelim Analysis" sheetId="12" r:id="rId3"/>
    <sheet name="RD vs argument realisation" sheetId="21" r:id="rId4"/>
    <sheet name="Exaltation vs pro-drop" sheetId="33" r:id="rId5"/>
    <sheet name="LVC vs RD" sheetId="43" r:id="rId6"/>
    <sheet name="Other" sheetId="3" r:id="rId7"/>
  </sheets>
  <externalReferences>
    <externalReference r:id="rId8"/>
  </externalReferences>
  <definedNames>
    <definedName name="_xlnm._FilterDatabase" localSheetId="1" hidden="1">'Heike Chapter 2'!$A$2:$AI$160</definedName>
    <definedName name="_xlnm._FilterDatabase" localSheetId="0" hidden="1">Isopo!$E$1:$E$131</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0" i="3" l="1"/>
  <c r="G78" i="3"/>
  <c r="K160" i="1"/>
  <c r="L160" i="1"/>
  <c r="AK160" i="1" s="1"/>
  <c r="N160" i="1"/>
  <c r="O160" i="1"/>
  <c r="P160" i="1"/>
  <c r="S160" i="1"/>
  <c r="T160" i="1"/>
  <c r="U160" i="1"/>
  <c r="V160" i="1"/>
  <c r="W160" i="1"/>
  <c r="X160" i="1"/>
  <c r="Y160" i="1"/>
  <c r="Z160" i="1"/>
  <c r="AA160" i="1"/>
  <c r="W25" i="21"/>
  <c r="X25" i="21"/>
  <c r="AB24" i="2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2" i="1"/>
  <c r="B39" i="21"/>
  <c r="C40" i="21"/>
  <c r="B40" i="21"/>
  <c r="C39" i="21"/>
  <c r="AQ159" i="1"/>
  <c r="AR159" i="1" s="1"/>
  <c r="AP30" i="1"/>
  <c r="AQ29" i="1" s="1"/>
  <c r="AR29" i="1" s="1"/>
  <c r="AP31" i="1"/>
  <c r="AP32" i="1"/>
  <c r="AQ31" i="1" s="1"/>
  <c r="AP33" i="1"/>
  <c r="AP34" i="1"/>
  <c r="AP35" i="1"/>
  <c r="AQ34" i="1" s="1"/>
  <c r="AR34" i="1" s="1"/>
  <c r="AP36" i="1"/>
  <c r="AP37" i="1"/>
  <c r="AP38" i="1"/>
  <c r="AP39" i="1"/>
  <c r="AQ38" i="1" s="1"/>
  <c r="AR38" i="1" s="1"/>
  <c r="AP40" i="1"/>
  <c r="AP41" i="1"/>
  <c r="AP42" i="1"/>
  <c r="AP43" i="1"/>
  <c r="AP44" i="1"/>
  <c r="AP45" i="1"/>
  <c r="AQ44" i="1" s="1"/>
  <c r="AR44" i="1" s="1"/>
  <c r="AP46" i="1"/>
  <c r="AP47" i="1"/>
  <c r="AQ46" i="1" s="1"/>
  <c r="AR46" i="1" s="1"/>
  <c r="AP48" i="1"/>
  <c r="AP49" i="1"/>
  <c r="AP50" i="1"/>
  <c r="AP51" i="1"/>
  <c r="AP52" i="1"/>
  <c r="AP53" i="1"/>
  <c r="AP54" i="1"/>
  <c r="AP55" i="1"/>
  <c r="AP56" i="1"/>
  <c r="AP57" i="1"/>
  <c r="AP58" i="1"/>
  <c r="AP59" i="1"/>
  <c r="AP60" i="1"/>
  <c r="AP61" i="1"/>
  <c r="AP62" i="1"/>
  <c r="AP63" i="1"/>
  <c r="AP64" i="1"/>
  <c r="AP65" i="1"/>
  <c r="AP66" i="1"/>
  <c r="AP67" i="1"/>
  <c r="AP68" i="1"/>
  <c r="AP69" i="1"/>
  <c r="AP70" i="1"/>
  <c r="AQ69" i="1" s="1"/>
  <c r="AR69" i="1" s="1"/>
  <c r="AP71" i="1"/>
  <c r="AP72" i="1"/>
  <c r="AP73" i="1"/>
  <c r="AP74" i="1"/>
  <c r="AP75" i="1"/>
  <c r="AP76" i="1"/>
  <c r="AP77" i="1"/>
  <c r="AP78" i="1"/>
  <c r="AP79" i="1"/>
  <c r="AP80" i="1"/>
  <c r="AQ79" i="1" s="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Q110" i="1" s="1"/>
  <c r="AR110" i="1" s="1"/>
  <c r="AP112" i="1"/>
  <c r="AQ111" i="1" s="1"/>
  <c r="AR111" i="1" s="1"/>
  <c r="AP113" i="1"/>
  <c r="AP114" i="1"/>
  <c r="AP115" i="1"/>
  <c r="AP116" i="1"/>
  <c r="AP117" i="1"/>
  <c r="AQ116" i="1" s="1"/>
  <c r="AR116" i="1" s="1"/>
  <c r="AP118" i="1"/>
  <c r="AQ117" i="1" s="1"/>
  <c r="AR117" i="1" s="1"/>
  <c r="AP119" i="1"/>
  <c r="AP120" i="1"/>
  <c r="AP121" i="1"/>
  <c r="AP122" i="1"/>
  <c r="AP123" i="1"/>
  <c r="AQ122" i="1" s="1"/>
  <c r="AR122" i="1" s="1"/>
  <c r="AP124" i="1"/>
  <c r="AP125" i="1"/>
  <c r="AP126" i="1"/>
  <c r="AP127" i="1"/>
  <c r="AP128" i="1"/>
  <c r="AP129" i="1"/>
  <c r="AP130" i="1"/>
  <c r="AQ129" i="1" s="1"/>
  <c r="AP131" i="1"/>
  <c r="AP132" i="1"/>
  <c r="AP133" i="1"/>
  <c r="AP134" i="1"/>
  <c r="AP135" i="1"/>
  <c r="AP136" i="1"/>
  <c r="AQ135" i="1" s="1"/>
  <c r="AR135" i="1" s="1"/>
  <c r="AP137" i="1"/>
  <c r="AP138" i="1"/>
  <c r="AP139" i="1"/>
  <c r="AP140" i="1"/>
  <c r="AP141" i="1"/>
  <c r="AP142" i="1"/>
  <c r="AP143" i="1"/>
  <c r="AP144" i="1"/>
  <c r="AP145" i="1"/>
  <c r="AP146" i="1"/>
  <c r="AP147" i="1"/>
  <c r="AP148" i="1"/>
  <c r="AP149" i="1"/>
  <c r="AQ148" i="1" s="1"/>
  <c r="AR148" i="1" s="1"/>
  <c r="AP150" i="1"/>
  <c r="AP151" i="1"/>
  <c r="AP152" i="1"/>
  <c r="AQ151" i="1" s="1"/>
  <c r="AR151" i="1" s="1"/>
  <c r="AP153" i="1"/>
  <c r="AP154" i="1"/>
  <c r="AQ153" i="1" s="1"/>
  <c r="AR153" i="1" s="1"/>
  <c r="AP155" i="1"/>
  <c r="AP156" i="1"/>
  <c r="AP157" i="1"/>
  <c r="AP158" i="1"/>
  <c r="AP159" i="1"/>
  <c r="AP3" i="1"/>
  <c r="AP4" i="1"/>
  <c r="AP5" i="1"/>
  <c r="AQ4" i="1" s="1"/>
  <c r="AR4" i="1" s="1"/>
  <c r="AP6" i="1"/>
  <c r="AP7" i="1"/>
  <c r="AP8" i="1"/>
  <c r="AQ7" i="1" s="1"/>
  <c r="AP9" i="1"/>
  <c r="AQ8" i="1" s="1"/>
  <c r="AR8" i="1" s="1"/>
  <c r="AP10" i="1"/>
  <c r="AP11" i="1"/>
  <c r="AQ10" i="1" s="1"/>
  <c r="AR10" i="1" s="1"/>
  <c r="AP12" i="1"/>
  <c r="AP13" i="1"/>
  <c r="AP14" i="1"/>
  <c r="AP15" i="1"/>
  <c r="AP16" i="1"/>
  <c r="AP17" i="1"/>
  <c r="AP18" i="1"/>
  <c r="AP19" i="1"/>
  <c r="AQ18" i="1" s="1"/>
  <c r="AR18" i="1" s="1"/>
  <c r="AP20" i="1"/>
  <c r="AP21" i="1"/>
  <c r="AP22" i="1"/>
  <c r="AP23" i="1"/>
  <c r="AP24" i="1"/>
  <c r="AP25" i="1"/>
  <c r="AP26" i="1"/>
  <c r="AP27" i="1"/>
  <c r="AP28" i="1"/>
  <c r="AP29" i="1"/>
  <c r="AP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2"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2" i="1"/>
  <c r="AD17" i="1"/>
  <c r="AD19" i="1"/>
  <c r="AD20" i="1"/>
  <c r="AD21" i="1"/>
  <c r="AD23" i="1"/>
  <c r="AD24" i="1"/>
  <c r="AD25" i="1"/>
  <c r="AD26" i="1"/>
  <c r="AD28" i="1"/>
  <c r="AD29" i="1"/>
  <c r="AD30" i="1"/>
  <c r="AD31" i="1"/>
  <c r="AD32" i="1"/>
  <c r="AD33" i="1"/>
  <c r="AD34" i="1"/>
  <c r="AD35" i="1"/>
  <c r="AD37" i="1"/>
  <c r="AD38" i="1"/>
  <c r="AD39" i="1"/>
  <c r="AD40" i="1"/>
  <c r="AD41" i="1"/>
  <c r="AD42" i="1"/>
  <c r="AD43" i="1"/>
  <c r="AD44" i="1"/>
  <c r="AD45" i="1"/>
  <c r="AD47" i="1"/>
  <c r="AD48" i="1"/>
  <c r="AD49" i="1"/>
  <c r="AD50" i="1"/>
  <c r="AD51" i="1"/>
  <c r="AD52" i="1"/>
  <c r="AD53" i="1"/>
  <c r="AD54" i="1"/>
  <c r="AD56" i="1"/>
  <c r="AD57" i="1"/>
  <c r="AD58" i="1"/>
  <c r="AD59" i="1"/>
  <c r="AD61" i="1"/>
  <c r="AD63" i="1"/>
  <c r="AD64" i="1"/>
  <c r="AD65" i="1"/>
  <c r="AD66" i="1"/>
  <c r="AD67" i="1"/>
  <c r="AD68" i="1"/>
  <c r="AD70" i="1"/>
  <c r="AD72" i="1"/>
  <c r="AD73" i="1"/>
  <c r="AD74" i="1"/>
  <c r="AD75" i="1"/>
  <c r="AD76" i="1"/>
  <c r="AD77" i="1"/>
  <c r="AD78" i="1"/>
  <c r="AD79" i="1"/>
  <c r="AD80" i="1"/>
  <c r="AD81" i="1"/>
  <c r="AD82" i="1"/>
  <c r="AD83" i="1"/>
  <c r="AD84" i="1"/>
  <c r="AD85" i="1"/>
  <c r="AD86" i="1"/>
  <c r="AD87" i="1"/>
  <c r="AD88" i="1"/>
  <c r="AD90" i="1"/>
  <c r="AD91" i="1"/>
  <c r="AD92" i="1"/>
  <c r="AD93" i="1"/>
  <c r="AD95" i="1"/>
  <c r="AD96" i="1"/>
  <c r="AD98" i="1"/>
  <c r="AD99" i="1"/>
  <c r="AD100" i="1"/>
  <c r="AD101" i="1"/>
  <c r="AD102" i="1"/>
  <c r="AD103" i="1"/>
  <c r="AD104" i="1"/>
  <c r="AD105" i="1"/>
  <c r="AD106" i="1"/>
  <c r="AD108" i="1"/>
  <c r="AD109" i="1"/>
  <c r="AD110" i="1"/>
  <c r="AD111" i="1"/>
  <c r="AD112" i="1"/>
  <c r="AD113" i="1"/>
  <c r="AD115" i="1"/>
  <c r="AD117" i="1"/>
  <c r="AD118" i="1"/>
  <c r="AD119" i="1"/>
  <c r="AD120" i="1"/>
  <c r="AD121" i="1"/>
  <c r="AD123" i="1"/>
  <c r="AD124" i="1"/>
  <c r="AD126" i="1"/>
  <c r="AD127" i="1"/>
  <c r="AD128" i="1"/>
  <c r="AD129" i="1"/>
  <c r="AD130" i="1"/>
  <c r="AD131" i="1"/>
  <c r="AD132" i="1"/>
  <c r="AD133" i="1"/>
  <c r="AD135" i="1"/>
  <c r="AD136" i="1"/>
  <c r="AD137" i="1"/>
  <c r="AD138" i="1"/>
  <c r="AD139" i="1"/>
  <c r="AD140" i="1"/>
  <c r="AD141" i="1"/>
  <c r="AD142" i="1"/>
  <c r="AD143" i="1"/>
  <c r="AD145" i="1"/>
  <c r="AD146" i="1"/>
  <c r="AD147" i="1"/>
  <c r="AD148" i="1"/>
  <c r="AD149" i="1"/>
  <c r="AD150" i="1"/>
  <c r="AD152" i="1"/>
  <c r="AD153" i="1"/>
  <c r="AD154" i="1"/>
  <c r="AD155" i="1"/>
  <c r="AD156" i="1"/>
  <c r="AD157" i="1"/>
  <c r="AD158" i="1"/>
  <c r="AD159" i="1"/>
  <c r="AD4" i="1"/>
  <c r="AD5" i="1"/>
  <c r="AD6" i="1"/>
  <c r="AD7" i="1"/>
  <c r="AD8" i="1"/>
  <c r="AD9" i="1"/>
  <c r="AD10" i="1"/>
  <c r="AD11" i="1"/>
  <c r="AD12" i="1"/>
  <c r="AD13" i="1"/>
  <c r="AD14" i="1"/>
  <c r="AD15" i="1"/>
  <c r="AD16" i="1"/>
  <c r="AD2" i="1"/>
  <c r="R18" i="21"/>
  <c r="R19" i="21"/>
  <c r="R20" i="21"/>
  <c r="R17" i="21"/>
  <c r="S20" i="21"/>
  <c r="P21" i="21"/>
  <c r="N21" i="21"/>
  <c r="L21" i="21"/>
  <c r="F21" i="21"/>
  <c r="D21" i="21"/>
  <c r="B21" i="21"/>
  <c r="R21" i="21" s="1"/>
  <c r="C21" i="21"/>
  <c r="E21" i="21"/>
  <c r="G21" i="21"/>
  <c r="I21" i="21"/>
  <c r="K21" i="21"/>
  <c r="M21" i="21"/>
  <c r="O21" i="21"/>
  <c r="Q21" i="21"/>
  <c r="S18" i="21"/>
  <c r="S19" i="21"/>
  <c r="S17" i="21"/>
  <c r="Q11" i="21"/>
  <c r="O11" i="21"/>
  <c r="M11" i="21"/>
  <c r="K11" i="21"/>
  <c r="I11" i="21"/>
  <c r="E11" i="21"/>
  <c r="C11" i="21"/>
  <c r="B11" i="21"/>
  <c r="D11" i="21"/>
  <c r="G11" i="21"/>
  <c r="S7" i="21"/>
  <c r="S8" i="21"/>
  <c r="S9" i="21"/>
  <c r="S10" i="21"/>
  <c r="J11" i="21"/>
  <c r="S6" i="21"/>
  <c r="R10" i="21"/>
  <c r="R8" i="21"/>
  <c r="R9" i="21"/>
  <c r="R7" i="21"/>
  <c r="R6" i="21"/>
  <c r="F11" i="21"/>
  <c r="H11" i="21"/>
  <c r="L11" i="21"/>
  <c r="N11" i="21"/>
  <c r="P11" i="21"/>
  <c r="B127" i="12"/>
  <c r="C127" i="12"/>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2" i="1"/>
  <c r="AM2" i="1" a="1"/>
  <c r="AM2" i="1" s="1"/>
  <c r="AK2" i="1"/>
  <c r="AK3" i="1"/>
  <c r="AK4" i="1"/>
  <c r="AK5" i="1"/>
  <c r="AK6" i="1"/>
  <c r="AK7" i="1"/>
  <c r="AK8" i="1"/>
  <c r="AK9" i="1"/>
  <c r="AK10" i="1"/>
  <c r="AK11" i="1"/>
  <c r="AK12" i="1"/>
  <c r="AK13" i="1"/>
  <c r="AK14" i="1"/>
  <c r="AK15" i="1"/>
  <c r="AK16" i="1"/>
  <c r="AK17" i="1"/>
  <c r="AK18" i="1"/>
  <c r="AK19" i="1"/>
  <c r="AK20"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1" i="1"/>
  <c r="AK92" i="1"/>
  <c r="AK93" i="1"/>
  <c r="AK94" i="1"/>
  <c r="AK95" i="1"/>
  <c r="AK96" i="1"/>
  <c r="AK97" i="1"/>
  <c r="AK98" i="1"/>
  <c r="AK99" i="1"/>
  <c r="AK100" i="1"/>
  <c r="AK101" i="1"/>
  <c r="AK102"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C78" i="3"/>
  <c r="C79" i="3"/>
  <c r="H77" i="3"/>
  <c r="J77" i="3"/>
  <c r="G77" i="3"/>
  <c r="F4" i="3"/>
  <c r="H4" i="3"/>
  <c r="F5" i="3"/>
  <c r="H5" i="3"/>
  <c r="F6" i="3"/>
  <c r="H6" i="3"/>
  <c r="F7" i="3"/>
  <c r="H7" i="3"/>
  <c r="F8" i="3"/>
  <c r="H8" i="3"/>
  <c r="B4" i="3"/>
  <c r="D4" i="3"/>
  <c r="B5" i="3"/>
  <c r="D5" i="3"/>
  <c r="B6" i="3"/>
  <c r="D6" i="3"/>
  <c r="B7" i="3"/>
  <c r="D7" i="3"/>
  <c r="B8" i="3"/>
  <c r="D8" i="3"/>
  <c r="D26" i="3"/>
  <c r="E26" i="3"/>
  <c r="F26" i="3"/>
  <c r="G26" i="3"/>
  <c r="H26" i="3"/>
  <c r="I26" i="3"/>
  <c r="J26" i="3"/>
  <c r="D36" i="3"/>
  <c r="E36" i="3"/>
  <c r="C38" i="3" s="1"/>
  <c r="E52" i="3" s="1"/>
  <c r="F36" i="3"/>
  <c r="G36" i="3"/>
  <c r="H36" i="3"/>
  <c r="I36" i="3"/>
  <c r="J36" i="3"/>
  <c r="D47" i="3"/>
  <c r="E47" i="3"/>
  <c r="F47" i="3"/>
  <c r="G47" i="3"/>
  <c r="H47" i="3"/>
  <c r="I47" i="3"/>
  <c r="J47" i="3"/>
  <c r="C48" i="3"/>
  <c r="C49" i="3"/>
  <c r="C52" i="3"/>
  <c r="D52" i="3"/>
  <c r="F52" i="3"/>
  <c r="C53" i="3"/>
  <c r="D53" i="3"/>
  <c r="E53" i="3"/>
  <c r="F53" i="3"/>
  <c r="C54" i="3"/>
  <c r="F54" i="3"/>
  <c r="H10" i="2"/>
  <c r="F102" i="2"/>
  <c r="G102" i="2"/>
  <c r="H102" i="2"/>
  <c r="I102" i="2"/>
  <c r="J102" i="2"/>
  <c r="C107" i="2" s="1"/>
  <c r="C8" i="3" s="1"/>
  <c r="K102" i="2"/>
  <c r="L102" i="2"/>
  <c r="M102" i="2"/>
  <c r="N102" i="2"/>
  <c r="C103" i="2" l="1"/>
  <c r="C104" i="2"/>
  <c r="C5" i="3" s="1"/>
  <c r="C105" i="2"/>
  <c r="C6" i="3" s="1"/>
  <c r="C106" i="2"/>
  <c r="C7" i="3" s="1"/>
  <c r="D54" i="3"/>
  <c r="C4" i="3"/>
  <c r="B163" i="1"/>
  <c r="AQ30" i="1"/>
  <c r="AR30" i="1" s="1"/>
  <c r="AQ32" i="1"/>
  <c r="AQ33" i="1"/>
  <c r="AR33" i="1" s="1"/>
  <c r="AQ35" i="1"/>
  <c r="AR35" i="1" s="1"/>
  <c r="AQ36" i="1"/>
  <c r="AR36" i="1" s="1"/>
  <c r="AQ37" i="1"/>
  <c r="AQ39" i="1"/>
  <c r="AR39" i="1" s="1"/>
  <c r="AQ40" i="1"/>
  <c r="AQ41" i="1"/>
  <c r="AR41" i="1" s="1"/>
  <c r="AQ42" i="1"/>
  <c r="AQ43" i="1"/>
  <c r="AR43" i="1" s="1"/>
  <c r="AQ45" i="1"/>
  <c r="AR45" i="1" s="1"/>
  <c r="AQ47" i="1"/>
  <c r="AR47" i="1" s="1"/>
  <c r="AQ48" i="1"/>
  <c r="AR48" i="1" s="1"/>
  <c r="AQ49" i="1"/>
  <c r="AQ50" i="1"/>
  <c r="AR50" i="1" s="1"/>
  <c r="AQ51" i="1"/>
  <c r="AR51" i="1" s="1"/>
  <c r="AQ52" i="1"/>
  <c r="AQ53" i="1"/>
  <c r="AR53" i="1" s="1"/>
  <c r="AQ54" i="1"/>
  <c r="AQ55" i="1"/>
  <c r="AR55" i="1" s="1"/>
  <c r="AQ56" i="1"/>
  <c r="AR56" i="1" s="1"/>
  <c r="AQ57" i="1"/>
  <c r="AQ58" i="1"/>
  <c r="AQ59" i="1"/>
  <c r="AQ60" i="1"/>
  <c r="AR60" i="1" s="1"/>
  <c r="AQ61" i="1"/>
  <c r="AR61" i="1" s="1"/>
  <c r="AQ62" i="1"/>
  <c r="AR62" i="1" s="1"/>
  <c r="AQ63" i="1"/>
  <c r="AQ64" i="1"/>
  <c r="AQ65" i="1"/>
  <c r="AQ66" i="1"/>
  <c r="AQ67" i="1"/>
  <c r="AR67" i="1" s="1"/>
  <c r="AQ68" i="1"/>
  <c r="AR68" i="1" s="1"/>
  <c r="AQ70" i="1"/>
  <c r="AR70" i="1" s="1"/>
  <c r="AQ71" i="1"/>
  <c r="AR71" i="1" s="1"/>
  <c r="AQ72" i="1"/>
  <c r="AR72" i="1" s="1"/>
  <c r="AQ73" i="1"/>
  <c r="AQ74" i="1"/>
  <c r="AQ75" i="1"/>
  <c r="AR75" i="1" s="1"/>
  <c r="AQ76" i="1"/>
  <c r="AQ77" i="1"/>
  <c r="AQ78" i="1"/>
  <c r="AQ80" i="1"/>
  <c r="AR80" i="1" s="1"/>
  <c r="AQ81" i="1"/>
  <c r="AR81" i="1" s="1"/>
  <c r="AQ82" i="1"/>
  <c r="AQ83" i="1"/>
  <c r="AQ84" i="1"/>
  <c r="AQ85" i="1"/>
  <c r="AR85" i="1" s="1"/>
  <c r="AQ86" i="1"/>
  <c r="AQ87" i="1"/>
  <c r="AR87" i="1" s="1"/>
  <c r="AQ88" i="1"/>
  <c r="AR88" i="1" s="1"/>
  <c r="AQ89" i="1"/>
  <c r="AR89" i="1" s="1"/>
  <c r="AQ90" i="1"/>
  <c r="AQ91" i="1"/>
  <c r="AQ92" i="1"/>
  <c r="AQ93" i="1"/>
  <c r="AQ94" i="1"/>
  <c r="AR94" i="1" s="1"/>
  <c r="AQ95" i="1"/>
  <c r="AR95" i="1" s="1"/>
  <c r="AQ96" i="1"/>
  <c r="AR96" i="1" s="1"/>
  <c r="AQ97" i="1"/>
  <c r="AR97" i="1" s="1"/>
  <c r="AQ98" i="1"/>
  <c r="AR98" i="1" s="1"/>
  <c r="AQ99" i="1"/>
  <c r="AR99" i="1" s="1"/>
  <c r="AQ100" i="1"/>
  <c r="AQ101" i="1"/>
  <c r="AQ102" i="1"/>
  <c r="AR102" i="1" s="1"/>
  <c r="AQ103" i="1"/>
  <c r="AR103" i="1" s="1"/>
  <c r="AQ104" i="1"/>
  <c r="AQ105" i="1"/>
  <c r="AQ106" i="1"/>
  <c r="AR106" i="1" s="1"/>
  <c r="AQ107" i="1"/>
  <c r="AR107" i="1" s="1"/>
  <c r="AQ108" i="1"/>
  <c r="AR108" i="1" s="1"/>
  <c r="AQ109" i="1"/>
  <c r="AR109" i="1" s="1"/>
  <c r="AQ112" i="1"/>
  <c r="AR112" i="1" s="1"/>
  <c r="AQ113" i="1"/>
  <c r="AR113" i="1" s="1"/>
  <c r="AQ114" i="1"/>
  <c r="AQ115" i="1"/>
  <c r="AR115" i="1" s="1"/>
  <c r="AQ118" i="1"/>
  <c r="AR118" i="1" s="1"/>
  <c r="AQ119" i="1"/>
  <c r="AQ120" i="1"/>
  <c r="AQ121" i="1"/>
  <c r="AQ123" i="1"/>
  <c r="AR123" i="1" s="1"/>
  <c r="AQ124" i="1"/>
  <c r="AR124" i="1" s="1"/>
  <c r="AQ125" i="1"/>
  <c r="AR125" i="1" s="1"/>
  <c r="AQ126" i="1"/>
  <c r="AR126" i="1" s="1"/>
  <c r="AQ127" i="1"/>
  <c r="AQ128" i="1"/>
  <c r="AQ130" i="1"/>
  <c r="AR130" i="1" s="1"/>
  <c r="AQ131" i="1"/>
  <c r="AR131" i="1" s="1"/>
  <c r="AQ132" i="1"/>
  <c r="AR132" i="1" s="1"/>
  <c r="AQ133" i="1"/>
  <c r="AR133" i="1" s="1"/>
  <c r="AQ134" i="1"/>
  <c r="AR134" i="1" s="1"/>
  <c r="AQ136" i="1"/>
  <c r="AR136" i="1" s="1"/>
  <c r="AQ137" i="1"/>
  <c r="AQ138" i="1"/>
  <c r="AQ139" i="1"/>
  <c r="AQ140" i="1"/>
  <c r="AQ141" i="1"/>
  <c r="AQ142" i="1"/>
  <c r="AR142" i="1" s="1"/>
  <c r="AQ143" i="1"/>
  <c r="AR143" i="1" s="1"/>
  <c r="AQ144" i="1"/>
  <c r="AR144" i="1" s="1"/>
  <c r="AQ145" i="1"/>
  <c r="AR145" i="1" s="1"/>
  <c r="AQ146" i="1"/>
  <c r="AQ147" i="1"/>
  <c r="AQ149" i="1"/>
  <c r="AR149" i="1" s="1"/>
  <c r="AQ150" i="1"/>
  <c r="AR150" i="1" s="1"/>
  <c r="AQ152" i="1"/>
  <c r="AR152" i="1" s="1"/>
  <c r="AQ154" i="1"/>
  <c r="AR154" i="1" s="1"/>
  <c r="AQ155" i="1"/>
  <c r="AQ156" i="1"/>
  <c r="AR156" i="1" s="1"/>
  <c r="AQ157" i="1"/>
  <c r="AR157" i="1" s="1"/>
  <c r="AQ158" i="1"/>
  <c r="AR158" i="1" s="1"/>
  <c r="AQ2" i="1"/>
  <c r="AR2" i="1" s="1"/>
  <c r="AQ3" i="1"/>
  <c r="AR3" i="1" s="1"/>
  <c r="AQ5" i="1"/>
  <c r="AR5" i="1" s="1"/>
  <c r="AQ6" i="1"/>
  <c r="AQ9" i="1"/>
  <c r="AR9" i="1" s="1"/>
  <c r="AQ11" i="1"/>
  <c r="AQ12" i="1"/>
  <c r="AR12" i="1" s="1"/>
  <c r="AQ13" i="1"/>
  <c r="AR13" i="1" s="1"/>
  <c r="AQ14" i="1"/>
  <c r="AR14" i="1" s="1"/>
  <c r="AQ15" i="1"/>
  <c r="AQ16" i="1"/>
  <c r="AQ17" i="1"/>
  <c r="AR17" i="1" s="1"/>
  <c r="AQ19" i="1"/>
  <c r="AR19" i="1" s="1"/>
  <c r="AQ20" i="1"/>
  <c r="AQ21" i="1"/>
  <c r="AR21" i="1" s="1"/>
  <c r="AQ22" i="1"/>
  <c r="AR22" i="1" s="1"/>
  <c r="AQ23" i="1"/>
  <c r="AR23" i="1" s="1"/>
  <c r="AQ24" i="1"/>
  <c r="AQ25" i="1"/>
  <c r="AQ26" i="1"/>
  <c r="AR26" i="1" s="1"/>
  <c r="AQ27" i="1"/>
  <c r="AR27" i="1" s="1"/>
  <c r="AQ28" i="1"/>
  <c r="AR28" i="1" s="1"/>
  <c r="AM74" i="1" a="1"/>
  <c r="AM74" i="1" s="1"/>
  <c r="AM78" i="1" a="1"/>
  <c r="AM78" i="1" s="1"/>
  <c r="AM140" i="1" a="1"/>
  <c r="AM140" i="1" s="1"/>
  <c r="AM144" i="1" a="1"/>
  <c r="AM144" i="1" s="1"/>
  <c r="AM149" i="1" a="1"/>
  <c r="AM149" i="1" s="1"/>
  <c r="AM73" i="1" a="1"/>
  <c r="AM73" i="1" s="1"/>
  <c r="AM77" i="1" a="1"/>
  <c r="AM77" i="1" s="1"/>
  <c r="AM136" i="1" a="1"/>
  <c r="AM136" i="1" s="1"/>
  <c r="AM145" i="1" a="1"/>
  <c r="AM145" i="1" s="1"/>
  <c r="AM71" i="1" a="1"/>
  <c r="AM71" i="1" s="1"/>
  <c r="AM76" i="1" a="1"/>
  <c r="AM76" i="1" s="1"/>
  <c r="AM113" i="1" a="1"/>
  <c r="AM113" i="1" s="1"/>
  <c r="AM142" i="1" a="1"/>
  <c r="AM142" i="1" s="1"/>
  <c r="AM147" i="1" a="1"/>
  <c r="AM147" i="1" s="1"/>
  <c r="AM70" i="1" a="1"/>
  <c r="AM70" i="1" s="1"/>
  <c r="AM72" i="1" a="1"/>
  <c r="AM72" i="1" s="1"/>
  <c r="AM75" i="1" a="1"/>
  <c r="AM75" i="1" s="1"/>
  <c r="AM112" i="1" a="1"/>
  <c r="AM112" i="1" s="1"/>
  <c r="AM141" i="1" a="1"/>
  <c r="AM141" i="1" s="1"/>
  <c r="AM146" i="1" a="1"/>
  <c r="AM146" i="1" s="1"/>
  <c r="AM79" i="1" a="1"/>
  <c r="AM79" i="1" s="1"/>
  <c r="AM104" i="1" a="1"/>
  <c r="AM104" i="1" s="1"/>
  <c r="AM105" i="1" a="1"/>
  <c r="AM105" i="1" s="1"/>
  <c r="AM106" i="1" a="1"/>
  <c r="AM106" i="1" s="1"/>
  <c r="AM107" i="1" a="1"/>
  <c r="AM107" i="1" s="1"/>
  <c r="AM108" i="1" a="1"/>
  <c r="AM108" i="1" s="1"/>
  <c r="AM109" i="1" a="1"/>
  <c r="AM109" i="1" s="1"/>
  <c r="AM110" i="1" a="1"/>
  <c r="AM110" i="1" s="1"/>
  <c r="AM111" i="1" a="1"/>
  <c r="AM111" i="1" s="1"/>
  <c r="AM135" i="1" a="1"/>
  <c r="AM135" i="1" s="1"/>
  <c r="AM143" i="1" a="1"/>
  <c r="AM143" i="1" s="1"/>
  <c r="AM148" i="1" a="1"/>
  <c r="AM148" i="1" s="1"/>
  <c r="AM150" i="1" a="1"/>
  <c r="AM150" i="1" s="1"/>
  <c r="AM151" i="1" a="1"/>
  <c r="AM151" i="1" s="1"/>
  <c r="AM152" i="1" a="1"/>
  <c r="AM152" i="1" s="1"/>
  <c r="AM153" i="1" a="1"/>
  <c r="AM153" i="1" s="1"/>
  <c r="AM154" i="1" a="1"/>
  <c r="AM154" i="1" s="1"/>
  <c r="AM155" i="1" a="1"/>
  <c r="AM155" i="1" s="1"/>
  <c r="AM156" i="1" a="1"/>
  <c r="AM156" i="1" s="1"/>
  <c r="AM157" i="1" a="1"/>
  <c r="AM157" i="1" s="1"/>
  <c r="AM158" i="1" a="1"/>
  <c r="AM158" i="1" s="1"/>
  <c r="AM159" i="1" a="1"/>
  <c r="AM159" i="1" s="1"/>
  <c r="AM33" i="1" a="1"/>
  <c r="AM33" i="1" s="1"/>
  <c r="AM41" i="1" a="1"/>
  <c r="AM41" i="1" s="1"/>
  <c r="AM44" i="1" a="1"/>
  <c r="AM44" i="1" s="1"/>
  <c r="AM63" i="1" a="1"/>
  <c r="AM63" i="1" s="1"/>
  <c r="AM68" i="1" a="1"/>
  <c r="AM68" i="1" s="1"/>
  <c r="AM32" i="1" a="1"/>
  <c r="AM32" i="1" s="1"/>
  <c r="AM36" i="1" a="1"/>
  <c r="AM36" i="1" s="1"/>
  <c r="AM42" i="1" a="1"/>
  <c r="AM42" i="1" s="1"/>
  <c r="AM51" i="1" a="1"/>
  <c r="AM51" i="1" s="1"/>
  <c r="AM65" i="1" a="1"/>
  <c r="AM65" i="1" s="1"/>
  <c r="AM35" i="1" a="1"/>
  <c r="AM35" i="1" s="1"/>
  <c r="AM38" i="1" a="1"/>
  <c r="AM38" i="1" s="1"/>
  <c r="AM43" i="1" a="1"/>
  <c r="AM43" i="1" s="1"/>
  <c r="AM52" i="1" a="1"/>
  <c r="AM52" i="1" s="1"/>
  <c r="AM66" i="1" a="1"/>
  <c r="AM66" i="1" s="1"/>
  <c r="AM34" i="1" a="1"/>
  <c r="AM34" i="1" s="1"/>
  <c r="AM40" i="1" a="1"/>
  <c r="AM40" i="1" s="1"/>
  <c r="AM45" i="1" a="1"/>
  <c r="AM45" i="1" s="1"/>
  <c r="AM64" i="1" a="1"/>
  <c r="AM64" i="1" s="1"/>
  <c r="AM69" i="1" a="1"/>
  <c r="AM69" i="1" s="1"/>
  <c r="AM39" i="1" a="1"/>
  <c r="AM39" i="1" s="1"/>
  <c r="AM67" i="1" a="1"/>
  <c r="AM67" i="1" s="1"/>
  <c r="AM138" i="1" a="1"/>
  <c r="AM138" i="1" s="1"/>
  <c r="AM139" i="1" a="1"/>
  <c r="AM139" i="1" s="1"/>
  <c r="AM29" i="1" a="1"/>
  <c r="AM29" i="1" s="1"/>
  <c r="AM30" i="1" a="1"/>
  <c r="AM30" i="1" s="1"/>
  <c r="AM28" i="1" a="1"/>
  <c r="AM28" i="1" s="1"/>
  <c r="AM31" i="1" a="1"/>
  <c r="AM31" i="1" s="1"/>
  <c r="AM37" i="1" a="1"/>
  <c r="AM37" i="1" s="1"/>
  <c r="AM80" i="1" a="1"/>
  <c r="AM80" i="1" s="1"/>
  <c r="AM81" i="1" a="1"/>
  <c r="AM81" i="1" s="1"/>
  <c r="AM82" i="1" a="1"/>
  <c r="AM82" i="1" s="1"/>
  <c r="AM83" i="1" a="1"/>
  <c r="AM83" i="1" s="1"/>
  <c r="AM84" i="1" a="1"/>
  <c r="AM84" i="1" s="1"/>
  <c r="AM85" i="1" a="1"/>
  <c r="AM85" i="1" s="1"/>
  <c r="AM86" i="1" a="1"/>
  <c r="AM86" i="1" s="1"/>
  <c r="AM92" i="1" a="1"/>
  <c r="AM92" i="1" s="1"/>
  <c r="AM93" i="1" a="1"/>
  <c r="AM93" i="1" s="1"/>
  <c r="AM94" i="1" a="1"/>
  <c r="AM94" i="1" s="1"/>
  <c r="AM95" i="1" a="1"/>
  <c r="AM95" i="1" s="1"/>
  <c r="AM96" i="1" a="1"/>
  <c r="AM96" i="1" s="1"/>
  <c r="AM98" i="1" a="1"/>
  <c r="AM98" i="1" s="1"/>
  <c r="AM99" i="1" a="1"/>
  <c r="AM99" i="1" s="1"/>
  <c r="AM100" i="1" a="1"/>
  <c r="AM100" i="1" s="1"/>
  <c r="AM101" i="1" a="1"/>
  <c r="AM101" i="1" s="1"/>
  <c r="AM102" i="1" a="1"/>
  <c r="AM102" i="1" s="1"/>
  <c r="AM103" i="1" a="1"/>
  <c r="AM103" i="1" s="1"/>
  <c r="AM114" i="1" a="1"/>
  <c r="AM114" i="1" s="1"/>
  <c r="AM115" i="1" a="1"/>
  <c r="AM115" i="1" s="1"/>
  <c r="AM116" i="1" a="1"/>
  <c r="AM116" i="1" s="1"/>
  <c r="AM117" i="1" a="1"/>
  <c r="AM117" i="1" s="1"/>
  <c r="AM118" i="1" a="1"/>
  <c r="AM118" i="1" s="1"/>
  <c r="AM119" i="1" a="1"/>
  <c r="AM119" i="1" s="1"/>
  <c r="AM120" i="1" a="1"/>
  <c r="AM120" i="1" s="1"/>
  <c r="AM121" i="1" a="1"/>
  <c r="AM121" i="1" s="1"/>
  <c r="AM122" i="1" a="1"/>
  <c r="AM122" i="1" s="1"/>
  <c r="AM123" i="1" a="1"/>
  <c r="AM123" i="1" s="1"/>
  <c r="AM124" i="1" a="1"/>
  <c r="AM124" i="1" s="1"/>
  <c r="AM125" i="1" a="1"/>
  <c r="AM125" i="1" s="1"/>
  <c r="AM126" i="1" a="1"/>
  <c r="AM126" i="1" s="1"/>
  <c r="AM127" i="1" a="1"/>
  <c r="AM127" i="1" s="1"/>
  <c r="AM129" i="1" a="1"/>
  <c r="AM129" i="1" s="1"/>
  <c r="AM130" i="1" a="1"/>
  <c r="AM130" i="1" s="1"/>
  <c r="AM131" i="1" a="1"/>
  <c r="AM131" i="1" s="1"/>
  <c r="AM132" i="1" a="1"/>
  <c r="AM132" i="1" s="1"/>
  <c r="AM133" i="1" a="1"/>
  <c r="AM133" i="1" s="1"/>
  <c r="AM134" i="1" a="1"/>
  <c r="AM134" i="1" s="1"/>
  <c r="S21" i="21"/>
  <c r="S11" i="21"/>
  <c r="R11" i="21"/>
  <c r="AM14" i="1" a="1"/>
  <c r="AM14" i="1" s="1"/>
  <c r="AM17" i="1" a="1"/>
  <c r="AM17" i="1" s="1"/>
  <c r="AM20" i="1" a="1"/>
  <c r="AM20" i="1" s="1"/>
  <c r="AM23" i="1" a="1"/>
  <c r="AM23" i="1" s="1"/>
  <c r="AM26" i="1" a="1"/>
  <c r="AM26" i="1" s="1"/>
  <c r="AM13" i="1" a="1"/>
  <c r="AM13" i="1" s="1"/>
  <c r="AM18" i="1" a="1"/>
  <c r="AM18" i="1" s="1"/>
  <c r="AM21" i="1" a="1"/>
  <c r="AM21" i="1" s="1"/>
  <c r="AM24" i="1" a="1"/>
  <c r="AM24" i="1" s="1"/>
  <c r="AM27" i="1" a="1"/>
  <c r="AM27" i="1" s="1"/>
  <c r="AM9" i="1" a="1"/>
  <c r="AM9" i="1" s="1"/>
  <c r="AM10" i="1" a="1"/>
  <c r="AM10" i="1" s="1"/>
  <c r="AM11" i="1" a="1"/>
  <c r="AM11" i="1" s="1"/>
  <c r="AM12" i="1" a="1"/>
  <c r="AM12" i="1" s="1"/>
  <c r="AM15" i="1" a="1"/>
  <c r="AM15" i="1" s="1"/>
  <c r="AM16" i="1" a="1"/>
  <c r="AM16" i="1" s="1"/>
  <c r="AM19" i="1" a="1"/>
  <c r="AM19" i="1" s="1"/>
  <c r="AM22" i="1" a="1"/>
  <c r="AM22" i="1" s="1"/>
  <c r="AM25" i="1" a="1"/>
  <c r="AM25" i="1" s="1"/>
  <c r="AM53" i="1" a="1"/>
  <c r="AM53" i="1" s="1"/>
  <c r="AM54" i="1" a="1"/>
  <c r="AM54" i="1" s="1"/>
  <c r="AM55" i="1" a="1"/>
  <c r="AM55" i="1" s="1"/>
  <c r="AM56" i="1" a="1"/>
  <c r="AM56" i="1" s="1"/>
  <c r="AM57" i="1" a="1"/>
  <c r="AM57" i="1" s="1"/>
  <c r="AM58" i="1" a="1"/>
  <c r="AM58" i="1" s="1"/>
  <c r="AM59" i="1" a="1"/>
  <c r="AM59" i="1" s="1"/>
  <c r="AM60" i="1" a="1"/>
  <c r="AM60" i="1" s="1"/>
  <c r="AM61" i="1" a="1"/>
  <c r="AM61" i="1" s="1"/>
  <c r="AM62" i="1" a="1"/>
  <c r="AM62" i="1" s="1"/>
  <c r="AM97" i="1" a="1"/>
  <c r="AM97" i="1" s="1"/>
  <c r="AM137" i="1" a="1"/>
  <c r="AM137" i="1" s="1"/>
  <c r="AM89" i="1" a="1"/>
  <c r="AM89" i="1" s="1"/>
  <c r="AM128" i="1" a="1"/>
  <c r="AM128" i="1" s="1"/>
  <c r="AM91" i="1" a="1"/>
  <c r="AM91" i="1" s="1"/>
  <c r="AM90" i="1" a="1"/>
  <c r="AM90" i="1" s="1"/>
  <c r="AM88" i="1" a="1"/>
  <c r="AM88" i="1" s="1"/>
  <c r="AM87" i="1" a="1"/>
  <c r="AM87" i="1" s="1"/>
  <c r="AM50" i="1" a="1"/>
  <c r="AM50" i="1" s="1"/>
  <c r="AM49" i="1" a="1"/>
  <c r="AM49" i="1" s="1"/>
  <c r="AM48" i="1" a="1"/>
  <c r="AM48" i="1" s="1"/>
  <c r="AM47" i="1" a="1"/>
  <c r="AM47" i="1" s="1"/>
  <c r="AM46" i="1" a="1"/>
  <c r="AM46" i="1" s="1"/>
  <c r="AM8" i="1" a="1"/>
  <c r="AM8" i="1" s="1"/>
  <c r="AM7" i="1" a="1"/>
  <c r="AM7" i="1" s="1"/>
  <c r="AM6" i="1" a="1"/>
  <c r="AM6" i="1" s="1"/>
  <c r="AM5" i="1" a="1"/>
  <c r="AM5" i="1" s="1"/>
  <c r="AM3" i="1" a="1"/>
  <c r="AM3" i="1" s="1"/>
  <c r="AM4" i="1" a="1"/>
  <c r="AM4" i="1" s="1"/>
  <c r="G4" i="3"/>
  <c r="C37" i="3"/>
  <c r="C28" i="3"/>
  <c r="E54" i="3" s="1"/>
  <c r="C27" i="3"/>
  <c r="B167" i="1"/>
  <c r="G8" i="3" s="1"/>
  <c r="B165" i="1"/>
  <c r="G6" i="3" s="1"/>
  <c r="B164" i="1"/>
  <c r="G5" i="3" s="1"/>
  <c r="B166" i="1"/>
  <c r="G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412587-AE5A-1746-85AC-9F4027D61F47}" keepAlive="1" name="Query - Heike Chapter 2" description="Connection to the 'Heike Chapter 2' query in the workbook." type="5" refreshedVersion="0" background="1">
    <dbPr connection="Provider=Microsoft.Mashup.OleDb.1;Data Source=$Workbook$;Location=&quot;Heike Chapter 2&quot;;Extended Properties=&quot;&quot;" command="SELECT * FROM [Heike Chapter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<sst xmlns="http://schemas.openxmlformats.org/spreadsheetml/2006/main" count="5894" uniqueCount="1252">
  <si>
    <t>Clause_ID</t>
  </si>
  <si>
    <t>Clause</t>
  </si>
  <si>
    <t>Translation</t>
  </si>
  <si>
    <t>Predicate</t>
  </si>
  <si>
    <t>Pred_Type</t>
  </si>
  <si>
    <t>Predicate_Transitivity</t>
  </si>
  <si>
    <t>Verb_Semantic_Class</t>
  </si>
  <si>
    <t>Voice_Type</t>
  </si>
  <si>
    <t>Clause_Polarity</t>
  </si>
  <si>
    <t>~Ø-Verbal</t>
  </si>
  <si>
    <t>ACT-ARG</t>
  </si>
  <si>
    <t>Arg Type</t>
  </si>
  <si>
    <t>NON-ARG</t>
  </si>
  <si>
    <t>Subject_Class</t>
  </si>
  <si>
    <t>Object_Class</t>
  </si>
  <si>
    <t>Indirect_Object_Class</t>
  </si>
  <si>
    <t>GAP-ACT-ARG</t>
  </si>
  <si>
    <t>GAP-NON-ARG</t>
  </si>
  <si>
    <t>NMLZ head</t>
  </si>
  <si>
    <t>Clause_Type</t>
  </si>
  <si>
    <t>EXALT INSIG</t>
  </si>
  <si>
    <t>V-ARG-Ø-ARG</t>
  </si>
  <si>
    <t>NOM EXH MORPH</t>
  </si>
  <si>
    <t>Connective_Type</t>
  </si>
  <si>
    <t>Switch_Ref</t>
  </si>
  <si>
    <t>Topic_Status</t>
  </si>
  <si>
    <t>Information_Status</t>
  </si>
  <si>
    <t>Сomment</t>
  </si>
  <si>
    <t>Heike 2.1</t>
  </si>
  <si>
    <t>Heike 2.2</t>
  </si>
  <si>
    <t>Heike 2.3</t>
  </si>
  <si>
    <t>Heike 2.4</t>
  </si>
  <si>
    <t>Heike 2.5</t>
  </si>
  <si>
    <t>Heike 2.6</t>
  </si>
  <si>
    <t>Heike 2.7</t>
  </si>
  <si>
    <t>Heike 2.8</t>
  </si>
  <si>
    <t>Heike 2.9</t>
  </si>
  <si>
    <t>Heike 2.10</t>
  </si>
  <si>
    <t>Heike 2.11</t>
  </si>
  <si>
    <t>Heike 2.12</t>
  </si>
  <si>
    <t>Heike 2.13</t>
  </si>
  <si>
    <t>Heike 2.14</t>
  </si>
  <si>
    <t>Heike 2.15</t>
  </si>
  <si>
    <t>Heike 2.16</t>
  </si>
  <si>
    <t>Heike 2.17</t>
  </si>
  <si>
    <t>Heike 2.18</t>
  </si>
  <si>
    <t>Heike 2.19</t>
  </si>
  <si>
    <t>Heike 2.20</t>
  </si>
  <si>
    <t>Heike 2.21</t>
  </si>
  <si>
    <t>Heike 2.22</t>
  </si>
  <si>
    <t>Heike 2.23</t>
  </si>
  <si>
    <t>Heike 2.24</t>
  </si>
  <si>
    <t>Heike 2.25</t>
  </si>
  <si>
    <t>Heike 2.26</t>
  </si>
  <si>
    <t>Heike 2.27</t>
  </si>
  <si>
    <t>Heike 2.28</t>
  </si>
  <si>
    <t>Heike 2.29</t>
  </si>
  <si>
    <t>Heike 2.30</t>
  </si>
  <si>
    <t>Heike 2.31</t>
  </si>
  <si>
    <t>Heike 2.32</t>
  </si>
  <si>
    <t>Heike 2.33</t>
  </si>
  <si>
    <t>Heike 2.34</t>
  </si>
  <si>
    <t>Heike 2.35</t>
  </si>
  <si>
    <t>Heike 2.36</t>
  </si>
  <si>
    <t>Heike 2.37</t>
  </si>
  <si>
    <t>Heike 2.38</t>
  </si>
  <si>
    <t>Heike 2.39</t>
  </si>
  <si>
    <t>Heike 2.40</t>
  </si>
  <si>
    <t>Heike 2.41</t>
  </si>
  <si>
    <t>Heike 2.42</t>
  </si>
  <si>
    <t>Heike 2.43</t>
  </si>
  <si>
    <t>Heike 2.44</t>
  </si>
  <si>
    <t>Heike 2.45</t>
  </si>
  <si>
    <t>Heike 2.46</t>
  </si>
  <si>
    <t>Heike 2.47</t>
  </si>
  <si>
    <t>Heike 2.48</t>
  </si>
  <si>
    <t>Heike 2.49</t>
  </si>
  <si>
    <t>Heike 2.50</t>
  </si>
  <si>
    <t>Heike 2.51</t>
  </si>
  <si>
    <t>Heike 2.52</t>
  </si>
  <si>
    <t>Heike 2.53</t>
  </si>
  <si>
    <t>Heike 2.54</t>
  </si>
  <si>
    <t>Heike 2.55</t>
  </si>
  <si>
    <t>Heike 2.56</t>
  </si>
  <si>
    <t>Heike 2.57</t>
  </si>
  <si>
    <t>Heike 2.58</t>
  </si>
  <si>
    <t>Heike 2.59</t>
  </si>
  <si>
    <t>Heike 2.60</t>
  </si>
  <si>
    <t>Heike 2.61</t>
  </si>
  <si>
    <t>Heike 2.62</t>
  </si>
  <si>
    <t>Heike 2.63</t>
  </si>
  <si>
    <t>Heike 2.64</t>
  </si>
  <si>
    <t>Heike 2.65</t>
  </si>
  <si>
    <t>Heike 2.66</t>
  </si>
  <si>
    <t>Heike 2.67</t>
  </si>
  <si>
    <t>Heike 2.68</t>
  </si>
  <si>
    <t>Heike 2.69</t>
  </si>
  <si>
    <t>Heike 2.70</t>
  </si>
  <si>
    <t>Heike 2.71</t>
  </si>
  <si>
    <t>Heike 2.72</t>
  </si>
  <si>
    <t>Heike 2.73</t>
  </si>
  <si>
    <t>Heike 2.74</t>
  </si>
  <si>
    <t>Heike 2.75</t>
  </si>
  <si>
    <t>Heike 2.76</t>
  </si>
  <si>
    <t>Heike 2.77</t>
  </si>
  <si>
    <t>Heike 2.78</t>
  </si>
  <si>
    <t>Heike 2.79</t>
  </si>
  <si>
    <t>Heike 2.80</t>
  </si>
  <si>
    <t>Heike 2.81</t>
  </si>
  <si>
    <t>Heike 2.82</t>
  </si>
  <si>
    <t>Heike 2.83</t>
  </si>
  <si>
    <t>Heike 2.84</t>
  </si>
  <si>
    <t>Heike 2.85</t>
  </si>
  <si>
    <t>Heike 2.86</t>
  </si>
  <si>
    <t>Heike 2.87</t>
  </si>
  <si>
    <t>Heike 2.88</t>
  </si>
  <si>
    <t>Heike 2.89</t>
  </si>
  <si>
    <t>Heike 2.90</t>
  </si>
  <si>
    <t>Heike 2.91</t>
  </si>
  <si>
    <t>Heike 2.92</t>
  </si>
  <si>
    <t>Heike 2.93</t>
  </si>
  <si>
    <t>Heike 2.94</t>
  </si>
  <si>
    <t>Heike 2.95</t>
  </si>
  <si>
    <t>Heike 2.96</t>
  </si>
  <si>
    <t>Heike 2.97</t>
  </si>
  <si>
    <t>Heike 2.98</t>
  </si>
  <si>
    <t>Heike 2.99</t>
  </si>
  <si>
    <t>Heike 2.100</t>
  </si>
  <si>
    <t>Heike 2.101</t>
  </si>
  <si>
    <t>Heike 2.102</t>
  </si>
  <si>
    <t>Heike 2.103</t>
  </si>
  <si>
    <t>Heike 2.104</t>
  </si>
  <si>
    <t>Heike 2.105</t>
  </si>
  <si>
    <t>Heike 2.106</t>
  </si>
  <si>
    <t>Heike 2.107</t>
  </si>
  <si>
    <t>Heike 2.108</t>
  </si>
  <si>
    <t>Heike 2.109</t>
  </si>
  <si>
    <t>Heike 2.110</t>
  </si>
  <si>
    <t>Heike 2.111</t>
  </si>
  <si>
    <t>Heike 2.112</t>
  </si>
  <si>
    <t>Heike 2.113</t>
  </si>
  <si>
    <t>Heike 2.114</t>
  </si>
  <si>
    <t>Heike 2.115</t>
  </si>
  <si>
    <t>Heike 2.116</t>
  </si>
  <si>
    <t>Heike 2.117</t>
  </si>
  <si>
    <t>Heike 2.118</t>
  </si>
  <si>
    <t>Heike 2.119</t>
  </si>
  <si>
    <t>Heike 2.120</t>
  </si>
  <si>
    <t>Heike 2.121</t>
  </si>
  <si>
    <t>Heike 2.122</t>
  </si>
  <si>
    <t>Heike 2.123</t>
  </si>
  <si>
    <t>Heike 2.124</t>
  </si>
  <si>
    <t>Heike 2.125</t>
  </si>
  <si>
    <t>Heike 2.126</t>
  </si>
  <si>
    <t>Heike 2.127</t>
  </si>
  <si>
    <t>Heike 2.128</t>
  </si>
  <si>
    <t>Heike 2.129</t>
  </si>
  <si>
    <t>忠盛朝臣未だ備前守たりし時 (Tadamori ason imada Bizen no kami tarishi toki)</t>
  </si>
  <si>
    <t>鳥羽院の御願得長寿院を造進して (Toba-in no ogan Tokuchōju-in o zōshin shite)</t>
  </si>
  <si>
    <t>三十三間の御堂を建て (sanjūsangen no midō o tatete)</t>
  </si>
  <si>
    <t>一千一体の御仏を据ゑ奉らる (issen ittai no mihotoke o sue-tatematsuraru)</t>
  </si>
  <si>
    <t>供養は天承元年三月十三日なり (kuyō wa Tenshō gannen sangatsu jūsan-nichi nari)</t>
  </si>
  <si>
    <t>勧賞には欠国を賜ふべき由 (kanshō ni wa kakukuni o tamau beki yoshi)</t>
  </si>
  <si>
    <t>仰せ下されける (ōse-kudasa rekeru)</t>
  </si>
  <si>
    <t>折節但馬国の空きたりけるをぞ (orifushi Tamba no kuni no aki tarikeru o zo)</t>
  </si>
  <si>
    <t>賜はりける (tamawari keru)</t>
  </si>
  <si>
    <t>上皇御感のあまりに内の昇殿を許さる (jōkō go-kan no amari ni uchi no shōden o yurusaru)</t>
  </si>
  <si>
    <t>忠盛三十六にて初めて昇殿す (Tadamori sanjūroku nite hajimete shōden su)</t>
  </si>
  <si>
    <t>雲の上人これを嫉み憤り (kumo no uebito kore o sonemi ikidori)</t>
  </si>
  <si>
    <t xml:space="preserve">同じき年の十一月二十三日五節豊の明の節会の夜 (onajiki toshi no jūichigatsu nijūsannichi gosechi Toyo-no-akari no setchie no yo) 忠盛を闇討にせん (Tadamori o yamiuchi ni sen </t>
  </si>
  <si>
    <t>とぞ議せられける (to zo giserarikeru)</t>
  </si>
  <si>
    <t>忠盛この由を伝へ聞きて (Tadamori kono yoshi o tsutae kikite)</t>
  </si>
  <si>
    <t>我右弼の身にあらず (ware ubitsu no mi ni a-razu)</t>
  </si>
  <si>
    <t>武勇の家に生れて (buyū no ie ni umarete)</t>
  </si>
  <si>
    <t>今不慮の恥に遇はん (ima furyo no haji ni awan)</t>
  </si>
  <si>
    <t>事家の為身の為心憂かるべし (koto ie no tame mi no tame kokoroukarubeshi)</t>
  </si>
  <si>
    <t>詮ずるところ (senzuru tokoro)</t>
  </si>
  <si>
    <t>身を全うして (mi o mattō shite)</t>
  </si>
  <si>
    <t>君に仕へ奉れ</t>
  </si>
  <si>
    <t>といふ本文あり (to iu honbun ari)</t>
  </si>
  <si>
    <t>参内の初めより大なる鞘巻を用意し (sannai no hajime yori ō-naru sayamaki o yōi shi)</t>
  </si>
  <si>
    <t>束帯の下にしどけなげに差し (sokutai no shita ni shidokenage ni sashi)</t>
  </si>
  <si>
    <t>火の仄暗き方に向かつて (hi no hokuraki kata ni mukatte)</t>
  </si>
  <si>
    <t>鬢に引き当てられたりけるが (kami ni hiki-ate raretarikeru ga)</t>
  </si>
  <si>
    <t>余所よりは氷などのやうにぞ見えたりける (yoso yori wa kōri nado no yō ni zo mieta rikeru)</t>
  </si>
  <si>
    <t>諸人目を澄ましけり (morobito me o sumashikeri)</t>
  </si>
  <si>
    <t xml:space="preserve">また忠盛の郎等元は一門たりし( mata Tadamori no rōtō moto wa ichimon tarishi) </t>
  </si>
  <si>
    <t>木工助平貞光が孫新四郎太夫家房が子に左兵衛尉家貞といふ者あり (Moku no suke Sadamitsu ga mago Shinshirō Tayū Iefusa ga ko ni Sahyōe no jō Iesada to iu mono ari)</t>
  </si>
  <si>
    <t>薄青の狩衣の下に萌黄威の腹巻を着 (usuao no kariginu no shita ni moegi-odoshi no haramaki o ki)</t>
  </si>
  <si>
    <t xml:space="preserve">柄弦袋付けたる ezurubukuro tsuketaru </t>
  </si>
  <si>
    <t>太刀脇挟んで (tachi wakihasande)</t>
  </si>
  <si>
    <t>貫首以下怪しみをなして (kanshu ika ayashimi o nashite)</t>
  </si>
  <si>
    <t>は何者ぞ  wa nani mono zo</t>
  </si>
  <si>
    <t>狼藉なり (rōzaku nari)</t>
  </si>
  <si>
    <t>家貞畏つて申しけるは (Iesada kashikomatte mōshikeru wa)</t>
  </si>
  <si>
    <t xml:space="preserve">相伝の主備前守殿今夜闇討にせられ給ふべき (sōden no aruji Bizen no kami-dono kon'ya yamiuchi ni serare-tamō beki) </t>
  </si>
  <si>
    <t xml:space="preserve">由伝へ承つて(yoshi tsutae uketamawatte) </t>
  </si>
  <si>
    <t>それならん  (sore naran )</t>
  </si>
  <si>
    <t>やうを見んとて (yō o min to te)</t>
  </si>
  <si>
    <t>かくて候ふなり (kakute soro fu nari)</t>
  </si>
  <si>
    <t>えこそ出でまじう候へ (e koso idema jiu soro e)</t>
  </si>
  <si>
    <t>その夜の闇討なかりけり (sono yo no yamiuchi nakarikeri)</t>
  </si>
  <si>
    <t>忠盛また御前の召しに舞はれけるに (Tadamori mata gozen no meshi ni mawarekeru ni)</t>
  </si>
  <si>
    <t>人々拍子を変へて (hitobito hyōshi o kaete)</t>
  </si>
  <si>
    <t>かけまくも忝くこの人々は柏原天皇の御末とは申しながら (kakemakumo katabokaku kono hitobito wa Kashiwabara Tennō no o-sue to wa mōshinagara)</t>
  </si>
  <si>
    <t>中比は都の住まひも疎々しく (chūbi wa miyako no sumai mo utoutoshiku)</t>
  </si>
  <si>
    <t>地下にのみ振舞ひなつて ( jige ni nomi furumai natte)</t>
  </si>
  <si>
    <t>伊勢国に住国深かりしかば  (Ise no kuni ni sumikoku fukakarishikaba)</t>
  </si>
  <si>
    <t>その国の器に言寄せて</t>
  </si>
  <si>
    <t>伊勢平氏とぞ囃されける (Ise Heishi to zo hayasarekeru)</t>
  </si>
  <si>
    <t>忠盛何とすべきやうもなくして (Tadamori nan to subeki yō mo nakushite)</t>
  </si>
  <si>
    <t>かたへの殿上人の見られける (kata e no tenjōbito no mirarekeru)</t>
  </si>
  <si>
    <t>所にて主殿司を召して (tokoro nite tonomotsukasa o meshite azukeokite zo iderarekeru)</t>
  </si>
  <si>
    <t>預け置きてぞ</t>
  </si>
  <si>
    <t>出でられける</t>
  </si>
  <si>
    <t>家貞待ち受け奉りて (Iesada machi-uke tatemawari-te)</t>
  </si>
  <si>
    <t>かくとも云はまほしう</t>
  </si>
  <si>
    <t>思はれけれども (kakutomo iwamahoshū omowarekeredomo)</t>
  </si>
  <si>
    <t>別の事なし (betsu no koto nashi)</t>
  </si>
  <si>
    <t>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t>
  </si>
  <si>
    <t>中比太宰権帥季仲卿といふ人ありけり (chūbi Dazai gon no so Sukechika kyō to iu hito arikeri)</t>
  </si>
  <si>
    <t>あまりに色の黒かりければ (amari ni iro no kurokarikereba)</t>
  </si>
  <si>
    <t>見る人黒帥とぞ申しける (miru hito kurosotsu to zo mōshikeru)</t>
  </si>
  <si>
    <t>あなくろくろ黒き頭かな (ana kuro kuro kuroki atama kana)</t>
  </si>
  <si>
    <t>また花山院前太政大臣忠雅公未だ十歳と申しし時 (mata Kazanin no saki no Daijōdaijin Tadamasa kō imada jissai to mōshi shi toki)</t>
  </si>
  <si>
    <t>父中納言忠宗卿に後れ給ひて (chichi Chūnagon Tadamune kyō ni okure tamai te)</t>
  </si>
  <si>
    <t>孤子にておはせしを (koji nite ohaseshi o)</t>
  </si>
  <si>
    <t>殿上人一同に訴へ申されけるは (tenjōbito ichidō ni uttaemōsarekeru wa)</t>
  </si>
  <si>
    <t>事既に重畳せり (koto sudeni chōjō seri)</t>
  </si>
  <si>
    <t>由諸卿一同に訴へ申されければ (yoshi shokyō ichidō ni uttaemōsarekereba)</t>
  </si>
  <si>
    <t>上皇大きに驚かせ給ひて (Jōkō ōki ni odorokase tamai te)</t>
  </si>
  <si>
    <t>陳じ申されけるは (chinji mōsarekeru wa)</t>
  </si>
  <si>
    <t>まづ郎従小庭に伺候の由全く覚悟仕らず (mazu rōjū koniwa ni shikō no yoshi mattaku kakugo tsukamatsurazu)</t>
  </si>
  <si>
    <t>年来の家人事を伝へ聞くかによつて (nenrai no kenin goto o tsutae kiku ka ni yotte)</t>
  </si>
  <si>
    <t>上は鞘巻の黒う塗つたりけるが (ue wa sayamaki no kuro u nuttari keru ga)</t>
  </si>
  <si>
    <t>中は木刀に銀薄をぞ押したりける (naka wa bokutō ni gin-haku o zo oshitari keru)</t>
  </si>
  <si>
    <t>Now Tadamori, while holding the office of Bizen no Kami,</t>
  </si>
  <si>
    <t>within which were one thousand and one Buddhas;</t>
  </si>
  <si>
    <t>its first festival being on the thirteenth day of the third month of the first year of Tensho.</t>
  </si>
  <si>
    <t>As a reward he was to be granted a fief,</t>
  </si>
  <si>
    <t>he was honoured by receiving the territory of the province of Tamba,</t>
  </si>
  <si>
    <t>which then happened to be unappropriated.</t>
  </si>
  <si>
    <t>As a reward he was honoured by receiving the territory of the province of Tamba, which then happened to be unappropriated.</t>
  </si>
  <si>
    <t>Moreover the Emperor of his bounty graciously permitted him to attend the Court;</t>
  </si>
  <si>
    <t>which Tadamori did for the first time at the age of thirty six.</t>
  </si>
  <si>
    <t>the higher Courtiers were furious with jealousy</t>
  </si>
  <si>
    <t>to assassinate him on the evening of the festival of Go-Sechi Toyo-no-akari-no-setchie, on the 23rd day of the eleventh month of the same year.</t>
  </si>
  <si>
    <t>they plotted</t>
  </si>
  <si>
    <t>Tadamori, on hearing of this</t>
  </si>
  <si>
    <t>I am not a civil official</t>
  </si>
  <si>
    <t>being born of a line of warriors</t>
  </si>
  <si>
    <t>for myself and my house at this unexpected shame</t>
  </si>
  <si>
    <t>I am troubled in my heart</t>
  </si>
  <si>
    <t>finally, as for what is to be done</t>
  </si>
  <si>
    <t>with all your might</t>
  </si>
  <si>
    <t>so goes the original passage</t>
  </si>
  <si>
    <t>Before entering the Court he provided himself with a long dirk</t>
  </si>
  <si>
    <t>which he girt on under his long court dress</t>
  </si>
  <si>
    <t>and turning aside to a dimly lit place</t>
  </si>
  <si>
    <t>slowly drew the blade</t>
  </si>
  <si>
    <t>and passed it through the hair of his head</t>
  </si>
  <si>
    <t>so that it gleamed afar off with an icy sheen</t>
  </si>
  <si>
    <t>causing all to stare open-eyed</t>
  </si>
  <si>
    <t xml:space="preserve">Moreover a retainer of Tadamori ... </t>
  </si>
  <si>
    <t>there was one named Sahyoe-no-jo Iesada</t>
  </si>
  <si>
    <t>wearing a body armour laced with bright green under a light green "kariginu"</t>
  </si>
  <si>
    <t>with a bowstring bag attached</t>
  </si>
  <si>
    <t xml:space="preserve">and carrying under his arm a "tachi" </t>
  </si>
  <si>
    <t>was waiting in the "koniwa," the small court by the Seiryoden</t>
  </si>
  <si>
    <t>Now the Kurando-no-to and others, thinking it strange,</t>
  </si>
  <si>
    <t xml:space="preserve">that one wearing unsuitable costume should be within the balustrade of the steps of the Court near the bell-rope of the library, </t>
  </si>
  <si>
    <t>and wondering who he was.</t>
  </si>
  <si>
    <t>"[He is] disorderly"</t>
  </si>
  <si>
    <t>"Depart quickly"</t>
  </si>
  <si>
    <t>an official of the sixth rank ordered him to depart quickly.</t>
  </si>
  <si>
    <t>But Iesada thus replied:</t>
  </si>
  <si>
    <t>Because I have heard that</t>
  </si>
  <si>
    <t>"whether it is so"</t>
  </si>
  <si>
    <t xml:space="preserve">and in order to see </t>
  </si>
  <si>
    <t>"have come and am thus waiting"</t>
  </si>
  <si>
    <t>"I cannot possibly go out"</t>
  </si>
  <si>
    <t>and thus the attempt did not take place.</t>
  </si>
  <si>
    <t>But when Tadamori danced in the August presence of the Mikado at his Imperial wish,</t>
  </si>
  <si>
    <t>the others mocked at him, changing the words of the music</t>
  </si>
  <si>
    <t>"the winepot of Ise has turned into a vinegar jar"</t>
  </si>
  <si>
    <t>they sang in mockery</t>
  </si>
  <si>
    <t>In thus mentioning the vessels of his province they punned on his title...</t>
  </si>
  <si>
    <t>and since lately his family had lived away from the capital,</t>
  </si>
  <si>
    <t xml:space="preserve"> behaving as mere provincial folk</t>
  </si>
  <si>
    <t>and as they lived deep in Ise province, they likened him to the vessels of that province</t>
  </si>
  <si>
    <t>sono kuni no utsuwa ni kotoyosete)</t>
  </si>
  <si>
    <t>so they mocked him as 'Ise Heishi'</t>
  </si>
  <si>
    <t>Tadamori, having no way of dealing with the situation,</t>
  </si>
  <si>
    <t>before the entertainment had ended,</t>
  </si>
  <si>
    <t>he secretly left the Presence,</t>
  </si>
  <si>
    <t>and going behind the Shishinden,</t>
  </si>
  <si>
    <t xml:space="preserve"> the court nobles could see him,</t>
  </si>
  <si>
    <t>Iesada, who was waiting for his lord,</t>
  </si>
  <si>
    <t>"What has happened?" he asked.</t>
  </si>
  <si>
    <t>he was asked,</t>
  </si>
  <si>
    <t>to tell him</t>
  </si>
  <si>
    <t>although he greatly wished,</t>
  </si>
  <si>
    <t>seeing that, if he told him,</t>
  </si>
  <si>
    <t>who would even do violence in the Palace itself,</t>
  </si>
  <si>
    <t xml:space="preserve">he appeared as one </t>
  </si>
  <si>
    <t>nothing out of the ordinary had taken place.</t>
  </si>
  <si>
    <t>In the Go-sechie festival only such pleasing things as white paper, Shuzenji paper, wrapped brushes, or writing brushes with a tomoe on the stem were customarily sung and danced,</t>
  </si>
  <si>
    <t>but there was a certain Dazai Gon-no-sotsu Suenaka no Kyo,</t>
  </si>
  <si>
    <t>who was of so dark a complexion that</t>
  </si>
  <si>
    <t>people called him 'kuro-sotsu',</t>
  </si>
  <si>
    <t>they changed the rhythm of the music</t>
  </si>
  <si>
    <t>"Oh what a black, black head!"</t>
  </si>
  <si>
    <t>"someone must have painted him with lacquer"</t>
  </si>
  <si>
    <t>they sang in mockery.</t>
  </si>
  <si>
    <t>Also, when Prince Tadamasa of the Kazan-in, the former Prime Minister, was only ten years old,</t>
  </si>
  <si>
    <t>having lost his father, Chunagon Tadamune,</t>
  </si>
  <si>
    <t>and being left an orphan,</t>
  </si>
  <si>
    <t>As he had expected, after the conclusion of the festival,</t>
  </si>
  <si>
    <t>all the courtiers and officials together appealed,</t>
  </si>
  <si>
    <t>indeed, one crime piled on another,</t>
  </si>
  <si>
    <t>a charge he would find difficult to escape.</t>
  </si>
  <si>
    <t>and all the Court Nobles together petitioned,</t>
  </si>
  <si>
    <t>His Majesty the Mikado, greatly surprised,</t>
  </si>
  <si>
    <t>in his reply he stated that,</t>
  </si>
  <si>
    <t>as to the presence of his retainer in the Palace, he certainly knew nothing about it,</t>
  </si>
  <si>
    <t>as for the sword, I deposited it in the Tonomotsukasa,</t>
  </si>
  <si>
    <t>"This seems quite reasonable,"</t>
  </si>
  <si>
    <t>and they hastened to bring forth the sword,</t>
  </si>
  <si>
    <t>and exhibit it before His Majesty,</t>
  </si>
  <si>
    <t>its outside was that of a dirk in a black lacquer sheath,</t>
  </si>
  <si>
    <t>but within was only a wooden blade covered with silver.</t>
  </si>
  <si>
    <t>his substitution of a wooden blade as a precaution against an after accusation was exceedingly praiseworthy.</t>
  </si>
  <si>
    <t>Such prudence is most commendable in a warrior.</t>
  </si>
  <si>
    <t>and no fault was found in Tadamori.</t>
  </si>
  <si>
    <t>たりし</t>
  </si>
  <si>
    <t>造進して</t>
  </si>
  <si>
    <t>建て</t>
  </si>
  <si>
    <t>据ゑ奉らる</t>
  </si>
  <si>
    <t>なり</t>
  </si>
  <si>
    <t>賜ふべき</t>
  </si>
  <si>
    <t>仰せ下されける</t>
  </si>
  <si>
    <t>空きたりける</t>
  </si>
  <si>
    <t>賜はりける</t>
  </si>
  <si>
    <t>許さる</t>
  </si>
  <si>
    <t>昇殿す</t>
  </si>
  <si>
    <t>嫉み憤り</t>
  </si>
  <si>
    <t>闇討にせん</t>
  </si>
  <si>
    <t>議せられける</t>
  </si>
  <si>
    <t>伝へ聞きて</t>
  </si>
  <si>
    <t>あらず</t>
  </si>
  <si>
    <t>生れて</t>
  </si>
  <si>
    <t>遇はん</t>
  </si>
  <si>
    <t>詮ずる</t>
  </si>
  <si>
    <t>全うして</t>
  </si>
  <si>
    <t>仕へ奉れ</t>
  </si>
  <si>
    <t>あり</t>
  </si>
  <si>
    <t>用意し</t>
  </si>
  <si>
    <t>差し</t>
  </si>
  <si>
    <t>向かつて</t>
  </si>
  <si>
    <t>抜き出でて</t>
  </si>
  <si>
    <t>引き当てられたりける</t>
  </si>
  <si>
    <t>見えたりける</t>
  </si>
  <si>
    <t>澄ましけり</t>
  </si>
  <si>
    <t>着</t>
  </si>
  <si>
    <t>付けたる</t>
  </si>
  <si>
    <t>挟んで</t>
  </si>
  <si>
    <t>畏つて候ひける</t>
  </si>
  <si>
    <t>なして</t>
  </si>
  <si>
    <t>候ふ</t>
  </si>
  <si>
    <t xml:space="preserve">何者ぞ  </t>
  </si>
  <si>
    <t>罷り出でよ</t>
  </si>
  <si>
    <t>云はせられたりければ</t>
  </si>
  <si>
    <t>申しける</t>
  </si>
  <si>
    <t>闇討にせられ給ふ</t>
  </si>
  <si>
    <t>伝へ承つて</t>
  </si>
  <si>
    <t xml:space="preserve">ならん </t>
  </si>
  <si>
    <t>見ん</t>
  </si>
  <si>
    <t>候ふなり</t>
  </si>
  <si>
    <t>出でまじう候へ</t>
  </si>
  <si>
    <t>思はれけん</t>
  </si>
  <si>
    <t>なかりけり</t>
  </si>
  <si>
    <t>舞はれける</t>
  </si>
  <si>
    <t>変へて</t>
  </si>
  <si>
    <t>なりけり</t>
  </si>
  <si>
    <t>囃されける</t>
  </si>
  <si>
    <t>申しながら</t>
  </si>
  <si>
    <t>疎々しく</t>
  </si>
  <si>
    <t>振舞ひなつて</t>
  </si>
  <si>
    <t>深かりしかば</t>
  </si>
  <si>
    <t>言寄せて</t>
  </si>
  <si>
    <t>眇まれたりける</t>
  </si>
  <si>
    <t>囃されけるなれ</t>
  </si>
  <si>
    <t>なくして</t>
  </si>
  <si>
    <t>終らざる</t>
  </si>
  <si>
    <t>罷り出でらる</t>
  </si>
  <si>
    <t>見られける</t>
  </si>
  <si>
    <t xml:space="preserve">召して </t>
  </si>
  <si>
    <t>預け置きて</t>
  </si>
  <si>
    <t>待ち受け奉りて</t>
  </si>
  <si>
    <t>候ひつる</t>
  </si>
  <si>
    <t>申されける</t>
  </si>
  <si>
    <t>云はまほしう</t>
  </si>
  <si>
    <t>思はれけれども</t>
  </si>
  <si>
    <t>云ひつる</t>
  </si>
  <si>
    <t>斬り上らんずる</t>
  </si>
  <si>
    <t>ある</t>
  </si>
  <si>
    <t>なし</t>
  </si>
  <si>
    <t>歌ひ舞はるる</t>
  </si>
  <si>
    <t>ありけり</t>
  </si>
  <si>
    <t>黒かりければ</t>
  </si>
  <si>
    <t>N/A (exclamatory nominal clause)</t>
  </si>
  <si>
    <t>漆塗りけん</t>
  </si>
  <si>
    <t>申しし</t>
  </si>
  <si>
    <t>後れ給ひて</t>
  </si>
  <si>
    <t>おはせし</t>
  </si>
  <si>
    <t>ありし / 出で来ず</t>
  </si>
  <si>
    <t>覚束なし</t>
  </si>
  <si>
    <t>果てにしかば</t>
  </si>
  <si>
    <t>訴へ申されける</t>
  </si>
  <si>
    <t>狼藉なり</t>
  </si>
  <si>
    <t>重畳せり</t>
  </si>
  <si>
    <t>遁れ難し</t>
  </si>
  <si>
    <t>訴へ申されければ</t>
  </si>
  <si>
    <t>驚かせ給ひて</t>
  </si>
  <si>
    <t>覚悟仕らず</t>
  </si>
  <si>
    <t>伝へ聞く</t>
  </si>
  <si>
    <t>知らせず</t>
  </si>
  <si>
    <t>預け置き / 候ひ畢んぬ</t>
  </si>
  <si>
    <t>然るべし</t>
  </si>
  <si>
    <t>召し出でて</t>
  </si>
  <si>
    <t>塗つたりける</t>
  </si>
  <si>
    <t>押したりける</t>
  </si>
  <si>
    <t>あらまほしけれ</t>
  </si>
  <si>
    <t>N/A (nominal clause)</t>
  </si>
  <si>
    <t>verb</t>
  </si>
  <si>
    <t>LVC</t>
  </si>
  <si>
    <t>copula</t>
  </si>
  <si>
    <t>existential verb</t>
  </si>
  <si>
    <t>adjectival predicate</t>
  </si>
  <si>
    <t>none</t>
  </si>
  <si>
    <t>compound verb</t>
  </si>
  <si>
    <t>transitive</t>
  </si>
  <si>
    <t>intransitive</t>
  </si>
  <si>
    <t>ditransitive</t>
  </si>
  <si>
    <t>stative</t>
  </si>
  <si>
    <t>other</t>
  </si>
  <si>
    <t>motion</t>
  </si>
  <si>
    <t>psych-state</t>
  </si>
  <si>
    <t>communication</t>
  </si>
  <si>
    <t>perception</t>
  </si>
  <si>
    <t>aux/modal</t>
  </si>
  <si>
    <t>active</t>
  </si>
  <si>
    <t>passive</t>
  </si>
  <si>
    <t>positive</t>
  </si>
  <si>
    <t>negative</t>
  </si>
  <si>
    <t>IO</t>
  </si>
  <si>
    <t>SUB</t>
  </si>
  <si>
    <t>O (Speech)</t>
  </si>
  <si>
    <t>S+O</t>
  </si>
  <si>
    <t>zero_other</t>
  </si>
  <si>
    <t>zero_exalt</t>
  </si>
  <si>
    <t>overt</t>
  </si>
  <si>
    <t>not_applicable</t>
  </si>
  <si>
    <t>REL</t>
  </si>
  <si>
    <t>OBJ</t>
  </si>
  <si>
    <t>relative</t>
  </si>
  <si>
    <t>main</t>
  </si>
  <si>
    <t>nominalised</t>
  </si>
  <si>
    <t>temporal</t>
  </si>
  <si>
    <t>sequential</t>
  </si>
  <si>
    <t>quotative</t>
  </si>
  <si>
    <t>conditional</t>
  </si>
  <si>
    <t>concessive</t>
  </si>
  <si>
    <t>no_overt_NP</t>
  </si>
  <si>
    <t>stranded subject Tadamori</t>
  </si>
  <si>
    <t>idiom</t>
  </si>
  <si>
    <t>should the -to part be considered a clausal subject?</t>
  </si>
  <si>
    <t>Psych predicate; かくとも as adjunct.</t>
  </si>
  <si>
    <t>Subject = 別の事.</t>
  </si>
  <si>
    <t>Passive/respect; subject omitted; object 面白き事を overt.</t>
  </si>
  <si>
    <t>Adjectival predicate; subject = 色.</t>
  </si>
  <si>
    <t>申す humble; subject overt; counted as EXALT INSIG.</t>
  </si>
  <si>
    <t>N/A</t>
  </si>
  <si>
    <t>n/a</t>
  </si>
  <si>
    <t>contains_new</t>
  </si>
  <si>
    <t>topic-introduced</t>
  </si>
  <si>
    <t>topic-continued</t>
  </si>
  <si>
    <t>subordinate</t>
  </si>
  <si>
    <t>by the request of the retired Emperor Toba,</t>
  </si>
  <si>
    <t xml:space="preserve"> had built the temple Toku-cho-juin and the Sa-ju-san-gen-do, or hall 33 ken long,</t>
  </si>
  <si>
    <t>Subject_Person</t>
  </si>
  <si>
    <t>ss</t>
  </si>
  <si>
    <t>topic-shift</t>
  </si>
  <si>
    <t>ds</t>
  </si>
  <si>
    <t>causal</t>
  </si>
  <si>
    <t>Exaltation_Form_Type</t>
  </si>
  <si>
    <t>Exaltation_Referential_Target</t>
  </si>
  <si>
    <t>lexical_honorific_verb</t>
  </si>
  <si>
    <t>lexical_humble_verb</t>
  </si>
  <si>
    <t>honorific_aux</t>
  </si>
  <si>
    <t>polite_aux</t>
  </si>
  <si>
    <t>nominal_prefix</t>
  </si>
  <si>
    <t>obj</t>
  </si>
  <si>
    <t>sub</t>
  </si>
  <si>
    <t>complex verbal form</t>
  </si>
  <si>
    <t>lexical honorific+honorific aux</t>
  </si>
  <si>
    <t>io</t>
  </si>
  <si>
    <t>topic-drop</t>
  </si>
  <si>
    <t>zero_recoverable</t>
  </si>
  <si>
    <t>it's unlcear whether -re- in -yurusareru is passive or honorific</t>
  </si>
  <si>
    <t>S (Speech)</t>
  </si>
  <si>
    <t>all given</t>
  </si>
  <si>
    <t>honorific_aux+lexical_honorific_verb</t>
  </si>
  <si>
    <t>honorific_aux+lexical_humble_verb</t>
  </si>
  <si>
    <t>憂かるべし</t>
  </si>
  <si>
    <t>te</t>
  </si>
  <si>
    <t xml:space="preserve"> kimi ni tsukae tatematsure</t>
  </si>
  <si>
    <t>inf</t>
  </si>
  <si>
    <t>やはらこの刀を抜き出でて (yahara kono katana o nuki-idete)</t>
  </si>
  <si>
    <t>"kono katana" refers to the "sayamaki", so all given</t>
  </si>
  <si>
    <t>O+IO</t>
  </si>
  <si>
    <t>殿上の小庭に畏つてぞ候ひける (tenjō no koniwa ni kashikomatte zo soroikyeru)</t>
  </si>
  <si>
    <t>LVC (inf)</t>
  </si>
  <si>
    <t>空柱より内鈴の綱の辺に布衣の者の候ふ  (sorabashira yori uchisuzu no tsuna no hen ni hoi no mono no soroou)</t>
  </si>
  <si>
    <t>tonight they will try to kill my Lord Bizen-no-kami dono"</t>
  </si>
  <si>
    <t>purpose</t>
  </si>
  <si>
    <t>inanimate</t>
  </si>
  <si>
    <t>zero_uncertain</t>
  </si>
  <si>
    <t>action</t>
  </si>
  <si>
    <t>he was mocked in such a way</t>
  </si>
  <si>
    <t xml:space="preserve">moreover, because Tadamori's eyes were squinted, </t>
  </si>
  <si>
    <t>御遊も未だ終らざる前に (gyoyū mo mada owarazaru mae ni)</t>
  </si>
  <si>
    <t>密かに罷り出でらるとて (hisokani makari ideraru tote)</t>
  </si>
  <si>
    <t>紫宸殿の御後にして (Shishinden no o-ato ni shite)</t>
  </si>
  <si>
    <t>後にして</t>
  </si>
  <si>
    <t xml:space="preserve"> entrusted [his sword]</t>
  </si>
  <si>
    <t xml:space="preserve">in a place where… he summoned the Tonomotsukasa, </t>
  </si>
  <si>
    <t>and left,</t>
  </si>
  <si>
    <t>者の面魂にてある間 mono no omodamashii nite aru aida</t>
  </si>
  <si>
    <t>にてある</t>
  </si>
  <si>
    <t>Heike 2.130</t>
  </si>
  <si>
    <t>その人未だ蔵人頭たりし時 (sono hito imada kurōdo no tō tarishi toki)</t>
  </si>
  <si>
    <t>五節に舞はれけるに gosechi ni mawarekeru ni</t>
  </si>
  <si>
    <t xml:space="preserve">and while he was still Kurando-no-to, </t>
  </si>
  <si>
    <t>when he danced at the Go-sechie,</t>
  </si>
  <si>
    <t xml:space="preserve">聟に取りて muko ni torite </t>
  </si>
  <si>
    <t>華やかにもてなされければ  hanayaka ni motenasarekereba</t>
  </si>
  <si>
    <t>故中御門藤中納言家成卿未だ播磨守にておはしけるが ko-Nakamikado Fuji Chūnagon Ienari kyō imada Harima no kami nite ohasikeru ga</t>
  </si>
  <si>
    <t>and splendidly welcomed,</t>
  </si>
  <si>
    <t>he was taken as son-in-law</t>
  </si>
  <si>
    <t xml:space="preserve"> by Fuji Chūnagon Ienari, then Harima no Kami,</t>
  </si>
  <si>
    <t>取りて</t>
  </si>
  <si>
    <t>もてなされければ</t>
  </si>
  <si>
    <t>おはしける</t>
  </si>
  <si>
    <t>verbal sequence</t>
  </si>
  <si>
    <t>at that Go-sechie with the refrain ‘The rice of Harima...’</t>
  </si>
  <si>
    <t xml:space="preserve"> they also japed at him</t>
  </si>
  <si>
    <t>磨く</t>
  </si>
  <si>
    <t xml:space="preserve">Long ago such things had happened, </t>
  </si>
  <si>
    <t>but nothing had come of them,</t>
  </si>
  <si>
    <t>上古にはかやうにありしかども (jōko ni wa kayō ni arishikadomo )</t>
  </si>
  <si>
    <t>事出で来ず koto idekozu</t>
  </si>
  <si>
    <t>出で来ず</t>
  </si>
  <si>
    <t>末代いかがあらんずらん (matsudai ikaga aranzuran obotsukanashi)</t>
  </si>
  <si>
    <t>and people said that what was to be done</t>
  </si>
  <si>
    <t>was doubtful</t>
  </si>
  <si>
    <t>あらんずらん</t>
  </si>
  <si>
    <t>案の如く五節果てにしかば (an no gotoku gosechi hate ni shikaba)</t>
  </si>
  <si>
    <t>that wearing a sword</t>
  </si>
  <si>
    <t xml:space="preserve"> coming to a Court entertainment </t>
  </si>
  <si>
    <t xml:space="preserve">and bearing arms </t>
  </si>
  <si>
    <t>when passing in and out of the Palace</t>
  </si>
  <si>
    <t xml:space="preserve"> is according to ancient precedent,</t>
  </si>
  <si>
    <t>列し</t>
  </si>
  <si>
    <t xml:space="preserve">帯して </t>
  </si>
  <si>
    <t>賜はりて</t>
  </si>
  <si>
    <t>守る</t>
  </si>
  <si>
    <t>それ雄剣を帯して (sore yūken o obi shitei)</t>
  </si>
  <si>
    <t>公宴に列し  kōen ni res shi</t>
  </si>
  <si>
    <t xml:space="preserve">兵仗を賜はりて  hyōjō o tamawari te </t>
  </si>
  <si>
    <t>皆格式の礼を守る mina kakushiki no rei o mamoru</t>
  </si>
  <si>
    <t xml:space="preserve">綸命由ある  rinmei yoshi aru </t>
  </si>
  <si>
    <t>先規なり senki nari</t>
  </si>
  <si>
    <t>然るを忠盛朝臣或いは相伝の郎従と号して (shikaru o Tadamori ason arui wa sōden no rōjū to gō shite)</t>
  </si>
  <si>
    <t>布衣の兵を殿上の小庭に召し置き (hoi no hyō o tenjō no koniwa ni meshioki)</t>
  </si>
  <si>
    <t>but Ason Tadamori, calling a certain common soldier his hereditary retainer,</t>
  </si>
  <si>
    <t xml:space="preserve"> and placing him in the small courtyard of the Palace,</t>
  </si>
  <si>
    <t>号して</t>
  </si>
  <si>
    <t>召し置き</t>
  </si>
  <si>
    <t>或いは腰の刀を横へ差いて (arui wa koshi no katana o yokoe saite)</t>
  </si>
  <si>
    <t>節会の座に列なる setsue no za ni tsuranaru</t>
  </si>
  <si>
    <t>wearing a sword at his side,</t>
  </si>
  <si>
    <t xml:space="preserve">and coming to the festival seat </t>
  </si>
  <si>
    <t>差いて</t>
  </si>
  <si>
    <t>S+O+IO</t>
  </si>
  <si>
    <t>狼藉なり rōzaku nari</t>
  </si>
  <si>
    <t>聞かざる</t>
  </si>
  <si>
    <t>both acts are unheard-of,</t>
  </si>
  <si>
    <t>disorderliness</t>
  </si>
  <si>
    <t>[両条稀代]未だ聞かざる (ryōjō kidai imada kikazaru)</t>
  </si>
  <si>
    <t>罪科尤も遁れ難し (tsumitoga mottomo nogaregatashi)</t>
  </si>
  <si>
    <t>叡覧あるに (eiran aru ni)</t>
  </si>
  <si>
    <t>早く殿上の御札を削りて (hayaku tenjō no mifuda o kezurite)</t>
  </si>
  <si>
    <t xml:space="preserve">削りて </t>
  </si>
  <si>
    <t>停任せらるべき</t>
  </si>
  <si>
    <t>they petitioned that his name be erased from the list of Courtiers</t>
  </si>
  <si>
    <t xml:space="preserve"> and he be deprived of rank and office,</t>
  </si>
  <si>
    <t>欠官停任せらるべき (kekkan teinin seraru beki yoshi)</t>
  </si>
  <si>
    <t>御尋ねあり</t>
  </si>
  <si>
    <t>ordered Tadamori into his Presence,</t>
  </si>
  <si>
    <t xml:space="preserve"> to make examination into the affair</t>
  </si>
  <si>
    <t>召して</t>
  </si>
  <si>
    <t>但し近日人々相巧まるる (tadashi kinjitsu hitobito ai-takuramaruru)</t>
  </si>
  <si>
    <t>巧まるる</t>
  </si>
  <si>
    <t xml:space="preserve">旨子細あるかの間 mune shisai aru ka no aida </t>
  </si>
  <si>
    <t xml:space="preserve"> [...]  the designs that people were plotting,</t>
  </si>
  <si>
    <t>[…] had lately heard of</t>
  </si>
  <si>
    <t xml:space="preserve"> if his retainers</t>
  </si>
  <si>
    <t>and in order to help him against such dishonour,  intending to prevent dishonour,</t>
  </si>
  <si>
    <t xml:space="preserve"> without informing him,  </t>
  </si>
  <si>
    <t>助けん</t>
  </si>
  <si>
    <t>次第なり</t>
  </si>
  <si>
    <t>shidai nari</t>
  </si>
  <si>
    <t>及ばざる</t>
  </si>
  <si>
    <t>his retainers had come hither secretly</t>
  </si>
  <si>
    <t>もしその咎あるべくば (moshi sono toga arubekuba)</t>
  </si>
  <si>
    <t>かの身を召し進ずべきか  ka no mi o meshi shinzu beki ka</t>
  </si>
  <si>
    <t xml:space="preserve">"if there be any blame, </t>
  </si>
  <si>
    <t>do I not yield my body herewith?"</t>
  </si>
  <si>
    <t>召し進ずべき</t>
  </si>
  <si>
    <t>次に刀の事は主殿司に預け置き候ひ畢んぬ (tsugi ni katana no koto wa tonomotsukasa ni azukeoki soroiowannu)</t>
  </si>
  <si>
    <t>召し出だされ (meshi idasare)</t>
  </si>
  <si>
    <t>if it be brought out from thence,</t>
  </si>
  <si>
    <t>Heike 2.131</t>
  </si>
  <si>
    <t>Heike 2.132</t>
  </si>
  <si>
    <t>Heike 2.133</t>
  </si>
  <si>
    <t>Heike 2.134</t>
  </si>
  <si>
    <t>Heike 2.135</t>
  </si>
  <si>
    <t>Heike 2.136</t>
  </si>
  <si>
    <t>Heike 2.137</t>
  </si>
  <si>
    <t>Heike 2.138</t>
  </si>
  <si>
    <t xml:space="preserve">召し出だされ </t>
  </si>
  <si>
    <t>刀の実否に付きて咎の左右あるべきか  katana no jippi ni tsukite toga no sayū aru beki ka</t>
  </si>
  <si>
    <t xml:space="preserve"> it may be seen if it be a real sword or not,</t>
  </si>
  <si>
    <t>あるべき</t>
  </si>
  <si>
    <t>由顕すといへども yoshi arawasu to iedomo</t>
  </si>
  <si>
    <t xml:space="preserve">が為に刀を帯する ga tame ni katana o taisuru </t>
  </si>
  <si>
    <t xml:space="preserve"> to avoid dishonour at the moment,</t>
  </si>
  <si>
    <t xml:space="preserve">Although he had displayed </t>
  </si>
  <si>
    <t>the appearance of a sword</t>
  </si>
  <si>
    <t xml:space="preserve">遁れん </t>
  </si>
  <si>
    <t>顕す</t>
  </si>
  <si>
    <t>木刀を帯したる</t>
  </si>
  <si>
    <t>帯する</t>
  </si>
  <si>
    <t>後日の訴訟を存じて (gojitsu no soshō o zonjite)</t>
  </si>
  <si>
    <t xml:space="preserve"> bokutō o tachitaru </t>
  </si>
  <si>
    <t>存じて</t>
  </si>
  <si>
    <t>帯したる</t>
  </si>
  <si>
    <t>なれ</t>
  </si>
  <si>
    <t>ほどの者の謀は尤もかうこそあらまほしけれ hodo no mono no hakarigoto wa motto mo kō koso aramahoshikere</t>
  </si>
  <si>
    <t>用意のほどこそ神妙なれ yōi no hodo koso shinmyō nare</t>
  </si>
  <si>
    <t>弓箭に携らん (yumiya ni tazusaran)</t>
  </si>
  <si>
    <t>携らん</t>
  </si>
  <si>
    <t>Heike 2.139</t>
  </si>
  <si>
    <t>Heike 2.140</t>
  </si>
  <si>
    <t>Heike 2.141</t>
  </si>
  <si>
    <t>Heike 2.142</t>
  </si>
  <si>
    <t>Heike 2.143</t>
  </si>
  <si>
    <t>Heike 2.144</t>
  </si>
  <si>
    <t>Heike 2.145</t>
  </si>
  <si>
    <t>Heike 2.146</t>
  </si>
  <si>
    <t>Heike 2.147</t>
  </si>
  <si>
    <t>Heike 2.148</t>
  </si>
  <si>
    <t>Heike 2.149</t>
  </si>
  <si>
    <t>Heike 2.150</t>
  </si>
  <si>
    <t>Heike 2.151</t>
  </si>
  <si>
    <t>Heike 2.152</t>
  </si>
  <si>
    <t>Heike 2.153</t>
  </si>
  <si>
    <t>Heike 2.154</t>
  </si>
  <si>
    <t>Heike 2.155</t>
  </si>
  <si>
    <t>Heike 2.156</t>
  </si>
  <si>
    <t>Heike 2.157</t>
  </si>
  <si>
    <t>予てはまた郎従小庭に伺候の由 (kanete wa mata rōjū koniwa ni shikō no yoshi) 且つは武士の郎等の習ひなり (katsu wa bushi no rōtō no narai nari)</t>
  </si>
  <si>
    <t xml:space="preserve">As for his retainer being in the small court, that too is the custom of the retainers of the warrior class, </t>
  </si>
  <si>
    <t>and on the contrary, his conduct was greatly admired,</t>
  </si>
  <si>
    <t>and he was pronounced guiltless.</t>
  </si>
  <si>
    <t>預かりし</t>
  </si>
  <si>
    <t>Total</t>
  </si>
  <si>
    <t>resultative</t>
  </si>
  <si>
    <t>honorific prefix</t>
  </si>
  <si>
    <t>Modality</t>
  </si>
  <si>
    <t>deontic</t>
  </si>
  <si>
    <t>imperative</t>
  </si>
  <si>
    <t>dynamic</t>
  </si>
  <si>
    <t>causative-passive-resultative</t>
  </si>
  <si>
    <t>LVC (j)</t>
  </si>
  <si>
    <t>叡覧ある</t>
  </si>
  <si>
    <t>O (Speech) +IO</t>
  </si>
  <si>
    <t xml:space="preserve"> there was nothing more to be done;</t>
  </si>
  <si>
    <t>And they saw that</t>
  </si>
  <si>
    <t>S+O (Speech)</t>
  </si>
  <si>
    <t>RD2</t>
  </si>
  <si>
    <t>RD2+</t>
  </si>
  <si>
    <t>RD2++</t>
  </si>
  <si>
    <t>RD2+++</t>
  </si>
  <si>
    <t>RD2-</t>
  </si>
  <si>
    <t>ACT-ARG/~Ø-Verbal</t>
  </si>
  <si>
    <t>(ACT-ARG+V-ARG-Ø-ARG)/~Ø-Verbal</t>
  </si>
  <si>
    <t>(ACT-ARG+GAP-ACT-ARG)/~Ø-Verbal</t>
  </si>
  <si>
    <t>(ACT-ARG+V-ARG-Ø-ARG+GAP-ACT-ARG)/~Ø-Verbal</t>
  </si>
  <si>
    <t>V-ARG-Ø-ARG/~Ø-Verbal</t>
  </si>
  <si>
    <t>Totals</t>
  </si>
  <si>
    <t>FV</t>
  </si>
  <si>
    <t xml:space="preserve"> nozonde xujinno aximotoni firefuxi</t>
  </si>
  <si>
    <t>に臨んで主人の足元に平伏し</t>
  </si>
  <si>
    <t>ni nozonde xujinno aximotoni firefuxi</t>
  </si>
  <si>
    <t>VN-C (bare)</t>
  </si>
  <si>
    <t>chŏchacu xôto ſuru</t>
  </si>
  <si>
    <t>忽ち打擲せうとする</t>
  </si>
  <si>
    <t>tachimachi chŏchacu xôto ſuru</t>
  </si>
  <si>
    <t>tachicacari</t>
  </si>
  <si>
    <t>二三人ほど立ち掛かり</t>
  </si>
  <si>
    <t>niſannin fodo tachicacari</t>
  </si>
  <si>
    <t>vottotte</t>
  </si>
  <si>
    <t>程こそ有れ，杖棒を押っ取って</t>
  </si>
  <si>
    <t>fodocoſoare tçuye bŏuo vottotte</t>
  </si>
  <si>
    <t>iytçuqeraruru</t>
  </si>
  <si>
    <t>と[主人]言い付けらるる</t>
  </si>
  <si>
    <t>to iytçuqeraruru</t>
  </si>
  <si>
    <t>chŏchacu xei</t>
  </si>
  <si>
    <t>それ打擲せい</t>
  </si>
  <si>
    <t>ſore chŏchacu xei</t>
  </si>
  <si>
    <t>COP</t>
  </si>
  <si>
    <t>gia</t>
  </si>
  <si>
    <t>物ぢゃ</t>
  </si>
  <si>
    <t>mono gia</t>
  </si>
  <si>
    <t xml:space="preserve">curŏta </t>
  </si>
  <si>
    <t>食らうた</t>
  </si>
  <si>
    <t xml:space="preserve">totte </t>
  </si>
  <si>
    <t>あれが取って</t>
  </si>
  <si>
    <t xml:space="preserve">arega  totte </t>
  </si>
  <si>
    <t xml:space="preserve">magai monai </t>
  </si>
  <si>
    <t>に因って，[…]さればこそ紛いも無い</t>
  </si>
  <si>
    <t xml:space="preserve">niyotte xujin ſarebacoſo magai mo nai </t>
  </si>
  <si>
    <t>tochimequ</t>
  </si>
  <si>
    <t>とちめく</t>
  </si>
  <si>
    <t xml:space="preserve">vchiacamete </t>
  </si>
  <si>
    <t>顔打ち赤めて</t>
  </si>
  <si>
    <t xml:space="preserve">cauo vchiacamete </t>
  </si>
  <si>
    <t>canauaide</t>
  </si>
  <si>
    <t>事も適わいで，</t>
  </si>
  <si>
    <t>cotomo canauaide</t>
  </si>
  <si>
    <t>monoyŭ</t>
  </si>
  <si>
    <t>物言う</t>
  </si>
  <si>
    <t>tçubuitareba</t>
  </si>
  <si>
    <t>に肝を潰いたれば，</t>
  </si>
  <si>
    <t>ni qimouo tçubuitareba</t>
  </si>
  <si>
    <t>xicararu</t>
  </si>
  <si>
    <t>に，又その叱らるる</t>
  </si>
  <si>
    <t>ni mata ſono xicararu</t>
  </si>
  <si>
    <t xml:space="preserve"> gia</t>
  </si>
  <si>
    <t>元来吃りぢゃ</t>
  </si>
  <si>
    <t>guanrai domori gia</t>
  </si>
  <si>
    <t>VN-C (TOP)</t>
  </si>
  <si>
    <t>xitaredomo</t>
  </si>
  <si>
    <t>分別はしたれども</t>
  </si>
  <si>
    <t>funbetua xitaredomo</t>
  </si>
  <si>
    <t>qijte</t>
  </si>
  <si>
    <t>その時Ｅｓｏｐｏこれを聞いて</t>
  </si>
  <si>
    <t>ſonotoqi  Eſopo coreuo qijte</t>
  </si>
  <si>
    <t>xicararureba</t>
  </si>
  <si>
    <t>[と]叱らるれば</t>
  </si>
  <si>
    <t>cayete</t>
  </si>
  <si>
    <t>[…]気色を変えて</t>
  </si>
  <si>
    <t>to qexiqiuo cayete</t>
  </si>
  <si>
    <t>curŏtazo</t>
  </si>
  <si>
    <t>食らうたぞ</t>
  </si>
  <si>
    <t>vomôte</t>
  </si>
  <si>
    <t>何と思うて</t>
  </si>
  <si>
    <t xml:space="preserve"> nanto vomôte</t>
  </si>
  <si>
    <t>totte</t>
  </si>
  <si>
    <t xml:space="preserve">その熟柿をば[如何に畜生なみちれない悪戯者]取って </t>
  </si>
  <si>
    <t>ſono jucuxiuoba [icani chicuxŏna michirenai itazzuramono] totte</t>
  </si>
  <si>
    <t>vomoiqitte yta</t>
  </si>
  <si>
    <t>と思い切って居た</t>
  </si>
  <si>
    <t>ta vomoiqitte yta</t>
  </si>
  <si>
    <t>xŏquan xôto</t>
  </si>
  <si>
    <t>身が賞翫せう</t>
  </si>
  <si>
    <t>[...] miga xŏquan xô</t>
  </si>
  <si>
    <t>iuaruruua</t>
  </si>
  <si>
    <t>言わるるは</t>
  </si>
  <si>
    <t>mexiyoxe</t>
  </si>
  <si>
    <t>Ｅｓｏｐｏを召し寄せ</t>
  </si>
  <si>
    <t>Eſopouo mexiyoxe</t>
  </si>
  <si>
    <t>tatexicotte</t>
  </si>
  <si>
    <t>その時かの主人は腹に立て凝って</t>
  </si>
  <si>
    <t>ſonotoqi cano xujin ua farani tatexicotte</t>
  </si>
  <si>
    <t>tabetegozare</t>
  </si>
  <si>
    <t>食べて御座れ</t>
  </si>
  <si>
    <t>nuſunde</t>
  </si>
  <si>
    <t>それをばＥｓｏｐｏこそ盗んで</t>
  </si>
  <si>
    <t>ſoreuoba Eſopocoſo nuſunde</t>
  </si>
  <si>
    <t>mŏſuua</t>
  </si>
  <si>
    <t>顔で申すは</t>
  </si>
  <si>
    <t>cauode mŏſuua</t>
  </si>
  <si>
    <t xml:space="preserve">vocaſanu </t>
  </si>
  <si>
    <t>右の二人の者共が犯さぬ</t>
  </si>
  <si>
    <t xml:space="preserve">miguino nininno monodomoga vocaſanu </t>
  </si>
  <si>
    <t xml:space="preserve"> iuarureba</t>
  </si>
  <si>
    <t>と言わるれば</t>
  </si>
  <si>
    <t>to iuarureba</t>
  </si>
  <si>
    <t>not sure if nominalised verbs expressing purpose should be treated as arguments of motion verbs</t>
  </si>
  <si>
    <t>mottecoi</t>
  </si>
  <si>
    <t>件の柿を湯上がりに持って来い</t>
  </si>
  <si>
    <t>cudanno caqiuo yuagarini mottecoi</t>
  </si>
  <si>
    <t>agari</t>
  </si>
  <si>
    <t>扠主人風呂から上がり</t>
  </si>
  <si>
    <t>Sate xujin furo cara agari</t>
  </si>
  <si>
    <t>should the -to part be considered a clausal complement?</t>
  </si>
  <si>
    <t>ſaſayaqimauatta</t>
  </si>
  <si>
    <t>囁き回った</t>
  </si>
  <si>
    <t>to ſaſayaqimauatta</t>
  </si>
  <si>
    <t>arŏzuto</t>
  </si>
  <si>
    <t>如何様この祟りが有らうずと</t>
  </si>
  <si>
    <t>icaſama cono tatari ga arŏzu</t>
  </si>
  <si>
    <t>様は：扠も無果報なＥｓｏｐｏ哉！</t>
  </si>
  <si>
    <t>yŏua:ſatemo buquafôna Eſopo cana</t>
  </si>
  <si>
    <t>yŭ</t>
  </si>
  <si>
    <t>言う</t>
  </si>
  <si>
    <t>VN-J (bare)</t>
  </si>
  <si>
    <t>mefajiqi xite</t>
  </si>
  <si>
    <t>後，互いに目弾きして</t>
  </si>
  <si>
    <t>nochi,tagaini mefajiqi xite</t>
  </si>
  <si>
    <t>Sate xocuxi vouatte</t>
  </si>
  <si>
    <t>扠食し終わって</t>
  </si>
  <si>
    <t>xocuxita</t>
  </si>
  <si>
    <t>食した</t>
  </si>
  <si>
    <t>取って</t>
  </si>
  <si>
    <t>dancŏ xite</t>
  </si>
  <si>
    <t>と談合して</t>
  </si>
  <si>
    <t>arŏzoto</t>
  </si>
  <si>
    <t>何の子細が有らうぞ</t>
  </si>
  <si>
    <t>nanno xiſi ga arŏzoto</t>
  </si>
  <si>
    <t>fanecaqeôzuruni</t>
  </si>
  <si>
    <t>撥ね掛けうずるに</t>
  </si>
  <si>
    <t>tabetareto</t>
  </si>
  <si>
    <t>あれこそその熟柿をば食べたれと</t>
  </si>
  <si>
    <t>arecoſo ſono jucuxiuoba tabetareto</t>
  </si>
  <si>
    <t>fuite yte</t>
  </si>
  <si>
    <t>こちは空嘯吹いて居て</t>
  </si>
  <si>
    <t>cochiua ſoravſo fuite yte</t>
  </si>
  <si>
    <t>iyvôxete</t>
  </si>
  <si>
    <t>Ｅｓｏｐｏにこれを言い負おせて</t>
  </si>
  <si>
    <t>Eſoponi coreuo iyvôxete</t>
  </si>
  <si>
    <t>ſoroyete</t>
  </si>
  <si>
    <t>時は，口を揃えて</t>
  </si>
  <si>
    <t>toqiua,cuchiuo ſoroyete</t>
  </si>
  <si>
    <t>arŏzuru</t>
  </si>
  <si>
    <t>その咎めの有らうずる</t>
  </si>
  <si>
    <t>ſono togameno arŏzuru</t>
  </si>
  <si>
    <t>toricŭte</t>
  </si>
  <si>
    <t>いざこの柿を両人して取り食うて</t>
  </si>
  <si>
    <t>iza cono caqiuo riŏninxite</t>
  </si>
  <si>
    <t>ſaiuaigia</t>
  </si>
  <si>
    <t>様は：良い幸いぢゃ</t>
  </si>
  <si>
    <t>yŏua:yoi ſaiuaigia</t>
  </si>
  <si>
    <t>vomô</t>
  </si>
  <si>
    <t>者共思う</t>
  </si>
  <si>
    <t>monodomo vomô</t>
  </si>
  <si>
    <t>azzucatta</t>
  </si>
  <si>
    <t>かの柿を預かった</t>
  </si>
  <si>
    <t>cano caqi uo azzucatta</t>
  </si>
  <si>
    <t>cayeriqureba　</t>
  </si>
  <si>
    <t>然る所にＥｓｏｐｏ畑より帰り来れば</t>
  </si>
  <si>
    <t>Xicarutocoroni Eſopo fataqeyori cayeriqureba　</t>
  </si>
  <si>
    <t>irareta</t>
  </si>
  <si>
    <t>その身は風呂に入られた</t>
  </si>
  <si>
    <t>ſonomiua furoni irareta</t>
  </si>
  <si>
    <t>azzuqevocare</t>
  </si>
  <si>
    <t>二人の小姓に預け置かれ</t>
  </si>
  <si>
    <t>nininno coxŏni azzuqevocare</t>
  </si>
  <si>
    <t>tçucauaruru</t>
  </si>
  <si>
    <t>側近う使わるる</t>
  </si>
  <si>
    <t>ſoba chicŏ tçucauaruru</t>
  </si>
  <si>
    <t>to atte</t>
  </si>
  <si>
    <t>有って</t>
  </si>
  <si>
    <t xml:space="preserve"> tacuuaye voqe</t>
  </si>
  <si>
    <t>その風呂上がりの為に蓄え置けと</t>
  </si>
  <si>
    <t xml:space="preserve">ſono furoagarino tameni tacuuaye voqe </t>
  </si>
  <si>
    <t>ireba</t>
  </si>
  <si>
    <t>風呂へ入れば</t>
  </si>
  <si>
    <t>furoye ireba</t>
  </si>
  <si>
    <t>xôzuredomo</t>
  </si>
  <si>
    <t>只今賞翫せうずれども</t>
  </si>
  <si>
    <t>tadaima xŏquan xôzuredomo</t>
  </si>
  <si>
    <t>narananda</t>
  </si>
  <si>
    <t>斜めならなんだ</t>
  </si>
  <si>
    <t>nanome narananda</t>
  </si>
  <si>
    <t>yorocobi</t>
  </si>
  <si>
    <t>に因って喜び</t>
  </si>
  <si>
    <t>ni yotte yorocobi</t>
  </si>
  <si>
    <t>niatta</t>
  </si>
  <si>
    <t>見事に有った</t>
  </si>
  <si>
    <t>migotoniatta</t>
  </si>
  <si>
    <t>yôte</t>
  </si>
  <si>
    <t>色香も一段良うて</t>
  </si>
  <si>
    <t>irocamo ychidan yôte</t>
  </si>
  <si>
    <t>ſaſagureba</t>
  </si>
  <si>
    <t>主人に捧ぐれば</t>
  </si>
  <si>
    <t>xujinni ſaſagureba</t>
  </si>
  <si>
    <t>motteqite</t>
  </si>
  <si>
    <t>或る百姓上々の熟柿を持って来て</t>
  </si>
  <si>
    <t>aru fiacuxŏ jŏjŏno jucuxiuo motteqite</t>
  </si>
  <si>
    <t xml:space="preserve"> ideraretareba</t>
  </si>
  <si>
    <t>然れば程経てかの主人その田畠を見舞いに出でられたれば</t>
  </si>
  <si>
    <t>Xicareba fodofete cano xujin ſono denbacu uo mimaini ideraretareba</t>
  </si>
  <si>
    <t>naita</t>
  </si>
  <si>
    <t>Ｅｓｏｐｏも又快気にその所作を成いた．</t>
  </si>
  <si>
    <t>Eſopomomata cocoroyogueni ſono xoſauo naita</t>
  </si>
  <si>
    <t>yararureba</t>
  </si>
  <si>
    <t>田畠へ遣らるれば</t>
  </si>
  <si>
    <t>denbacu ye yararureba</t>
  </si>
  <si>
    <t>atayete</t>
  </si>
  <si>
    <t>農具を拵え与えて</t>
  </si>
  <si>
    <t>nôguuo coxiraye atayete</t>
  </si>
  <si>
    <t xml:space="preserve"> vomoi ſadame</t>
  </si>
  <si>
    <t>と思い定め</t>
  </si>
  <si>
    <t>to vomoi ſadame</t>
  </si>
  <si>
    <t>ategauŏzu</t>
  </si>
  <si>
    <t>せめて農人の所作をなりともあてがわうず</t>
  </si>
  <si>
    <t>xemete nônin no xoſauo naritomo ategauŏzu</t>
  </si>
  <si>
    <t>should the -to part be considered a clausal subject of miyureba?</t>
  </si>
  <si>
    <t>miyureba</t>
  </si>
  <si>
    <t>と見ゆれば</t>
  </si>
  <si>
    <t>to miyureba</t>
  </si>
  <si>
    <t>niyŏmajij</t>
  </si>
  <si>
    <t>様は：公界の捌き或いは内証の取り扱いなどは如何にも似合うまじい</t>
  </si>
  <si>
    <t>yŏ-ua:cugaino ſabaqi aruiua naixôno toriatçucai nadoua icanimo niyŏmajij</t>
  </si>
  <si>
    <t>vomouaruru</t>
  </si>
  <si>
    <t>或る時主人Ｅｓｏｐｏが上を思わるる</t>
  </si>
  <si>
    <t>Arutoqi xujin Eſopoga vyeuo vomouaruru</t>
  </si>
  <si>
    <t>vorinacatta</t>
  </si>
  <si>
    <t>事はおりなかった</t>
  </si>
  <si>
    <t>cotoua vorinacatta</t>
  </si>
  <si>
    <t xml:space="preserve">narabu </t>
  </si>
  <si>
    <t>者もこの人に並ぶ</t>
  </si>
  <si>
    <t xml:space="preserve">monomo cono fitoni narabu </t>
  </si>
  <si>
    <t>ごとく，知恵の長けた</t>
  </si>
  <si>
    <t xml:space="preserve">gotoqu chiyeno taqeta </t>
  </si>
  <si>
    <t>de atta</t>
  </si>
  <si>
    <t>醜い事天下無双で有った</t>
  </si>
  <si>
    <t>minicui coto tenca busŏ de atta</t>
  </si>
  <si>
    <t>vomotte</t>
  </si>
  <si>
    <t>これ等の姿を持って</t>
  </si>
  <si>
    <t>Corerano ſugata vomotte</t>
  </si>
  <si>
    <t>de vogiatta</t>
  </si>
  <si>
    <t>言葉は吃りでおぢゃった</t>
  </si>
  <si>
    <t>cotobaua domoride vogiatta</t>
  </si>
  <si>
    <t>taredete</t>
  </si>
  <si>
    <t>垂れ出て</t>
  </si>
  <si>
    <t xml:space="preserve"> fare</t>
  </si>
  <si>
    <t>腹は腫れ</t>
  </si>
  <si>
    <t>faraua fare</t>
  </si>
  <si>
    <t>cugumi</t>
  </si>
  <si>
    <t>横張りに，背は屈み</t>
  </si>
  <si>
    <t>yocobarini,xeua cugumi</t>
  </si>
  <si>
    <t>ficŭ</t>
  </si>
  <si>
    <t>丈は低う</t>
  </si>
  <si>
    <t>taqe-ua ficŭ</t>
  </si>
  <si>
    <t>yugami</t>
  </si>
  <si>
    <t>首は歪み</t>
  </si>
  <si>
    <t>cubiua yugami</t>
  </si>
  <si>
    <t>tare</t>
  </si>
  <si>
    <t>両の頬は垂れ</t>
  </si>
  <si>
    <t>riŏno fôua tare</t>
  </si>
  <si>
    <t xml:space="preserve"> tairacani</t>
  </si>
  <si>
    <t>瞳の先は平らかに，</t>
  </si>
  <si>
    <t>fitomi no ſaqiua tairacani,</t>
  </si>
  <si>
    <t>dete</t>
  </si>
  <si>
    <t>眼はつぼう然も出て</t>
  </si>
  <si>
    <t>manacoua tçubô xicamo dete</t>
  </si>
  <si>
    <t>togari</t>
  </si>
  <si>
    <t>先づ頭は尖り，</t>
  </si>
  <si>
    <t>Mazzu cŏbeua togari</t>
  </si>
  <si>
    <t xml:space="preserve"> qicoyeta</t>
  </si>
  <si>
    <t>と聞こえた</t>
  </si>
  <si>
    <t>to qicoyeta</t>
  </si>
  <si>
    <t>is oru an EX verb in LMJ?</t>
  </si>
  <si>
    <t xml:space="preserve"> vorinacatta</t>
  </si>
  <si>
    <t>醜い者もおりなかった</t>
  </si>
  <si>
    <t>[ſono jidai Europano tencani] minicui mo nomo vorinacatta</t>
  </si>
  <si>
    <t>maſatte</t>
  </si>
  <si>
    <t>Ｅｕｒｏｐａの天下にこの人に勝って</t>
  </si>
  <si>
    <t>[...] cono fitoni maſatte</t>
  </si>
  <si>
    <t>vogiattaga</t>
  </si>
  <si>
    <t>異形不思議な人体がおぢゃったが</t>
  </si>
  <si>
    <t>[Sono ſatoni] yguiŏ fuxiguina jintaiga vogiattaga</t>
  </si>
  <si>
    <t>yŭte</t>
  </si>
  <si>
    <t>その里に名をばＥｓｏｐｏと言うて</t>
  </si>
  <si>
    <t>[...] nauoba Eſopoto yŭte</t>
  </si>
  <si>
    <t>vogiaru</t>
  </si>
  <si>
    <t>ＥＶＲＯＰＡの内Ｐｈｒｉｇｉａと言う国のＴｒｏｉａと言う城裡の近辺にＡｍｏｎｉａと言う里がおぢゃる</t>
  </si>
  <si>
    <t>EVROPA no vchi Phrigiatoyŭ cunino Troia toyŭ jŏrino qinpenni Amoniato yŭ ſatoga vogiaru.</t>
  </si>
  <si>
    <t xml:space="preserve"> Pred Type</t>
  </si>
  <si>
    <t>Esopo</t>
  </si>
  <si>
    <t>Genji</t>
  </si>
  <si>
    <t>Tosa Nikki</t>
  </si>
  <si>
    <t>RD2 (non-LVCs)</t>
  </si>
  <si>
    <t>RD2 (LVCs only)</t>
  </si>
  <si>
    <t>RD2 (overall)</t>
  </si>
  <si>
    <t>LVC Ratio</t>
  </si>
  <si>
    <t>Text</t>
  </si>
  <si>
    <t>RD2=</t>
  </si>
  <si>
    <t>RD2++=</t>
  </si>
  <si>
    <t>VN-J (ACC)</t>
  </si>
  <si>
    <t>shi tsutsu</t>
  </si>
  <si>
    <t>Vinf + su (ACC)</t>
  </si>
  <si>
    <t>monoomoi o zo shi tamau</t>
  </si>
  <si>
    <t>Vinf + su</t>
  </si>
  <si>
    <t>mie shi</t>
  </si>
  <si>
    <t>shi tamau beki</t>
  </si>
  <si>
    <t>go-ran-suru</t>
  </si>
  <si>
    <t>gu shi</t>
  </si>
  <si>
    <t>Predicate Type</t>
  </si>
  <si>
    <t>GM</t>
  </si>
  <si>
    <t>Vinf+su</t>
  </si>
  <si>
    <t>VN-J (REL)</t>
  </si>
  <si>
    <t>Tosa</t>
  </si>
  <si>
    <t>LVC and RD correlation</t>
  </si>
  <si>
    <t>Isopo</t>
  </si>
  <si>
    <t>Heike Chapter 2</t>
  </si>
  <si>
    <t>RD2-=</t>
  </si>
  <si>
    <t>HM Ch2</t>
  </si>
  <si>
    <t>Syntactic Role</t>
  </si>
  <si>
    <t>indicative</t>
  </si>
  <si>
    <t>epistemic</t>
  </si>
  <si>
    <t>desiderative</t>
  </si>
  <si>
    <t>出入りする</t>
  </si>
  <si>
    <t>列なる</t>
  </si>
  <si>
    <t>internally headed</t>
  </si>
  <si>
    <t>Adnominal_Function</t>
  </si>
  <si>
    <t>kakari-musubi</t>
  </si>
  <si>
    <t>complement</t>
  </si>
  <si>
    <t xml:space="preserve">宮中を出入りするは kyūchū o ideiri suru wa </t>
  </si>
  <si>
    <t>(blank)</t>
  </si>
  <si>
    <t>Grand Total</t>
  </si>
  <si>
    <t>verb(complex)</t>
  </si>
  <si>
    <t>verb(compound)</t>
  </si>
  <si>
    <t>new</t>
  </si>
  <si>
    <t>embedded</t>
  </si>
  <si>
    <t>nominalisation</t>
  </si>
  <si>
    <t>frame predicate</t>
  </si>
  <si>
    <t>conjunctive</t>
  </si>
  <si>
    <t>六位を以て云はせられたりければ (to roku-i o motte iwaseraretarikereba)</t>
  </si>
  <si>
    <t>疾う疾う罷り出でよと (tōtō makari ideyo to)</t>
  </si>
  <si>
    <t>これらを由なしとや (korera o yoshi nashi to ya)</t>
  </si>
  <si>
    <t>思はれけん (omowareken)</t>
  </si>
  <si>
    <t>囃されける (to zo hayasarekeru)</t>
  </si>
  <si>
    <t>伊勢へいじはすがめなりけりとぞ (Ise heiji wa sugame narikeri)</t>
  </si>
  <si>
    <t>かやうには囃されけるなれ  (kayō ni wa hayasarekeru nare)</t>
  </si>
  <si>
    <t>その上忠盛目の眇まれたりける故にこそ (sono ue Tadamori me no sugamaretari keru yue ni koso)</t>
  </si>
  <si>
    <t>さていかが候ひつると (sate ikaga soroitsuru to)</t>
  </si>
  <si>
    <t>申されければ (mōsarekeru ba)</t>
  </si>
  <si>
    <t xml:space="preserve">やがて殿上までも斬り上らんずる  yagate tenjō made mo kiriagaranzuru </t>
  </si>
  <si>
    <t>云ひつるほどならば (iitsuru hodo naraba)</t>
  </si>
  <si>
    <t>囃されける (hayasarekeru)</t>
  </si>
  <si>
    <t>いかなる人の漆塗りけんとぞ (ikanaru hito no urushinuriken to zo )</t>
  </si>
  <si>
    <t>囃されける hayasarekeru</t>
  </si>
  <si>
    <t>これも五節には播磨の米は木賊か椋の葉か人の綺羅を磨くはとぞ (kore mo gosechi ni wa Harima no kome wa tokusa ka mukuno ha ka hito no kira o migaku wa to zo)</t>
  </si>
  <si>
    <t>それ雄剣を帯して (sore yūken o tai shitei)</t>
  </si>
  <si>
    <t>忠盛を召して (Tadamori o meshite)</t>
  </si>
  <si>
    <t>御尋ねあり o-tazune ari</t>
  </si>
  <si>
    <t>忠盛には知らせずして Tadamori ni wa shirasazu shite</t>
  </si>
  <si>
    <t>その恥を助けんが為に (sono haji o tasuken ga tame ni)</t>
  </si>
  <si>
    <t>not sure if I should treat this as a nominal or verbal predicate or whether there is predication at all</t>
  </si>
  <si>
    <t>密かに参候の条 (hisoka ni sankō no jō)</t>
  </si>
  <si>
    <t>力及ばざる chikara oyobazaru</t>
  </si>
  <si>
    <t>かの刀を召し出でて (kano katana o meshi-idete)</t>
  </si>
  <si>
    <t>この儀尤も然るべしとて (kono gi motto mo shikarubeshi tote)</t>
  </si>
  <si>
    <t xml:space="preserve">刀を帯する katana o taisuru </t>
  </si>
  <si>
    <t>当座の恥辱を遁れんが為に (tōza no chijoku o nogaren ga tame ni)</t>
  </si>
  <si>
    <t>忠盛が咎にはあらずとて (Tadamori ga toga ni wa arazu tote)</t>
  </si>
  <si>
    <t>敢へて罪科の沙汰はなかりけり aete tsumikado no sata wa nakarikeri</t>
  </si>
  <si>
    <t>却つて叡感に預かりし上は (kaette eikan ni azukarishi ue wa)</t>
  </si>
  <si>
    <t>Sum of RD2</t>
  </si>
  <si>
    <t>1. RD vs argument realisation and structure</t>
  </si>
  <si>
    <t>2. Exaltation and pro-drop</t>
  </si>
  <si>
    <t>Count of Clause_ID</t>
  </si>
  <si>
    <t>1.1 RD and overt vs omitted arguments</t>
  </si>
  <si>
    <t>2.1 Exaltation vs Arg Type</t>
  </si>
  <si>
    <t>Pivot 7: RD2  × Exaltation_Present</t>
  </si>
  <si>
    <t>3. Clause linking, topics, and argument behaviour</t>
  </si>
  <si>
    <t>Prev_Clause_Type</t>
  </si>
  <si>
    <t>Next_Switch_Ref</t>
  </si>
  <si>
    <t/>
  </si>
  <si>
    <t>3.1 Clause_Type vs Switch_Ref</t>
  </si>
  <si>
    <t>3.2 Clause_Type vs Subject_Class / Topic_Status</t>
  </si>
  <si>
    <t>Average of RD2</t>
  </si>
  <si>
    <t>Subject_Zero</t>
  </si>
  <si>
    <t>Yes</t>
  </si>
  <si>
    <t>No</t>
  </si>
  <si>
    <t>non-LVC</t>
  </si>
  <si>
    <t>3.3 LVC vs RD</t>
  </si>
  <si>
    <t>Field35</t>
  </si>
  <si>
    <t>LVC vs transitivity (contrary to my expectations)</t>
  </si>
  <si>
    <t>Values</t>
  </si>
  <si>
    <t>Total Average of RD2</t>
  </si>
  <si>
    <t>Total Count of Clause_ID</t>
  </si>
  <si>
    <t>1.1 RD and overt vs Cluase Type / Subjects</t>
  </si>
  <si>
    <t>1.2 RD and overt vs Cluase Type / Objects</t>
  </si>
  <si>
    <t>Te_Position</t>
  </si>
  <si>
    <t>te_medial</t>
  </si>
  <si>
    <t>HeikeCh2</t>
  </si>
  <si>
    <t>Sentence_ID</t>
  </si>
  <si>
    <t>Next_Clause_Type</t>
  </si>
  <si>
    <t>Is_ChainClause</t>
  </si>
  <si>
    <t>Chain_Index_In_Sentence</t>
  </si>
  <si>
    <t>Is_First_ChainClause</t>
  </si>
  <si>
    <t>Count of HeikeCh2</t>
  </si>
  <si>
    <t>Sub</t>
  </si>
  <si>
    <t>Obj</t>
  </si>
  <si>
    <t>61% (17)</t>
  </si>
  <si>
    <t>85% (11)</t>
  </si>
  <si>
    <t>76% (45)</t>
  </si>
  <si>
    <t>42% (52)</t>
  </si>
  <si>
    <t>Next_Object_Classt</t>
  </si>
  <si>
    <t>Next_Subject_Classt</t>
  </si>
  <si>
    <t>Drop_Subject (overt → zero in next clause)</t>
  </si>
  <si>
    <t>Drop_Object (overt → zero in next clause)</t>
  </si>
  <si>
    <t>(All)</t>
  </si>
  <si>
    <t>(Multiple Items)</t>
  </si>
  <si>
    <t>Total Count of HeikeCh2</t>
  </si>
  <si>
    <t>Total Count of HeikeCh2_2</t>
  </si>
  <si>
    <t>Count of HeikeCh2_2</t>
  </si>
  <si>
    <t>N</t>
  </si>
  <si>
    <t>RD2 Average</t>
  </si>
  <si>
    <t>Total Count of Clause_ID2</t>
  </si>
  <si>
    <t>Count of Clause_ID2</t>
  </si>
  <si>
    <t>B. Discourse-status conditioning beyond Topic_Status</t>
  </si>
  <si>
    <t>Total Sum of V-ARG-Ø-ARG</t>
  </si>
  <si>
    <t>Sum of V-ARG-Ø-ARG</t>
  </si>
  <si>
    <t>C. Is the exaltation effect construction-driven?</t>
  </si>
  <si>
    <t>D. Morphology and targeting</t>
  </si>
  <si>
    <t>1a. LVC × Subject_Class (transitives only)</t>
  </si>
  <si>
    <t>1b. LVC × Object_Class (transitives only; object-position available)</t>
  </si>
  <si>
    <t>non-LVC RD2</t>
  </si>
  <si>
    <t>1.3 RD and Switch Reference</t>
  </si>
  <si>
    <t>A. Exaltation vs Pro-drop</t>
  </si>
  <si>
    <t>1. Mechanism check: does LVC correlate with more zero arguments?</t>
  </si>
  <si>
    <t>2. Clause-type check: are LVCs concentrated in te / subordinate environments?</t>
  </si>
  <si>
    <t>3) LVC and chain position (chain-initial vs non-initial)</t>
  </si>
  <si>
    <t>Clause ID</t>
  </si>
  <si>
    <t>EF1</t>
  </si>
  <si>
    <t>EF2</t>
  </si>
  <si>
    <t>EF3</t>
  </si>
  <si>
    <t>EF4</t>
  </si>
  <si>
    <t>EF5</t>
  </si>
  <si>
    <t>EF6</t>
  </si>
  <si>
    <t>EF7</t>
  </si>
  <si>
    <t>EF8</t>
  </si>
  <si>
    <t>EF9</t>
  </si>
  <si>
    <t>EF10</t>
  </si>
  <si>
    <t>EF11</t>
  </si>
  <si>
    <t>EF12</t>
  </si>
  <si>
    <t>EF13</t>
  </si>
  <si>
    <t>EF14</t>
  </si>
  <si>
    <t>EF15</t>
  </si>
  <si>
    <t>EF16</t>
  </si>
  <si>
    <t>EF17</t>
  </si>
  <si>
    <t>EF18</t>
  </si>
  <si>
    <t>EF19</t>
  </si>
  <si>
    <t>EF20</t>
  </si>
  <si>
    <t>EF21</t>
  </si>
  <si>
    <t>EF22</t>
  </si>
  <si>
    <t>EF23</t>
  </si>
  <si>
    <t>EF24</t>
  </si>
  <si>
    <t>EF25</t>
  </si>
  <si>
    <t>EF26</t>
  </si>
  <si>
    <t>EF27</t>
  </si>
  <si>
    <t>EF28</t>
  </si>
  <si>
    <t>EF29</t>
  </si>
  <si>
    <t>EF30</t>
  </si>
  <si>
    <t>EF31</t>
  </si>
  <si>
    <t>EF32</t>
  </si>
  <si>
    <t>EF33</t>
  </si>
  <si>
    <t>EF34</t>
  </si>
  <si>
    <t>EF35</t>
  </si>
  <si>
    <t>EF36</t>
  </si>
  <si>
    <t>EF37</t>
  </si>
  <si>
    <t>EF38</t>
  </si>
  <si>
    <t>EF39</t>
  </si>
  <si>
    <t>EF40</t>
  </si>
  <si>
    <t>EF41</t>
  </si>
  <si>
    <t>EF42</t>
  </si>
  <si>
    <t>EF43</t>
  </si>
  <si>
    <t>EF44</t>
  </si>
  <si>
    <t>EF45</t>
  </si>
  <si>
    <t>EF46</t>
  </si>
  <si>
    <t>EF47</t>
  </si>
  <si>
    <t>EF48</t>
  </si>
  <si>
    <t>EF49</t>
  </si>
  <si>
    <t>EF50</t>
  </si>
  <si>
    <t>EF51</t>
  </si>
  <si>
    <t>EF52</t>
  </si>
  <si>
    <t>EF53</t>
  </si>
  <si>
    <t>EF54</t>
  </si>
  <si>
    <t>EF55</t>
  </si>
  <si>
    <t>EF56</t>
  </si>
  <si>
    <t>EF57</t>
  </si>
  <si>
    <t>EF58</t>
  </si>
  <si>
    <t>EF59</t>
  </si>
  <si>
    <t>EF60</t>
  </si>
  <si>
    <t>EF61</t>
  </si>
  <si>
    <t>EF62</t>
  </si>
  <si>
    <t>EF63</t>
  </si>
  <si>
    <t>EF64</t>
  </si>
  <si>
    <t>EF65</t>
  </si>
  <si>
    <t>EF66</t>
  </si>
  <si>
    <t>EF67</t>
  </si>
  <si>
    <t>EF68</t>
  </si>
  <si>
    <t>EF69</t>
  </si>
  <si>
    <t>EF70</t>
  </si>
  <si>
    <t>EF71</t>
  </si>
  <si>
    <t>EF72</t>
  </si>
  <si>
    <t>EF73</t>
  </si>
  <si>
    <t>EF74</t>
  </si>
  <si>
    <t>EF75</t>
  </si>
  <si>
    <t>EF76</t>
  </si>
  <si>
    <t>EF77</t>
  </si>
  <si>
    <t>EF78</t>
  </si>
  <si>
    <t>EF79</t>
  </si>
  <si>
    <t>EF80</t>
  </si>
  <si>
    <t>EF81</t>
  </si>
  <si>
    <t>EF82</t>
  </si>
  <si>
    <t>EF83</t>
  </si>
  <si>
    <t>EF84</t>
  </si>
  <si>
    <t>EF85</t>
  </si>
  <si>
    <t>EF86</t>
  </si>
  <si>
    <t>EF87</t>
  </si>
  <si>
    <t>EF88</t>
  </si>
  <si>
    <t>EF89</t>
  </si>
  <si>
    <t>EF90</t>
  </si>
  <si>
    <t>EF91</t>
  </si>
  <si>
    <t>EF92</t>
  </si>
  <si>
    <t>EF93</t>
  </si>
  <si>
    <t>EF94</t>
  </si>
  <si>
    <t>EF95</t>
  </si>
  <si>
    <t>EF96</t>
  </si>
  <si>
    <t>EF97</t>
  </si>
  <si>
    <t>EF98</t>
  </si>
  <si>
    <t>EF99</t>
  </si>
  <si>
    <t>EF100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</si>
</sst>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12"/>
      <color theme="1"/>
      <name val="Calibri"/>
      <family val="2"/>
      <scheme val="minor"/>
    </font>
    <font>
      <sz val="12"/>
      <color theme="1"/>
      <name val="Calibri"/>
      <family val="2"/>
      <scheme val="minor"/>
    </font>
    <font>
      <b/>
      <sz val="10"/>
      <color rgb="FF000000"/>
      <name val="Arial Unicode MS"/>
      <family val="2"/>
    </font>
    <font>
      <sz val="11"/>
      <color rgb="FF000000"/>
      <name val="Calibri"/>
      <family val="2"/>
      <scheme val="minor"/>
    </font>
    <font>
      <b/>
      <sz val="10"/>
      <color rgb="FF000000"/>
      <name val="Courier New"/>
      <family val="1"/>
    </font>
    <font>
      <sz val="8"/>
      <name val="Calibri"/>
      <family val="2"/>
      <scheme val="minor"/>
    </font>
    <font>
      <sz val="12"/>
      <color rgb="FF000000"/>
      <name val="Calibri"/>
      <family val="2"/>
    </font>
    <font>
      <sz val="12"/>
      <color rgb="FF000000"/>
      <name val="Times New Roman"/>
      <family val="1"/>
    </font>
    <font>
      <sz val="11"/>
      <color theme="1"/>
      <name val="Calibri"/>
      <family val="2"/>
      <scheme val="minor"/>
    </font>
    <font>
      <b/>
      <sz val="12"/>
      <color theme="1"/>
      <name val="Calibri"/>
      <family val="2"/>
      <scheme val="minor"/>
    </font>
    <font>
      <b/>
      <sz val="11"/>
      <color theme="1"/>
      <name val="Times New Roman"/>
      <family val="1"/>
    </font>
    <font>
      <sz val="10"/>
      <color rgb="FF000000"/>
      <name val="Times New Roman"/>
      <family val="1"/>
    </font>
    <font>
      <sz val="11"/>
      <color theme="1"/>
      <name val="Times New Roman"/>
      <family val="1"/>
    </font>
    <font>
      <sz val="11"/>
      <color rgb="FFFF0000"/>
      <name val="Times New Roman"/>
      <family val="1"/>
    </font>
    <font>
      <sz val="11"/>
      <color rgb="FF000000"/>
      <name val="Times New Roman"/>
      <family val="1"/>
    </font>
    <font>
      <b/>
      <sz val="12"/>
      <color theme="1"/>
      <name val="Times New Roman"/>
      <family val="1"/>
    </font>
    <font>
      <b/>
      <sz val="12"/>
      <color rgb="FF000000"/>
      <name val="Times New Roman"/>
      <family val="1"/>
    </font>
    <font>
      <sz val="12"/>
      <color theme="1"/>
      <name val="Times New Roman"/>
      <family val="1"/>
    </font>
    <font>
      <sz val="14"/>
      <color rgb="FF000000"/>
      <name val="Times New Roman"/>
      <family val="1"/>
    </font>
    <font>
      <b/>
      <sz val="10"/>
      <color rgb="FF000000"/>
      <name val="Times New Roman"/>
      <family val="1"/>
    </font>
    <font>
      <sz val="12"/>
      <color rgb="FFFF0000"/>
      <name val="Times New Roman"/>
      <family val="1"/>
    </font>
  </fonts>
  <fills count="36">
    <fill>
      <patternFill patternType="none"/>
    </fill>
    <fill>
      <patternFill patternType="gray125"/>
    </fill>
    <fill>
      <patternFill patternType="solid">
        <fgColor theme="0" tint="-0.14999847407452621"/>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rgb="FFD9D9D9"/>
        <bgColor rgb="FF000000"/>
      </patternFill>
    </fill>
    <fill>
      <patternFill patternType="solid">
        <fgColor rgb="FFC4BD97"/>
        <bgColor rgb="FF000000"/>
      </patternFill>
    </fill>
    <fill>
      <patternFill patternType="solid">
        <fgColor rgb="FF538DD5"/>
        <bgColor rgb="FF000000"/>
      </patternFill>
    </fill>
    <fill>
      <patternFill patternType="solid">
        <fgColor rgb="FF8DB4E2"/>
        <bgColor rgb="FF000000"/>
      </patternFill>
    </fill>
    <fill>
      <patternFill patternType="solid">
        <fgColor rgb="FFC5D9F1"/>
        <bgColor rgb="FF000000"/>
      </patternFill>
    </fill>
    <fill>
      <patternFill patternType="solid">
        <fgColor rgb="FFDA9694"/>
        <bgColor rgb="FF000000"/>
      </patternFill>
    </fill>
    <fill>
      <patternFill patternType="solid">
        <fgColor rgb="FFC4D79B"/>
        <bgColor rgb="FF000000"/>
      </patternFill>
    </fill>
    <fill>
      <patternFill patternType="solid">
        <fgColor rgb="FFD8E4BC"/>
        <bgColor rgb="FF000000"/>
      </patternFill>
    </fill>
    <fill>
      <patternFill patternType="solid">
        <fgColor rgb="FFB1A0C7"/>
        <bgColor rgb="FF000000"/>
      </patternFill>
    </fill>
    <fill>
      <patternFill patternType="solid">
        <fgColor rgb="FF92CDDC"/>
        <bgColor rgb="FF000000"/>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00B0F0"/>
        <bgColor indexed="64"/>
      </patternFill>
    </fill>
    <fill>
      <patternFill patternType="solid">
        <fgColor theme="7" tint="0.79998168889431442"/>
        <bgColor indexed="64"/>
      </patternFill>
    </fill>
    <fill>
      <patternFill patternType="solid">
        <fgColor rgb="FFC00000"/>
        <bgColor indexed="64"/>
      </patternFill>
    </fill>
    <fill>
      <patternFill patternType="solid">
        <fgColor theme="1" tint="4.9989318521683403E-2"/>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0" tint="-0.249977111117893"/>
        <bgColor indexed="64"/>
      </patternFill>
    </fill>
    <fill>
      <patternFill patternType="solid">
        <fgColor theme="0" tint="-0.34998626667073579"/>
        <bgColor indexed="64"/>
      </patternFill>
    </fill>
  </fills>
  <borders count="34">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auto="1"/>
      </right>
      <top style="thin">
        <color auto="1"/>
      </top>
      <bottom/>
      <diagonal/>
    </border>
    <border>
      <left/>
      <right/>
      <top style="medium">
        <color indexed="64"/>
      </top>
      <bottom style="medium">
        <color indexed="64"/>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thin">
        <color auto="1"/>
      </right>
      <top/>
      <bottom style="thin">
        <color auto="1"/>
      </bottom>
      <diagonal/>
    </border>
    <border>
      <left style="thin">
        <color auto="1"/>
      </left>
      <right/>
      <top/>
      <bottom style="thin">
        <color auto="1"/>
      </bottom>
      <diagonal/>
    </border>
    <border>
      <left/>
      <right/>
      <top style="thin">
        <color indexed="64"/>
      </top>
      <bottom style="thin">
        <color indexed="64"/>
      </bottom>
      <diagonal/>
    </border>
    <border>
      <left/>
      <right style="thin">
        <color auto="1"/>
      </right>
      <top/>
      <bottom style="thin">
        <color auto="1"/>
      </bottom>
      <diagonal/>
    </border>
    <border>
      <left/>
      <right style="thin">
        <color auto="1"/>
      </right>
      <top/>
      <bottom/>
      <diagonal/>
    </border>
    <border>
      <left style="thin">
        <color indexed="64"/>
      </left>
      <right/>
      <top/>
      <bottom/>
      <diagonal/>
    </border>
    <border>
      <left/>
      <right/>
      <top/>
      <bottom style="thin">
        <color theme="4" tint="0.39997558519241921"/>
      </bottom>
      <diagonal/>
    </border>
    <border>
      <left style="thin">
        <color auto="1"/>
      </left>
      <right style="medium">
        <color indexed="64"/>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medium">
        <color indexed="64"/>
      </right>
      <top style="medium">
        <color indexed="64"/>
      </top>
      <bottom style="medium">
        <color indexed="64"/>
      </bottom>
      <diagonal/>
    </border>
    <border>
      <left style="thin">
        <color auto="1"/>
      </left>
      <right style="medium">
        <color indexed="64"/>
      </right>
      <top/>
      <bottom style="thin">
        <color auto="1"/>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s>
  <cellStyleXfs count="4">
    <xf numFmtId="0" fontId="0" fillId="0" borderId="0"/>
    <xf numFmtId="0" fontId="2" fillId="0" borderId="0"/>
    <xf numFmtId="9" fontId="2" fillId="0" borderId="0" applyFont="0" applyFill="0" applyBorder="0" applyAlignment="0" applyProtection="0"/>
    <xf numFmtId="9" fontId="9" fillId="0" borderId="0" applyFont="0" applyFill="0" applyBorder="0" applyAlignment="0" applyProtection="0"/>
  </cellStyleXfs>
  <cellXfs count="24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6" borderId="1" xfId="0" applyFill="1" applyBorder="1"/>
    <xf numFmtId="0" fontId="0" fillId="11" borderId="0" xfId="0" applyFill="1"/>
    <xf numFmtId="0" fontId="0" fillId="26" borderId="0" xfId="0" applyFill="1"/>
    <xf numFmtId="0" fontId="2" fillId="0" borderId="0" xfId="1"/>
    <xf numFmtId="0" fontId="7" fillId="0" borderId="0" xfId="1" applyFont="1"/>
    <xf numFmtId="0" fontId="0" fillId="29" borderId="1" xfId="0" applyFill="1" applyBorder="1"/>
    <xf numFmtId="0" fontId="0" fillId="29" borderId="0" xfId="0" applyFill="1"/>
    <xf numFmtId="0" fontId="0" fillId="31" borderId="20" xfId="0" applyFill="1" applyBorder="1"/>
    <xf numFmtId="0" fontId="0" fillId="25" borderId="0" xfId="0" applyFill="1"/>
    <xf numFmtId="0" fontId="0" fillId="25" borderId="1" xfId="0" applyFill="1" applyBorder="1"/>
    <xf numFmtId="0" fontId="11" fillId="2" borderId="2" xfId="0" applyFont="1" applyFill="1" applyBorder="1" applyAlignment="1">
      <alignment horizontal="center" vertical="top"/>
    </xf>
    <xf numFmtId="0" fontId="11" fillId="2" borderId="3" xfId="0" applyFont="1" applyFill="1" applyBorder="1" applyAlignment="1">
      <alignment horizontal="center" vertical="top"/>
    </xf>
    <xf numFmtId="0" fontId="11" fillId="6" borderId="3" xfId="0" applyFont="1" applyFill="1" applyBorder="1" applyAlignment="1">
      <alignment horizontal="center" vertical="top"/>
    </xf>
    <xf numFmtId="0" fontId="11" fillId="3" borderId="3" xfId="0" applyFont="1" applyFill="1" applyBorder="1" applyAlignment="1">
      <alignment horizontal="center" vertical="top"/>
    </xf>
    <xf numFmtId="0" fontId="11" fillId="8" borderId="3" xfId="0" applyFont="1" applyFill="1" applyBorder="1" applyAlignment="1">
      <alignment horizontal="center" vertical="top"/>
    </xf>
    <xf numFmtId="0" fontId="13" fillId="2" borderId="15" xfId="0" applyFont="1" applyFill="1" applyBorder="1"/>
    <xf numFmtId="0" fontId="13" fillId="2" borderId="10" xfId="0" applyFont="1" applyFill="1" applyBorder="1"/>
    <xf numFmtId="0" fontId="13" fillId="2" borderId="16" xfId="0" applyFont="1" applyFill="1" applyBorder="1"/>
    <xf numFmtId="0" fontId="13" fillId="6" borderId="10" xfId="0" applyFont="1" applyFill="1" applyBorder="1"/>
    <xf numFmtId="0" fontId="13" fillId="6" borderId="18" xfId="0" applyFont="1" applyFill="1" applyBorder="1"/>
    <xf numFmtId="0" fontId="13" fillId="3" borderId="10" xfId="0" applyFont="1" applyFill="1" applyBorder="1"/>
    <xf numFmtId="0" fontId="13" fillId="4" borderId="10" xfId="0" applyFont="1" applyFill="1" applyBorder="1"/>
    <xf numFmtId="0" fontId="13" fillId="5" borderId="10" xfId="0" applyFont="1" applyFill="1" applyBorder="1"/>
    <xf numFmtId="0" fontId="13" fillId="7" borderId="10" xfId="0" applyFont="1" applyFill="1" applyBorder="1"/>
    <xf numFmtId="0" fontId="13" fillId="8" borderId="10" xfId="0" applyFont="1" applyFill="1" applyBorder="1"/>
    <xf numFmtId="0" fontId="13" fillId="8" borderId="8" xfId="0" applyFont="1" applyFill="1" applyBorder="1"/>
    <xf numFmtId="0" fontId="13" fillId="11" borderId="8" xfId="0" applyFont="1" applyFill="1" applyBorder="1"/>
    <xf numFmtId="0" fontId="13" fillId="9" borderId="8" xfId="0" applyFont="1" applyFill="1" applyBorder="1"/>
    <xf numFmtId="0" fontId="13" fillId="29" borderId="9" xfId="0" applyFont="1" applyFill="1" applyBorder="1"/>
    <xf numFmtId="0" fontId="13" fillId="29" borderId="1" xfId="0" applyFont="1" applyFill="1" applyBorder="1"/>
    <xf numFmtId="0" fontId="13" fillId="9" borderId="19" xfId="0" applyFont="1" applyFill="1" applyBorder="1"/>
    <xf numFmtId="0" fontId="13" fillId="0" borderId="0" xfId="0" applyFont="1"/>
    <xf numFmtId="0" fontId="13" fillId="2" borderId="4" xfId="0" applyFont="1" applyFill="1" applyBorder="1"/>
    <xf numFmtId="0" fontId="13" fillId="2" borderId="1" xfId="0" applyFont="1" applyFill="1" applyBorder="1"/>
    <xf numFmtId="0" fontId="13" fillId="2" borderId="9" xfId="0" applyFont="1" applyFill="1" applyBorder="1"/>
    <xf numFmtId="0" fontId="13" fillId="6" borderId="1" xfId="0" applyFont="1" applyFill="1" applyBorder="1"/>
    <xf numFmtId="0" fontId="13" fillId="6" borderId="5" xfId="0" applyFont="1" applyFill="1" applyBorder="1"/>
    <xf numFmtId="0" fontId="13" fillId="3" borderId="1" xfId="0" applyFont="1" applyFill="1" applyBorder="1"/>
    <xf numFmtId="0" fontId="13" fillId="4" borderId="1" xfId="0" applyFont="1" applyFill="1" applyBorder="1"/>
    <xf numFmtId="0" fontId="13" fillId="5" borderId="1" xfId="0" applyFont="1" applyFill="1" applyBorder="1"/>
    <xf numFmtId="0" fontId="13" fillId="7" borderId="1" xfId="0" applyFont="1" applyFill="1" applyBorder="1"/>
    <xf numFmtId="0" fontId="13" fillId="8" borderId="1" xfId="0" applyFont="1" applyFill="1" applyBorder="1"/>
    <xf numFmtId="0" fontId="13" fillId="8" borderId="9" xfId="0" applyFont="1" applyFill="1" applyBorder="1"/>
    <xf numFmtId="0" fontId="13" fillId="11" borderId="1" xfId="0" applyFont="1" applyFill="1" applyBorder="1"/>
    <xf numFmtId="0" fontId="13" fillId="9" borderId="1" xfId="0" applyFont="1" applyFill="1" applyBorder="1"/>
    <xf numFmtId="0" fontId="13" fillId="9" borderId="5" xfId="0" applyFont="1" applyFill="1" applyBorder="1"/>
    <xf numFmtId="0" fontId="13" fillId="11" borderId="10" xfId="0" applyFont="1" applyFill="1" applyBorder="1"/>
    <xf numFmtId="0" fontId="13" fillId="9" borderId="10" xfId="0" applyFont="1" applyFill="1" applyBorder="1"/>
    <xf numFmtId="0" fontId="13" fillId="9" borderId="18" xfId="0" applyFont="1" applyFill="1" applyBorder="1"/>
    <xf numFmtId="0" fontId="14" fillId="6" borderId="1" xfId="0" applyFont="1" applyFill="1" applyBorder="1"/>
    <xf numFmtId="0" fontId="14" fillId="9" borderId="1" xfId="0" applyFont="1" applyFill="1" applyBorder="1"/>
    <xf numFmtId="0" fontId="14" fillId="3" borderId="1" xfId="0" applyFont="1" applyFill="1" applyBorder="1"/>
    <xf numFmtId="0" fontId="14" fillId="4" borderId="1" xfId="0" applyFont="1" applyFill="1" applyBorder="1"/>
    <xf numFmtId="0" fontId="15" fillId="12" borderId="5" xfId="0" applyFont="1" applyFill="1" applyBorder="1"/>
    <xf numFmtId="0" fontId="15" fillId="12" borderId="17" xfId="0" applyFont="1" applyFill="1" applyBorder="1"/>
    <xf numFmtId="0" fontId="15" fillId="13" borderId="5" xfId="0" applyFont="1" applyFill="1" applyBorder="1"/>
    <xf numFmtId="0" fontId="15" fillId="14" borderId="5" xfId="0" applyFont="1" applyFill="1" applyBorder="1"/>
    <xf numFmtId="0" fontId="15" fillId="15" borderId="5" xfId="0" applyFont="1" applyFill="1" applyBorder="1"/>
    <xf numFmtId="0" fontId="15" fillId="16" borderId="5" xfId="0" applyFont="1" applyFill="1" applyBorder="1"/>
    <xf numFmtId="0" fontId="15" fillId="17" borderId="5" xfId="0" applyFont="1" applyFill="1" applyBorder="1"/>
    <xf numFmtId="0" fontId="15" fillId="18" borderId="5" xfId="0" applyFont="1" applyFill="1" applyBorder="1"/>
    <xf numFmtId="0" fontId="15" fillId="19" borderId="5" xfId="0" applyFont="1" applyFill="1" applyBorder="1"/>
    <xf numFmtId="0" fontId="15" fillId="20" borderId="5" xfId="0" applyFont="1" applyFill="1" applyBorder="1"/>
    <xf numFmtId="0" fontId="14" fillId="2" borderId="1" xfId="0" applyFont="1" applyFill="1" applyBorder="1"/>
    <xf numFmtId="0" fontId="14" fillId="8" borderId="1" xfId="0" applyFont="1" applyFill="1" applyBorder="1"/>
    <xf numFmtId="0" fontId="14" fillId="6" borderId="5" xfId="0" applyFont="1" applyFill="1" applyBorder="1"/>
    <xf numFmtId="0" fontId="15" fillId="20" borderId="8" xfId="0" applyFont="1" applyFill="1" applyBorder="1"/>
    <xf numFmtId="0" fontId="13" fillId="2" borderId="6" xfId="0" applyFont="1" applyFill="1" applyBorder="1"/>
    <xf numFmtId="0" fontId="13" fillId="6" borderId="19" xfId="0" applyFont="1" applyFill="1" applyBorder="1"/>
    <xf numFmtId="0" fontId="13" fillId="6" borderId="8" xfId="0" applyFont="1" applyFill="1" applyBorder="1"/>
    <xf numFmtId="0" fontId="13" fillId="3" borderId="8" xfId="0" applyFont="1" applyFill="1" applyBorder="1"/>
    <xf numFmtId="0" fontId="13" fillId="4" borderId="8" xfId="0" applyFont="1" applyFill="1" applyBorder="1"/>
    <xf numFmtId="0" fontId="13" fillId="5" borderId="8" xfId="0" applyFont="1" applyFill="1" applyBorder="1"/>
    <xf numFmtId="0" fontId="13" fillId="7" borderId="8" xfId="0" applyFont="1" applyFill="1" applyBorder="1"/>
    <xf numFmtId="0" fontId="15" fillId="12" borderId="2" xfId="0" applyFont="1" applyFill="1" applyBorder="1"/>
    <xf numFmtId="0" fontId="13" fillId="2" borderId="3" xfId="0" applyFont="1" applyFill="1" applyBorder="1"/>
    <xf numFmtId="0" fontId="13" fillId="2" borderId="11" xfId="0" applyFont="1" applyFill="1" applyBorder="1"/>
    <xf numFmtId="0" fontId="13" fillId="6" borderId="12" xfId="0" applyFont="1" applyFill="1" applyBorder="1"/>
    <xf numFmtId="0" fontId="13" fillId="6" borderId="3" xfId="0" applyFont="1" applyFill="1" applyBorder="1"/>
    <xf numFmtId="0" fontId="13" fillId="3" borderId="3" xfId="0" applyFont="1" applyFill="1" applyBorder="1"/>
    <xf numFmtId="0" fontId="13" fillId="4" borderId="3" xfId="0" applyFont="1" applyFill="1" applyBorder="1"/>
    <xf numFmtId="0" fontId="13" fillId="5" borderId="3" xfId="0" applyFont="1" applyFill="1" applyBorder="1"/>
    <xf numFmtId="0" fontId="13" fillId="7" borderId="3" xfId="0" applyFont="1" applyFill="1" applyBorder="1"/>
    <xf numFmtId="0" fontId="13" fillId="8" borderId="3" xfId="0" applyFont="1" applyFill="1" applyBorder="1"/>
    <xf numFmtId="0" fontId="13" fillId="9" borderId="3" xfId="0" applyFont="1" applyFill="1" applyBorder="1"/>
    <xf numFmtId="0" fontId="13" fillId="29" borderId="11" xfId="0" applyFont="1" applyFill="1" applyBorder="1"/>
    <xf numFmtId="0" fontId="13" fillId="9" borderId="12" xfId="0" applyFont="1" applyFill="1" applyBorder="1"/>
    <xf numFmtId="0" fontId="0" fillId="25" borderId="20" xfId="0" applyFill="1" applyBorder="1"/>
    <xf numFmtId="0" fontId="0" fillId="25" borderId="10" xfId="0" applyFill="1" applyBorder="1"/>
    <xf numFmtId="0" fontId="0" fillId="2" borderId="0" xfId="0" applyFill="1" applyBorder="1"/>
    <xf numFmtId="0" fontId="0" fillId="25" borderId="0" xfId="0" applyFill="1" applyBorder="1"/>
    <xf numFmtId="0" fontId="5" fillId="25" borderId="0" xfId="0" applyFont="1" applyFill="1" applyBorder="1" applyAlignment="1">
      <alignment horizontal="left" vertical="center" indent="1"/>
    </xf>
    <xf numFmtId="0" fontId="3" fillId="25" borderId="0" xfId="0" applyFont="1" applyFill="1" applyBorder="1"/>
    <xf numFmtId="0" fontId="4" fillId="25" borderId="0" xfId="0" applyFont="1" applyFill="1" applyBorder="1"/>
    <xf numFmtId="0" fontId="13" fillId="0" borderId="0" xfId="0" applyFont="1" applyBorder="1"/>
    <xf numFmtId="0" fontId="0" fillId="25" borderId="0" xfId="0" applyFill="1" applyBorder="1" applyAlignment="1">
      <alignment horizontal="left" vertical="center" indent="1"/>
    </xf>
    <xf numFmtId="0" fontId="13" fillId="22" borderId="1" xfId="0" applyFont="1" applyFill="1" applyBorder="1"/>
    <xf numFmtId="2" fontId="13" fillId="23" borderId="1" xfId="0" applyNumberFormat="1" applyFont="1" applyFill="1" applyBorder="1"/>
    <xf numFmtId="0" fontId="13" fillId="0" borderId="1" xfId="0" applyFont="1" applyBorder="1"/>
    <xf numFmtId="0" fontId="13" fillId="24" borderId="1" xfId="0" applyFont="1" applyFill="1" applyBorder="1"/>
    <xf numFmtId="2" fontId="13" fillId="25" borderId="1" xfId="0" applyNumberFormat="1" applyFont="1" applyFill="1" applyBorder="1"/>
    <xf numFmtId="0" fontId="13" fillId="26" borderId="1" xfId="0" applyFont="1" applyFill="1" applyBorder="1"/>
    <xf numFmtId="0" fontId="13" fillId="27" borderId="1" xfId="0" applyFont="1" applyFill="1" applyBorder="1"/>
    <xf numFmtId="0" fontId="0" fillId="31" borderId="0" xfId="0" applyFill="1" applyBorder="1"/>
    <xf numFmtId="0" fontId="13" fillId="10" borderId="31" xfId="0" applyFont="1" applyFill="1" applyBorder="1"/>
    <xf numFmtId="0" fontId="13" fillId="10" borderId="32" xfId="0" applyFont="1" applyFill="1" applyBorder="1"/>
    <xf numFmtId="0" fontId="14" fillId="10" borderId="22" xfId="0" applyFont="1" applyFill="1" applyBorder="1"/>
    <xf numFmtId="0" fontId="13" fillId="10" borderId="22" xfId="0" applyFont="1" applyFill="1" applyBorder="1"/>
    <xf numFmtId="0" fontId="13" fillId="9" borderId="0" xfId="0" applyFont="1" applyFill="1" applyBorder="1"/>
    <xf numFmtId="0" fontId="15" fillId="21" borderId="32" xfId="0" applyFont="1" applyFill="1" applyBorder="1"/>
    <xf numFmtId="0" fontId="13" fillId="2" borderId="0" xfId="0" applyFont="1" applyFill="1" applyBorder="1"/>
    <xf numFmtId="0" fontId="13" fillId="10" borderId="27" xfId="0" applyFont="1" applyFill="1" applyBorder="1"/>
    <xf numFmtId="0" fontId="13" fillId="6" borderId="33" xfId="0" applyFont="1" applyFill="1" applyBorder="1"/>
    <xf numFmtId="0" fontId="13" fillId="29" borderId="33" xfId="0" applyFont="1" applyFill="1" applyBorder="1"/>
    <xf numFmtId="0" fontId="13" fillId="0" borderId="13" xfId="0" applyFont="1" applyBorder="1"/>
    <xf numFmtId="0" fontId="13" fillId="10" borderId="30" xfId="0" applyFont="1" applyFill="1" applyBorder="1"/>
    <xf numFmtId="0" fontId="16" fillId="2" borderId="2" xfId="0" applyFont="1" applyFill="1" applyBorder="1" applyAlignment="1">
      <alignment horizontal="center" vertical="top"/>
    </xf>
    <xf numFmtId="0" fontId="16" fillId="2" borderId="3" xfId="0" applyFont="1" applyFill="1" applyBorder="1" applyAlignment="1">
      <alignment horizontal="center" vertical="top"/>
    </xf>
    <xf numFmtId="0" fontId="16" fillId="6" borderId="3" xfId="0" applyFont="1" applyFill="1" applyBorder="1"/>
    <xf numFmtId="0" fontId="16" fillId="6" borderId="3" xfId="0" applyFont="1" applyFill="1" applyBorder="1" applyAlignment="1">
      <alignment horizontal="center" vertical="top"/>
    </xf>
    <xf numFmtId="0" fontId="16" fillId="3" borderId="3" xfId="0" applyFont="1" applyFill="1" applyBorder="1" applyAlignment="1">
      <alignment horizontal="center" vertical="top"/>
    </xf>
    <xf numFmtId="0" fontId="16" fillId="4" borderId="3" xfId="0" applyFont="1" applyFill="1" applyBorder="1" applyAlignment="1">
      <alignment horizontal="center" vertical="top"/>
    </xf>
    <xf numFmtId="0" fontId="16" fillId="5" borderId="3" xfId="0" applyFont="1" applyFill="1" applyBorder="1" applyAlignment="1">
      <alignment horizontal="center" vertical="top"/>
    </xf>
    <xf numFmtId="0" fontId="16" fillId="7" borderId="3" xfId="0" applyFont="1" applyFill="1" applyBorder="1" applyAlignment="1">
      <alignment horizontal="center" vertical="top"/>
    </xf>
    <xf numFmtId="0" fontId="16" fillId="8" borderId="3" xfId="0" applyFont="1" applyFill="1" applyBorder="1" applyAlignment="1">
      <alignment horizontal="center" vertical="top"/>
    </xf>
    <xf numFmtId="0" fontId="16" fillId="11" borderId="3" xfId="0" applyFont="1" applyFill="1" applyBorder="1" applyAlignment="1">
      <alignment horizontal="center" vertical="top"/>
    </xf>
    <xf numFmtId="0" fontId="16" fillId="9" borderId="3" xfId="0" applyFont="1" applyFill="1" applyBorder="1" applyAlignment="1">
      <alignment horizontal="center" vertical="top"/>
    </xf>
    <xf numFmtId="0" fontId="10" fillId="0" borderId="7" xfId="0" applyFont="1" applyBorder="1"/>
    <xf numFmtId="0" fontId="13" fillId="29" borderId="16" xfId="0" applyFont="1" applyFill="1" applyBorder="1"/>
    <xf numFmtId="0" fontId="13" fillId="29" borderId="10" xfId="0" applyFont="1" applyFill="1" applyBorder="1"/>
    <xf numFmtId="0" fontId="16" fillId="29" borderId="3" xfId="0" applyFont="1" applyFill="1" applyBorder="1" applyAlignment="1">
      <alignment horizontal="center" vertical="top"/>
    </xf>
    <xf numFmtId="0" fontId="17" fillId="0" borderId="3" xfId="0" applyFont="1" applyBorder="1"/>
    <xf numFmtId="0" fontId="16" fillId="0" borderId="3" xfId="0" applyFont="1" applyBorder="1"/>
    <xf numFmtId="0" fontId="16" fillId="10" borderId="3" xfId="0" applyFont="1" applyFill="1" applyBorder="1" applyAlignment="1">
      <alignment horizontal="center" vertical="top"/>
    </xf>
    <xf numFmtId="0" fontId="10" fillId="31" borderId="3" xfId="0" applyFont="1" applyFill="1" applyBorder="1"/>
    <xf numFmtId="0" fontId="16" fillId="26" borderId="3" xfId="0" applyFont="1" applyFill="1" applyBorder="1"/>
    <xf numFmtId="0" fontId="16" fillId="34" borderId="3" xfId="0" applyFont="1" applyFill="1" applyBorder="1"/>
    <xf numFmtId="0" fontId="17" fillId="34" borderId="3" xfId="0" applyFont="1" applyFill="1" applyBorder="1"/>
    <xf numFmtId="0" fontId="17" fillId="34" borderId="30" xfId="0" applyFont="1" applyFill="1" applyBorder="1"/>
    <xf numFmtId="0" fontId="0" fillId="34" borderId="10" xfId="0" applyFill="1" applyBorder="1"/>
    <xf numFmtId="0" fontId="0" fillId="34" borderId="1" xfId="0" applyFill="1" applyBorder="1"/>
    <xf numFmtId="164" fontId="17" fillId="0" borderId="0" xfId="0" applyNumberFormat="1" applyFont="1"/>
    <xf numFmtId="164" fontId="18" fillId="0" borderId="0" xfId="0" applyNumberFormat="1" applyFont="1"/>
    <xf numFmtId="164" fontId="8" fillId="0" borderId="0" xfId="0" applyNumberFormat="1" applyFont="1"/>
    <xf numFmtId="0" fontId="18" fillId="0" borderId="0" xfId="0" applyFont="1"/>
    <xf numFmtId="164" fontId="18" fillId="0" borderId="0" xfId="0" pivotButton="1" applyNumberFormat="1" applyFont="1"/>
    <xf numFmtId="164" fontId="18" fillId="7" borderId="0" xfId="0" applyNumberFormat="1" applyFont="1" applyFill="1"/>
    <xf numFmtId="164" fontId="18" fillId="8" borderId="0" xfId="0" applyNumberFormat="1" applyFont="1" applyFill="1"/>
    <xf numFmtId="0" fontId="17" fillId="0" borderId="0" xfId="0" applyFont="1"/>
    <xf numFmtId="0" fontId="16" fillId="0" borderId="0" xfId="0" applyFont="1"/>
    <xf numFmtId="0" fontId="8" fillId="0" borderId="0" xfId="0" applyFont="1"/>
    <xf numFmtId="0" fontId="18" fillId="0" borderId="0" xfId="0" pivotButton="1" applyFont="1"/>
    <xf numFmtId="0" fontId="18" fillId="0" borderId="23" xfId="0" applyFont="1" applyBorder="1"/>
    <xf numFmtId="0" fontId="18" fillId="0" borderId="24" xfId="0" pivotButton="1" applyFont="1" applyBorder="1"/>
    <xf numFmtId="0" fontId="18" fillId="0" borderId="24" xfId="0" applyFont="1" applyBorder="1"/>
    <xf numFmtId="0" fontId="18" fillId="0" borderId="25" xfId="0" applyFont="1" applyBorder="1"/>
    <xf numFmtId="0" fontId="18" fillId="0" borderId="26" xfId="0" applyFont="1" applyBorder="1"/>
    <xf numFmtId="0" fontId="18" fillId="0" borderId="27" xfId="0" applyFont="1" applyBorder="1"/>
    <xf numFmtId="0" fontId="18" fillId="0" borderId="26" xfId="0" pivotButton="1" applyFont="1" applyBorder="1"/>
    <xf numFmtId="0" fontId="18" fillId="0" borderId="4" xfId="0" applyFont="1" applyBorder="1"/>
    <xf numFmtId="9" fontId="18" fillId="25" borderId="1" xfId="0" applyNumberFormat="1" applyFont="1" applyFill="1" applyBorder="1"/>
    <xf numFmtId="0" fontId="18" fillId="25" borderId="1" xfId="0" applyFont="1" applyFill="1" applyBorder="1"/>
    <xf numFmtId="9" fontId="18" fillId="0" borderId="1" xfId="0" applyNumberFormat="1" applyFont="1" applyBorder="1"/>
    <xf numFmtId="0" fontId="18" fillId="0" borderId="1" xfId="0" applyFont="1" applyBorder="1"/>
    <xf numFmtId="0" fontId="18" fillId="0" borderId="22" xfId="0" applyFont="1" applyBorder="1"/>
    <xf numFmtId="0" fontId="18" fillId="0" borderId="14" xfId="0" applyFont="1" applyBorder="1"/>
    <xf numFmtId="9" fontId="18" fillId="0" borderId="13" xfId="0" applyNumberFormat="1" applyFont="1" applyBorder="1"/>
    <xf numFmtId="0" fontId="18" fillId="0" borderId="13" xfId="0" applyFont="1" applyBorder="1"/>
    <xf numFmtId="0" fontId="18" fillId="0" borderId="28" xfId="0" applyFont="1" applyBorder="1"/>
    <xf numFmtId="9" fontId="18" fillId="0" borderId="0" xfId="0" applyNumberFormat="1" applyFont="1"/>
    <xf numFmtId="9" fontId="18" fillId="25" borderId="0" xfId="0" applyNumberFormat="1" applyFont="1" applyFill="1"/>
    <xf numFmtId="0" fontId="18" fillId="25" borderId="0" xfId="0" applyFont="1" applyFill="1"/>
    <xf numFmtId="10" fontId="18" fillId="0" borderId="0" xfId="0" applyNumberFormat="1" applyFont="1"/>
    <xf numFmtId="10" fontId="18" fillId="30" borderId="0" xfId="0" applyNumberFormat="1" applyFont="1" applyFill="1"/>
    <xf numFmtId="0" fontId="18" fillId="30" borderId="0" xfId="0" applyFont="1" applyFill="1"/>
    <xf numFmtId="2" fontId="18" fillId="0" borderId="0" xfId="0" applyNumberFormat="1" applyFont="1"/>
    <xf numFmtId="1" fontId="18" fillId="0" borderId="0" xfId="0" applyNumberFormat="1" applyFont="1"/>
    <xf numFmtId="1" fontId="18" fillId="7" borderId="0" xfId="0" applyNumberFormat="1" applyFont="1" applyFill="1"/>
    <xf numFmtId="9" fontId="18" fillId="0" borderId="0" xfId="3" applyFont="1"/>
    <xf numFmtId="0" fontId="18" fillId="34" borderId="0" xfId="0" applyFont="1" applyFill="1"/>
    <xf numFmtId="0" fontId="8" fillId="0" borderId="0" xfId="0" applyFont="1" applyAlignment="1">
      <alignment horizontal="right" vertical="center"/>
    </xf>
    <xf numFmtId="0" fontId="17" fillId="0" borderId="0" xfId="0" applyFont="1" applyAlignment="1">
      <alignment horizontal="right" vertical="center"/>
    </xf>
    <xf numFmtId="164" fontId="16" fillId="32" borderId="21" xfId="0" applyNumberFormat="1" applyFont="1" applyFill="1" applyBorder="1"/>
    <xf numFmtId="2" fontId="18" fillId="0" borderId="1" xfId="0" applyNumberFormat="1" applyFont="1" applyBorder="1"/>
    <xf numFmtId="164" fontId="18" fillId="0" borderId="1" xfId="0" applyNumberFormat="1" applyFont="1" applyBorder="1"/>
    <xf numFmtId="164" fontId="16" fillId="0" borderId="0" xfId="0" applyNumberFormat="1" applyFont="1"/>
    <xf numFmtId="0" fontId="18" fillId="0" borderId="0" xfId="0" applyFont="1" applyAlignment="1">
      <alignment horizontal="center"/>
    </xf>
    <xf numFmtId="10" fontId="18" fillId="0" borderId="0" xfId="0" applyNumberFormat="1" applyFont="1" applyAlignment="1">
      <alignment horizontal="center"/>
    </xf>
    <xf numFmtId="0" fontId="16" fillId="32" borderId="1" xfId="0" applyFont="1" applyFill="1" applyBorder="1"/>
    <xf numFmtId="17" fontId="18" fillId="0" borderId="1" xfId="0" applyNumberFormat="1" applyFont="1" applyBorder="1"/>
    <xf numFmtId="0" fontId="8" fillId="0" borderId="1" xfId="0" applyFont="1" applyBorder="1"/>
    <xf numFmtId="9" fontId="8" fillId="0" borderId="1" xfId="0" applyNumberFormat="1" applyFont="1" applyBorder="1"/>
    <xf numFmtId="10" fontId="18" fillId="0" borderId="1" xfId="0" applyNumberFormat="1" applyFont="1" applyBorder="1"/>
    <xf numFmtId="0" fontId="18" fillId="25" borderId="0" xfId="0" applyFont="1" applyFill="1" applyBorder="1"/>
    <xf numFmtId="10" fontId="18" fillId="25" borderId="0" xfId="0" applyNumberFormat="1" applyFont="1" applyFill="1" applyBorder="1"/>
    <xf numFmtId="10" fontId="18" fillId="33" borderId="0" xfId="0" applyNumberFormat="1" applyFont="1" applyFill="1"/>
    <xf numFmtId="0" fontId="18" fillId="28" borderId="0" xfId="1" applyFont="1" applyFill="1"/>
    <xf numFmtId="0" fontId="18" fillId="0" borderId="0" xfId="1" applyFont="1"/>
    <xf numFmtId="0" fontId="18" fillId="23" borderId="0" xfId="1" applyFont="1" applyFill="1"/>
    <xf numFmtId="0" fontId="20" fillId="0" borderId="0" xfId="1" applyFont="1"/>
    <xf numFmtId="0" fontId="12" fillId="0" borderId="0" xfId="1" applyFont="1"/>
    <xf numFmtId="9" fontId="13" fillId="0" borderId="0" xfId="2" applyFont="1"/>
    <xf numFmtId="2" fontId="18" fillId="0" borderId="0" xfId="1" applyNumberFormat="1" applyFont="1"/>
    <xf numFmtId="0" fontId="18" fillId="26" borderId="1" xfId="1" applyFont="1" applyFill="1" applyBorder="1"/>
    <xf numFmtId="0" fontId="18" fillId="26" borderId="29" xfId="1" applyFont="1" applyFill="1" applyBorder="1"/>
    <xf numFmtId="0" fontId="2" fillId="0" borderId="0" xfId="1" applyBorder="1"/>
    <xf numFmtId="0" fontId="18" fillId="22" borderId="0" xfId="1" applyFont="1" applyFill="1" applyBorder="1"/>
    <xf numFmtId="2" fontId="18" fillId="23" borderId="0" xfId="1" applyNumberFormat="1" applyFont="1" applyFill="1" applyBorder="1"/>
    <xf numFmtId="0" fontId="18" fillId="0" borderId="0" xfId="1" applyFont="1" applyBorder="1"/>
    <xf numFmtId="0" fontId="18" fillId="24" borderId="0" xfId="1" applyFont="1" applyFill="1" applyBorder="1"/>
    <xf numFmtId="2" fontId="18" fillId="25" borderId="0" xfId="1" applyNumberFormat="1" applyFont="1" applyFill="1" applyBorder="1"/>
    <xf numFmtId="0" fontId="18" fillId="26" borderId="0" xfId="1" applyFont="1" applyFill="1" applyBorder="1"/>
    <xf numFmtId="0" fontId="18" fillId="27" borderId="0" xfId="1" applyFont="1" applyFill="1" applyBorder="1"/>
    <xf numFmtId="0" fontId="18" fillId="3" borderId="1" xfId="1" applyFont="1" applyFill="1" applyBorder="1"/>
    <xf numFmtId="0" fontId="21" fillId="3" borderId="1" xfId="1" applyFont="1" applyFill="1" applyBorder="1"/>
    <xf numFmtId="0" fontId="18" fillId="3" borderId="29" xfId="1" applyFont="1" applyFill="1" applyBorder="1"/>
    <xf numFmtId="0" fontId="18" fillId="6" borderId="1" xfId="1" applyFont="1" applyFill="1" applyBorder="1"/>
    <xf numFmtId="0" fontId="18" fillId="6" borderId="1" xfId="1" applyFont="1" applyFill="1" applyBorder="1" applyAlignment="1">
      <alignment vertical="center"/>
    </xf>
    <xf numFmtId="0" fontId="18" fillId="6" borderId="29" xfId="1" applyFont="1" applyFill="1" applyBorder="1"/>
    <xf numFmtId="0" fontId="18" fillId="8" borderId="1" xfId="1" applyFont="1" applyFill="1" applyBorder="1"/>
    <xf numFmtId="0" fontId="18" fillId="8" borderId="29" xfId="1" applyFont="1" applyFill="1" applyBorder="1"/>
    <xf numFmtId="0" fontId="1" fillId="35" borderId="1" xfId="1" applyFont="1" applyFill="1" applyBorder="1"/>
    <xf numFmtId="0" fontId="18" fillId="35" borderId="1" xfId="1" applyFont="1" applyFill="1" applyBorder="1"/>
    <xf numFmtId="0" fontId="8" fillId="35" borderId="1" xfId="1" applyFont="1" applyFill="1" applyBorder="1"/>
    <xf numFmtId="0" fontId="19" fillId="35" borderId="1" xfId="1" applyFont="1" applyFill="1" applyBorder="1"/>
    <xf numFmtId="0" fontId="8" fillId="35" borderId="1" xfId="1" applyFont="1" applyFill="1" applyBorder="1" applyAlignment="1">
      <alignment vertical="center"/>
    </xf>
    <xf numFmtId="0" fontId="2" fillId="35" borderId="29" xfId="1" applyFill="1" applyBorder="1"/>
    <xf numFmtId="0" fontId="8" fillId="35" borderId="29" xfId="1" applyFont="1" applyFill="1" applyBorder="1"/>
    <xf numFmtId="0" fontId="18" fillId="35" borderId="29" xfId="1" applyFont="1" applyFill="1" applyBorder="1"/>
    <xf numFmtId="0" fontId="18" fillId="10" borderId="1" xfId="1" applyFont="1" applyFill="1" applyBorder="1"/>
    <xf numFmtId="0" fontId="8" fillId="10" borderId="1" xfId="1" applyFont="1" applyFill="1" applyBorder="1"/>
    <xf numFmtId="0" fontId="18" fillId="10" borderId="29" xfId="1" applyFont="1" applyFill="1" applyBorder="1"/>
  </cellXfs>
  <cellStyles count="4">
    <cellStyle name="Normal" xfId="0" builtinId="0"/>
    <cellStyle name="Normal 2" xfId="1" xr:uid="{EB8CDCB9-7A27-BB42-AFE8-85CDE3458DB0}"/>
    <cellStyle name="Per cent" xfId="3" builtinId="5"/>
    <cellStyle name="Per cent 2" xfId="2" xr:uid="{3F5A3515-CE79-9C47-B996-EBEFDE7BCF09}"/>
  </cellStyles>
  <dxfs count="1240">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3" formatCode="0%"/>
    </dxf>
    <dxf>
      <numFmt numFmtId="14"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2" formatCode="0.00"/>
    </dxf>
    <dxf>
      <fill>
        <patternFill patternType="solid">
          <bgColor theme="5" tint="0.39997558519241921"/>
        </patternFill>
      </fill>
    </dxf>
    <dxf>
      <fill>
        <patternFill patternType="solid">
          <bgColor theme="5" tint="0.39997558519241921"/>
        </patternFill>
      </fill>
    </dxf>
    <dxf>
      <numFmt numFmtId="1" formatCode="0"/>
    </dxf>
    <dxf>
      <numFmt numFmtId="13" formatCode="0%"/>
    </dxf>
    <dxf>
      <numFmt numFmtId="13" formatCode="0%"/>
    </dxf>
    <dxf>
      <fill>
        <patternFill patternType="solid">
          <bgColor theme="5"/>
        </patternFill>
      </fill>
    </dxf>
    <dxf>
      <fill>
        <patternFill patternType="solid">
          <bgColor theme="5"/>
        </patternFill>
      </fill>
    </dxf>
    <dxf>
      <fill>
        <patternFill>
          <bgColor theme="5"/>
        </patternFill>
      </fill>
    </dxf>
    <dxf>
      <fill>
        <patternFill patternType="solid">
          <bgColor theme="0"/>
        </patternFill>
      </fill>
    </dxf>
    <dxf>
      <numFmt numFmtId="14" formatCode="0.00%"/>
    </dxf>
    <dxf>
      <numFmt numFmtId="1" formatCode="0"/>
    </dxf>
    <dxf>
      <numFmt numFmtId="2" formatCode="0.00"/>
    </dxf>
    <dxf>
      <numFmt numFmtId="0" formatCode="General"/>
    </dxf>
    <dxf>
      <numFmt numFmtId="13" formatCode="0%"/>
    </dxf>
    <dxf>
      <numFmt numFmtId="14" formatCode="0.0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4" formatCode="0.00%"/>
    </dxf>
    <dxf>
      <numFmt numFmtId="0" formatCode="General"/>
    </dxf>
    <dxf>
      <numFmt numFmtId="0" formatCode="General"/>
    </dxf>
    <dxf>
      <numFmt numFmtId="0" formatCode="General"/>
    </dxf>
    <dxf>
      <numFmt numFmtId="13" formatCode="0%"/>
    </dxf>
    <dxf>
      <numFmt numFmtId="14" formatCode="0.00%"/>
    </dxf>
    <dxf>
      <numFmt numFmtId="13" formatCode="0%"/>
    </dxf>
    <dxf>
      <numFmt numFmtId="0" formatCode="General"/>
    </dxf>
    <dxf>
      <numFmt numFmtId="13" formatCode="0%"/>
    </dxf>
    <dxf>
      <numFmt numFmtId="14" formatCode="0.00%"/>
    </dxf>
    <dxf>
      <numFmt numFmtId="13" formatCode="0%"/>
    </dxf>
    <dxf>
      <numFmt numFmtId="13" formatCode="0%"/>
    </dxf>
    <dxf>
      <numFmt numFmtId="13" formatCode="0%"/>
    </dxf>
    <dxf>
      <numFmt numFmtId="13" formatCode="0%"/>
    </dxf>
    <dxf>
      <numFmt numFmtId="13" formatCode="0%"/>
    </dxf>
    <dxf>
      <alignment vertical="bottom"/>
    </dxf>
    <dxf>
      <alignment vertical="bottom"/>
    </dxf>
    <dxf>
      <alignment vertical="bottom"/>
    </dxf>
    <dxf>
      <alignment horizontal="center"/>
    </dxf>
    <dxf>
      <alignment horizontal="center"/>
    </dxf>
    <dxf>
      <alignment horizontal="cent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bgColor theme="5" tint="0.39997558519241921"/>
        </patternFill>
      </fill>
    </dxf>
    <dxf>
      <fill>
        <patternFill patternType="solid">
          <bgColor theme="5" tint="0.39997558519241921"/>
        </patternFill>
      </fill>
    </dxf>
    <dxf>
      <numFmt numFmtId="1" formatCode="0"/>
    </dxf>
    <dxf>
      <numFmt numFmtId="164" formatCode="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4" formatCode="0.0"/>
    </dxf>
    <dxf>
      <numFmt numFmtId="164" formatCode="0.0"/>
    </dxf>
    <dxf>
      <fill>
        <patternFill>
          <bgColor theme="5" tint="0.39997558519241921"/>
        </patternFill>
      </fill>
    </dxf>
    <dxf>
      <fill>
        <patternFill patternType="solid">
          <bgColor rgb="FFFF0000"/>
        </patternFill>
      </fill>
    </dxf>
    <dxf>
      <numFmt numFmtId="13" formatCode="0%"/>
    </dxf>
    <dxf>
      <numFmt numFmtId="13" formatCode="0%"/>
    </dxf>
    <dxf>
      <numFmt numFmtId="13"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ont>
        <color theme="1"/>
      </font>
    </dxf>
    <dxf>
      <font>
        <color theme="1"/>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bgColor theme="5" tint="0.39997558519241921"/>
        </patternFill>
      </fill>
    </dxf>
    <dxf>
      <numFmt numFmtId="14" formatCode="0.00%"/>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numFmt numFmtId="164" formatCode="0.0"/>
    </dxf>
    <dxf>
      <numFmt numFmtId="2" formatCode="0.00"/>
    </dxf>
    <dxf>
      <fill>
        <patternFill patternType="solid">
          <bgColor theme="5" tint="0.39997558519241921"/>
        </patternFill>
      </fill>
    </dxf>
    <dxf>
      <fill>
        <patternFill patternType="solid">
          <bgColor theme="5" tint="0.39997558519241921"/>
        </patternFill>
      </fill>
    </dxf>
    <dxf>
      <numFmt numFmtId="2" formatCode="0.00"/>
    </dxf>
    <dxf>
      <fill>
        <patternFill>
          <bgColor theme="0"/>
        </patternFill>
      </fill>
    </dxf>
    <dxf>
      <numFmt numFmtId="13" formatCode="0%"/>
    </dxf>
    <dxf>
      <numFmt numFmtId="13" formatCode="0%"/>
    </dxf>
    <dxf>
      <numFmt numFmtId="13" formatCode="0%"/>
    </dxf>
    <dxf>
      <numFmt numFmtId="14" formatCode="0.00%"/>
    </dxf>
    <dxf>
      <numFmt numFmtId="13" formatCode="0%"/>
    </dxf>
    <dxf>
      <fill>
        <patternFill patternType="solid">
          <bgColor theme="5" tint="0.39997558519241921"/>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bgColor theme="6"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 formatCode="0"/>
    </dxf>
    <dxf>
      <border>
        <left style="medium">
          <color indexed="64"/>
        </left>
        <right style="medium">
          <color indexed="64"/>
        </right>
        <top style="medium">
          <color indexed="64"/>
        </top>
        <bottom style="medium">
          <color indexed="64"/>
        </bottom>
      </border>
    </dxf>
    <dxf>
      <numFmt numFmtId="13" formatCode="0%"/>
    </dxf>
    <dxf>
      <numFmt numFmtId="13" formatCode="0%"/>
    </dxf>
    <dxf>
      <numFmt numFmtId="13" formatCode="0%"/>
    </dxf>
    <dxf>
      <numFmt numFmtId="14" formatCode="0.00%"/>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fill>
        <patternFill patternType="solid">
          <bgColor theme="5" tint="0.39997558519241921"/>
        </patternFill>
      </fill>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oxfordnexus-my.sharepoint.com/Users/levkoy/Desktop/Research/RD%20pilot%20study/EMJ/RD%20EMJ.xlsx" TargetMode="External"/><Relationship Id="rId1" Type="http://schemas.openxmlformats.org/officeDocument/2006/relationships/externalLinkPath" Target="/Users/levkoy/Desktop/Research/RD%20pilot%20study/EMJ/RD%20EMJ.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sa"/>
      <sheetName val="Genji"/>
      <sheetName val="Stats"/>
    </sheetNames>
    <sheetDataSet>
      <sheetData sheetId="0">
        <row r="109">
          <cell r="B109">
            <v>0.81818181818181823</v>
          </cell>
        </row>
      </sheetData>
      <sheetData sheetId="1">
        <row r="103">
          <cell r="B103">
            <v>0.62</v>
          </cell>
        </row>
      </sheetData>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levkoy/Library/Containers/com.microsoft.Excel/Data/Library/Application%20Support/Microsoft/RD%20LMJ%20(version%202).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vkoy/Library/Containers/com.microsoft.Excel/Data/Library/Application%20Support/Microsoft/RD%20LMJ%20(version%202).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levkoy/Library/Containers/com.microsoft.Excel/Data/Library/Application%20Support/Microsoft/RD%20LMJ%20(version%202).xlsb"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levkoy/Library/Containers/com.microsoft.Excel/Data/Library/Application%20Support/Microsoft/RD%20LMJ%20(version%202).xlsb"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levkoy/Desktop/Research/RD%20pilot%20study/LMJ/RD%20LMJ(AutoRecovered).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Users/levkoy/Desktop/Research/RD%20pilot%20study/LMJ/RD%20LMJ(AutoRecovered).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levkoy/Desktop/Research/RD%20pilot%20study/LMJ/RD%20LMJ(AutoRecovered).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Users/levkoy/Desktop/Research/RD%20pilot%20study/LMJ/RD%20LMJ(AutoRecovered).xlsx" TargetMode="External"/><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03.708808796298" createdVersion="8" refreshedVersion="8" minRefreshableVersion="3" recordCount="159" xr:uid="{3DB945E7-0F47-2D4A-901E-0FB461D45C6F}">
  <cacheSource type="worksheet">
    <worksheetSource ref="C6:AJ165" sheet="Sheet4" r:id="rId2"/>
  </cacheSource>
  <cacheFields count="34">
    <cacheField name="Clause_ID" numFmtId="0">
      <sharedItems containsBlank="1"/>
    </cacheField>
    <cacheField name="Clause" numFmtId="0">
      <sharedItems containsBlank="1"/>
    </cacheField>
    <cacheField name="Translation" numFmtId="0">
      <sharedItems containsBlank="1"/>
    </cacheField>
    <cacheField name="Predicate" numFmtId="0">
      <sharedItems containsBlank="1"/>
    </cacheField>
    <cacheField name="Modality" numFmtId="0">
      <sharedItems containsBlank="1"/>
    </cacheField>
    <cacheField name="Verb_Semantic_Class" numFmtId="0">
      <sharedItems containsBlank="1" count="9">
        <s v="stative"/>
        <s v="other"/>
        <s v="action"/>
        <s v="motion"/>
        <s v="psych-state"/>
        <s v="communication"/>
        <s v="perception"/>
        <s v="aux/modal"/>
        <m/>
      </sharedItems>
    </cacheField>
    <cacheField name="Pred_Type" numFmtId="0">
      <sharedItems containsBlank="1" count="13">
        <s v="copula"/>
        <s v="verb"/>
        <s v="verb(complex)"/>
        <s v="LVC"/>
        <s v="verb(compound)"/>
        <s v="adjectival predicate"/>
        <m/>
        <s v="existential verb"/>
        <s v="LVC (inf)"/>
        <s v="LVC (j)"/>
        <s v="none"/>
        <s v="idiom"/>
        <s v="compound verb"/>
      </sharedItems>
    </cacheField>
    <cacheField name="Predicate_Transitivity" numFmtId="0">
      <sharedItems containsBlank="1" count="4">
        <s v="intransitive"/>
        <s v="transitive"/>
        <m/>
        <s v="ditransitive"/>
      </sharedItems>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54"/>
    </cacheField>
    <cacheField name="ACT-ARG" numFmtId="0">
      <sharedItems containsString="0" containsBlank="1" containsNumber="1" containsInteger="1" minValue="0" maxValue="150"/>
    </cacheField>
    <cacheField name="Arg Type" numFmtId="0">
      <sharedItems containsBlank="1" count="12">
        <s v="SUB"/>
        <s v="OBJ"/>
        <s v="n/a"/>
        <s v="S+O"/>
        <s v="S (Speech)"/>
        <s v="IO"/>
        <m/>
        <s v="O+IO"/>
        <s v="O (Speech) +IO"/>
        <s v="O (Speech)"/>
        <s v="S+O (Speech)"/>
        <s v="S+O+IO"/>
      </sharedItems>
    </cacheField>
    <cacheField name="NON-ARG" numFmtId="0">
      <sharedItems containsString="0" containsBlank="1" containsNumber="1" containsInteger="1" minValue="0" maxValue="72"/>
    </cacheField>
    <cacheField name="Subject_Class" numFmtId="0">
      <sharedItems containsBlank="1" containsMixedTypes="1" containsNumber="1" containsInteger="1" minValue="0" maxValue="0" count="8">
        <s v="overt"/>
        <s v="zero_recoverable"/>
        <s v="zero_exalt"/>
        <m/>
        <s v="zero_other"/>
        <s v="zero_uncertain"/>
        <s v="none"/>
        <n v="0"/>
      </sharedItems>
    </cacheField>
    <cacheField name="Subject_Person" numFmtId="0">
      <sharedItems containsBlank="1" containsMixedTypes="1" containsNumber="1" containsInteger="1" minValue="0" maxValue="426"/>
    </cacheField>
    <cacheField name="Object_Class" numFmtId="0">
      <sharedItems containsBlank="1" containsMixedTypes="1" containsNumber="1" containsInteger="1" minValue="0" maxValue="0" count="9">
        <s v="n/a"/>
        <s v="overt"/>
        <s v="not_applicable"/>
        <s v="zero_recoverable"/>
        <m/>
        <s v="zero_other"/>
        <s v="zero_uncertain"/>
        <s v="none"/>
        <n v="0"/>
      </sharedItems>
    </cacheField>
    <cacheField name="Indirect_Object_Class" numFmtId="0">
      <sharedItems containsBlank="1" containsMixedTypes="1" containsNumber="1" containsInteger="1" minValue="0" maxValue="0" count="6">
        <s v="n/a"/>
        <s v="not_applicable"/>
        <s v="zero_recoverable"/>
        <s v="overt"/>
        <m/>
        <n v="0"/>
      </sharedItems>
    </cacheField>
    <cacheField name="GAP-ACT-ARG" numFmtId="0">
      <sharedItems containsString="0" containsBlank="1" containsNumber="1" containsInteger="1" minValue="0" maxValue="7"/>
    </cacheField>
    <cacheField name="GAP-NON-ARG" numFmtId="0">
      <sharedItems containsString="0" containsBlank="1" containsNumber="1" containsInteger="1" minValue="0" maxValue="17"/>
    </cacheField>
    <cacheField name="Adnominal_Function" numFmtId="0">
      <sharedItems containsBlank="1" containsMixedTypes="1" containsNumber="1" containsInteger="1" minValue="0" maxValue="0"/>
    </cacheField>
    <cacheField name="Clause_Type" numFmtId="0">
      <sharedItems containsBlank="1" containsMixedTypes="1" containsNumber="1" containsInteger="1" minValue="0" maxValue="0" count="10">
        <s v="relative"/>
        <s v="te"/>
        <s v="main"/>
        <s v="subordinate"/>
        <s v="nominalised"/>
        <s v="inf"/>
        <s v="complement"/>
        <m/>
        <s v="none"/>
        <n v="0"/>
      </sharedItems>
    </cacheField>
    <cacheField name="EXALT INSIG" numFmtId="0">
      <sharedItems containsString="0" containsBlank="1" containsNumber="1" containsInteger="1" minValue="0" maxValue="19" count="4">
        <n v="0"/>
        <n v="1"/>
        <m/>
        <n v="19"/>
      </sharedItems>
    </cacheField>
    <cacheField name="V-ARG-Ø-ARG" numFmtId="0">
      <sharedItems containsString="0" containsBlank="1" containsNumber="1" containsInteger="1" minValue="0" maxValue="32" count="4">
        <n v="0"/>
        <n v="1"/>
        <m/>
        <n v="32"/>
      </sharedItems>
    </cacheField>
    <cacheField name="Exaltation_Referential_Target" numFmtId="0">
      <sharedItems containsBlank="1" containsMixedTypes="1" containsNumber="1" containsInteger="1" minValue="0" maxValue="0" count="6">
        <s v="n/a"/>
        <s v="obj"/>
        <s v="sub"/>
        <s v="io"/>
        <m/>
        <n v="0"/>
      </sharedItems>
    </cacheField>
    <cacheField name="Exaltation_Form_Type" numFmtId="0">
      <sharedItems containsBlank="1" containsMixedTypes="1" containsNumber="1" containsInteger="1" minValue="0" maxValue="0"/>
    </cacheField>
    <cacheField name="NOM EXH MORPH" numFmtId="0">
      <sharedItems containsString="0" containsBlank="1" containsNumber="1" containsInteger="1" minValue="0" maxValue="6"/>
    </cacheField>
    <cacheField name="Connective_Type" numFmtId="0">
      <sharedItems containsBlank="1" count="11">
        <s v="temporal"/>
        <s v="sequential"/>
        <s v="none"/>
        <s v="causal"/>
        <s v="quotative"/>
        <m/>
        <s v="conjunctive"/>
        <s v="purpose"/>
        <s v="main"/>
        <s v="concessive"/>
        <s v="conditional"/>
      </sharedItems>
    </cacheField>
    <cacheField name="Switch_Ref" numFmtId="0">
      <sharedItems containsBlank="1" count="5">
        <s v="new"/>
        <s v="ss"/>
        <s v="ds"/>
        <m/>
        <s v="n/a"/>
      </sharedItems>
    </cacheField>
    <cacheField name="Topic_Status" numFmtId="0">
      <sharedItems containsBlank="1" count="5">
        <s v="topic-introduced"/>
        <s v="topic-drop"/>
        <s v="topic-shift"/>
        <s v="topic-continued"/>
        <m/>
      </sharedItems>
    </cacheField>
    <cacheField name="Information_Status" numFmtId="0">
      <sharedItems containsBlank="1" count="4">
        <s v="contains_new"/>
        <s v="no_overt_NP"/>
        <s v="all given"/>
        <m/>
      </sharedItems>
    </cacheField>
    <cacheField name="Сomment" numFmtId="0">
      <sharedItems containsBlank="1"/>
    </cacheField>
    <cacheField name="Field33" numFmtId="0">
      <sharedItems containsNonDate="0" containsString="0" containsBlank="1"/>
    </cacheField>
    <cacheField name="RD2" numFmtId="0">
      <sharedItems containsString="0" containsBlank="1" containsNumber="1" minValue="0" maxValue="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15.716257870372" createdVersion="8" refreshedVersion="8" minRefreshableVersion="3" recordCount="159" xr:uid="{A4FFF256-C59B-044D-92AD-0E9316DA9D82}">
  <cacheSource type="worksheet">
    <worksheetSource ref="C6:AL165" sheet="Sheet1" r:id="rId2"/>
  </cacheSource>
  <cacheFields count="36">
    <cacheField name="Clause_ID" numFmtId="0">
      <sharedItems containsBlank="1" count="159">
        <s v="Heike 2.1"/>
        <s v="Heike 2.2"/>
        <s v="Heike 2.3"/>
        <s v="Heike 2.4"/>
        <s v="Heike 2.5"/>
        <s v="Heike 2.6"/>
        <s v="Heike 2.7"/>
        <s v="Heike 2.8"/>
        <s v="Heike 2.9"/>
        <s v="Heike 2.10"/>
        <s v="Heike 2.11"/>
        <s v="Heike 2.12"/>
        <s v="Heike 2.13"/>
        <s v="Heike 2.14"/>
        <s v="Heike 2.15"/>
        <s v="Heike 2.16"/>
        <s v="Heike 2.17"/>
        <s v="Heike 2.18"/>
        <s v="Heike 2.19"/>
        <s v="Heike 2.20"/>
        <s v="Heike 2.21"/>
        <s v="Heike 2.22"/>
        <s v="Heike 2.23"/>
        <s v="Heike 2.24"/>
        <s v="Heike 2.25"/>
        <s v="Heike 2.26"/>
        <s v="Heike 2.27"/>
        <s v="Heike 2.28"/>
        <s v="Heike 2.29"/>
        <s v="Heike 2.30"/>
        <s v="Heike 2.31"/>
        <s v="Heike 2.32"/>
        <s v="Heike 2.33"/>
        <s v="Heike 2.34"/>
        <s v="Heike 2.35"/>
        <s v="Heike 2.36"/>
        <s v="Heike 2.37"/>
        <s v="Heike 2.38"/>
        <s v="Heike 2.39"/>
        <s v="Heike 2.40"/>
        <s v="Heike 2.41"/>
        <s v="Heike 2.42"/>
        <s v="Heike 2.43"/>
        <s v="Heike 2.44"/>
        <s v="Heike 2.45"/>
        <s v="Heike 2.46"/>
        <s v="Heike 2.47"/>
        <s v="Heike 2.48"/>
        <s v="Heike 2.49"/>
        <s v="Heike 2.50"/>
        <m/>
        <s v="Heike 2.51"/>
        <s v="Heike 2.52"/>
        <s v="Heike 2.53"/>
        <s v="Heike 2.54"/>
        <s v="Heike 2.55"/>
        <s v="Heike 2.56"/>
        <s v="Heike 2.57"/>
        <s v="Heike 2.58"/>
        <s v="Heike 2.59"/>
        <s v="Heike 2.60"/>
        <s v="Heike 2.61"/>
        <s v="Heike 2.62"/>
        <s v="Heike 2.63"/>
        <s v="Heike 2.64"/>
        <s v="Heike 2.65"/>
        <s v="Heike 2.66"/>
        <s v="Heike 2.67"/>
        <s v="Heike 2.68"/>
        <s v="Heike 2.69"/>
        <s v="Heike 2.70"/>
        <s v="Heike 2.71"/>
        <s v="Heike 2.72"/>
        <s v="Heike 2.73"/>
        <s v="Heike 2.74"/>
        <s v="Heike 2.75"/>
        <s v="Heike 2.76"/>
        <s v="Heike 2.77"/>
        <s v="Heike 2.78"/>
        <s v="Heike 2.79"/>
        <s v="Heike 2.80"/>
        <s v="Heike 2.81"/>
        <s v="Heike 2.82"/>
        <s v="Heike 2.83"/>
        <s v="Heike 2.84"/>
        <s v="Heike 2.85"/>
        <s v="Heike 2.86"/>
        <s v="Heike 2.87"/>
        <s v="Heike 2.88"/>
        <s v="Heike 2.89"/>
        <s v="Heike 2.90"/>
        <s v="Heike 2.91"/>
        <s v="Heike 2.92"/>
        <s v="Heike 2.93"/>
        <s v="Heike 2.94"/>
        <s v="Heike 2.95"/>
        <s v="Heike 2.96"/>
        <s v="Heike 2.97"/>
        <s v="Heike 2.98"/>
        <s v="Heike 2.99"/>
        <s v="Heike 2.100"/>
        <s v="Heike 2.101"/>
        <s v="Heike 2.102"/>
        <s v="Heike 2.103"/>
        <s v="Heike 2.104"/>
        <s v="Heike 2.105"/>
        <s v="Heike 2.106"/>
        <s v="Heike 2.107"/>
        <s v="Heike 2.108"/>
        <s v="Heike 2.109"/>
        <s v="Heike 2.110"/>
        <s v="Heike 2.111"/>
        <s v="Heike 2.112"/>
        <s v="Heike 2.113"/>
        <s v="Heike 2.114"/>
        <s v="Heike 2.115"/>
        <s v="Heike 2.116"/>
        <s v="Heike 2.117"/>
        <s v="Heike 2.118"/>
        <s v="Heike 2.119"/>
        <s v="Heike 2.120"/>
        <s v="Heike 2.121"/>
        <s v="Heike 2.122"/>
        <s v="Heike 2.123"/>
        <s v="Heike 2.124"/>
        <s v="Heike 2.125"/>
        <s v="Heike 2.126"/>
        <s v="Heike 2.127"/>
        <s v="Heike 2.128"/>
        <s v="Heike 2.129"/>
        <s v="Heike 2.130"/>
        <s v="Heike 2.131"/>
        <s v="Heike 2.132"/>
        <s v="Heike 2.133"/>
        <s v="Heike 2.134"/>
        <s v="Heike 2.135"/>
        <s v="Heike 2.136"/>
        <s v="Heike 2.137"/>
        <s v="Heike 2.138"/>
        <s v="Heike 2.139"/>
        <s v="Heike 2.140"/>
        <s v="Heike 2.141"/>
        <s v="Heike 2.142"/>
        <s v="Heike 2.143"/>
        <s v="Heike 2.144"/>
        <s v="Heike 2.145"/>
        <s v="Heike 2.146"/>
        <s v="Heike 2.147"/>
        <s v="Heike 2.148"/>
        <s v="Heike 2.149"/>
        <s v="Heike 2.150"/>
        <s v="Heike 2.151"/>
        <s v="Heike 2.152"/>
        <s v="Heike 2.153"/>
        <s v="Heike 2.154"/>
        <s v="Heike 2.155"/>
        <s v="Heike 2.156"/>
        <s v="Heike 2.157"/>
        <s v="Total"/>
      </sharedItems>
    </cacheField>
    <cacheField name="Clause" numFmtId="0">
      <sharedItems containsBlank="1"/>
    </cacheField>
    <cacheField name="Translation" numFmtId="0">
      <sharedItems containsBlank="1"/>
    </cacheField>
    <cacheField name="Predicate" numFmtId="0">
      <sharedItems containsBlank="1"/>
    </cacheField>
    <cacheField name="Modality" numFmtId="0">
      <sharedItems containsBlank="1"/>
    </cacheField>
    <cacheField name="Verb_Semantic_Class" numFmtId="0">
      <sharedItems containsBlank="1" count="9">
        <s v="stative"/>
        <s v="other"/>
        <s v="action"/>
        <s v="motion"/>
        <s v="psych-state"/>
        <s v="communication"/>
        <s v="perception"/>
        <s v="aux/modal"/>
        <m/>
      </sharedItems>
    </cacheField>
    <cacheField name="Pred_Type" numFmtId="0">
      <sharedItems containsBlank="1" count="13">
        <s v="copula"/>
        <s v="verb"/>
        <s v="verb(complex)"/>
        <s v="LVC"/>
        <s v="verb(compound)"/>
        <s v="adjectival predicate"/>
        <m/>
        <s v="existential verb"/>
        <s v="LVC (inf)"/>
        <s v="LVC (j)"/>
        <s v="none"/>
        <s v="idiom"/>
        <s v="compound verb"/>
      </sharedItems>
    </cacheField>
    <cacheField name="Predicate_Transitivity" numFmtId="0">
      <sharedItems containsBlank="1"/>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54"/>
    </cacheField>
    <cacheField name="ACT-ARG" numFmtId="0">
      <sharedItems containsString="0" containsBlank="1" containsNumber="1" containsInteger="1" minValue="0" maxValue="150"/>
    </cacheField>
    <cacheField name="Arg Type" numFmtId="0">
      <sharedItems containsBlank="1"/>
    </cacheField>
    <cacheField name="NON-ARG" numFmtId="0">
      <sharedItems containsString="0" containsBlank="1" containsNumber="1" containsInteger="1" minValue="0" maxValue="72"/>
    </cacheField>
    <cacheField name="Subject_Class" numFmtId="0">
      <sharedItems containsBlank="1" containsMixedTypes="1" containsNumber="1" containsInteger="1" minValue="0" maxValue="0" count="8">
        <s v="overt"/>
        <s v="zero_recoverable"/>
        <s v="zero_exalt"/>
        <m/>
        <s v="zero_other"/>
        <s v="zero_uncertain"/>
        <s v="none"/>
        <n v="0"/>
      </sharedItems>
    </cacheField>
    <cacheField name="Subject_Person" numFmtId="0">
      <sharedItems containsBlank="1" containsMixedTypes="1" containsNumber="1" containsInteger="1" minValue="0" maxValue="426"/>
    </cacheField>
    <cacheField name="Object_Class" numFmtId="0">
      <sharedItems containsBlank="1" containsMixedTypes="1" containsNumber="1" containsInteger="1" minValue="0" maxValue="0"/>
    </cacheField>
    <cacheField name="Indirect_Object_Class" numFmtId="0">
      <sharedItems containsBlank="1" containsMixedTypes="1" containsNumber="1" containsInteger="1" minValue="0" maxValue="0"/>
    </cacheField>
    <cacheField name="GAP-ACT-ARG" numFmtId="0">
      <sharedItems containsString="0" containsBlank="1" containsNumber="1" containsInteger="1" minValue="0" maxValue="7"/>
    </cacheField>
    <cacheField name="GAP-NON-ARG" numFmtId="0">
      <sharedItems containsString="0" containsBlank="1" containsNumber="1" containsInteger="1" minValue="0" maxValue="17"/>
    </cacheField>
    <cacheField name="Adnominal_Function" numFmtId="0">
      <sharedItems containsBlank="1" containsMixedTypes="1" containsNumber="1" containsInteger="1" minValue="0" maxValue="0"/>
    </cacheField>
    <cacheField name="Clause_Type" numFmtId="0">
      <sharedItems containsBlank="1" containsMixedTypes="1" containsNumber="1" containsInteger="1" minValue="0" maxValue="0" count="10">
        <s v="relative"/>
        <s v="te"/>
        <s v="main"/>
        <s v="subordinate"/>
        <s v="nominalised"/>
        <s v="inf"/>
        <s v="complement"/>
        <m/>
        <s v="none"/>
        <n v="0"/>
      </sharedItems>
    </cacheField>
    <cacheField name="EXALT INSIG" numFmtId="0">
      <sharedItems containsString="0" containsBlank="1" containsNumber="1" containsInteger="1" minValue="0" maxValue="19"/>
    </cacheField>
    <cacheField name="V-ARG-Ø-ARG" numFmtId="0">
      <sharedItems containsString="0" containsBlank="1" containsNumber="1" containsInteger="1" minValue="0" maxValue="32"/>
    </cacheField>
    <cacheField name="Exaltation_Referential_Target" numFmtId="0">
      <sharedItems containsBlank="1" containsMixedTypes="1" containsNumber="1" containsInteger="1" minValue="0" maxValue="0"/>
    </cacheField>
    <cacheField name="Exaltation_Form_Type" numFmtId="0">
      <sharedItems containsBlank="1" containsMixedTypes="1" containsNumber="1" containsInteger="1" minValue="0" maxValue="0"/>
    </cacheField>
    <cacheField name="NOM EXH MORPH" numFmtId="0">
      <sharedItems containsString="0" containsBlank="1" containsNumber="1" containsInteger="1" minValue="0" maxValue="6"/>
    </cacheField>
    <cacheField name="Connective_Type" numFmtId="0">
      <sharedItems containsBlank="1" count="11">
        <s v="temporal"/>
        <s v="sequential"/>
        <s v="none"/>
        <s v="causal"/>
        <s v="quotative"/>
        <m/>
        <s v="conjunctive"/>
        <s v="purpose"/>
        <s v="main"/>
        <s v="concessive"/>
        <s v="conditional"/>
      </sharedItems>
    </cacheField>
    <cacheField name="Prev_Clause_Type" numFmtId="0">
      <sharedItems containsBlank="1" containsMixedTypes="1" containsNumber="1" containsInteger="1" minValue="0" maxValue="0"/>
    </cacheField>
    <cacheField name="Switch_Ref" numFmtId="0">
      <sharedItems containsBlank="1"/>
    </cacheField>
    <cacheField name="Next_Switch_Ref" numFmtId="0">
      <sharedItems containsBlank="1" containsMixedTypes="1" containsNumber="1" containsInteger="1" minValue="0" maxValue="0" count="5">
        <s v="ss"/>
        <s v="ds"/>
        <n v="0"/>
        <m/>
        <s v="n/a"/>
      </sharedItems>
    </cacheField>
    <cacheField name="Topic_Status" numFmtId="0">
      <sharedItems containsBlank="1"/>
    </cacheField>
    <cacheField name="Information_Status" numFmtId="0">
      <sharedItems containsBlank="1"/>
    </cacheField>
    <cacheField name="Сomment" numFmtId="0">
      <sharedItems containsBlank="1"/>
    </cacheField>
    <cacheField name="Field35" numFmtId="0">
      <sharedItems containsNonDate="0" containsString="0" containsBlank="1"/>
    </cacheField>
    <cacheField name="RD2" numFmtId="0">
      <sharedItems containsString="0" containsBlank="1" containsNumber="1" minValue="0" maxValue="3" count="6">
        <n v="1"/>
        <n v="0"/>
        <n v="2"/>
        <m/>
        <n v="3"/>
        <n v="0.97402597402597402"/>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15.848078819443" createdVersion="8" refreshedVersion="8" minRefreshableVersion="3" recordCount="177" xr:uid="{933F2D8D-1692-CD43-96A2-16A86E031667}">
  <cacheSource type="worksheet">
    <worksheetSource ref="C6:AN183" sheet="Sheet3" r:id="rId2"/>
  </cacheSource>
  <cacheFields count="38">
    <cacheField name="Clause_ID" numFmtId="0">
      <sharedItems containsBlank="1"/>
    </cacheField>
    <cacheField name="Clause" numFmtId="0">
      <sharedItems containsBlank="1" containsMixedTypes="1" containsNumber="1" minValue="0.207792207792208" maxValue="1.22727272727273"/>
    </cacheField>
    <cacheField name="Translation" numFmtId="0">
      <sharedItems containsBlank="1"/>
    </cacheField>
    <cacheField name="Predicate" numFmtId="0">
      <sharedItems containsBlank="1"/>
    </cacheField>
    <cacheField name="Modality" numFmtId="0">
      <sharedItems containsBlank="1"/>
    </cacheField>
    <cacheField name="Verb_Semantic_Class" numFmtId="0">
      <sharedItems containsBlank="1" count="9">
        <s v="stative"/>
        <s v="other"/>
        <s v="action"/>
        <s v="motion"/>
        <s v="psych-state"/>
        <s v="communication"/>
        <s v="perception"/>
        <s v="aux/modal"/>
        <m/>
      </sharedItems>
    </cacheField>
    <cacheField name="Pred_Type" numFmtId="0">
      <sharedItems containsBlank="1" count="14">
        <s v="copula"/>
        <s v="verb"/>
        <s v="verb(complex)"/>
        <s v="LVC"/>
        <s v="verb(compound)"/>
        <s v="adjectival predicate"/>
        <m/>
        <s v="existential verb"/>
        <s v="LVC (inf)"/>
        <s v="LVC (j)"/>
        <s v="none"/>
        <s v="idiom"/>
        <s v="compound verb"/>
        <s v="verb, copula, adjectival predicate, verb(honorific), verb(passive)"/>
      </sharedItems>
    </cacheField>
    <cacheField name="Predicate_Transitivity" numFmtId="0">
      <sharedItems containsBlank="1"/>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54"/>
    </cacheField>
    <cacheField name="ACT-ARG" numFmtId="0">
      <sharedItems containsString="0" containsBlank="1" containsNumber="1" containsInteger="1" minValue="0" maxValue="150"/>
    </cacheField>
    <cacheField name="Arg Type" numFmtId="0">
      <sharedItems containsBlank="1"/>
    </cacheField>
    <cacheField name="NON-ARG" numFmtId="0">
      <sharedItems containsString="0" containsBlank="1" containsNumber="1" containsInteger="1" minValue="0" maxValue="72"/>
    </cacheField>
    <cacheField name="Subject_Class" numFmtId="0">
      <sharedItems containsBlank="1" containsMixedTypes="1" containsNumber="1" containsInteger="1" minValue="0" maxValue="0"/>
    </cacheField>
    <cacheField name="Subject_Person" numFmtId="0">
      <sharedItems containsBlank="1" containsMixedTypes="1" containsNumber="1" containsInteger="1" minValue="0" maxValue="426"/>
    </cacheField>
    <cacheField name="Object_Class" numFmtId="0">
      <sharedItems containsBlank="1" containsMixedTypes="1" containsNumber="1" containsInteger="1" minValue="0" maxValue="0"/>
    </cacheField>
    <cacheField name="Indirect_Object_Class" numFmtId="0">
      <sharedItems containsBlank="1" containsMixedTypes="1" containsNumber="1" containsInteger="1" minValue="0" maxValue="0"/>
    </cacheField>
    <cacheField name="GAP-ACT-ARG" numFmtId="0">
      <sharedItems containsString="0" containsBlank="1" containsNumber="1" containsInteger="1" minValue="0" maxValue="7"/>
    </cacheField>
    <cacheField name="GAP-NON-ARG" numFmtId="0">
      <sharedItems containsString="0" containsBlank="1" containsNumber="1" containsInteger="1" minValue="0" maxValue="17"/>
    </cacheField>
    <cacheField name="Adnominal_Function" numFmtId="0">
      <sharedItems containsBlank="1" containsMixedTypes="1" containsNumber="1" containsInteger="1" minValue="0" maxValue="0"/>
    </cacheField>
    <cacheField name="Clause_Type" numFmtId="0">
      <sharedItems containsBlank="1" containsMixedTypes="1" containsNumber="1" containsInteger="1" minValue="0" maxValue="0"/>
    </cacheField>
    <cacheField name="EXALT INSIG" numFmtId="0">
      <sharedItems containsString="0" containsBlank="1" containsNumber="1" containsInteger="1" minValue="0" maxValue="19"/>
    </cacheField>
    <cacheField name="V-ARG-Ø-ARG" numFmtId="0">
      <sharedItems containsString="0" containsBlank="1" containsNumber="1" containsInteger="1" minValue="0" maxValue="32" count="4">
        <n v="0"/>
        <n v="1"/>
        <m/>
        <n v="32"/>
      </sharedItems>
    </cacheField>
    <cacheField name="Exaltation_Referential_Target" numFmtId="0">
      <sharedItems containsBlank="1" containsMixedTypes="1" containsNumber="1" containsInteger="1" minValue="0" maxValue="0"/>
    </cacheField>
    <cacheField name="Exaltation_Form_Type" numFmtId="0">
      <sharedItems containsBlank="1" containsMixedTypes="1" containsNumber="1" containsInteger="1" minValue="0" maxValue="0"/>
    </cacheField>
    <cacheField name="NOM EXH MORPH" numFmtId="0">
      <sharedItems containsString="0" containsBlank="1" containsNumber="1" containsInteger="1" minValue="0" maxValue="6"/>
    </cacheField>
    <cacheField name="Connective_Type" numFmtId="0">
      <sharedItems containsBlank="1"/>
    </cacheField>
    <cacheField name="Prev_Clause_Type" numFmtId="0">
      <sharedItems containsBlank="1" containsMixedTypes="1" containsNumber="1" containsInteger="1" minValue="0" maxValue="0"/>
    </cacheField>
    <cacheField name="Switch_Ref" numFmtId="0">
      <sharedItems containsBlank="1"/>
    </cacheField>
    <cacheField name="Next_Switch_Ref" numFmtId="0">
      <sharedItems containsBlank="1" containsMixedTypes="1" containsNumber="1" containsInteger="1" minValue="0" maxValue="0"/>
    </cacheField>
    <cacheField name="Topic_Status" numFmtId="0">
      <sharedItems containsBlank="1"/>
    </cacheField>
    <cacheField name="Information_Status" numFmtId="0">
      <sharedItems containsBlank="1"/>
    </cacheField>
    <cacheField name="Сomment" numFmtId="0">
      <sharedItems containsBlank="1"/>
    </cacheField>
    <cacheField name="Field35" numFmtId="0">
      <sharedItems containsNonDate="0" containsString="0" containsBlank="1"/>
    </cacheField>
    <cacheField name="RD2" numFmtId="0">
      <sharedItems containsString="0" containsBlank="1" containsNumber="1" minValue="0" maxValue="3"/>
    </cacheField>
    <cacheField name="Prev_Connective_Type" numFmtId="0">
      <sharedItems containsNonDate="0" containsString="0" containsBlank="1"/>
    </cacheField>
    <cacheField name="Subject_Zero" numFmtId="0">
      <sharedItems containsBlank="1" count="3">
        <s v="Yes"/>
        <s v="No"/>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15.861772685188" createdVersion="8" refreshedVersion="8" minRefreshableVersion="3" recordCount="177" xr:uid="{2E5CF772-3833-8A46-86F9-F8B238257C32}">
  <cacheSource type="worksheet">
    <worksheetSource ref="C6:AN183" sheet="Sheet5" r:id="rId2"/>
  </cacheSource>
  <cacheFields count="38">
    <cacheField name="Clause_ID" numFmtId="0">
      <sharedItems containsBlank="1"/>
    </cacheField>
    <cacheField name="Clause" numFmtId="0">
      <sharedItems containsBlank="1" containsMixedTypes="1" containsNumber="1" minValue="0.207792207792208" maxValue="1.22727272727273"/>
    </cacheField>
    <cacheField name="Translation" numFmtId="0">
      <sharedItems containsBlank="1"/>
    </cacheField>
    <cacheField name="Predicate" numFmtId="0">
      <sharedItems containsBlank="1"/>
    </cacheField>
    <cacheField name="Modality" numFmtId="0">
      <sharedItems containsBlank="1"/>
    </cacheField>
    <cacheField name="Verb_Semantic_Class" numFmtId="0">
      <sharedItems containsBlank="1"/>
    </cacheField>
    <cacheField name="Pred_Type" numFmtId="0">
      <sharedItems containsBlank="1" count="14">
        <s v="copula"/>
        <s v="verb"/>
        <s v="verb(complex)"/>
        <s v="LVC"/>
        <s v="verb(compound)"/>
        <s v="adjectival predicate"/>
        <m/>
        <s v="existential verb"/>
        <s v="LVC (inf)"/>
        <s v="LVC (j)"/>
        <s v="none"/>
        <s v="idiom"/>
        <s v="compound verb"/>
        <s v="verb, copula, adjectival predicate, verb(honorific), verb(passive)"/>
      </sharedItems>
    </cacheField>
    <cacheField name="Predicate_Transitivity" numFmtId="0">
      <sharedItems containsBlank="1" count="5">
        <s v="intransitive"/>
        <s v="transitive"/>
        <m/>
        <s v="ditransitive"/>
        <s v="intransitive / transitive / ditransitive / copular/stative / unknown"/>
      </sharedItems>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54"/>
    </cacheField>
    <cacheField name="ACT-ARG" numFmtId="0">
      <sharedItems containsString="0" containsBlank="1" containsNumber="1" containsInteger="1" minValue="0" maxValue="150"/>
    </cacheField>
    <cacheField name="Arg Type" numFmtId="0">
      <sharedItems containsBlank="1" count="13">
        <s v="SUB"/>
        <s v="OBJ"/>
        <s v="n/a"/>
        <s v="S+O"/>
        <s v="S (Speech)"/>
        <s v="IO"/>
        <m/>
        <s v="O+IO"/>
        <s v="O (Speech) +IO"/>
        <s v="O (Speech)"/>
        <s v="S+O (Speech)"/>
        <s v="S+O+IO"/>
        <s v="S, DO, IO, O (Speech), S+O, O+IO, S+IO, S+O+IO"/>
      </sharedItems>
    </cacheField>
    <cacheField name="NON-ARG" numFmtId="0">
      <sharedItems containsString="0" containsBlank="1" containsNumber="1" containsInteger="1" minValue="0" maxValue="72"/>
    </cacheField>
    <cacheField name="Subject_Class" numFmtId="0">
      <sharedItems containsBlank="1" containsMixedTypes="1" containsNumber="1" containsInteger="1" minValue="0" maxValue="0" count="9">
        <s v="overt"/>
        <s v="zero_recoverable"/>
        <s v="zero_exalt"/>
        <m/>
        <s v="zero_other"/>
        <s v="zero_uncertain"/>
        <s v="none"/>
        <n v="0"/>
        <s v="overt; zero_exalt; zero_recoverable; zero_other – omitted, recoverability uncertain; not_applicable."/>
      </sharedItems>
    </cacheField>
    <cacheField name="Subject_Person" numFmtId="0">
      <sharedItems containsBlank="1" containsMixedTypes="1" containsNumber="1" containsInteger="1" minValue="0" maxValue="426"/>
    </cacheField>
    <cacheField name="Object_Class" numFmtId="0">
      <sharedItems containsBlank="1" containsMixedTypes="1" containsNumber="1" containsInteger="1" minValue="0" maxValue="0" count="10">
        <s v="n/a"/>
        <s v="overt"/>
        <s v="not_applicable"/>
        <s v="zero_recoverable"/>
        <m/>
        <s v="zero_other"/>
        <s v="zero_uncertain"/>
        <s v="none"/>
        <n v="0"/>
        <s v="same"/>
      </sharedItems>
    </cacheField>
    <cacheField name="Indirect_Object_Class" numFmtId="0">
      <sharedItems containsBlank="1" containsMixedTypes="1" containsNumber="1" containsInteger="1" minValue="0" maxValue="0"/>
    </cacheField>
    <cacheField name="GAP-ACT-ARG" numFmtId="0">
      <sharedItems containsString="0" containsBlank="1" containsNumber="1" containsInteger="1" minValue="0" maxValue="7"/>
    </cacheField>
    <cacheField name="GAP-NON-ARG" numFmtId="0">
      <sharedItems containsString="0" containsBlank="1" containsNumber="1" containsInteger="1" minValue="0" maxValue="17"/>
    </cacheField>
    <cacheField name="Adnominal_Function" numFmtId="0">
      <sharedItems containsBlank="1" containsMixedTypes="1" containsNumber="1" containsInteger="1" minValue="0" maxValue="0"/>
    </cacheField>
    <cacheField name="Clause_Type" numFmtId="0">
      <sharedItems containsBlank="1" containsMixedTypes="1" containsNumber="1" containsInteger="1" minValue="0" maxValue="0" count="10">
        <s v="relative"/>
        <s v="te"/>
        <s v="main"/>
        <s v="subordinate"/>
        <s v="nominalised"/>
        <s v="inf"/>
        <s v="complement"/>
        <m/>
        <s v="none"/>
        <n v="0"/>
      </sharedItems>
    </cacheField>
    <cacheField name="EXALT INSIG" numFmtId="0">
      <sharedItems containsString="0" containsBlank="1" containsNumber="1" containsInteger="1" minValue="0" maxValue="19"/>
    </cacheField>
    <cacheField name="V-ARG-Ø-ARG" numFmtId="0">
      <sharedItems containsString="0" containsBlank="1" containsNumber="1" containsInteger="1" minValue="0" maxValue="32"/>
    </cacheField>
    <cacheField name="Exaltation_Referential_Target" numFmtId="0">
      <sharedItems containsBlank="1" containsMixedTypes="1" containsNumber="1" containsInteger="1" minValue="0" maxValue="0"/>
    </cacheField>
    <cacheField name="Exaltation_Form_Type" numFmtId="0">
      <sharedItems containsBlank="1" containsMixedTypes="1" containsNumber="1" containsInteger="1" minValue="0" maxValue="0"/>
    </cacheField>
    <cacheField name="NOM EXH MORPH" numFmtId="0">
      <sharedItems containsString="0" containsBlank="1" containsNumber="1" containsInteger="1" minValue="0" maxValue="6"/>
    </cacheField>
    <cacheField name="Connective_Type" numFmtId="0">
      <sharedItems containsBlank="1" count="12">
        <s v="temporal"/>
        <s v="sequential"/>
        <s v="none"/>
        <s v="causal"/>
        <s v="quotative"/>
        <m/>
        <s v="conjunctive"/>
        <s v="purpose"/>
        <s v="main"/>
        <s v="concessive"/>
        <s v="conditional"/>
        <s v="none; conjunctive; temporal; causal; concessive; conditional; quotative; other."/>
      </sharedItems>
    </cacheField>
    <cacheField name="Prev_Clause_Type" numFmtId="0">
      <sharedItems containsBlank="1" containsMixedTypes="1" containsNumber="1" containsInteger="1" minValue="0" maxValue="0"/>
    </cacheField>
    <cacheField name="Switch_Ref" numFmtId="0">
      <sharedItems containsBlank="1"/>
    </cacheField>
    <cacheField name="Next_Switch_Ref" numFmtId="0">
      <sharedItems containsBlank="1" containsMixedTypes="1" containsNumber="1" containsInteger="1" minValue="0" maxValue="0"/>
    </cacheField>
    <cacheField name="Topic_Status" numFmtId="0">
      <sharedItems containsBlank="1"/>
    </cacheField>
    <cacheField name="Information_Status" numFmtId="0">
      <sharedItems containsBlank="1"/>
    </cacheField>
    <cacheField name="Сomment" numFmtId="0">
      <sharedItems containsBlank="1"/>
    </cacheField>
    <cacheField name="Field35" numFmtId="0">
      <sharedItems containsNonDate="0" containsString="0" containsBlank="1"/>
    </cacheField>
    <cacheField name="RD2" numFmtId="0">
      <sharedItems containsString="0" containsBlank="1" containsNumber="1" minValue="0" maxValue="3"/>
    </cacheField>
    <cacheField name="LVC" numFmtId="0">
      <sharedItems containsBlank="1" count="3">
        <s v="non-LVC"/>
        <s v="LVC"/>
        <m/>
      </sharedItems>
    </cacheField>
    <cacheField name="Subject_Zero"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17.719410185186" createdVersion="8" refreshedVersion="8" minRefreshableVersion="3" recordCount="158" xr:uid="{0BEDEF29-BE0C-884F-B0E5-B75B9BB2E2D3}">
  <cacheSource type="worksheet">
    <worksheetSource ref="C6:AT164" sheet="Sheet4" r:id="rId2"/>
  </cacheSource>
  <cacheFields count="44">
    <cacheField name="HeikeCh2" numFmtId="0">
      <sharedItems containsBlank="1"/>
    </cacheField>
    <cacheField name="Field2" numFmtId="0">
      <sharedItems/>
    </cacheField>
    <cacheField name="Translation" numFmtId="0">
      <sharedItems containsBlank="1"/>
    </cacheField>
    <cacheField name="Predicate" numFmtId="0">
      <sharedItems/>
    </cacheField>
    <cacheField name="Modality" numFmtId="0">
      <sharedItems/>
    </cacheField>
    <cacheField name="Verb_Semantic_Class" numFmtId="0">
      <sharedItems/>
    </cacheField>
    <cacheField name="Pred_Type" numFmtId="0">
      <sharedItems containsBlank="1"/>
    </cacheField>
    <cacheField name="Predicate_Transitivity" numFmtId="0">
      <sharedItems containsBlank="1"/>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
    </cacheField>
    <cacheField name="ACT-ARG" numFmtId="0">
      <sharedItems containsString="0" containsBlank="1" containsNumber="1" containsInteger="1" minValue="0" maxValue="3"/>
    </cacheField>
    <cacheField name="Arg Type" numFmtId="0">
      <sharedItems containsBlank="1" count="12">
        <s v="SUB"/>
        <s v="OBJ"/>
        <s v="n/a"/>
        <s v="S+O"/>
        <s v="S (Speech)"/>
        <s v="IO"/>
        <m/>
        <s v="O+IO"/>
        <s v="O (Speech) +IO"/>
        <s v="O (Speech)"/>
        <s v="S+O (Speech)"/>
        <s v="S+O+IO"/>
      </sharedItems>
    </cacheField>
    <cacheField name="NON-ARG" numFmtId="0">
      <sharedItems containsString="0" containsBlank="1" containsNumber="1" containsInteger="1" minValue="0" maxValue="3"/>
    </cacheField>
    <cacheField name="Subject_Class" numFmtId="0">
      <sharedItems containsBlank="1" count="7">
        <s v="overt"/>
        <s v="zero_recoverable"/>
        <s v="zero_exalt"/>
        <m/>
        <s v="zero_other"/>
        <s v="zero_uncertain"/>
        <s v="none"/>
      </sharedItems>
    </cacheField>
    <cacheField name="Subject_Person" numFmtId="0">
      <sharedItems containsBlank="1" containsMixedTypes="1" containsNumber="1" containsInteger="1" minValue="0" maxValue="3"/>
    </cacheField>
    <cacheField name="Object_Class" numFmtId="0">
      <sharedItems containsBlank="1" count="8">
        <s v="n/a"/>
        <s v="overt"/>
        <s v="not_applicable"/>
        <s v="zero_recoverable"/>
        <m/>
        <s v="zero_other"/>
        <s v="zero_uncertain"/>
        <s v="none"/>
      </sharedItems>
    </cacheField>
    <cacheField name="Indirect_Object_Class" numFmtId="0">
      <sharedItems containsBlank="1"/>
    </cacheField>
    <cacheField name="GAP-ACT-ARG" numFmtId="0">
      <sharedItems containsString="0" containsBlank="1" containsNumber="1" containsInteger="1" minValue="0" maxValue="1"/>
    </cacheField>
    <cacheField name="GAP-NON-ARG" numFmtId="0">
      <sharedItems containsString="0" containsBlank="1" containsNumber="1" containsInteger="1" minValue="0" maxValue="1"/>
    </cacheField>
    <cacheField name="Adnominal_Function" numFmtId="0">
      <sharedItems containsBlank="1"/>
    </cacheField>
    <cacheField name="Clause_Type" numFmtId="0">
      <sharedItems containsBlank="1"/>
    </cacheField>
    <cacheField name="EXALT INSIG" numFmtId="0">
      <sharedItems containsString="0" containsBlank="1" containsNumber="1" containsInteger="1" minValue="0" maxValue="1"/>
    </cacheField>
    <cacheField name="V-ARG-Ø-ARG" numFmtId="0">
      <sharedItems containsString="0" containsBlank="1" containsNumber="1" containsInteger="1" minValue="0" maxValue="1"/>
    </cacheField>
    <cacheField name="Exaltation_Referential_Target" numFmtId="0">
      <sharedItems containsBlank="1"/>
    </cacheField>
    <cacheField name="Exaltation_Form_Type" numFmtId="0">
      <sharedItems containsBlank="1"/>
    </cacheField>
    <cacheField name="NOM EXH MORPH" numFmtId="0">
      <sharedItems containsString="0" containsBlank="1" containsNumber="1" containsInteger="1" minValue="0" maxValue="1"/>
    </cacheField>
    <cacheField name="Connective_Type" numFmtId="0">
      <sharedItems containsBlank="1" count="11">
        <s v="temporal"/>
        <s v="sequential"/>
        <s v="none"/>
        <s v="causal"/>
        <s v="quotative"/>
        <m/>
        <s v="conjunctive"/>
        <s v="purpose"/>
        <s v="main"/>
        <s v="concessive"/>
        <s v="conditional"/>
      </sharedItems>
    </cacheField>
    <cacheField name="Prev_Clause_Type" numFmtId="0">
      <sharedItems containsBlank="1" containsMixedTypes="1" containsNumber="1" containsInteger="1" minValue="0" maxValue="0"/>
    </cacheField>
    <cacheField name="Te_Position" numFmtId="0">
      <sharedItems containsBlank="1"/>
    </cacheField>
    <cacheField name="Switch_Ref" numFmtId="0">
      <sharedItems containsBlank="1"/>
    </cacheField>
    <cacheField name="Next_Switch_Ref" numFmtId="0">
      <sharedItems containsBlank="1" containsMixedTypes="1" containsNumber="1" containsInteger="1" minValue="0" maxValue="0"/>
    </cacheField>
    <cacheField name="Topic_Status" numFmtId="0">
      <sharedItems containsBlank="1"/>
    </cacheField>
    <cacheField name="Information_Status" numFmtId="0">
      <sharedItems containsBlank="1"/>
    </cacheField>
    <cacheField name="Сomment" numFmtId="0">
      <sharedItems containsBlank="1"/>
    </cacheField>
    <cacheField name="Field36" numFmtId="0">
      <sharedItems containsNonDate="0" containsString="0" containsBlank="1"/>
    </cacheField>
    <cacheField name="RD2" numFmtId="0">
      <sharedItems containsString="0" containsBlank="1" containsNumber="1" containsInteger="1" minValue="0" maxValue="3"/>
    </cacheField>
    <cacheField name="LVC" numFmtId="0">
      <sharedItems/>
    </cacheField>
    <cacheField name="Subject_Zero" numFmtId="0">
      <sharedItems/>
    </cacheField>
    <cacheField name="Sentence_ID" numFmtId="0">
      <sharedItems containsSemiMixedTypes="0" containsString="0" containsNumber="1" containsInteger="1" minValue="1" maxValue="43"/>
    </cacheField>
    <cacheField name="Next_Clause_Type" numFmtId="0">
      <sharedItems containsBlank="1"/>
    </cacheField>
    <cacheField name="Is_ChainClause" numFmtId="0">
      <sharedItems containsSemiMixedTypes="0" containsString="0" containsNumber="1" containsInteger="1" minValue="0" maxValue="1"/>
    </cacheField>
    <cacheField name="Chain_Index_In_Sentence" numFmtId="0">
      <sharedItems containsString="0" containsBlank="1" containsNumber="1" containsInteger="1" minValue="1" maxValue="11"/>
    </cacheField>
    <cacheField name="Is_First_ChainClaus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17.851904513889" createdVersion="8" refreshedVersion="8" minRefreshableVersion="3" recordCount="158" xr:uid="{789A836F-3A43-B148-9912-95EA725F6989}">
  <cacheSource type="worksheet">
    <worksheetSource ref="C6:AX164" sheet="Sheet6" r:id="rId2"/>
  </cacheSource>
  <cacheFields count="48">
    <cacheField name="HeikeCh2" numFmtId="0">
      <sharedItems containsBlank="1"/>
    </cacheField>
    <cacheField name="Field2" numFmtId="0">
      <sharedItems/>
    </cacheField>
    <cacheField name="Translation" numFmtId="0">
      <sharedItems containsBlank="1"/>
    </cacheField>
    <cacheField name="Predicate" numFmtId="0">
      <sharedItems/>
    </cacheField>
    <cacheField name="Modality" numFmtId="0">
      <sharedItems/>
    </cacheField>
    <cacheField name="Verb_Semantic_Class" numFmtId="0">
      <sharedItems/>
    </cacheField>
    <cacheField name="Pred_Type" numFmtId="0">
      <sharedItems containsBlank="1"/>
    </cacheField>
    <cacheField name="Predicate_Transitivity" numFmtId="0">
      <sharedItems containsBlank="1" count="4">
        <s v="intransitive"/>
        <s v="transitive"/>
        <m/>
        <s v="ditransitive"/>
      </sharedItems>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
    </cacheField>
    <cacheField name="ACT-ARG" numFmtId="0">
      <sharedItems containsString="0" containsBlank="1" containsNumber="1" containsInteger="1" minValue="0" maxValue="3"/>
    </cacheField>
    <cacheField name="Arg Type" numFmtId="0">
      <sharedItems containsBlank="1"/>
    </cacheField>
    <cacheField name="NON-ARG" numFmtId="0">
      <sharedItems containsString="0" containsBlank="1" containsNumber="1" containsInteger="1" minValue="0" maxValue="3"/>
    </cacheField>
    <cacheField name="Subject_Class" numFmtId="0">
      <sharedItems containsBlank="1"/>
    </cacheField>
    <cacheField name="Subject_Person" numFmtId="0">
      <sharedItems containsBlank="1" containsMixedTypes="1" containsNumber="1" containsInteger="1" minValue="0" maxValue="3"/>
    </cacheField>
    <cacheField name="Object_Class" numFmtId="0">
      <sharedItems containsBlank="1"/>
    </cacheField>
    <cacheField name="Indirect_Object_Class" numFmtId="0">
      <sharedItems containsBlank="1"/>
    </cacheField>
    <cacheField name="GAP-ACT-ARG" numFmtId="0">
      <sharedItems containsString="0" containsBlank="1" containsNumber="1" containsInteger="1" minValue="0" maxValue="1"/>
    </cacheField>
    <cacheField name="GAP-NON-ARG" numFmtId="0">
      <sharedItems containsString="0" containsBlank="1" containsNumber="1" containsInteger="1" minValue="0" maxValue="1"/>
    </cacheField>
    <cacheField name="Adnominal_Function" numFmtId="0">
      <sharedItems containsBlank="1"/>
    </cacheField>
    <cacheField name="Clause_Type" numFmtId="0">
      <sharedItems containsBlank="1"/>
    </cacheField>
    <cacheField name="EXALT INSIG" numFmtId="0">
      <sharedItems containsString="0" containsBlank="1" containsNumber="1" containsInteger="1" minValue="0" maxValue="1"/>
    </cacheField>
    <cacheField name="V-ARG-Ø-ARG" numFmtId="0">
      <sharedItems containsString="0" containsBlank="1" containsNumber="1" containsInteger="1" minValue="0" maxValue="1" count="3">
        <n v="0"/>
        <n v="1"/>
        <m/>
      </sharedItems>
    </cacheField>
    <cacheField name="Exaltation_Referential_Target" numFmtId="0">
      <sharedItems containsBlank="1"/>
    </cacheField>
    <cacheField name="Exaltation_Form_Type" numFmtId="0">
      <sharedItems containsBlank="1"/>
    </cacheField>
    <cacheField name="NOM EXH MORPH" numFmtId="0">
      <sharedItems containsString="0" containsBlank="1" containsNumber="1" containsInteger="1" minValue="0" maxValue="1"/>
    </cacheField>
    <cacheField name="Connective_Type" numFmtId="0">
      <sharedItems containsBlank="1" count="11">
        <s v="temporal"/>
        <s v="sequential"/>
        <s v="none"/>
        <s v="causal"/>
        <s v="quotative"/>
        <m/>
        <s v="conjunctive"/>
        <s v="purpose"/>
        <s v="main"/>
        <s v="concessive"/>
        <s v="conditional"/>
      </sharedItems>
    </cacheField>
    <cacheField name="Prev_Clause_Type" numFmtId="0">
      <sharedItems containsBlank="1" containsMixedTypes="1" containsNumber="1" containsInteger="1" minValue="0" maxValue="0" count="10">
        <m/>
        <s v="relative"/>
        <s v="te"/>
        <s v="main"/>
        <s v="subordinate"/>
        <s v="nominalised"/>
        <s v="inf"/>
        <s v="complement"/>
        <n v="0"/>
        <s v="none"/>
      </sharedItems>
    </cacheField>
    <cacheField name="Te_Position" numFmtId="0">
      <sharedItems containsBlank="1"/>
    </cacheField>
    <cacheField name="Switch_Ref" numFmtId="0">
      <sharedItems containsBlank="1"/>
    </cacheField>
    <cacheField name="Next_Switch_Ref" numFmtId="0">
      <sharedItems containsBlank="1" containsMixedTypes="1" containsNumber="1" containsInteger="1" minValue="0" maxValue="0" count="5">
        <s v="ss"/>
        <s v="ds"/>
        <n v="0"/>
        <m/>
        <s v="n/a"/>
      </sharedItems>
    </cacheField>
    <cacheField name="Topic_Status" numFmtId="0">
      <sharedItems containsBlank="1"/>
    </cacheField>
    <cacheField name="Information_Status" numFmtId="0">
      <sharedItems containsBlank="1"/>
    </cacheField>
    <cacheField name="Сomment" numFmtId="0">
      <sharedItems containsBlank="1"/>
    </cacheField>
    <cacheField name="Field36" numFmtId="0">
      <sharedItems containsNonDate="0" containsString="0" containsBlank="1"/>
    </cacheField>
    <cacheField name="RD2" numFmtId="0">
      <sharedItems containsString="0" containsBlank="1" containsNumber="1" containsInteger="1" minValue="0" maxValue="3"/>
    </cacheField>
    <cacheField name="LVC" numFmtId="0">
      <sharedItems/>
    </cacheField>
    <cacheField name="Subject_Zero" numFmtId="0">
      <sharedItems/>
    </cacheField>
    <cacheField name="Sentence_ID" numFmtId="0">
      <sharedItems containsSemiMixedTypes="0" containsString="0" containsNumber="1" containsInteger="1" minValue="1" maxValue="43"/>
    </cacheField>
    <cacheField name="Next_Clause_Type" numFmtId="0">
      <sharedItems containsBlank="1"/>
    </cacheField>
    <cacheField name="Is_ChainClause" numFmtId="0">
      <sharedItems containsSemiMixedTypes="0" containsString="0" containsNumber="1" containsInteger="1" minValue="0" maxValue="1"/>
    </cacheField>
    <cacheField name="Chain_Index_In_Sentence" numFmtId="0">
      <sharedItems containsString="0" containsBlank="1" containsNumber="1" containsInteger="1" minValue="1" maxValue="11"/>
    </cacheField>
    <cacheField name="Is_First_ChainClause" numFmtId="0">
      <sharedItems containsSemiMixedTypes="0" containsString="0" containsNumber="1" containsInteger="1" minValue="0" maxValue="1" count="2">
        <n v="1"/>
        <n v="0"/>
      </sharedItems>
    </cacheField>
    <cacheField name="Next_Subject_Classt" numFmtId="0">
      <sharedItems containsBlank="1" count="7">
        <s v="zero_recoverable"/>
        <s v="zero_exalt"/>
        <s v="overt"/>
        <m/>
        <s v="zero_other"/>
        <s v="zero_uncertain"/>
        <s v="none"/>
      </sharedItems>
    </cacheField>
    <cacheField name="Next_Object_Classt" numFmtId="0">
      <sharedItems containsBlank="1"/>
    </cacheField>
    <cacheField name="Drop_Subject (overt → zero in next clause)" numFmtId="0">
      <sharedItems containsSemiMixedTypes="0" containsString="0" containsNumber="1" containsInteger="1" minValue="0" maxValue="1" count="2">
        <n v="1"/>
        <n v="0"/>
      </sharedItems>
    </cacheField>
    <cacheField name="Drop_Object (overt → zero in next claus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18.702608333333" createdVersion="8" refreshedVersion="8" minRefreshableVersion="3" recordCount="158" xr:uid="{09BD194C-D9BD-174E-9A6E-89C1109150C8}">
  <cacheSource type="worksheet">
    <worksheetSource ref="C6:AX164" sheet="Sheet11" r:id="rId2"/>
  </cacheSource>
  <cacheFields count="48">
    <cacheField name="HeikeCh2" numFmtId="0">
      <sharedItems containsBlank="1" count="158">
        <s v="Heike 2.1"/>
        <s v="Heike 2.2"/>
        <s v="Heike 2.3"/>
        <s v="Heike 2.4"/>
        <s v="Heike 2.5"/>
        <s v="Heike 2.6"/>
        <s v="Heike 2.7"/>
        <s v="Heike 2.8"/>
        <s v="Heike 2.9"/>
        <s v="Heike 2.10"/>
        <s v="Heike 2.11"/>
        <s v="Heike 2.12"/>
        <s v="Heike 2.13"/>
        <s v="Heike 2.14"/>
        <s v="Heike 2.15"/>
        <s v="Heike 2.16"/>
        <s v="Heike 2.17"/>
        <s v="Heike 2.18"/>
        <s v="Heike 2.19"/>
        <s v="Heike 2.20"/>
        <s v="Heike 2.21"/>
        <s v="Heike 2.22"/>
        <s v="Heike 2.23"/>
        <s v="Heike 2.24"/>
        <s v="Heike 2.25"/>
        <s v="Heike 2.26"/>
        <s v="Heike 2.27"/>
        <s v="Heike 2.28"/>
        <s v="Heike 2.29"/>
        <s v="Heike 2.30"/>
        <s v="Heike 2.31"/>
        <s v="Heike 2.32"/>
        <s v="Heike 2.33"/>
        <s v="Heike 2.34"/>
        <s v="Heike 2.35"/>
        <s v="Heike 2.36"/>
        <s v="Heike 2.37"/>
        <s v="Heike 2.38"/>
        <s v="Heike 2.39"/>
        <s v="Heike 2.40"/>
        <s v="Heike 2.41"/>
        <s v="Heike 2.42"/>
        <s v="Heike 2.43"/>
        <s v="Heike 2.44"/>
        <s v="Heike 2.45"/>
        <s v="Heike 2.46"/>
        <s v="Heike 2.47"/>
        <s v="Heike 2.48"/>
        <s v="Heike 2.49"/>
        <s v="Heike 2.50"/>
        <m/>
        <s v="Heike 2.51"/>
        <s v="Heike 2.52"/>
        <s v="Heike 2.53"/>
        <s v="Heike 2.54"/>
        <s v="Heike 2.55"/>
        <s v="Heike 2.56"/>
        <s v="Heike 2.57"/>
        <s v="Heike 2.58"/>
        <s v="Heike 2.59"/>
        <s v="Heike 2.60"/>
        <s v="Heike 2.61"/>
        <s v="Heike 2.62"/>
        <s v="Heike 2.63"/>
        <s v="Heike 2.64"/>
        <s v="Heike 2.65"/>
        <s v="Heike 2.66"/>
        <s v="Heike 2.67"/>
        <s v="Heike 2.68"/>
        <s v="Heike 2.69"/>
        <s v="Heike 2.70"/>
        <s v="Heike 2.71"/>
        <s v="Heike 2.72"/>
        <s v="Heike 2.73"/>
        <s v="Heike 2.74"/>
        <s v="Heike 2.75"/>
        <s v="Heike 2.76"/>
        <s v="Heike 2.77"/>
        <s v="Heike 2.78"/>
        <s v="Heike 2.79"/>
        <s v="Heike 2.80"/>
        <s v="Heike 2.81"/>
        <s v="Heike 2.82"/>
        <s v="Heike 2.83"/>
        <s v="Heike 2.84"/>
        <s v="Heike 2.85"/>
        <s v="Heike 2.86"/>
        <s v="Heike 2.87"/>
        <s v="Heike 2.88"/>
        <s v="Heike 2.89"/>
        <s v="Heike 2.90"/>
        <s v="Heike 2.91"/>
        <s v="Heike 2.92"/>
        <s v="Heike 2.93"/>
        <s v="Heike 2.94"/>
        <s v="Heike 2.95"/>
        <s v="Heike 2.96"/>
        <s v="Heike 2.97"/>
        <s v="Heike 2.98"/>
        <s v="Heike 2.99"/>
        <s v="Heike 2.100"/>
        <s v="Heike 2.101"/>
        <s v="Heike 2.102"/>
        <s v="Heike 2.103"/>
        <s v="Heike 2.104"/>
        <s v="Heike 2.105"/>
        <s v="Heike 2.106"/>
        <s v="Heike 2.107"/>
        <s v="Heike 2.108"/>
        <s v="Heike 2.109"/>
        <s v="Heike 2.110"/>
        <s v="Heike 2.111"/>
        <s v="Heike 2.112"/>
        <s v="Heike 2.113"/>
        <s v="Heike 2.114"/>
        <s v="Heike 2.115"/>
        <s v="Heike 2.116"/>
        <s v="Heike 2.117"/>
        <s v="Heike 2.118"/>
        <s v="Heike 2.119"/>
        <s v="Heike 2.120"/>
        <s v="Heike 2.121"/>
        <s v="Heike 2.122"/>
        <s v="Heike 2.123"/>
        <s v="Heike 2.124"/>
        <s v="Heike 2.125"/>
        <s v="Heike 2.126"/>
        <s v="Heike 2.127"/>
        <s v="Heike 2.128"/>
        <s v="Heike 2.129"/>
        <s v="Heike 2.130"/>
        <s v="Heike 2.131"/>
        <s v="Heike 2.132"/>
        <s v="Heike 2.133"/>
        <s v="Heike 2.134"/>
        <s v="Heike 2.135"/>
        <s v="Heike 2.136"/>
        <s v="Heike 2.137"/>
        <s v="Heike 2.138"/>
        <s v="Heike 2.139"/>
        <s v="Heike 2.140"/>
        <s v="Heike 2.141"/>
        <s v="Heike 2.142"/>
        <s v="Heike 2.143"/>
        <s v="Heike 2.144"/>
        <s v="Heike 2.145"/>
        <s v="Heike 2.146"/>
        <s v="Heike 2.147"/>
        <s v="Heike 2.148"/>
        <s v="Heike 2.149"/>
        <s v="Heike 2.150"/>
        <s v="Heike 2.151"/>
        <s v="Heike 2.152"/>
        <s v="Heike 2.153"/>
        <s v="Heike 2.154"/>
        <s v="Heike 2.155"/>
        <s v="Heike 2.156"/>
        <s v="Heike 2.157"/>
      </sharedItems>
    </cacheField>
    <cacheField name="Field2" numFmtId="0">
      <sharedItems/>
    </cacheField>
    <cacheField name="Translation" numFmtId="0">
      <sharedItems containsBlank="1"/>
    </cacheField>
    <cacheField name="Predicate" numFmtId="0">
      <sharedItems/>
    </cacheField>
    <cacheField name="Modality" numFmtId="0">
      <sharedItems/>
    </cacheField>
    <cacheField name="Verb_Semantic_Class" numFmtId="0">
      <sharedItems/>
    </cacheField>
    <cacheField name="Pred_Type" numFmtId="0">
      <sharedItems containsBlank="1"/>
    </cacheField>
    <cacheField name="Predicate_Transitivity" numFmtId="0">
      <sharedItems containsBlank="1"/>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
    </cacheField>
    <cacheField name="ACT-ARG" numFmtId="0">
      <sharedItems containsString="0" containsBlank="1" containsNumber="1" containsInteger="1" minValue="0" maxValue="3"/>
    </cacheField>
    <cacheField name="Arg Type" numFmtId="0">
      <sharedItems containsBlank="1"/>
    </cacheField>
    <cacheField name="NON-ARG" numFmtId="0">
      <sharedItems containsString="0" containsBlank="1" containsNumber="1" containsInteger="1" minValue="0" maxValue="3"/>
    </cacheField>
    <cacheField name="Subject_Class" numFmtId="0">
      <sharedItems containsBlank="1" count="7">
        <s v="overt"/>
        <s v="zero_recoverable"/>
        <s v="zero_exalt"/>
        <m/>
        <s v="zero_other"/>
        <s v="zero_uncertain"/>
        <s v="none"/>
      </sharedItems>
    </cacheField>
    <cacheField name="Subject_Person" numFmtId="0">
      <sharedItems containsBlank="1" containsMixedTypes="1" containsNumber="1" containsInteger="1" minValue="0" maxValue="3"/>
    </cacheField>
    <cacheField name="Object_Class" numFmtId="0">
      <sharedItems/>
    </cacheField>
    <cacheField name="Indirect_Object_Class" numFmtId="0">
      <sharedItems/>
    </cacheField>
    <cacheField name="GAP-ACT-ARG" numFmtId="0">
      <sharedItems containsString="0" containsBlank="1" containsNumber="1" containsInteger="1" minValue="0" maxValue="1"/>
    </cacheField>
    <cacheField name="GAP-NON-ARG" numFmtId="0">
      <sharedItems containsString="0" containsBlank="1" containsNumber="1" containsInteger="1" minValue="0" maxValue="1"/>
    </cacheField>
    <cacheField name="Adnominal_Function" numFmtId="0">
      <sharedItems containsBlank="1"/>
    </cacheField>
    <cacheField name="Clause_Type" numFmtId="0">
      <sharedItems containsBlank="1" count="9">
        <s v="relative"/>
        <s v="te"/>
        <s v="main"/>
        <s v="subordinate"/>
        <s v="nominalised"/>
        <s v="inf"/>
        <s v="complement"/>
        <m/>
        <s v="none"/>
      </sharedItems>
    </cacheField>
    <cacheField name="EXALT INSIG" numFmtId="0">
      <sharedItems containsString="0" containsBlank="1" containsNumber="1" containsInteger="1" minValue="0" maxValue="1"/>
    </cacheField>
    <cacheField name="V-ARG-Ø-ARG" numFmtId="0">
      <sharedItems containsString="0" containsBlank="1" containsNumber="1" containsInteger="1" minValue="0" maxValue="1" count="3">
        <n v="0"/>
        <n v="1"/>
        <m/>
      </sharedItems>
    </cacheField>
    <cacheField name="Exaltation_Referential_Target" numFmtId="0">
      <sharedItems containsBlank="1" count="5">
        <s v="n/a"/>
        <s v="obj"/>
        <s v="sub"/>
        <s v="io"/>
        <m/>
      </sharedItems>
    </cacheField>
    <cacheField name="Exaltation_Form_Type" numFmtId="0">
      <sharedItems containsBlank="1" count="11">
        <s v="n/a"/>
        <s v="nominal_prefix"/>
        <s v="honorific_aux"/>
        <s v="lexical_honorific_verb"/>
        <s v="lexical honorific+honorific aux"/>
        <s v="lexical_humble_verb"/>
        <m/>
        <s v="polite_aux"/>
        <s v="honorific_aux+lexical_honorific_verb"/>
        <s v="honorific_aux+lexical_humble_verb"/>
        <s v="honorific prefix"/>
      </sharedItems>
    </cacheField>
    <cacheField name="NOM EXH MORPH" numFmtId="0">
      <sharedItems containsString="0" containsBlank="1" containsNumber="1" containsInteger="1" minValue="0" maxValue="1"/>
    </cacheField>
    <cacheField name="Connective_Type" numFmtId="0">
      <sharedItems containsBlank="1" count="11">
        <s v="temporal"/>
        <s v="sequential"/>
        <s v="none"/>
        <s v="causal"/>
        <s v="quotative"/>
        <m/>
        <s v="conjunctive"/>
        <s v="purpose"/>
        <s v="main"/>
        <s v="concessive"/>
        <s v="conditional"/>
      </sharedItems>
    </cacheField>
    <cacheField name="Prev_Clause_Type" numFmtId="0">
      <sharedItems containsBlank="1" containsMixedTypes="1" containsNumber="1" containsInteger="1" minValue="0" maxValue="0" count="10">
        <m/>
        <s v="relative"/>
        <s v="te"/>
        <s v="main"/>
        <s v="subordinate"/>
        <s v="nominalised"/>
        <s v="inf"/>
        <s v="complement"/>
        <n v="0"/>
        <s v="none"/>
      </sharedItems>
    </cacheField>
    <cacheField name="Te_Position" numFmtId="0">
      <sharedItems containsBlank="1"/>
    </cacheField>
    <cacheField name="Switch_Ref" numFmtId="0">
      <sharedItems containsBlank="1"/>
    </cacheField>
    <cacheField name="Next_Switch_Ref" numFmtId="0">
      <sharedItems containsBlank="1" containsMixedTypes="1" containsNumber="1" containsInteger="1" minValue="0" maxValue="0" count="5">
        <s v="ss"/>
        <s v="ds"/>
        <n v="0"/>
        <m/>
        <s v="n/a"/>
      </sharedItems>
    </cacheField>
    <cacheField name="Topic_Status" numFmtId="0">
      <sharedItems containsBlank="1" count="5">
        <s v="topic-introduced"/>
        <s v="topic-drop"/>
        <s v="topic-shift"/>
        <s v="topic-continued"/>
        <m/>
      </sharedItems>
    </cacheField>
    <cacheField name="Information_Status" numFmtId="0">
      <sharedItems containsBlank="1" count="4">
        <s v="contains_new"/>
        <s v="no_overt_NP"/>
        <s v="all given"/>
        <m/>
      </sharedItems>
    </cacheField>
    <cacheField name="Сomment" numFmtId="0">
      <sharedItems containsBlank="1"/>
    </cacheField>
    <cacheField name="Field36" numFmtId="0">
      <sharedItems containsNonDate="0" containsString="0" containsBlank="1" count="1">
        <m/>
      </sharedItems>
    </cacheField>
    <cacheField name="RD2" numFmtId="0">
      <sharedItems containsString="0" containsBlank="1" containsNumber="1" containsInteger="1" minValue="0" maxValue="3"/>
    </cacheField>
    <cacheField name="LVC" numFmtId="0">
      <sharedItems/>
    </cacheField>
    <cacheField name="Subject_Zero" numFmtId="0">
      <sharedItems/>
    </cacheField>
    <cacheField name="Sentence_ID" numFmtId="0">
      <sharedItems containsSemiMixedTypes="0" containsString="0" containsNumber="1" containsInteger="1" minValue="1" maxValue="43"/>
    </cacheField>
    <cacheField name="Next_Clause_Type" numFmtId="0">
      <sharedItems containsBlank="1" count="8">
        <s v="te"/>
        <s v="relative"/>
        <s v="main"/>
        <s v="subordinate"/>
        <m/>
        <s v="inf"/>
        <s v="complement"/>
        <s v="nominalised"/>
      </sharedItems>
    </cacheField>
    <cacheField name="Is_ChainClause" numFmtId="0">
      <sharedItems containsSemiMixedTypes="0" containsString="0" containsNumber="1" containsInteger="1" minValue="0" maxValue="1"/>
    </cacheField>
    <cacheField name="Chain_Index_In_Sentence" numFmtId="0">
      <sharedItems containsString="0" containsBlank="1" containsNumber="1" containsInteger="1" minValue="1" maxValue="11"/>
    </cacheField>
    <cacheField name="Is_First_ChainClause" numFmtId="0">
      <sharedItems containsSemiMixedTypes="0" containsString="0" containsNumber="1" containsInteger="1" minValue="0" maxValue="1"/>
    </cacheField>
    <cacheField name="Next_Subject_Classt" numFmtId="0">
      <sharedItems containsBlank="1" count="7">
        <s v="zero_recoverable"/>
        <s v="zero_exalt"/>
        <s v="overt"/>
        <m/>
        <s v="zero_other"/>
        <s v="zero_uncertain"/>
        <s v="none"/>
      </sharedItems>
    </cacheField>
    <cacheField name="Next_Object_Classt" numFmtId="0">
      <sharedItems containsBlank="1"/>
    </cacheField>
    <cacheField name="Drop_Subject (overt → zero in next clause)" numFmtId="0">
      <sharedItems containsSemiMixedTypes="0" containsString="0" containsNumber="1" containsInteger="1" minValue="0" maxValue="1" count="2">
        <n v="1"/>
        <n v="0"/>
      </sharedItems>
    </cacheField>
    <cacheField name="Drop_Object (overt → zero in next claus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emii Kuznetsov" refreshedDate="46020.50947164352" createdVersion="8" refreshedVersion="8" minRefreshableVersion="3" recordCount="158" xr:uid="{962E8086-0A67-5F49-A8FA-3C3D0688197E}">
  <cacheSource type="worksheet">
    <worksheetSource ref="C6:AX164" sheet="Sheet14" r:id="rId2"/>
  </cacheSource>
  <cacheFields count="48">
    <cacheField name="HeikeCh2" numFmtId="0">
      <sharedItems containsBlank="1"/>
    </cacheField>
    <cacheField name="Field2" numFmtId="0">
      <sharedItems/>
    </cacheField>
    <cacheField name="Translation" numFmtId="0">
      <sharedItems containsBlank="1"/>
    </cacheField>
    <cacheField name="Predicate" numFmtId="0">
      <sharedItems/>
    </cacheField>
    <cacheField name="Modality" numFmtId="0">
      <sharedItems/>
    </cacheField>
    <cacheField name="Verb_Semantic_Class" numFmtId="0">
      <sharedItems/>
    </cacheField>
    <cacheField name="Pred_Type" numFmtId="0">
      <sharedItems containsBlank="1"/>
    </cacheField>
    <cacheField name="Predicate_Transitivity" numFmtId="0">
      <sharedItems containsBlank="1"/>
    </cacheField>
    <cacheField name="Voice_Type" numFmtId="0">
      <sharedItems containsBlank="1"/>
    </cacheField>
    <cacheField name="Clause_Polarity" numFmtId="0">
      <sharedItems containsBlank="1"/>
    </cacheField>
    <cacheField name="~Ø-Verbal" numFmtId="0">
      <sharedItems containsString="0" containsBlank="1" containsNumber="1" containsInteger="1" minValue="0" maxValue="1"/>
    </cacheField>
    <cacheField name="ACT-ARG" numFmtId="0">
      <sharedItems containsString="0" containsBlank="1" containsNumber="1" containsInteger="1" minValue="0" maxValue="3"/>
    </cacheField>
    <cacheField name="Arg Type" numFmtId="0">
      <sharedItems containsBlank="1"/>
    </cacheField>
    <cacheField name="NON-ARG" numFmtId="0">
      <sharedItems containsString="0" containsBlank="1" containsNumber="1" containsInteger="1" minValue="0" maxValue="3"/>
    </cacheField>
    <cacheField name="Subject_Class" numFmtId="0">
      <sharedItems containsBlank="1"/>
    </cacheField>
    <cacheField name="Subject_Person" numFmtId="0">
      <sharedItems containsBlank="1" containsMixedTypes="1" containsNumber="1" containsInteger="1" minValue="0" maxValue="3"/>
    </cacheField>
    <cacheField name="Object_Class" numFmtId="0">
      <sharedItems/>
    </cacheField>
    <cacheField name="Indirect_Object_Class" numFmtId="0">
      <sharedItems/>
    </cacheField>
    <cacheField name="GAP-ACT-ARG" numFmtId="0">
      <sharedItems containsString="0" containsBlank="1" containsNumber="1" containsInteger="1" minValue="0" maxValue="1"/>
    </cacheField>
    <cacheField name="GAP-NON-ARG" numFmtId="0">
      <sharedItems containsString="0" containsBlank="1" containsNumber="1" containsInteger="1" minValue="0" maxValue="1"/>
    </cacheField>
    <cacheField name="Adnominal_Function" numFmtId="0">
      <sharedItems containsBlank="1"/>
    </cacheField>
    <cacheField name="Clause_Type" numFmtId="0">
      <sharedItems containsBlank="1"/>
    </cacheField>
    <cacheField name="EXALT INSIG" numFmtId="0">
      <sharedItems containsString="0" containsBlank="1" containsNumber="1" containsInteger="1" minValue="0" maxValue="1"/>
    </cacheField>
    <cacheField name="V-ARG-Ø-ARG" numFmtId="0">
      <sharedItems containsString="0" containsBlank="1" containsNumber="1" containsInteger="1" minValue="0" maxValue="1"/>
    </cacheField>
    <cacheField name="Exaltation_Referential_Target" numFmtId="0">
      <sharedItems containsBlank="1"/>
    </cacheField>
    <cacheField name="Exaltation_Form_Type" numFmtId="0">
      <sharedItems containsBlank="1"/>
    </cacheField>
    <cacheField name="NOM EXH MORPH" numFmtId="0">
      <sharedItems containsString="0" containsBlank="1" containsNumber="1" containsInteger="1" minValue="0" maxValue="1"/>
    </cacheField>
    <cacheField name="Connective_Type" numFmtId="0">
      <sharedItems containsBlank="1" count="11">
        <s v="temporal"/>
        <s v="sequential"/>
        <s v="none"/>
        <s v="causal"/>
        <s v="quotative"/>
        <m/>
        <s v="conjunctive"/>
        <s v="purpose"/>
        <s v="main"/>
        <s v="concessive"/>
        <s v="conditional"/>
      </sharedItems>
    </cacheField>
    <cacheField name="Prev_Clause_Type" numFmtId="0">
      <sharedItems containsBlank="1" containsMixedTypes="1" containsNumber="1" containsInteger="1" minValue="0" maxValue="0" count="10">
        <m/>
        <s v="relative"/>
        <s v="te"/>
        <s v="main"/>
        <s v="subordinate"/>
        <s v="nominalised"/>
        <s v="inf"/>
        <s v="complement"/>
        <n v="0"/>
        <s v="none"/>
      </sharedItems>
    </cacheField>
    <cacheField name="Te_Position" numFmtId="0">
      <sharedItems containsBlank="1"/>
    </cacheField>
    <cacheField name="Switch_Ref" numFmtId="0">
      <sharedItems containsBlank="1"/>
    </cacheField>
    <cacheField name="Next_Switch_Ref" numFmtId="0">
      <sharedItems containsBlank="1" containsMixedTypes="1" containsNumber="1" containsInteger="1" minValue="0" maxValue="0"/>
    </cacheField>
    <cacheField name="Topic_Status" numFmtId="0">
      <sharedItems containsBlank="1"/>
    </cacheField>
    <cacheField name="Information_Status" numFmtId="0">
      <sharedItems containsBlank="1"/>
    </cacheField>
    <cacheField name="Сomment" numFmtId="0">
      <sharedItems containsBlank="1"/>
    </cacheField>
    <cacheField name="Field36" numFmtId="0">
      <sharedItems containsNonDate="0" containsString="0" containsBlank="1"/>
    </cacheField>
    <cacheField name="RD2" numFmtId="0">
      <sharedItems containsString="0" containsBlank="1" containsNumber="1" containsInteger="1" minValue="0" maxValue="3"/>
    </cacheField>
    <cacheField name="LVC" numFmtId="0">
      <sharedItems count="2">
        <s v="non-LVC"/>
        <s v="LVC"/>
      </sharedItems>
    </cacheField>
    <cacheField name="Subject_Zero" numFmtId="0">
      <sharedItems/>
    </cacheField>
    <cacheField name="Sentence_ID" numFmtId="0">
      <sharedItems containsSemiMixedTypes="0" containsString="0" containsNumber="1" containsInteger="1" minValue="1" maxValue="43"/>
    </cacheField>
    <cacheField name="Next_Clause_Type" numFmtId="0">
      <sharedItems containsBlank="1"/>
    </cacheField>
    <cacheField name="Is_ChainClause" numFmtId="0">
      <sharedItems containsSemiMixedTypes="0" containsString="0" containsNumber="1" containsInteger="1" minValue="0" maxValue="1"/>
    </cacheField>
    <cacheField name="Chain_Index_In_Sentence" numFmtId="0">
      <sharedItems containsString="0" containsBlank="1" containsNumber="1" containsInteger="1" minValue="1" maxValue="11"/>
    </cacheField>
    <cacheField name="Is_First_ChainClause" numFmtId="0">
      <sharedItems containsSemiMixedTypes="0" containsString="0" containsNumber="1" containsInteger="1" minValue="0" maxValue="1" count="2">
        <n v="1"/>
        <n v="0"/>
      </sharedItems>
    </cacheField>
    <cacheField name="Next_Subject_Classt" numFmtId="0">
      <sharedItems containsBlank="1"/>
    </cacheField>
    <cacheField name="Next_Object_Classt" numFmtId="0">
      <sharedItems containsBlank="1"/>
    </cacheField>
    <cacheField name="Drop_Subject (overt → zero in next clause)" numFmtId="0">
      <sharedItems containsSemiMixedTypes="0" containsString="0" containsNumber="1" containsInteger="1" minValue="0" maxValue="1"/>
    </cacheField>
    <cacheField name="Drop_Object (overt → zero in next claus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s v="Heike 2.1"/>
    <s v="忠盛朝臣未だ備前守たりし時 (Tadamori ason imada Bizen no kami tarishi toki)"/>
    <s v="Now Tadamori, while holding the office of Bizen no Kami,"/>
    <s v="たりし"/>
    <s v="indicative"/>
    <x v="0"/>
    <x v="0"/>
    <x v="0"/>
    <s v="active"/>
    <s v="positive"/>
    <n v="1"/>
    <n v="1"/>
    <x v="0"/>
    <n v="0"/>
    <x v="0"/>
    <n v="3"/>
    <x v="0"/>
    <x v="0"/>
    <n v="0"/>
    <n v="1"/>
    <s v="REL"/>
    <x v="0"/>
    <x v="0"/>
    <x v="0"/>
    <x v="0"/>
    <s v="n/a"/>
    <n v="0"/>
    <x v="0"/>
    <x v="0"/>
    <x v="0"/>
    <x v="0"/>
    <m/>
    <m/>
    <n v="1"/>
  </r>
  <r>
    <s v="Heike 2.2"/>
    <s v="鳥羽院の御願得長寿院を造進して (Toba-in no ogan Tokuchōju-in o zōshin shite)"/>
    <s v="by the request of the retired Emperor Toba,"/>
    <s v="造進して"/>
    <s v="indicative"/>
    <x v="1"/>
    <x v="1"/>
    <x v="1"/>
    <s v="active"/>
    <s v="positive"/>
    <n v="1"/>
    <n v="1"/>
    <x v="1"/>
    <n v="1"/>
    <x v="1"/>
    <n v="3"/>
    <x v="1"/>
    <x v="0"/>
    <n v="0"/>
    <n v="0"/>
    <s v="n/a"/>
    <x v="1"/>
    <x v="0"/>
    <x v="0"/>
    <x v="1"/>
    <s v="nominal_prefix"/>
    <n v="1"/>
    <x v="1"/>
    <x v="1"/>
    <x v="1"/>
    <x v="0"/>
    <s v="stranded subject Tadamori"/>
    <m/>
    <n v="1"/>
  </r>
  <r>
    <s v="Heike 2.3"/>
    <s v="三十三間の御堂を建て (sanjūsangen no midō o tatete)"/>
    <s v=" had built the temple Toku-cho-juin and the Sa-ju-san-gen-do, or hall 33 ken long,"/>
    <s v="建て"/>
    <s v="indicative"/>
    <x v="1"/>
    <x v="1"/>
    <x v="1"/>
    <s v="active"/>
    <s v="positive"/>
    <n v="1"/>
    <n v="1"/>
    <x v="1"/>
    <n v="0"/>
    <x v="1"/>
    <n v="3"/>
    <x v="1"/>
    <x v="0"/>
    <n v="0"/>
    <n v="0"/>
    <s v="n/a"/>
    <x v="1"/>
    <x v="0"/>
    <x v="0"/>
    <x v="1"/>
    <s v="nominal_prefix"/>
    <n v="1"/>
    <x v="1"/>
    <x v="1"/>
    <x v="1"/>
    <x v="0"/>
    <m/>
    <m/>
    <n v="1"/>
  </r>
  <r>
    <s v="Heike 2.4"/>
    <s v="一千一体の御仏を据ゑ奉らる (issen ittai no mihotoke o sue-tatematsuraru)"/>
    <s v="within which were one thousand and one Buddhas;"/>
    <s v="据ゑ奉らる"/>
    <s v="indicative"/>
    <x v="2"/>
    <x v="1"/>
    <x v="1"/>
    <s v="active"/>
    <s v="positive"/>
    <n v="1"/>
    <n v="1"/>
    <x v="1"/>
    <n v="0"/>
    <x v="2"/>
    <n v="3"/>
    <x v="1"/>
    <x v="0"/>
    <n v="0"/>
    <n v="1"/>
    <s v="REL"/>
    <x v="0"/>
    <x v="1"/>
    <x v="1"/>
    <x v="2"/>
    <s v="honorific_aux"/>
    <n v="1"/>
    <x v="2"/>
    <x v="1"/>
    <x v="1"/>
    <x v="0"/>
    <s v="complex verbal form"/>
    <m/>
    <n v="1"/>
  </r>
  <r>
    <s v="Heike 2.5"/>
    <s v="供養は天承元年三月十三日なり (kuyō wa Tenshō gannen sangatsu jūsan-nichi nari)"/>
    <s v="its first festival being on the thirteenth day of the third month of the first year of Tensho."/>
    <s v="なり"/>
    <s v="indicative"/>
    <x v="0"/>
    <x v="0"/>
    <x v="0"/>
    <s v="active"/>
    <s v="positive"/>
    <n v="1"/>
    <n v="1"/>
    <x v="0"/>
    <n v="0"/>
    <x v="0"/>
    <n v="3"/>
    <x v="0"/>
    <x v="0"/>
    <n v="0"/>
    <n v="0"/>
    <s v="n/a"/>
    <x v="2"/>
    <x v="0"/>
    <x v="0"/>
    <x v="0"/>
    <s v="n/a"/>
    <n v="0"/>
    <x v="2"/>
    <x v="2"/>
    <x v="0"/>
    <x v="0"/>
    <m/>
    <m/>
    <n v="1"/>
  </r>
  <r>
    <s v="Heike 2.6"/>
    <s v="勧賞には欠国を賜ふべき由 (kanshō ni wa kakukuni o tamau beki yoshi)"/>
    <s v="As a reward he was to be granted a fief,"/>
    <s v="賜ふべき"/>
    <s v="deontic"/>
    <x v="2"/>
    <x v="1"/>
    <x v="1"/>
    <s v="active"/>
    <s v="positive"/>
    <n v="1"/>
    <n v="1"/>
    <x v="1"/>
    <n v="1"/>
    <x v="2"/>
    <n v="3"/>
    <x v="1"/>
    <x v="0"/>
    <n v="0"/>
    <n v="1"/>
    <s v="n/a"/>
    <x v="3"/>
    <x v="0"/>
    <x v="1"/>
    <x v="2"/>
    <s v="lexical_honorific_verb"/>
    <n v="0"/>
    <x v="3"/>
    <x v="2"/>
    <x v="2"/>
    <x v="0"/>
    <m/>
    <m/>
    <n v="1"/>
  </r>
  <r>
    <s v="Heike 2.7"/>
    <s v="仰せ下されける (ōse-kudasa rekeru)"/>
    <s v="he was honoured by receiving the territory of the province of Tamba,"/>
    <s v="仰せ下されける"/>
    <s v="indicative"/>
    <x v="2"/>
    <x v="2"/>
    <x v="0"/>
    <s v="passive"/>
    <s v="positive"/>
    <n v="1"/>
    <n v="0"/>
    <x v="2"/>
    <n v="0"/>
    <x v="2"/>
    <n v="3"/>
    <x v="2"/>
    <x v="1"/>
    <n v="1"/>
    <n v="0"/>
    <s v="REL"/>
    <x v="0"/>
    <x v="0"/>
    <x v="1"/>
    <x v="3"/>
    <s v="lexical honorific+honorific aux"/>
    <n v="0"/>
    <x v="2"/>
    <x v="2"/>
    <x v="1"/>
    <x v="1"/>
    <m/>
    <m/>
    <n v="0"/>
  </r>
  <r>
    <s v="Heike 2.8"/>
    <s v="折節但馬国の空きたりけるをぞ (orifushi Tamba no kuni no aki tarikeru o zo)"/>
    <s v="which then happened to be unappropriated."/>
    <s v="空きたりける"/>
    <s v="indicative"/>
    <x v="0"/>
    <x v="1"/>
    <x v="0"/>
    <s v="resultative"/>
    <s v="positive"/>
    <n v="1"/>
    <n v="1"/>
    <x v="0"/>
    <n v="1"/>
    <x v="0"/>
    <n v="3"/>
    <x v="0"/>
    <x v="0"/>
    <n v="0"/>
    <n v="0"/>
    <s v="OBJ"/>
    <x v="4"/>
    <x v="0"/>
    <x v="0"/>
    <x v="0"/>
    <s v="n/a"/>
    <n v="0"/>
    <x v="2"/>
    <x v="1"/>
    <x v="1"/>
    <x v="0"/>
    <s v="internally headed"/>
    <m/>
    <n v="1"/>
  </r>
  <r>
    <s v="Heike 2.9"/>
    <s v="賜はりける (tamawari keru)"/>
    <s v="As a reward he was honoured by receiving the territory of the province of Tamba, which then happened to be unappropriated."/>
    <s v="賜はりける"/>
    <s v="indicative"/>
    <x v="2"/>
    <x v="1"/>
    <x v="1"/>
    <s v="active"/>
    <s v="positive"/>
    <n v="1"/>
    <n v="1"/>
    <x v="1"/>
    <n v="0"/>
    <x v="2"/>
    <n v="3"/>
    <x v="3"/>
    <x v="2"/>
    <n v="0"/>
    <n v="0"/>
    <s v="n/a"/>
    <x v="2"/>
    <x v="0"/>
    <x v="1"/>
    <x v="2"/>
    <s v="lexical_humble_verb"/>
    <n v="0"/>
    <x v="2"/>
    <x v="2"/>
    <x v="1"/>
    <x v="1"/>
    <m/>
    <m/>
    <n v="1"/>
  </r>
  <r>
    <s v="Heike 2.10"/>
    <s v="上皇御感のあまりに内の昇殿を許さる (jōkō go-kan no amari ni uchi no shōden o yurusaru)"/>
    <s v="Moreover the Emperor of his bounty graciously permitted him to attend the Court;"/>
    <s v="許さる"/>
    <s v="indicative"/>
    <x v="2"/>
    <x v="1"/>
    <x v="1"/>
    <s v="active"/>
    <s v="positive"/>
    <n v="1"/>
    <n v="2"/>
    <x v="3"/>
    <n v="1"/>
    <x v="0"/>
    <n v="3"/>
    <x v="1"/>
    <x v="2"/>
    <n v="1"/>
    <n v="0"/>
    <s v="REL"/>
    <x v="0"/>
    <x v="1"/>
    <x v="0"/>
    <x v="2"/>
    <s v="honorific_aux"/>
    <n v="1"/>
    <x v="2"/>
    <x v="2"/>
    <x v="1"/>
    <x v="0"/>
    <s v="it's unlcear whether -re- in -yurusareru is passive or honorific"/>
    <m/>
    <n v="2"/>
  </r>
  <r>
    <s v="Heike 2.11"/>
    <s v="忠盛三十六にて初めて昇殿す (Tadamori sanjūroku nite hajimete shōden su)"/>
    <s v="which Tadamori did for the first time at the age of thirty six."/>
    <s v="昇殿す"/>
    <s v="indicative"/>
    <x v="3"/>
    <x v="3"/>
    <x v="0"/>
    <s v="active"/>
    <s v="positive"/>
    <n v="1"/>
    <n v="1"/>
    <x v="0"/>
    <n v="2"/>
    <x v="0"/>
    <n v="3"/>
    <x v="1"/>
    <x v="0"/>
    <n v="0"/>
    <n v="0"/>
    <s v="n/a"/>
    <x v="2"/>
    <x v="0"/>
    <x v="0"/>
    <x v="0"/>
    <s v="n/a"/>
    <n v="0"/>
    <x v="2"/>
    <x v="2"/>
    <x v="3"/>
    <x v="0"/>
    <m/>
    <m/>
    <n v="1"/>
  </r>
  <r>
    <s v="Heike 2.12"/>
    <s v="雲の上人これを嫉み憤り (kumo no uebito kore o sonemi ikidori)"/>
    <s v="the higher Courtiers were furious with jealousy"/>
    <s v="嫉み憤り"/>
    <s v="indicative"/>
    <x v="4"/>
    <x v="4"/>
    <x v="1"/>
    <s v="active"/>
    <s v="positive"/>
    <n v="1"/>
    <n v="2"/>
    <x v="3"/>
    <n v="0"/>
    <x v="0"/>
    <n v="3"/>
    <x v="1"/>
    <x v="0"/>
    <n v="0"/>
    <n v="0"/>
    <s v="n/a"/>
    <x v="5"/>
    <x v="0"/>
    <x v="0"/>
    <x v="0"/>
    <s v="n/a"/>
    <n v="0"/>
    <x v="2"/>
    <x v="2"/>
    <x v="0"/>
    <x v="0"/>
    <m/>
    <m/>
    <n v="2"/>
  </r>
  <r>
    <s v="Heike 2.13"/>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x v="1"/>
    <x v="3"/>
    <x v="1"/>
    <s v="active"/>
    <s v="positive"/>
    <n v="1"/>
    <n v="1"/>
    <x v="1"/>
    <n v="1"/>
    <x v="1"/>
    <n v="3"/>
    <x v="1"/>
    <x v="0"/>
    <n v="0"/>
    <n v="0"/>
    <s v="n/a"/>
    <x v="6"/>
    <x v="0"/>
    <x v="0"/>
    <x v="0"/>
    <s v="n/a"/>
    <n v="0"/>
    <x v="4"/>
    <x v="1"/>
    <x v="3"/>
    <x v="0"/>
    <m/>
    <m/>
    <n v="1"/>
  </r>
  <r>
    <s v="Heike 2.14"/>
    <s v="とぞ議せられける (to zo giserarikeru)"/>
    <s v="they plotted"/>
    <s v="議せられける"/>
    <s v="indicative"/>
    <x v="5"/>
    <x v="3"/>
    <x v="0"/>
    <s v="passive"/>
    <s v="positive"/>
    <n v="1"/>
    <n v="1"/>
    <x v="4"/>
    <n v="0"/>
    <x v="0"/>
    <s v="n/a"/>
    <x v="0"/>
    <x v="0"/>
    <n v="0"/>
    <n v="0"/>
    <s v="n/a"/>
    <x v="2"/>
    <x v="0"/>
    <x v="0"/>
    <x v="0"/>
    <s v="n/a"/>
    <n v="0"/>
    <x v="2"/>
    <x v="2"/>
    <x v="1"/>
    <x v="2"/>
    <m/>
    <m/>
    <n v="1"/>
  </r>
  <r>
    <s v="Heike 2.15"/>
    <s v="忠盛この由を伝へ聞きて (Tadamori kono yoshi o tsutae kikite)"/>
    <s v="Tadamori, on hearing of this"/>
    <s v="伝へ聞きて"/>
    <s v="indicative"/>
    <x v="6"/>
    <x v="4"/>
    <x v="1"/>
    <s v="active"/>
    <s v="positive"/>
    <n v="1"/>
    <n v="2"/>
    <x v="1"/>
    <n v="0"/>
    <x v="0"/>
    <n v="3"/>
    <x v="1"/>
    <x v="0"/>
    <n v="0"/>
    <n v="0"/>
    <s v="n/a"/>
    <x v="1"/>
    <x v="0"/>
    <x v="0"/>
    <x v="0"/>
    <s v="n/a"/>
    <n v="0"/>
    <x v="1"/>
    <x v="2"/>
    <x v="2"/>
    <x v="2"/>
    <m/>
    <m/>
    <n v="2"/>
  </r>
  <r>
    <s v="Heike 2.16"/>
    <s v="我右弼の身にあらず (ware ubitsu no mi ni a-razu)"/>
    <s v="I am not a civil official"/>
    <s v="あらず"/>
    <s v="indicative"/>
    <x v="1"/>
    <x v="0"/>
    <x v="0"/>
    <s v="active"/>
    <s v="negative"/>
    <n v="1"/>
    <n v="1"/>
    <x v="0"/>
    <n v="0"/>
    <x v="0"/>
    <n v="1"/>
    <x v="0"/>
    <x v="0"/>
    <n v="0"/>
    <n v="0"/>
    <s v="n/a"/>
    <x v="3"/>
    <x v="0"/>
    <x v="0"/>
    <x v="0"/>
    <s v="n/a"/>
    <n v="0"/>
    <x v="1"/>
    <x v="2"/>
    <x v="2"/>
    <x v="0"/>
    <m/>
    <m/>
    <n v="1"/>
  </r>
  <r>
    <s v="Heike 2.17"/>
    <s v="武勇の家に生れて (buyū no ie ni umarete)"/>
    <s v="being born of a line of warriors"/>
    <s v="生れて"/>
    <s v="indicative"/>
    <x v="1"/>
    <x v="1"/>
    <x v="0"/>
    <s v="active"/>
    <s v="positive"/>
    <n v="1"/>
    <n v="1"/>
    <x v="0"/>
    <n v="1"/>
    <x v="1"/>
    <n v="1"/>
    <x v="0"/>
    <x v="0"/>
    <n v="0"/>
    <n v="0"/>
    <s v="n/a"/>
    <x v="1"/>
    <x v="0"/>
    <x v="0"/>
    <x v="0"/>
    <s v="n/a"/>
    <n v="0"/>
    <x v="1"/>
    <x v="1"/>
    <x v="1"/>
    <x v="0"/>
    <m/>
    <m/>
    <n v="1"/>
  </r>
  <r>
    <s v="Heike 2.18"/>
    <s v="今不慮の恥に遇はん (ima furyo no haji ni awan)"/>
    <s v="for myself and my house at this unexpected shame"/>
    <s v="遇はん"/>
    <s v="epistemic"/>
    <x v="1"/>
    <x v="1"/>
    <x v="0"/>
    <s v="active"/>
    <s v="positive"/>
    <n v="1"/>
    <n v="1"/>
    <x v="5"/>
    <n v="1"/>
    <x v="1"/>
    <s v="n/a"/>
    <x v="0"/>
    <x v="3"/>
    <n v="0"/>
    <n v="1"/>
    <s v="n/a"/>
    <x v="0"/>
    <x v="0"/>
    <x v="0"/>
    <x v="0"/>
    <s v="n/a"/>
    <n v="0"/>
    <x v="2"/>
    <x v="1"/>
    <x v="1"/>
    <x v="0"/>
    <m/>
    <m/>
    <n v="1"/>
  </r>
  <r>
    <s v="Heike 2.19"/>
    <s v="事家の為身の為心憂かるべし (koto ie no tame mi no tame kokoroukarubeshi)"/>
    <s v="I am troubled in my heart"/>
    <s v="憂かるべし"/>
    <s v="epistemic"/>
    <x v="4"/>
    <x v="5"/>
    <x v="0"/>
    <s v="active"/>
    <s v="positive"/>
    <n v="1"/>
    <n v="1"/>
    <x v="0"/>
    <n v="1"/>
    <x v="0"/>
    <n v="3"/>
    <x v="0"/>
    <x v="0"/>
    <n v="0"/>
    <n v="0"/>
    <s v="n/a"/>
    <x v="2"/>
    <x v="0"/>
    <x v="0"/>
    <x v="0"/>
    <s v="n/a"/>
    <n v="0"/>
    <x v="2"/>
    <x v="2"/>
    <x v="1"/>
    <x v="0"/>
    <m/>
    <m/>
    <n v="1"/>
  </r>
  <r>
    <s v="Heike 2.20"/>
    <s v="詮ずるところ (senzuru tokoro)"/>
    <s v="finally, as for what is to be done"/>
    <s v="詮ずる"/>
    <s v="indicative"/>
    <x v="1"/>
    <x v="6"/>
    <x v="2"/>
    <m/>
    <m/>
    <m/>
    <m/>
    <x v="6"/>
    <m/>
    <x v="3"/>
    <m/>
    <x v="4"/>
    <x v="4"/>
    <m/>
    <m/>
    <m/>
    <x v="7"/>
    <x v="2"/>
    <x v="2"/>
    <x v="4"/>
    <m/>
    <m/>
    <x v="5"/>
    <x v="3"/>
    <x v="4"/>
    <x v="3"/>
    <m/>
    <m/>
    <m/>
  </r>
  <r>
    <s v="Heike 2.21"/>
    <s v="身を全うして (mi o mattō shite)"/>
    <s v="with all your might"/>
    <s v="全うして"/>
    <s v="indicative"/>
    <x v="1"/>
    <x v="3"/>
    <x v="1"/>
    <s v="active"/>
    <s v="positive"/>
    <n v="1"/>
    <n v="1"/>
    <x v="1"/>
    <n v="0"/>
    <x v="1"/>
    <n v="1"/>
    <x v="1"/>
    <x v="0"/>
    <n v="0"/>
    <n v="0"/>
    <s v="n/a"/>
    <x v="1"/>
    <x v="0"/>
    <x v="0"/>
    <x v="0"/>
    <s v="n/a"/>
    <n v="0"/>
    <x v="1"/>
    <x v="1"/>
    <x v="1"/>
    <x v="0"/>
    <m/>
    <m/>
    <n v="1"/>
  </r>
  <r>
    <s v="Heike 2.22"/>
    <s v="君に仕へ奉れ"/>
    <s v=" kimi ni tsukae tatematsure"/>
    <s v="仕へ奉れ"/>
    <s v="imperative"/>
    <x v="2"/>
    <x v="1"/>
    <x v="0"/>
    <s v="active"/>
    <s v="positive"/>
    <n v="1"/>
    <n v="1"/>
    <x v="5"/>
    <n v="0"/>
    <x v="2"/>
    <n v="1"/>
    <x v="0"/>
    <x v="3"/>
    <n v="0"/>
    <n v="0"/>
    <s v="n/a"/>
    <x v="6"/>
    <x v="1"/>
    <x v="1"/>
    <x v="2"/>
    <s v="lexical_humble_verb"/>
    <n v="0"/>
    <x v="2"/>
    <x v="1"/>
    <x v="1"/>
    <x v="0"/>
    <m/>
    <m/>
    <n v="1"/>
  </r>
  <r>
    <s v="Heike 2.23"/>
    <s v="といふ本文あり (to iu honbun ari)"/>
    <s v="so goes the original passage"/>
    <s v="あり"/>
    <s v="indicative"/>
    <x v="0"/>
    <x v="7"/>
    <x v="0"/>
    <s v="active"/>
    <s v="positive"/>
    <n v="1"/>
    <n v="1"/>
    <x v="0"/>
    <n v="1"/>
    <x v="0"/>
    <n v="3"/>
    <x v="0"/>
    <x v="0"/>
    <n v="0"/>
    <n v="0"/>
    <s v="n/a"/>
    <x v="2"/>
    <x v="0"/>
    <x v="0"/>
    <x v="0"/>
    <s v="n/a"/>
    <n v="0"/>
    <x v="2"/>
    <x v="2"/>
    <x v="1"/>
    <x v="0"/>
    <s v="frame predicate"/>
    <m/>
    <n v="1"/>
  </r>
  <r>
    <s v="Heike 2.24"/>
    <s v="参内の初めより大なる鞘巻を用意し (sannai no hajime yori ō-naru sayamaki o yōi shi)"/>
    <s v="Before entering the Court he provided himself with a long dirk"/>
    <s v="用意し"/>
    <s v="indicative"/>
    <x v="1"/>
    <x v="3"/>
    <x v="1"/>
    <s v="active"/>
    <s v="positive"/>
    <n v="1"/>
    <n v="1"/>
    <x v="1"/>
    <n v="1"/>
    <x v="1"/>
    <n v="3"/>
    <x v="1"/>
    <x v="0"/>
    <n v="0"/>
    <n v="0"/>
    <s v="n/a"/>
    <x v="5"/>
    <x v="0"/>
    <x v="0"/>
    <x v="0"/>
    <s v="n/a"/>
    <n v="0"/>
    <x v="2"/>
    <x v="1"/>
    <x v="1"/>
    <x v="0"/>
    <m/>
    <m/>
    <n v="1"/>
  </r>
  <r>
    <s v="Heike 2.25"/>
    <s v="束帯の下にしどけなげに差し (sokutai no shita ni shidokenage ni sashi)"/>
    <s v="which he girt on under his long court dress"/>
    <s v="差し"/>
    <s v="indicative"/>
    <x v="1"/>
    <x v="1"/>
    <x v="1"/>
    <s v="active"/>
    <s v="positive"/>
    <n v="1"/>
    <n v="1"/>
    <x v="5"/>
    <n v="1"/>
    <x v="1"/>
    <n v="3"/>
    <x v="3"/>
    <x v="3"/>
    <n v="0"/>
    <n v="0"/>
    <s v="n/a"/>
    <x v="5"/>
    <x v="0"/>
    <x v="0"/>
    <x v="0"/>
    <s v="n/a"/>
    <n v="0"/>
    <x v="2"/>
    <x v="1"/>
    <x v="1"/>
    <x v="0"/>
    <m/>
    <m/>
    <n v="1"/>
  </r>
  <r>
    <s v="Heike 2.26"/>
    <s v="火の仄暗き方に向かつて (hi no hokuraki kata ni mukatte)"/>
    <s v="and turning aside to a dimly lit place"/>
    <s v="向かつて"/>
    <s v="indicative"/>
    <x v="1"/>
    <x v="1"/>
    <x v="0"/>
    <s v="active"/>
    <s v="positive"/>
    <n v="1"/>
    <n v="1"/>
    <x v="5"/>
    <n v="1"/>
    <x v="1"/>
    <n v="3"/>
    <x v="0"/>
    <x v="3"/>
    <n v="0"/>
    <n v="0"/>
    <s v="n/a"/>
    <x v="1"/>
    <x v="0"/>
    <x v="0"/>
    <x v="0"/>
    <s v="n/a"/>
    <n v="0"/>
    <x v="1"/>
    <x v="1"/>
    <x v="1"/>
    <x v="0"/>
    <m/>
    <m/>
    <n v="1"/>
  </r>
  <r>
    <s v="Heike 2.27"/>
    <s v="やはらこの刀を抜き出でて (yahara kono katana o nuki-idete)"/>
    <s v="slowly drew the blade"/>
    <s v="抜き出でて"/>
    <s v="indicative"/>
    <x v="3"/>
    <x v="4"/>
    <x v="1"/>
    <s v="active"/>
    <s v="positive"/>
    <n v="1"/>
    <n v="1"/>
    <x v="1"/>
    <n v="0"/>
    <x v="1"/>
    <n v="3"/>
    <x v="1"/>
    <x v="0"/>
    <n v="0"/>
    <n v="0"/>
    <s v="n/a"/>
    <x v="1"/>
    <x v="0"/>
    <x v="0"/>
    <x v="0"/>
    <s v="n/a"/>
    <n v="0"/>
    <x v="1"/>
    <x v="1"/>
    <x v="1"/>
    <x v="2"/>
    <s v="&quot;kono katana&quot; refers to the &quot;sayamaki&quot;, so all given"/>
    <m/>
    <n v="1"/>
  </r>
  <r>
    <s v="Heike 2.28"/>
    <s v="鬢に引き当てられたりけるが (kami ni hiki-ate raretarikeru ga)"/>
    <s v="and passed it through the hair of his head"/>
    <s v="引き当てられたりける"/>
    <s v="indicative"/>
    <x v="3"/>
    <x v="1"/>
    <x v="1"/>
    <s v="active"/>
    <s v="positive"/>
    <n v="1"/>
    <n v="1"/>
    <x v="5"/>
    <n v="0"/>
    <x v="2"/>
    <n v="3"/>
    <x v="3"/>
    <x v="3"/>
    <n v="0"/>
    <n v="0"/>
    <s v="n/a"/>
    <x v="3"/>
    <x v="0"/>
    <x v="1"/>
    <x v="2"/>
    <s v="honorific_aux"/>
    <n v="0"/>
    <x v="6"/>
    <x v="1"/>
    <x v="1"/>
    <x v="0"/>
    <s v="should the -to part be considered a clausal subject?"/>
    <m/>
    <n v="1"/>
  </r>
  <r>
    <s v="Heike 2.29"/>
    <s v="余所よりは氷などのやうにぞ見えたりける (yoso yori wa kōri nado no yō ni zo mieta rikeru)"/>
    <s v="so that it gleamed afar off with an icy sheen"/>
    <s v="見えたりける"/>
    <s v="indicative"/>
    <x v="6"/>
    <x v="1"/>
    <x v="0"/>
    <s v="resultative"/>
    <s v="positive"/>
    <n v="1"/>
    <n v="0"/>
    <x v="2"/>
    <n v="2"/>
    <x v="1"/>
    <n v="3"/>
    <x v="0"/>
    <x v="0"/>
    <n v="0"/>
    <n v="0"/>
    <s v="n/a"/>
    <x v="0"/>
    <x v="0"/>
    <x v="0"/>
    <x v="0"/>
    <s v="n/a"/>
    <n v="0"/>
    <x v="2"/>
    <x v="2"/>
    <x v="1"/>
    <x v="1"/>
    <m/>
    <m/>
    <n v="0"/>
  </r>
  <r>
    <s v="Heike 2.30"/>
    <s v="諸人目を澄ましけり (morobito me o sumashikeri)"/>
    <s v="causing all to stare open-eyed"/>
    <s v="澄ましけり"/>
    <s v="indicative"/>
    <x v="1"/>
    <x v="1"/>
    <x v="1"/>
    <s v="active"/>
    <s v="positive"/>
    <n v="1"/>
    <n v="2"/>
    <x v="7"/>
    <n v="0"/>
    <x v="1"/>
    <n v="3"/>
    <x v="1"/>
    <x v="3"/>
    <n v="0"/>
    <n v="0"/>
    <s v="n/a"/>
    <x v="2"/>
    <x v="0"/>
    <x v="0"/>
    <x v="0"/>
    <s v="n/a"/>
    <n v="0"/>
    <x v="2"/>
    <x v="1"/>
    <x v="1"/>
    <x v="0"/>
    <m/>
    <m/>
    <n v="2"/>
  </r>
  <r>
    <s v="Heike 2.31"/>
    <s v="また忠盛の郎等元は一門たりし( mata Tadamori no rōtō moto wa ichimon tarishi) "/>
    <s v="Moreover a retainer of Tadamori ... "/>
    <s v="たりし"/>
    <s v="indicative"/>
    <x v="1"/>
    <x v="0"/>
    <x v="0"/>
    <s v="active"/>
    <s v="positive"/>
    <n v="1"/>
    <n v="1"/>
    <x v="0"/>
    <n v="1"/>
    <x v="0"/>
    <n v="3"/>
    <x v="0"/>
    <x v="0"/>
    <n v="0"/>
    <n v="0"/>
    <s v="REL"/>
    <x v="0"/>
    <x v="0"/>
    <x v="0"/>
    <x v="0"/>
    <s v="n/a"/>
    <n v="0"/>
    <x v="6"/>
    <x v="2"/>
    <x v="0"/>
    <x v="0"/>
    <m/>
    <m/>
    <n v="1"/>
  </r>
  <r>
    <s v="Heike 2.32"/>
    <s v="木工助平貞光が孫新四郎太夫家房が子に左兵衛尉家貞といふ者あり (Moku no suke Sadamitsu ga mago Shinshirō Tayū Iefusa ga ko ni Sahyōe no jō Iesada to iu mono ari)"/>
    <s v="there was one named Sahyoe-no-jo Iesada"/>
    <s v="あり"/>
    <s v="indicative"/>
    <x v="1"/>
    <x v="7"/>
    <x v="0"/>
    <s v="active"/>
    <s v="positive"/>
    <n v="1"/>
    <n v="1"/>
    <x v="0"/>
    <n v="2"/>
    <x v="0"/>
    <n v="3"/>
    <x v="0"/>
    <x v="0"/>
    <n v="0"/>
    <n v="0"/>
    <s v="n/a"/>
    <x v="2"/>
    <x v="0"/>
    <x v="0"/>
    <x v="0"/>
    <s v="n/a"/>
    <n v="0"/>
    <x v="2"/>
    <x v="1"/>
    <x v="0"/>
    <x v="0"/>
    <s v="frame predicate"/>
    <m/>
    <n v="1"/>
  </r>
  <r>
    <s v="Heike 2.33"/>
    <s v="薄青の狩衣の下に萌黄威の腹巻を着 (usuao no kariginu no shita ni moegi-odoshi no haramaki o ki)"/>
    <s v="wearing a body armour laced with bright green under a light green &quot;kariginu&quot;"/>
    <s v="着"/>
    <s v="indicative"/>
    <x v="1"/>
    <x v="1"/>
    <x v="1"/>
    <s v="active"/>
    <s v="positive"/>
    <n v="1"/>
    <n v="1"/>
    <x v="1"/>
    <n v="1"/>
    <x v="1"/>
    <n v="3"/>
    <x v="1"/>
    <x v="0"/>
    <n v="0"/>
    <n v="0"/>
    <s v="n/a"/>
    <x v="5"/>
    <x v="0"/>
    <x v="0"/>
    <x v="0"/>
    <s v="n/a"/>
    <n v="0"/>
    <x v="2"/>
    <x v="1"/>
    <x v="1"/>
    <x v="0"/>
    <m/>
    <m/>
    <n v="1"/>
  </r>
  <r>
    <s v="Heike 2.34"/>
    <s v="柄弦袋付けたる ezurubukuro tsuketaru "/>
    <s v="with a bowstring bag attached"/>
    <s v="付けたる"/>
    <s v="indicative"/>
    <x v="1"/>
    <x v="1"/>
    <x v="1"/>
    <s v="active"/>
    <s v="positive"/>
    <n v="1"/>
    <n v="1"/>
    <x v="1"/>
    <n v="0"/>
    <x v="1"/>
    <n v="3"/>
    <x v="1"/>
    <x v="0"/>
    <n v="1"/>
    <n v="0"/>
    <s v="REL"/>
    <x v="0"/>
    <x v="0"/>
    <x v="0"/>
    <x v="0"/>
    <s v="n/a"/>
    <n v="0"/>
    <x v="2"/>
    <x v="1"/>
    <x v="1"/>
    <x v="0"/>
    <m/>
    <m/>
    <n v="1"/>
  </r>
  <r>
    <s v="Heike 2.35"/>
    <s v="太刀脇挟んで (tachi wakihasande)"/>
    <s v="and carrying under his arm a &quot;tachi&quot; "/>
    <s v="挟んで"/>
    <s v="indicative"/>
    <x v="1"/>
    <x v="1"/>
    <x v="1"/>
    <s v="active"/>
    <s v="positive"/>
    <n v="1"/>
    <n v="2"/>
    <x v="7"/>
    <n v="0"/>
    <x v="1"/>
    <n v="3"/>
    <x v="1"/>
    <x v="3"/>
    <n v="0"/>
    <n v="0"/>
    <s v="n/a"/>
    <x v="1"/>
    <x v="0"/>
    <x v="0"/>
    <x v="0"/>
    <s v="n/a"/>
    <n v="0"/>
    <x v="2"/>
    <x v="1"/>
    <x v="1"/>
    <x v="0"/>
    <m/>
    <m/>
    <n v="2"/>
  </r>
  <r>
    <s v="Heike 2.36"/>
    <s v="殿上の小庭に畏つてぞ候ひける (tenjō no koniwa ni kashikomatte zo soroikyeru)"/>
    <s v="was waiting in the &quot;koniwa,&quot; the small court by the Seiryoden"/>
    <s v="畏つて候ひける"/>
    <s v="indicative"/>
    <x v="1"/>
    <x v="2"/>
    <x v="0"/>
    <s v="active"/>
    <s v="positive"/>
    <n v="1"/>
    <n v="0"/>
    <x v="2"/>
    <n v="1"/>
    <x v="1"/>
    <n v="3"/>
    <x v="0"/>
    <x v="0"/>
    <n v="0"/>
    <n v="0"/>
    <s v="n/a"/>
    <x v="2"/>
    <x v="0"/>
    <x v="1"/>
    <x v="2"/>
    <s v="lexical_humble_verb"/>
    <n v="0"/>
    <x v="2"/>
    <x v="1"/>
    <x v="1"/>
    <x v="1"/>
    <m/>
    <m/>
    <n v="0"/>
  </r>
  <r>
    <s v="Heike 2.37"/>
    <s v="貫首以下怪しみをなして (kanshu ika ayashimi o nashite)"/>
    <s v="Now the Kurando-no-to and others, thinking it strange,"/>
    <s v="なして"/>
    <s v="indicative"/>
    <x v="1"/>
    <x v="8"/>
    <x v="1"/>
    <s v="active"/>
    <s v="negative"/>
    <n v="1"/>
    <n v="2"/>
    <x v="3"/>
    <n v="0"/>
    <x v="0"/>
    <n v="3"/>
    <x v="1"/>
    <x v="0"/>
    <n v="0"/>
    <n v="0"/>
    <s v="n/a"/>
    <x v="1"/>
    <x v="0"/>
    <x v="0"/>
    <x v="0"/>
    <s v="n/a"/>
    <n v="0"/>
    <x v="1"/>
    <x v="2"/>
    <x v="2"/>
    <x v="0"/>
    <m/>
    <m/>
    <n v="2"/>
  </r>
  <r>
    <s v="Heike 2.38"/>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x v="1"/>
    <x v="1"/>
    <x v="0"/>
    <s v="active"/>
    <s v="positive"/>
    <n v="1"/>
    <n v="1"/>
    <x v="0"/>
    <n v="1"/>
    <x v="0"/>
    <n v="3"/>
    <x v="0"/>
    <x v="0"/>
    <n v="0"/>
    <n v="0"/>
    <s v="SUB"/>
    <x v="4"/>
    <x v="1"/>
    <x v="0"/>
    <x v="2"/>
    <s v="lexical_humble_verb"/>
    <n v="0"/>
    <x v="2"/>
    <x v="1"/>
    <x v="2"/>
    <x v="0"/>
    <s v="internally headed"/>
    <m/>
    <n v="1"/>
  </r>
  <r>
    <s v="Heike 2.39"/>
    <s v="は何者ぞ  wa nani mono zo"/>
    <s v="and wondering who he was."/>
    <s v="何者ぞ  "/>
    <s v="indicative"/>
    <x v="1"/>
    <x v="0"/>
    <x v="0"/>
    <s v="active"/>
    <s v="positive"/>
    <n v="1"/>
    <n v="1"/>
    <x v="0"/>
    <n v="0"/>
    <x v="0"/>
    <n v="3"/>
    <x v="0"/>
    <x v="0"/>
    <n v="0"/>
    <n v="0"/>
    <s v="n/a"/>
    <x v="2"/>
    <x v="0"/>
    <x v="0"/>
    <x v="0"/>
    <s v="n/a"/>
    <n v="0"/>
    <x v="2"/>
    <x v="1"/>
    <x v="3"/>
    <x v="2"/>
    <m/>
    <m/>
    <n v="1"/>
  </r>
  <r>
    <s v="Heike 2.40"/>
    <s v="狼藉なり (rōzaku nari)"/>
    <s v="&quot;[He is] disorderly&quot;"/>
    <s v="なり"/>
    <s v="indicative"/>
    <x v="0"/>
    <x v="0"/>
    <x v="0"/>
    <s v="active"/>
    <s v="positive"/>
    <n v="1"/>
    <n v="0"/>
    <x v="2"/>
    <n v="0"/>
    <x v="4"/>
    <n v="3"/>
    <x v="0"/>
    <x v="0"/>
    <n v="0"/>
    <n v="0"/>
    <s v="n/a"/>
    <x v="2"/>
    <x v="0"/>
    <x v="0"/>
    <x v="0"/>
    <s v="n/a"/>
    <n v="0"/>
    <x v="2"/>
    <x v="1"/>
    <x v="1"/>
    <x v="1"/>
    <m/>
    <m/>
    <n v="0"/>
  </r>
  <r>
    <s v="Heike 2.41"/>
    <s v="疾う疾う罷り出でよと (tōtō makari ideyo to)"/>
    <s v="&quot;Depart quickly&quot;"/>
    <s v="罷り出でよ"/>
    <s v="imperative"/>
    <x v="3"/>
    <x v="1"/>
    <x v="0"/>
    <s v="active"/>
    <s v="positive"/>
    <n v="1"/>
    <n v="0"/>
    <x v="2"/>
    <n v="0"/>
    <x v="1"/>
    <n v="2"/>
    <x v="0"/>
    <x v="0"/>
    <n v="0"/>
    <n v="0"/>
    <s v="n/a"/>
    <x v="6"/>
    <x v="0"/>
    <x v="1"/>
    <x v="2"/>
    <s v="lexical_humble_verb"/>
    <n v="0"/>
    <x v="4"/>
    <x v="1"/>
    <x v="1"/>
    <x v="1"/>
    <s v="embedded"/>
    <m/>
    <n v="0"/>
  </r>
  <r>
    <s v="Heike 2.42"/>
    <s v="六位を以て云はせられたりければ (to roku-i o motte iwaseraretarikereba)"/>
    <s v="an official of the sixth rank ordered him to depart quickly."/>
    <s v="云はせられたりければ"/>
    <s v="indicative"/>
    <x v="0"/>
    <x v="1"/>
    <x v="0"/>
    <s v="causative-passive-resultative"/>
    <s v="positive"/>
    <n v="1"/>
    <n v="2"/>
    <x v="8"/>
    <n v="1"/>
    <x v="1"/>
    <n v="3"/>
    <x v="1"/>
    <x v="0"/>
    <n v="0"/>
    <n v="0"/>
    <s v="n/a"/>
    <x v="3"/>
    <x v="1"/>
    <x v="0"/>
    <x v="0"/>
    <s v="honorific_aux"/>
    <n v="0"/>
    <x v="2"/>
    <x v="1"/>
    <x v="1"/>
    <x v="0"/>
    <m/>
    <m/>
    <n v="2"/>
  </r>
  <r>
    <s v="Heike 2.43"/>
    <s v="家貞畏つて申しけるは (Iesada kashikomatte mōshikeru wa)"/>
    <s v="But Iesada thus replied:"/>
    <s v="申しける"/>
    <s v="indicative"/>
    <x v="2"/>
    <x v="1"/>
    <x v="1"/>
    <s v="active"/>
    <s v="positive"/>
    <n v="1"/>
    <n v="1"/>
    <x v="0"/>
    <n v="0"/>
    <x v="0"/>
    <n v="3"/>
    <x v="5"/>
    <x v="0"/>
    <n v="1"/>
    <n v="0"/>
    <s v="SUB"/>
    <x v="3"/>
    <x v="1"/>
    <x v="0"/>
    <x v="2"/>
    <s v="lexical_humble_verb"/>
    <n v="0"/>
    <x v="2"/>
    <x v="1"/>
    <x v="3"/>
    <x v="2"/>
    <s v="internally headed"/>
    <m/>
    <n v="1"/>
  </r>
  <r>
    <s v="Heike 2.44"/>
    <s v="相伝の主備前守殿今夜闇討にせられ給ふべき (sōden no aruji Bizen no kami-dono kon'ya yamiuchi ni serare-tamō beki) "/>
    <s v="tonight they will try to kill my Lord Bizen-no-kami dono&quot;"/>
    <s v="闇討にせられ給ふ"/>
    <s v="indicative"/>
    <x v="1"/>
    <x v="3"/>
    <x v="0"/>
    <s v="passive"/>
    <s v="positive"/>
    <n v="1"/>
    <n v="1"/>
    <x v="0"/>
    <n v="1"/>
    <x v="0"/>
    <n v="3"/>
    <x v="0"/>
    <x v="0"/>
    <n v="0"/>
    <n v="1"/>
    <s v="REL"/>
    <x v="0"/>
    <x v="1"/>
    <x v="0"/>
    <x v="2"/>
    <s v="lexical_honorific_verb"/>
    <n v="0"/>
    <x v="2"/>
    <x v="2"/>
    <x v="2"/>
    <x v="0"/>
    <m/>
    <m/>
    <n v="1"/>
  </r>
  <r>
    <s v="Heike 2.45"/>
    <s v="由伝へ承つて(yoshi tsutae uketamawatte) "/>
    <s v="Because I have heard that"/>
    <s v="伝へ承つて"/>
    <s v="indicative"/>
    <x v="5"/>
    <x v="1"/>
    <x v="1"/>
    <s v="active"/>
    <s v="positive"/>
    <n v="1"/>
    <n v="1"/>
    <x v="1"/>
    <n v="0"/>
    <x v="1"/>
    <n v="1"/>
    <x v="1"/>
    <x v="0"/>
    <n v="0"/>
    <n v="0"/>
    <s v="n/a"/>
    <x v="1"/>
    <x v="0"/>
    <x v="1"/>
    <x v="2"/>
    <s v="honorific_aux"/>
    <n v="0"/>
    <x v="1"/>
    <x v="1"/>
    <x v="1"/>
    <x v="0"/>
    <m/>
    <m/>
    <n v="1"/>
  </r>
  <r>
    <s v="Heike 2.46"/>
    <s v="それならん  (sore naran )"/>
    <s v="&quot;whether it is so&quot;"/>
    <s v="ならん "/>
    <s v="epistemic"/>
    <x v="1"/>
    <x v="1"/>
    <x v="0"/>
    <s v="active"/>
    <s v="positive"/>
    <n v="1"/>
    <n v="1"/>
    <x v="0"/>
    <n v="0"/>
    <x v="0"/>
    <n v="3"/>
    <x v="0"/>
    <x v="0"/>
    <n v="0"/>
    <n v="1"/>
    <s v="REL"/>
    <x v="0"/>
    <x v="0"/>
    <x v="0"/>
    <x v="0"/>
    <s v="n/a"/>
    <n v="0"/>
    <x v="2"/>
    <x v="2"/>
    <x v="3"/>
    <x v="2"/>
    <m/>
    <m/>
    <n v="1"/>
  </r>
  <r>
    <s v="Heike 2.47"/>
    <s v="やうを見んとて (yō o min to te)"/>
    <s v="and in order to see "/>
    <s v="見ん"/>
    <s v="dynamic"/>
    <x v="6"/>
    <x v="1"/>
    <x v="1"/>
    <s v="active"/>
    <s v="positive"/>
    <n v="1"/>
    <n v="1"/>
    <x v="1"/>
    <n v="0"/>
    <x v="1"/>
    <n v="1"/>
    <x v="1"/>
    <x v="0"/>
    <n v="0"/>
    <n v="0"/>
    <s v="REL"/>
    <x v="3"/>
    <x v="0"/>
    <x v="0"/>
    <x v="0"/>
    <s v="n/a"/>
    <n v="0"/>
    <x v="7"/>
    <x v="2"/>
    <x v="1"/>
    <x v="0"/>
    <m/>
    <m/>
    <n v="1"/>
  </r>
  <r>
    <s v="Heike 2.48"/>
    <s v="かくて候ふなり (kakute soro fu nari)"/>
    <s v="&quot;have come and am thus waiting&quot;"/>
    <s v="候ふなり"/>
    <s v="indicative"/>
    <x v="0"/>
    <x v="2"/>
    <x v="0"/>
    <s v="active"/>
    <s v="positive"/>
    <n v="1"/>
    <n v="0"/>
    <x v="2"/>
    <n v="1"/>
    <x v="2"/>
    <n v="1"/>
    <x v="0"/>
    <x v="0"/>
    <n v="0"/>
    <n v="0"/>
    <s v="n/a"/>
    <x v="2"/>
    <x v="0"/>
    <x v="1"/>
    <x v="2"/>
    <s v="lexical_humble_verb"/>
    <n v="0"/>
    <x v="2"/>
    <x v="1"/>
    <x v="1"/>
    <x v="1"/>
    <m/>
    <m/>
    <n v="0"/>
  </r>
  <r>
    <s v="Heike 2.49"/>
    <s v="えこそ出でまじう候へ (e koso idema jiu soro e)"/>
    <s v="&quot;I cannot possibly go out&quot;"/>
    <s v="出でまじう候へ"/>
    <s v="dynamic"/>
    <x v="3"/>
    <x v="1"/>
    <x v="0"/>
    <s v="active"/>
    <s v="negative"/>
    <n v="1"/>
    <n v="0"/>
    <x v="2"/>
    <n v="0"/>
    <x v="2"/>
    <n v="1"/>
    <x v="0"/>
    <x v="0"/>
    <n v="0"/>
    <n v="0"/>
    <s v="n/a"/>
    <x v="2"/>
    <x v="0"/>
    <x v="1"/>
    <x v="2"/>
    <s v="polite_aux"/>
    <n v="0"/>
    <x v="2"/>
    <x v="1"/>
    <x v="1"/>
    <x v="1"/>
    <m/>
    <m/>
    <n v="0"/>
  </r>
  <r>
    <s v="Heike 2.50"/>
    <s v="これらを由なしとや (korera o yoshi nashi to ya)"/>
    <s v=" there was nothing more to be done;"/>
    <s v="なし"/>
    <s v="indicative"/>
    <x v="0"/>
    <x v="7"/>
    <x v="0"/>
    <s v="active"/>
    <s v="negative"/>
    <n v="1"/>
    <n v="1"/>
    <x v="0"/>
    <n v="1"/>
    <x v="0"/>
    <n v="3"/>
    <x v="0"/>
    <x v="0"/>
    <n v="0"/>
    <n v="0"/>
    <s v="n/a"/>
    <x v="6"/>
    <x v="0"/>
    <x v="0"/>
    <x v="0"/>
    <s v="n/a"/>
    <n v="0"/>
    <x v="4"/>
    <x v="2"/>
    <x v="3"/>
    <x v="0"/>
    <m/>
    <m/>
    <n v="1"/>
  </r>
  <r>
    <m/>
    <s v="思はれけん (omowareken)"/>
    <s v="And they saw that"/>
    <s v="思はれけん"/>
    <s v="epistemic"/>
    <x v="4"/>
    <x v="1"/>
    <x v="1"/>
    <s v="active"/>
    <s v="positive"/>
    <n v="1"/>
    <n v="1"/>
    <x v="9"/>
    <n v="0"/>
    <x v="2"/>
    <n v="3"/>
    <x v="1"/>
    <x v="0"/>
    <n v="0"/>
    <n v="0"/>
    <s v="n/a"/>
    <x v="2"/>
    <x v="0"/>
    <x v="1"/>
    <x v="2"/>
    <s v="honorific_aux"/>
    <n v="0"/>
    <x v="8"/>
    <x v="2"/>
    <x v="1"/>
    <x v="0"/>
    <m/>
    <m/>
    <n v="1"/>
  </r>
  <r>
    <s v="Heike 2.51"/>
    <s v="その夜の闇討なかりけり (sono yo no yamiuchi nakarikeri)"/>
    <s v="and thus the attempt did not take place."/>
    <s v="なかりけり"/>
    <s v="indicative"/>
    <x v="7"/>
    <x v="1"/>
    <x v="0"/>
    <s v="active"/>
    <s v="negative"/>
    <n v="1"/>
    <n v="1"/>
    <x v="0"/>
    <n v="0"/>
    <x v="0"/>
    <s v="inanimate"/>
    <x v="0"/>
    <x v="0"/>
    <n v="0"/>
    <n v="0"/>
    <s v="n/a"/>
    <x v="2"/>
    <x v="0"/>
    <x v="0"/>
    <x v="0"/>
    <s v="n/a"/>
    <n v="0"/>
    <x v="2"/>
    <x v="1"/>
    <x v="2"/>
    <x v="0"/>
    <m/>
    <m/>
    <n v="1"/>
  </r>
  <r>
    <s v="Heike 2.52"/>
    <s v="忠盛また御前の召しに舞はれけるに (Tadamori mata gozen no meshi ni mawarekeru ni)"/>
    <s v="But when Tadamori danced in the August presence of the Mikado at his Imperial wish,"/>
    <s v="舞はれける"/>
    <s v="indicative"/>
    <x v="2"/>
    <x v="1"/>
    <x v="0"/>
    <s v="active"/>
    <s v="positive"/>
    <n v="1"/>
    <n v="1"/>
    <x v="0"/>
    <n v="1"/>
    <x v="0"/>
    <n v="3"/>
    <x v="0"/>
    <x v="0"/>
    <n v="0"/>
    <n v="0"/>
    <s v="REL"/>
    <x v="3"/>
    <x v="1"/>
    <x v="0"/>
    <x v="2"/>
    <s v="honorific_aux"/>
    <n v="0"/>
    <x v="0"/>
    <x v="2"/>
    <x v="2"/>
    <x v="0"/>
    <m/>
    <m/>
    <n v="1"/>
  </r>
  <r>
    <s v="Heike 2.53"/>
    <s v="人々拍子を変へて (hitobito hyōshi o kaete)"/>
    <s v="the others mocked at him, changing the words of the music"/>
    <s v="変へて"/>
    <s v="indicative"/>
    <x v="1"/>
    <x v="1"/>
    <x v="1"/>
    <s v="active"/>
    <s v="positive"/>
    <n v="1"/>
    <n v="2"/>
    <x v="3"/>
    <n v="0"/>
    <x v="0"/>
    <n v="3"/>
    <x v="1"/>
    <x v="0"/>
    <n v="0"/>
    <n v="0"/>
    <s v="n/a"/>
    <x v="1"/>
    <x v="0"/>
    <x v="0"/>
    <x v="0"/>
    <s v="n/a"/>
    <n v="0"/>
    <x v="1"/>
    <x v="2"/>
    <x v="2"/>
    <x v="0"/>
    <m/>
    <m/>
    <n v="2"/>
  </r>
  <r>
    <s v="Heike 2.54"/>
    <s v="伊勢へいじはすがめなりけりとぞ (Ise heiji wa sugame narikeri)"/>
    <s v="&quot;the winepot of Ise has turned into a vinegar jar&quot;"/>
    <s v="なりけり"/>
    <s v="indicative"/>
    <x v="0"/>
    <x v="0"/>
    <x v="0"/>
    <s v="active"/>
    <s v="positive"/>
    <n v="1"/>
    <n v="1"/>
    <x v="0"/>
    <n v="0"/>
    <x v="0"/>
    <n v="3"/>
    <x v="0"/>
    <x v="0"/>
    <n v="0"/>
    <n v="0"/>
    <s v="n/a"/>
    <x v="6"/>
    <x v="0"/>
    <x v="0"/>
    <x v="0"/>
    <s v="n/a"/>
    <n v="0"/>
    <x v="4"/>
    <x v="2"/>
    <x v="0"/>
    <x v="0"/>
    <m/>
    <m/>
    <n v="1"/>
  </r>
  <r>
    <s v="Heike 2.55"/>
    <s v="囃されける (to zo hayasarekeru)"/>
    <s v="they sang in mockery"/>
    <s v="囃されける"/>
    <s v="indicative"/>
    <x v="2"/>
    <x v="1"/>
    <x v="1"/>
    <s v="active"/>
    <s v="positive"/>
    <n v="1"/>
    <n v="1"/>
    <x v="9"/>
    <n v="0"/>
    <x v="2"/>
    <n v="3"/>
    <x v="1"/>
    <x v="0"/>
    <n v="0"/>
    <n v="0"/>
    <s v="kakari-musubi"/>
    <x v="2"/>
    <x v="0"/>
    <x v="1"/>
    <x v="2"/>
    <s v="honorific_aux"/>
    <n v="0"/>
    <x v="8"/>
    <x v="1"/>
    <x v="1"/>
    <x v="0"/>
    <m/>
    <m/>
    <n v="1"/>
  </r>
  <r>
    <s v="Heike 2.56"/>
    <s v="かけまくも忝くこの人々は柏原天皇の御末とは申しながら (kakemakumo katabokaku kono hitobito wa Kashiwabara Tennō no o-sue to wa mōshinagara)"/>
    <s v="In thus mentioning the vessels of his province they punned on his title..."/>
    <s v="申しながら"/>
    <s v="indicative"/>
    <x v="5"/>
    <x v="1"/>
    <x v="1"/>
    <s v="active"/>
    <s v="positive"/>
    <n v="1"/>
    <n v="2"/>
    <x v="10"/>
    <n v="1"/>
    <x v="0"/>
    <n v="3"/>
    <x v="1"/>
    <x v="0"/>
    <n v="0"/>
    <n v="0"/>
    <s v="n/a"/>
    <x v="3"/>
    <x v="1"/>
    <x v="0"/>
    <x v="2"/>
    <s v="lexical_humble_verb"/>
    <n v="0"/>
    <x v="0"/>
    <x v="1"/>
    <x v="2"/>
    <x v="0"/>
    <m/>
    <m/>
    <n v="2"/>
  </r>
  <r>
    <s v="Heike 2.57"/>
    <s v="中比は都の住まひも疎々しく (chūbi wa miyako no sumai mo utoutoshiku)"/>
    <s v="and since lately his family had lived away from the capital,"/>
    <s v="疎々しく"/>
    <s v="indicative"/>
    <x v="4"/>
    <x v="5"/>
    <x v="0"/>
    <s v="active"/>
    <s v="positive"/>
    <n v="1"/>
    <n v="1"/>
    <x v="0"/>
    <n v="1"/>
    <x v="0"/>
    <n v="3"/>
    <x v="0"/>
    <x v="0"/>
    <n v="0"/>
    <n v="0"/>
    <s v="n/a"/>
    <x v="2"/>
    <x v="0"/>
    <x v="0"/>
    <x v="0"/>
    <s v="n/a"/>
    <n v="0"/>
    <x v="2"/>
    <x v="2"/>
    <x v="2"/>
    <x v="0"/>
    <m/>
    <m/>
    <n v="1"/>
  </r>
  <r>
    <s v="Heike 2.58"/>
    <s v="地下にのみ振舞ひなつて ( jige ni nomi furumai natte)"/>
    <s v=" behaving as mere provincial folk"/>
    <s v="振舞ひなつて"/>
    <s v="indicative"/>
    <x v="1"/>
    <x v="4"/>
    <x v="0"/>
    <s v="active"/>
    <s v="positive"/>
    <n v="1"/>
    <n v="1"/>
    <x v="5"/>
    <n v="0"/>
    <x v="1"/>
    <n v="3"/>
    <x v="0"/>
    <x v="3"/>
    <n v="0"/>
    <n v="0"/>
    <s v="n/a"/>
    <x v="1"/>
    <x v="0"/>
    <x v="0"/>
    <x v="0"/>
    <s v="n/a"/>
    <n v="0"/>
    <x v="1"/>
    <x v="1"/>
    <x v="1"/>
    <x v="0"/>
    <m/>
    <m/>
    <n v="1"/>
  </r>
  <r>
    <s v="Heike 2.59"/>
    <s v="伊勢国に住国深かりしかば  (Ise no kuni ni sumikoku fukakarishikaba)"/>
    <s v="and as they lived deep in Ise province, they likened him to the vessels of that province"/>
    <s v="深かりしかば"/>
    <s v="indicative"/>
    <x v="4"/>
    <x v="5"/>
    <x v="0"/>
    <s v="active"/>
    <s v="positive"/>
    <n v="1"/>
    <n v="1"/>
    <x v="0"/>
    <n v="1"/>
    <x v="1"/>
    <n v="3"/>
    <x v="0"/>
    <x v="0"/>
    <n v="0"/>
    <n v="0"/>
    <s v="n/a"/>
    <x v="3"/>
    <x v="0"/>
    <x v="0"/>
    <x v="0"/>
    <s v="n/a"/>
    <n v="0"/>
    <x v="3"/>
    <x v="1"/>
    <x v="1"/>
    <x v="0"/>
    <m/>
    <m/>
    <n v="1"/>
  </r>
  <r>
    <s v="Heike 2.60"/>
    <s v="その国の器に言寄せて"/>
    <s v="sono kuni no utsuwa ni kotoyosete)"/>
    <s v="言寄せて"/>
    <s v="indicative"/>
    <x v="5"/>
    <x v="1"/>
    <x v="3"/>
    <s v="active"/>
    <s v="positive"/>
    <n v="1"/>
    <n v="1"/>
    <x v="5"/>
    <n v="0"/>
    <x v="5"/>
    <n v="3"/>
    <x v="6"/>
    <x v="3"/>
    <n v="0"/>
    <n v="0"/>
    <s v="n/a"/>
    <x v="1"/>
    <x v="0"/>
    <x v="0"/>
    <x v="0"/>
    <s v="n/a"/>
    <n v="0"/>
    <x v="1"/>
    <x v="2"/>
    <x v="1"/>
    <x v="0"/>
    <m/>
    <m/>
    <n v="1"/>
  </r>
  <r>
    <s v="Heike 2.61"/>
    <s v="伊勢平氏とぞ囃されける (Ise Heishi to zo hayasarekeru)"/>
    <s v="so they mocked him as 'Ise Heishi'"/>
    <s v="囃されける"/>
    <s v="indicative"/>
    <x v="2"/>
    <x v="1"/>
    <x v="0"/>
    <s v="passive"/>
    <s v="positive"/>
    <n v="1"/>
    <n v="1"/>
    <x v="9"/>
    <n v="0"/>
    <x v="1"/>
    <n v="3"/>
    <x v="0"/>
    <x v="3"/>
    <n v="0"/>
    <n v="0"/>
    <s v="kakari-musubi"/>
    <x v="2"/>
    <x v="0"/>
    <x v="0"/>
    <x v="0"/>
    <s v="n/a"/>
    <n v="0"/>
    <x v="2"/>
    <x v="1"/>
    <x v="1"/>
    <x v="0"/>
    <m/>
    <m/>
    <n v="1"/>
  </r>
  <r>
    <s v="Heike 2.62"/>
    <s v="その上忠盛目の眇まれたりける故にこそ (sono ue Tadamori me no sugamaretari keru yue ni koso)"/>
    <s v="moreover, because Tadamori's eyes were squinted, "/>
    <s v="眇まれたりける"/>
    <s v="indicative"/>
    <x v="2"/>
    <x v="1"/>
    <x v="0"/>
    <s v="active"/>
    <s v="positive"/>
    <n v="1"/>
    <n v="1"/>
    <x v="0"/>
    <n v="1"/>
    <x v="0"/>
    <n v="3"/>
    <x v="0"/>
    <x v="0"/>
    <n v="0"/>
    <n v="1"/>
    <s v="REL"/>
    <x v="3"/>
    <x v="0"/>
    <x v="0"/>
    <x v="0"/>
    <s v="n/a"/>
    <n v="0"/>
    <x v="3"/>
    <x v="2"/>
    <x v="3"/>
    <x v="0"/>
    <m/>
    <m/>
    <n v="1"/>
  </r>
  <r>
    <s v="Heike 2.63"/>
    <s v="かやうには囃されけるなれ  (kayō ni wa hayasarekeru nare)"/>
    <s v="he was mocked in such a way"/>
    <s v="囃されけるなれ"/>
    <s v="indicative"/>
    <x v="1"/>
    <x v="1"/>
    <x v="0"/>
    <s v="passive"/>
    <s v="positive"/>
    <n v="1"/>
    <n v="0"/>
    <x v="2"/>
    <n v="0"/>
    <x v="1"/>
    <n v="3"/>
    <x v="0"/>
    <x v="0"/>
    <n v="0"/>
    <n v="0"/>
    <s v="kakari-musubi"/>
    <x v="2"/>
    <x v="0"/>
    <x v="0"/>
    <x v="0"/>
    <s v="n/a"/>
    <n v="0"/>
    <x v="2"/>
    <x v="1"/>
    <x v="1"/>
    <x v="1"/>
    <m/>
    <m/>
    <n v="0"/>
  </r>
  <r>
    <s v="Heike 2.64"/>
    <s v="忠盛何とすべきやうもなくして (Tadamori nan to subeki yō mo nakushite)"/>
    <s v="Tadamori, having no way of dealing with the situation,"/>
    <s v="なくして"/>
    <s v="indicative"/>
    <x v="1"/>
    <x v="1"/>
    <x v="1"/>
    <s v="active"/>
    <s v="negative"/>
    <n v="1"/>
    <n v="2"/>
    <x v="3"/>
    <n v="0"/>
    <x v="0"/>
    <n v="3"/>
    <x v="1"/>
    <x v="0"/>
    <n v="0"/>
    <n v="0"/>
    <s v="n/a"/>
    <x v="1"/>
    <x v="0"/>
    <x v="0"/>
    <x v="0"/>
    <s v="n/a"/>
    <n v="0"/>
    <x v="1"/>
    <x v="1"/>
    <x v="3"/>
    <x v="0"/>
    <m/>
    <m/>
    <n v="2"/>
  </r>
  <r>
    <s v="Heike 2.65"/>
    <s v="御遊も未だ終らざる前に (gyoyū mo mada owarazaru mae ni)"/>
    <s v="before the entertainment had ended,"/>
    <s v="終らざる"/>
    <s v="indicative"/>
    <x v="1"/>
    <x v="1"/>
    <x v="0"/>
    <s v="active"/>
    <s v="negative"/>
    <n v="1"/>
    <n v="1"/>
    <x v="0"/>
    <n v="1"/>
    <x v="0"/>
    <n v="3"/>
    <x v="0"/>
    <x v="0"/>
    <n v="0"/>
    <n v="1"/>
    <s v="REL"/>
    <x v="3"/>
    <x v="0"/>
    <x v="0"/>
    <x v="0"/>
    <s v="n/a"/>
    <n v="0"/>
    <x v="0"/>
    <x v="2"/>
    <x v="1"/>
    <x v="0"/>
    <m/>
    <m/>
    <n v="1"/>
  </r>
  <r>
    <s v="Heike 2.66"/>
    <s v="密かに罷り出でらるとて (hisokani makari ideraru tote)"/>
    <s v="he secretly left the Presence,"/>
    <s v="罷り出でらる"/>
    <s v="indicative"/>
    <x v="3"/>
    <x v="1"/>
    <x v="0"/>
    <s v="active"/>
    <s v="positive"/>
    <n v="1"/>
    <n v="0"/>
    <x v="2"/>
    <n v="1"/>
    <x v="2"/>
    <n v="3"/>
    <x v="0"/>
    <x v="0"/>
    <n v="0"/>
    <n v="0"/>
    <s v="REL"/>
    <x v="3"/>
    <x v="0"/>
    <x v="1"/>
    <x v="2"/>
    <s v="honorific_aux+lexical_honorific_verb"/>
    <n v="0"/>
    <x v="0"/>
    <x v="2"/>
    <x v="1"/>
    <x v="1"/>
    <m/>
    <m/>
    <n v="0"/>
  </r>
  <r>
    <s v="Heike 2.67"/>
    <s v="紫宸殿の御後にして (Shishinden no o-ato ni shite)"/>
    <s v="and going behind the Shishinden,"/>
    <s v="後にして"/>
    <s v="indicative"/>
    <x v="1"/>
    <x v="9"/>
    <x v="0"/>
    <s v="active"/>
    <s v="positive"/>
    <n v="1"/>
    <n v="0"/>
    <x v="2"/>
    <n v="1"/>
    <x v="1"/>
    <n v="3"/>
    <x v="0"/>
    <x v="0"/>
    <n v="0"/>
    <n v="0"/>
    <s v="n/a"/>
    <x v="1"/>
    <x v="0"/>
    <x v="0"/>
    <x v="0"/>
    <s v="n/a"/>
    <n v="0"/>
    <x v="1"/>
    <x v="1"/>
    <x v="1"/>
    <x v="1"/>
    <m/>
    <m/>
    <n v="0"/>
  </r>
  <r>
    <s v="Heike 2.68"/>
    <s v="かたへの殿上人の見られける (kata e no tenjōbito no mirarekeru)"/>
    <s v=" the court nobles could see him,"/>
    <s v="見られける"/>
    <s v="indicative"/>
    <x v="2"/>
    <x v="1"/>
    <x v="1"/>
    <s v="active"/>
    <s v="positive"/>
    <n v="1"/>
    <n v="1"/>
    <x v="0"/>
    <n v="0"/>
    <x v="0"/>
    <n v="3"/>
    <x v="3"/>
    <x v="0"/>
    <n v="0"/>
    <n v="1"/>
    <s v="REL"/>
    <x v="0"/>
    <x v="1"/>
    <x v="0"/>
    <x v="2"/>
    <s v="honorific_aux"/>
    <n v="0"/>
    <x v="2"/>
    <x v="2"/>
    <x v="0"/>
    <x v="0"/>
    <m/>
    <m/>
    <n v="1"/>
  </r>
  <r>
    <s v="Heike 2.69"/>
    <s v="所にて主殿司を召して (tokoro nite tonomotsukasa o meshite azukeokite zo iderarekeru)"/>
    <s v="in a place where… he summoned the Tonomotsukasa, "/>
    <s v="召して "/>
    <s v="indicative"/>
    <x v="2"/>
    <x v="1"/>
    <x v="1"/>
    <s v="active"/>
    <s v="positive"/>
    <n v="1"/>
    <n v="1"/>
    <x v="1"/>
    <n v="1"/>
    <x v="2"/>
    <n v="3"/>
    <x v="1"/>
    <x v="0"/>
    <n v="0"/>
    <n v="0"/>
    <s v="n/a"/>
    <x v="1"/>
    <x v="0"/>
    <x v="1"/>
    <x v="2"/>
    <s v="lexical_honorific_verb"/>
    <n v="0"/>
    <x v="1"/>
    <x v="1"/>
    <x v="1"/>
    <x v="0"/>
    <m/>
    <m/>
    <n v="1"/>
  </r>
  <r>
    <s v="Heike 2.70"/>
    <s v="預け置きてぞ"/>
    <s v=" entrusted [his sword]"/>
    <s v="預け置きて"/>
    <s v="indicative"/>
    <x v="1"/>
    <x v="1"/>
    <x v="1"/>
    <s v="active"/>
    <s v="positive"/>
    <n v="1"/>
    <n v="0"/>
    <x v="2"/>
    <n v="0"/>
    <x v="1"/>
    <n v="3"/>
    <x v="3"/>
    <x v="0"/>
    <n v="0"/>
    <n v="0"/>
    <s v="n/a"/>
    <x v="1"/>
    <x v="0"/>
    <x v="0"/>
    <x v="0"/>
    <s v="n/a"/>
    <n v="0"/>
    <x v="2"/>
    <x v="1"/>
    <x v="1"/>
    <x v="1"/>
    <m/>
    <m/>
    <n v="0"/>
  </r>
  <r>
    <s v="Heike 2.71"/>
    <s v="出でられける"/>
    <s v="and left,"/>
    <s v="出でられける"/>
    <s v="indicative"/>
    <x v="3"/>
    <x v="1"/>
    <x v="0"/>
    <s v="active"/>
    <s v="positive"/>
    <n v="1"/>
    <n v="0"/>
    <x v="2"/>
    <n v="0"/>
    <x v="2"/>
    <n v="3"/>
    <x v="0"/>
    <x v="0"/>
    <n v="0"/>
    <n v="0"/>
    <s v="n/a"/>
    <x v="2"/>
    <x v="0"/>
    <x v="1"/>
    <x v="2"/>
    <s v="honorific_aux"/>
    <n v="0"/>
    <x v="2"/>
    <x v="1"/>
    <x v="1"/>
    <x v="1"/>
    <m/>
    <m/>
    <n v="0"/>
  </r>
  <r>
    <s v="Heike 2.72"/>
    <s v="家貞待ち受け奉りて (Iesada machi-uke tatemawari-te)"/>
    <s v="Iesada, who was waiting for his lord,"/>
    <s v="待ち受け奉りて"/>
    <s v="indicative"/>
    <x v="2"/>
    <x v="2"/>
    <x v="1"/>
    <s v="active"/>
    <s v="positive"/>
    <n v="1"/>
    <n v="1"/>
    <x v="0"/>
    <n v="0"/>
    <x v="0"/>
    <n v="3"/>
    <x v="3"/>
    <x v="0"/>
    <n v="0"/>
    <n v="0"/>
    <s v="n/a"/>
    <x v="1"/>
    <x v="1"/>
    <x v="0"/>
    <x v="2"/>
    <s v="lexical_humble_verb"/>
    <n v="0"/>
    <x v="1"/>
    <x v="2"/>
    <x v="2"/>
    <x v="0"/>
    <m/>
    <m/>
    <n v="1"/>
  </r>
  <r>
    <s v="Heike 2.73"/>
    <s v="さていかが候ひつると (sate ikaga soroitsuru to)"/>
    <s v="&quot;What has happened?&quot; he asked."/>
    <s v="候ひつる"/>
    <s v="indicative"/>
    <x v="1"/>
    <x v="1"/>
    <x v="0"/>
    <s v="active"/>
    <s v="positive"/>
    <n v="1"/>
    <n v="0"/>
    <x v="2"/>
    <n v="1"/>
    <x v="4"/>
    <n v="3"/>
    <x v="0"/>
    <x v="0"/>
    <n v="0"/>
    <n v="0"/>
    <s v="REL"/>
    <x v="6"/>
    <x v="0"/>
    <x v="0"/>
    <x v="0"/>
    <s v="polite_aux"/>
    <n v="0"/>
    <x v="4"/>
    <x v="1"/>
    <x v="1"/>
    <x v="1"/>
    <m/>
    <m/>
    <n v="0"/>
  </r>
  <r>
    <s v="Heike 2.74"/>
    <s v="申されければ (mōsarekeru ba)"/>
    <s v="he was asked,"/>
    <s v="申されける"/>
    <s v="indicative"/>
    <x v="2"/>
    <x v="1"/>
    <x v="0"/>
    <s v="passive"/>
    <s v="positive"/>
    <n v="1"/>
    <n v="1"/>
    <x v="9"/>
    <n v="0"/>
    <x v="2"/>
    <n v="3"/>
    <x v="1"/>
    <x v="0"/>
    <n v="0"/>
    <n v="0"/>
    <s v="n/a"/>
    <x v="2"/>
    <x v="0"/>
    <x v="1"/>
    <x v="2"/>
    <s v="honorific_aux+lexical_humble_verb"/>
    <n v="0"/>
    <x v="0"/>
    <x v="1"/>
    <x v="1"/>
    <x v="0"/>
    <m/>
    <m/>
    <n v="1"/>
  </r>
  <r>
    <s v="Heike 2.75"/>
    <s v="かくとも云はまほしう"/>
    <s v="to tell him"/>
    <s v="云はまほしう"/>
    <s v="desiderative"/>
    <x v="1"/>
    <x v="1"/>
    <x v="0"/>
    <s v="active"/>
    <s v="positive"/>
    <n v="1"/>
    <n v="0"/>
    <x v="2"/>
    <n v="1"/>
    <x v="4"/>
    <n v="3"/>
    <x v="2"/>
    <x v="1"/>
    <n v="0"/>
    <n v="0"/>
    <s v="n/a"/>
    <x v="2"/>
    <x v="0"/>
    <x v="0"/>
    <x v="0"/>
    <s v="n/a"/>
    <n v="0"/>
    <x v="2"/>
    <x v="1"/>
    <x v="1"/>
    <x v="1"/>
    <m/>
    <m/>
    <n v="0"/>
  </r>
  <r>
    <s v="Heike 2.76"/>
    <s v="思はれけれども (kakutomo iwamahoshū omowarekeredomo)"/>
    <s v="although he greatly wished,"/>
    <s v="思はれけれども"/>
    <s v="indicative"/>
    <x v="4"/>
    <x v="1"/>
    <x v="1"/>
    <s v="active"/>
    <s v="positive"/>
    <n v="1"/>
    <n v="1"/>
    <x v="9"/>
    <n v="1"/>
    <x v="4"/>
    <n v="3"/>
    <x v="1"/>
    <x v="0"/>
    <n v="0"/>
    <n v="0"/>
    <s v="n/a"/>
    <x v="2"/>
    <x v="0"/>
    <x v="0"/>
    <x v="0"/>
    <s v="n/a"/>
    <n v="0"/>
    <x v="9"/>
    <x v="1"/>
    <x v="1"/>
    <x v="0"/>
    <s v="Psych predicate; かくとも as adjunct."/>
    <m/>
    <n v="1"/>
  </r>
  <r>
    <s v="Heike 2.77"/>
    <s v="云ひつるほどならば (iitsuru hodo naraba)"/>
    <s v="seeing that, if he told him,"/>
    <s v="云ひつる"/>
    <s v="indicative"/>
    <x v="1"/>
    <x v="1"/>
    <x v="1"/>
    <s v="active"/>
    <s v="positive"/>
    <n v="1"/>
    <n v="0"/>
    <x v="2"/>
    <n v="0"/>
    <x v="4"/>
    <n v="3"/>
    <x v="3"/>
    <x v="0"/>
    <n v="0"/>
    <n v="1"/>
    <s v="REL"/>
    <x v="3"/>
    <x v="0"/>
    <x v="0"/>
    <x v="0"/>
    <s v="n/a"/>
    <n v="0"/>
    <x v="10"/>
    <x v="1"/>
    <x v="1"/>
    <x v="1"/>
    <m/>
    <m/>
    <n v="0"/>
  </r>
  <r>
    <s v="Heike 2.78"/>
    <s v="やがて殿上までも斬り上らんずる  yagate tenjō made mo kiriagaranzuru "/>
    <s v="who would even do violence in the Palace itself,"/>
    <s v="斬り上らんずる"/>
    <s v="dynamic"/>
    <x v="1"/>
    <x v="1"/>
    <x v="0"/>
    <s v="active"/>
    <s v="positive"/>
    <n v="1"/>
    <n v="0"/>
    <x v="2"/>
    <n v="2"/>
    <x v="1"/>
    <n v="3"/>
    <x v="0"/>
    <x v="0"/>
    <n v="1"/>
    <n v="0"/>
    <s v="REL"/>
    <x v="0"/>
    <x v="0"/>
    <x v="0"/>
    <x v="0"/>
    <s v="n/a"/>
    <n v="0"/>
    <x v="2"/>
    <x v="2"/>
    <x v="1"/>
    <x v="1"/>
    <m/>
    <m/>
    <n v="0"/>
  </r>
  <r>
    <s v="Heike 2.79"/>
    <s v="者の面魂にてある間 mono no omodamashii nite aru aida"/>
    <s v="he appeared as one "/>
    <s v="にてある"/>
    <s v="indicative"/>
    <x v="1"/>
    <x v="0"/>
    <x v="0"/>
    <s v="active"/>
    <s v="positive"/>
    <n v="1"/>
    <n v="0"/>
    <x v="2"/>
    <n v="0"/>
    <x v="1"/>
    <n v="3"/>
    <x v="0"/>
    <x v="0"/>
    <n v="0"/>
    <n v="0"/>
    <s v="REL"/>
    <x v="3"/>
    <x v="0"/>
    <x v="0"/>
    <x v="0"/>
    <s v="n/a"/>
    <n v="0"/>
    <x v="0"/>
    <x v="1"/>
    <x v="1"/>
    <x v="1"/>
    <m/>
    <m/>
    <n v="0"/>
  </r>
  <r>
    <s v="Heike 2.80"/>
    <s v="別の事なし (betsu no koto nashi)"/>
    <s v="nothing out of the ordinary had taken place."/>
    <s v="なし"/>
    <s v="indicative"/>
    <x v="1"/>
    <x v="7"/>
    <x v="0"/>
    <s v="active"/>
    <s v="negative"/>
    <n v="1"/>
    <n v="1"/>
    <x v="0"/>
    <n v="0"/>
    <x v="0"/>
    <n v="3"/>
    <x v="0"/>
    <x v="0"/>
    <n v="0"/>
    <n v="0"/>
    <s v="n/a"/>
    <x v="2"/>
    <x v="0"/>
    <x v="0"/>
    <x v="0"/>
    <s v="n/a"/>
    <n v="0"/>
    <x v="2"/>
    <x v="2"/>
    <x v="1"/>
    <x v="0"/>
    <s v="Subject = 別の事."/>
    <m/>
    <n v="1"/>
  </r>
  <r>
    <s v="Heike 2.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x v="1"/>
    <x v="4"/>
    <x v="1"/>
    <s v="active"/>
    <s v="positive"/>
    <n v="1"/>
    <n v="1"/>
    <x v="1"/>
    <n v="2"/>
    <x v="2"/>
    <n v="3"/>
    <x v="1"/>
    <x v="0"/>
    <n v="0"/>
    <n v="0"/>
    <s v="REL"/>
    <x v="3"/>
    <x v="0"/>
    <x v="1"/>
    <x v="2"/>
    <s v="honorific_aux"/>
    <n v="0"/>
    <x v="9"/>
    <x v="2"/>
    <x v="2"/>
    <x v="0"/>
    <s v="Passive/respect; subject omitted; object 面白き事を overt."/>
    <m/>
    <n v="1"/>
  </r>
  <r>
    <s v="Heike 2.82"/>
    <s v="中比太宰権帥季仲卿といふ人ありけり (chūbi Dazai gon no so Sukechika kyō to iu hito arikeri)"/>
    <s v="but there was a certain Dazai Gon-no-sotsu Suenaka no Kyo,"/>
    <s v="ありけり"/>
    <s v="indicative"/>
    <x v="0"/>
    <x v="7"/>
    <x v="0"/>
    <s v="active"/>
    <s v="positive"/>
    <n v="1"/>
    <n v="1"/>
    <x v="0"/>
    <n v="1"/>
    <x v="0"/>
    <n v="3"/>
    <x v="0"/>
    <x v="0"/>
    <n v="0"/>
    <n v="0"/>
    <s v="n/a"/>
    <x v="2"/>
    <x v="0"/>
    <x v="0"/>
    <x v="0"/>
    <s v="n/a"/>
    <n v="0"/>
    <x v="2"/>
    <x v="2"/>
    <x v="0"/>
    <x v="0"/>
    <s v="frame predicate"/>
    <m/>
    <n v="1"/>
  </r>
  <r>
    <s v="Heike 2.83"/>
    <s v="あまりに色の黒かりければ (amari ni iro no kurokarikereba)"/>
    <s v="who was of so dark a complexion that"/>
    <s v="黒かりければ"/>
    <s v="indicative"/>
    <x v="1"/>
    <x v="5"/>
    <x v="0"/>
    <s v="active"/>
    <s v="positive"/>
    <n v="1"/>
    <n v="1"/>
    <x v="0"/>
    <n v="1"/>
    <x v="0"/>
    <n v="3"/>
    <x v="0"/>
    <x v="1"/>
    <n v="0"/>
    <n v="0"/>
    <s v="n/a"/>
    <x v="3"/>
    <x v="0"/>
    <x v="0"/>
    <x v="0"/>
    <s v="n/a"/>
    <n v="0"/>
    <x v="3"/>
    <x v="2"/>
    <x v="1"/>
    <x v="0"/>
    <s v="Adjectival predicate; subject = 色."/>
    <m/>
    <n v="1"/>
  </r>
  <r>
    <s v="Heike 2.84"/>
    <s v="見る人黒帥とぞ申しける (miru hito kurosotsu to zo mōshikeru)"/>
    <s v="people called him 'kuro-sotsu',"/>
    <s v="申しける"/>
    <s v="indicative"/>
    <x v="2"/>
    <x v="1"/>
    <x v="1"/>
    <s v="active"/>
    <s v="positive"/>
    <n v="1"/>
    <n v="2"/>
    <x v="3"/>
    <n v="0"/>
    <x v="0"/>
    <n v="3"/>
    <x v="1"/>
    <x v="0"/>
    <n v="0"/>
    <n v="0"/>
    <s v="n/a"/>
    <x v="2"/>
    <x v="1"/>
    <x v="0"/>
    <x v="0"/>
    <s v="lexical_humble_verb"/>
    <n v="0"/>
    <x v="2"/>
    <x v="2"/>
    <x v="1"/>
    <x v="0"/>
    <s v="申す humble; subject overt; counted as EXALT INSIG."/>
    <m/>
    <n v="2"/>
  </r>
  <r>
    <s v="Heike 2.85"/>
    <s v="その人未だ蔵人頭たりし時 (sono hito imada kurōdo no tō tarishi toki)"/>
    <s v="and while he was still Kurando-no-to, "/>
    <s v="たりし"/>
    <s v="indicative"/>
    <x v="0"/>
    <x v="0"/>
    <x v="0"/>
    <s v="active"/>
    <s v="positive"/>
    <n v="1"/>
    <n v="1"/>
    <x v="0"/>
    <n v="0"/>
    <x v="0"/>
    <n v="3"/>
    <x v="0"/>
    <x v="0"/>
    <n v="0"/>
    <n v="0"/>
    <s v="REL"/>
    <x v="3"/>
    <x v="0"/>
    <x v="0"/>
    <x v="0"/>
    <s v="honorific_aux"/>
    <n v="0"/>
    <x v="0"/>
    <x v="1"/>
    <x v="3"/>
    <x v="1"/>
    <m/>
    <m/>
    <n v="1"/>
  </r>
  <r>
    <s v="Heike 2.86"/>
    <s v="五節に舞はれけるに gosechi ni mawarekeru ni"/>
    <s v="when he danced at the Go-sechie,"/>
    <s v="舞はれける"/>
    <s v="indicative"/>
    <x v="2"/>
    <x v="1"/>
    <x v="0"/>
    <s v="active"/>
    <s v="positive"/>
    <n v="1"/>
    <n v="0"/>
    <x v="2"/>
    <n v="0"/>
    <x v="2"/>
    <n v="3"/>
    <x v="0"/>
    <x v="0"/>
    <n v="0"/>
    <n v="0"/>
    <s v="REL"/>
    <x v="3"/>
    <x v="0"/>
    <x v="1"/>
    <x v="2"/>
    <s v="lexical_honorific_verb"/>
    <n v="0"/>
    <x v="0"/>
    <x v="1"/>
    <x v="1"/>
    <x v="1"/>
    <m/>
    <m/>
    <n v="0"/>
  </r>
  <r>
    <s v="Heike 2.87"/>
    <s v="人々拍子を変へて (hitobito hyōshi o kaete)"/>
    <s v="they changed the rhythm of the music"/>
    <s v="変へて"/>
    <s v="indicative"/>
    <x v="1"/>
    <x v="1"/>
    <x v="1"/>
    <s v="active"/>
    <s v="positive"/>
    <n v="1"/>
    <n v="2"/>
    <x v="3"/>
    <n v="0"/>
    <x v="0"/>
    <n v="3"/>
    <x v="1"/>
    <x v="0"/>
    <n v="0"/>
    <n v="0"/>
    <s v="n/a"/>
    <x v="1"/>
    <x v="0"/>
    <x v="0"/>
    <x v="0"/>
    <s v="n/a"/>
    <n v="0"/>
    <x v="1"/>
    <x v="2"/>
    <x v="1"/>
    <x v="0"/>
    <m/>
    <m/>
    <n v="2"/>
  </r>
  <r>
    <s v="Heike 2.88"/>
    <s v="あなくろくろ黒き頭かな (ana kuro kuro kuroki atama kana)"/>
    <s v="&quot;Oh what a black, black head!&quot;"/>
    <s v="N/A (exclamatory nominal clause)"/>
    <s v="indicative"/>
    <x v="1"/>
    <x v="10"/>
    <x v="0"/>
    <m/>
    <m/>
    <n v="0"/>
    <n v="1"/>
    <x v="0"/>
    <n v="0"/>
    <x v="0"/>
    <n v="3"/>
    <x v="0"/>
    <x v="0"/>
    <n v="0"/>
    <n v="0"/>
    <s v="n/a"/>
    <x v="2"/>
    <x v="0"/>
    <x v="0"/>
    <x v="0"/>
    <s v="n/a"/>
    <n v="0"/>
    <x v="2"/>
    <x v="1"/>
    <x v="1"/>
    <x v="0"/>
    <m/>
    <m/>
    <m/>
  </r>
  <r>
    <s v="Heike 2.89"/>
    <s v="いかなる人の漆塗りけんとぞ (ikanaru hito no urushinuriken to zo )"/>
    <s v="&quot;someone must have painted him with lacquer&quot;"/>
    <s v="漆塗りけん"/>
    <s v="epistemic"/>
    <x v="1"/>
    <x v="1"/>
    <x v="1"/>
    <s v="active"/>
    <s v="positive"/>
    <n v="1"/>
    <n v="2"/>
    <x v="3"/>
    <n v="0"/>
    <x v="0"/>
    <n v="3"/>
    <x v="1"/>
    <x v="0"/>
    <n v="0"/>
    <n v="0"/>
    <s v="n/a"/>
    <x v="6"/>
    <x v="0"/>
    <x v="0"/>
    <x v="0"/>
    <s v="n/a"/>
    <n v="0"/>
    <x v="4"/>
    <x v="2"/>
    <x v="1"/>
    <x v="0"/>
    <m/>
    <m/>
    <n v="2"/>
  </r>
  <r>
    <s v="Heike 2.90"/>
    <s v="囃されける (hayasarekeru)"/>
    <s v="they sang in mockery."/>
    <s v="囃されける"/>
    <s v="indicative"/>
    <x v="5"/>
    <x v="1"/>
    <x v="1"/>
    <s v="active"/>
    <s v="positive"/>
    <n v="1"/>
    <n v="1"/>
    <x v="9"/>
    <n v="0"/>
    <x v="2"/>
    <n v="3"/>
    <x v="1"/>
    <x v="0"/>
    <n v="0"/>
    <n v="0"/>
    <s v="n/a"/>
    <x v="2"/>
    <x v="0"/>
    <x v="1"/>
    <x v="2"/>
    <s v="honorific_aux"/>
    <n v="0"/>
    <x v="2"/>
    <x v="2"/>
    <x v="1"/>
    <x v="1"/>
    <m/>
    <m/>
    <n v="1"/>
  </r>
  <r>
    <s v="Heike 2.91"/>
    <s v="また花山院前太政大臣忠雅公未だ十歳と申しし時 (mata Kazanin no saki no Daijōdaijin Tadamasa kō imada jissai to mōshi shi toki)"/>
    <s v="Also, when Prince Tadamasa of the Kazan-in, the former Prime Minister, was only ten years old,"/>
    <s v="申しし"/>
    <s v="indicative"/>
    <x v="2"/>
    <x v="1"/>
    <x v="0"/>
    <s v="active"/>
    <s v="positive"/>
    <n v="1"/>
    <n v="1"/>
    <x v="0"/>
    <n v="1"/>
    <x v="0"/>
    <n v="3"/>
    <x v="0"/>
    <x v="0"/>
    <n v="0"/>
    <n v="0"/>
    <s v="n/a"/>
    <x v="3"/>
    <x v="1"/>
    <x v="0"/>
    <x v="2"/>
    <s v="lexical_humble_verb"/>
    <n v="0"/>
    <x v="0"/>
    <x v="2"/>
    <x v="0"/>
    <x v="0"/>
    <m/>
    <m/>
    <n v="1"/>
  </r>
  <r>
    <s v="Heike 2.92"/>
    <s v="父中納言忠宗卿に後れ給ひて (chichi Chūnagon Tadamune kyō ni okure tamai te)"/>
    <s v="having lost his father, Chunagon Tadamune,"/>
    <s v="後れ給ひて"/>
    <s v="indicative"/>
    <x v="2"/>
    <x v="1"/>
    <x v="0"/>
    <s v="active"/>
    <s v="positive"/>
    <n v="1"/>
    <n v="1"/>
    <x v="5"/>
    <n v="0"/>
    <x v="2"/>
    <n v="3"/>
    <x v="0"/>
    <x v="3"/>
    <n v="0"/>
    <n v="0"/>
    <s v="n/a"/>
    <x v="1"/>
    <x v="0"/>
    <x v="1"/>
    <x v="2"/>
    <s v="lexical_honorific_verb"/>
    <n v="0"/>
    <x v="1"/>
    <x v="1"/>
    <x v="0"/>
    <x v="0"/>
    <m/>
    <m/>
    <n v="1"/>
  </r>
  <r>
    <s v="Heike 2.93"/>
    <s v="孤子にておはせしを (koji nite ohaseshi o)"/>
    <s v="and being left an orphan,"/>
    <s v="おはせし"/>
    <s v="indicative"/>
    <x v="2"/>
    <x v="7"/>
    <x v="0"/>
    <s v="active"/>
    <s v="positive"/>
    <n v="1"/>
    <n v="0"/>
    <x v="2"/>
    <n v="0"/>
    <x v="2"/>
    <n v="3"/>
    <x v="0"/>
    <x v="0"/>
    <n v="0"/>
    <n v="0"/>
    <s v="REL"/>
    <x v="3"/>
    <x v="0"/>
    <x v="1"/>
    <x v="2"/>
    <s v="lexical_honorific_verb"/>
    <n v="0"/>
    <x v="9"/>
    <x v="1"/>
    <x v="1"/>
    <x v="0"/>
    <m/>
    <m/>
    <n v="0"/>
  </r>
  <r>
    <s v="Heike 2.94"/>
    <s v="故中御門藤中納言家成卿未だ播磨守にておはしけるが ko-Nakamikado Fuji Chūnagon Ienari kyō imada Harima no kami nite ohasikeru ga"/>
    <s v=" by Fuji Chūnagon Ienari, then Harima no Kami,"/>
    <s v="おはしける"/>
    <s v="indicative"/>
    <x v="0"/>
    <x v="0"/>
    <x v="0"/>
    <s v="active"/>
    <s v="positive"/>
    <n v="1"/>
    <n v="1"/>
    <x v="0"/>
    <n v="1"/>
    <x v="0"/>
    <n v="3"/>
    <x v="0"/>
    <x v="0"/>
    <n v="0"/>
    <n v="0"/>
    <s v="REL"/>
    <x v="3"/>
    <x v="1"/>
    <x v="0"/>
    <x v="2"/>
    <s v="lexical_honorific_verb"/>
    <n v="0"/>
    <x v="9"/>
    <x v="2"/>
    <x v="0"/>
    <x v="0"/>
    <m/>
    <m/>
    <n v="1"/>
  </r>
  <r>
    <s v="Heike 2.95"/>
    <s v="聟に取りて muko ni torite "/>
    <s v="he was taken as son-in-law"/>
    <s v="取りて"/>
    <s v="indicative"/>
    <x v="2"/>
    <x v="1"/>
    <x v="1"/>
    <s v="active"/>
    <s v="positive"/>
    <n v="1"/>
    <n v="1"/>
    <x v="5"/>
    <n v="0"/>
    <x v="1"/>
    <n v="3"/>
    <x v="3"/>
    <x v="3"/>
    <n v="0"/>
    <n v="0"/>
    <s v="n/a"/>
    <x v="1"/>
    <x v="0"/>
    <x v="0"/>
    <x v="0"/>
    <s v="n/a"/>
    <n v="0"/>
    <x v="2"/>
    <x v="1"/>
    <x v="1"/>
    <x v="0"/>
    <m/>
    <m/>
    <n v="1"/>
  </r>
  <r>
    <s v="Heike 2.96"/>
    <s v="華やかにもてなされければ  hanayaka ni motenasarekereba"/>
    <s v="and splendidly welcomed,"/>
    <s v="もてなされければ"/>
    <s v="indicative"/>
    <x v="2"/>
    <x v="1"/>
    <x v="0"/>
    <s v="passive"/>
    <s v="positive"/>
    <n v="1"/>
    <n v="0"/>
    <x v="2"/>
    <n v="0"/>
    <x v="1"/>
    <n v="3"/>
    <x v="0"/>
    <x v="2"/>
    <n v="0"/>
    <n v="0"/>
    <s v="n/a"/>
    <x v="3"/>
    <x v="0"/>
    <x v="0"/>
    <x v="0"/>
    <s v="n/a"/>
    <n v="0"/>
    <x v="3"/>
    <x v="1"/>
    <x v="1"/>
    <x v="0"/>
    <s v="verbal sequence"/>
    <m/>
    <n v="0"/>
  </r>
  <r>
    <s v="Heike 2.97"/>
    <s v="これも五節には播磨の米は木賊か椋の葉か人の綺羅を磨くはとぞ (kore mo gosechi ni wa Harima no kome wa tokusa ka mukuno ha ka hito no kira o migaku wa to zo)"/>
    <s v="at that Go-sechie with the refrain ‘The rice of Harima...’"/>
    <s v="磨く"/>
    <s v="indicative"/>
    <x v="2"/>
    <x v="1"/>
    <x v="1"/>
    <s v="active"/>
    <s v="positive"/>
    <n v="1"/>
    <n v="2"/>
    <x v="3"/>
    <n v="1"/>
    <x v="0"/>
    <n v="3"/>
    <x v="1"/>
    <x v="0"/>
    <n v="0"/>
    <n v="0"/>
    <s v="REL"/>
    <x v="6"/>
    <x v="0"/>
    <x v="0"/>
    <x v="0"/>
    <s v="honorific_aux"/>
    <n v="0"/>
    <x v="2"/>
    <x v="2"/>
    <x v="1"/>
    <x v="0"/>
    <m/>
    <m/>
    <n v="2"/>
  </r>
  <r>
    <s v="Heike 2.98"/>
    <s v="囃されける hayasarekeru"/>
    <s v=" they also japed at him"/>
    <s v="囃されける"/>
    <s v="indicative"/>
    <x v="2"/>
    <x v="1"/>
    <x v="0"/>
    <s v="passive"/>
    <s v="positive"/>
    <n v="1"/>
    <n v="0"/>
    <x v="2"/>
    <n v="1"/>
    <x v="1"/>
    <n v="3"/>
    <x v="0"/>
    <x v="0"/>
    <n v="0"/>
    <n v="0"/>
    <s v="kakari-musubi"/>
    <x v="2"/>
    <x v="0"/>
    <x v="0"/>
    <x v="0"/>
    <s v="n/a"/>
    <n v="0"/>
    <x v="4"/>
    <x v="2"/>
    <x v="1"/>
    <x v="1"/>
    <m/>
    <m/>
    <n v="0"/>
  </r>
  <r>
    <s v="Heike 2.99"/>
    <s v="上古にはかやうにありしかども (jōko ni wa kayō ni arishikadomo )"/>
    <s v="Long ago such things had happened, "/>
    <s v="ありし / 出で来ず"/>
    <s v="indicative"/>
    <x v="2"/>
    <x v="7"/>
    <x v="0"/>
    <s v="active"/>
    <s v="positive"/>
    <n v="1"/>
    <n v="0"/>
    <x v="2"/>
    <n v="2"/>
    <x v="5"/>
    <n v="0"/>
    <x v="0"/>
    <x v="0"/>
    <n v="0"/>
    <n v="0"/>
    <s v="n/a"/>
    <x v="3"/>
    <x v="0"/>
    <x v="0"/>
    <x v="0"/>
    <s v="n/a"/>
    <n v="0"/>
    <x v="9"/>
    <x v="2"/>
    <x v="2"/>
    <x v="0"/>
    <m/>
    <m/>
    <n v="0"/>
  </r>
  <r>
    <s v="Heike 2.100"/>
    <s v="事出で来ず koto idekozu"/>
    <s v="but nothing had come of them,"/>
    <s v="出で来ず"/>
    <s v="indicative"/>
    <x v="0"/>
    <x v="11"/>
    <x v="0"/>
    <s v="active"/>
    <s v="negative"/>
    <n v="1"/>
    <n v="1"/>
    <x v="0"/>
    <n v="0"/>
    <x v="0"/>
    <n v="3"/>
    <x v="0"/>
    <x v="0"/>
    <n v="0"/>
    <n v="0"/>
    <s v="n/a"/>
    <x v="3"/>
    <x v="0"/>
    <x v="0"/>
    <x v="0"/>
    <s v="n/a"/>
    <n v="0"/>
    <x v="2"/>
    <x v="2"/>
    <x v="1"/>
    <x v="0"/>
    <m/>
    <m/>
    <n v="1"/>
  </r>
  <r>
    <s v="Heike 2.101"/>
    <s v="末代いかがあらんずらん (matsudai ikaga aranzuran obotsukanashi)"/>
    <s v="and people said that what was to be done"/>
    <s v="あらんずらん"/>
    <s v="epistemic"/>
    <x v="0"/>
    <x v="11"/>
    <x v="2"/>
    <m/>
    <m/>
    <m/>
    <m/>
    <x v="6"/>
    <m/>
    <x v="3"/>
    <m/>
    <x v="4"/>
    <x v="4"/>
    <m/>
    <m/>
    <m/>
    <x v="7"/>
    <x v="2"/>
    <x v="2"/>
    <x v="0"/>
    <s v="n/a"/>
    <m/>
    <x v="5"/>
    <x v="3"/>
    <x v="4"/>
    <x v="3"/>
    <m/>
    <m/>
    <m/>
  </r>
  <r>
    <s v="Heike 2.102"/>
    <s v="覚束なし"/>
    <s v="was doubtful"/>
    <s v="覚束なし"/>
    <s v="indicative"/>
    <x v="4"/>
    <x v="5"/>
    <x v="0"/>
    <s v="active"/>
    <s v="negative"/>
    <n v="1"/>
    <n v="0"/>
    <x v="2"/>
    <n v="0"/>
    <x v="5"/>
    <n v="0"/>
    <x v="0"/>
    <x v="0"/>
    <n v="0"/>
    <n v="0"/>
    <s v="n/a"/>
    <x v="2"/>
    <x v="0"/>
    <x v="0"/>
    <x v="0"/>
    <s v="n/a"/>
    <n v="0"/>
    <x v="2"/>
    <x v="2"/>
    <x v="1"/>
    <x v="1"/>
    <m/>
    <m/>
    <n v="0"/>
  </r>
  <r>
    <s v="Heike 2.103"/>
    <s v="案の如く五節果てにしかば (an no gotoku gosechi hate ni shikaba)"/>
    <s v="As he had expected, after the conclusion of the festival,"/>
    <s v="果てにしかば"/>
    <s v="indicative"/>
    <x v="1"/>
    <x v="1"/>
    <x v="0"/>
    <s v="active"/>
    <s v="positive"/>
    <n v="1"/>
    <n v="1"/>
    <x v="0"/>
    <n v="1"/>
    <x v="0"/>
    <n v="3"/>
    <x v="0"/>
    <x v="0"/>
    <n v="0"/>
    <n v="0"/>
    <s v="n/a"/>
    <x v="3"/>
    <x v="0"/>
    <x v="0"/>
    <x v="0"/>
    <s v="n/a"/>
    <n v="0"/>
    <x v="0"/>
    <x v="2"/>
    <x v="2"/>
    <x v="0"/>
    <m/>
    <m/>
    <n v="1"/>
  </r>
  <r>
    <s v="Heike 2.104"/>
    <s v="殿上人一同に訴へ申されけるは (tenjōbito ichidō ni uttaemōsarekeru wa)"/>
    <s v="all the courtiers and officials together appealed,"/>
    <s v="訴へ申されける"/>
    <s v="indicative"/>
    <x v="1"/>
    <x v="1"/>
    <x v="1"/>
    <s v="active"/>
    <s v="positive"/>
    <n v="1"/>
    <n v="1"/>
    <x v="0"/>
    <n v="1"/>
    <x v="0"/>
    <n v="3"/>
    <x v="5"/>
    <x v="0"/>
    <n v="0"/>
    <n v="0"/>
    <s v="SUB"/>
    <x v="3"/>
    <x v="1"/>
    <x v="0"/>
    <x v="2"/>
    <s v="honorific_aux+lexical_humble_verb"/>
    <n v="0"/>
    <x v="2"/>
    <x v="2"/>
    <x v="1"/>
    <x v="0"/>
    <s v="nominalisation"/>
    <m/>
    <n v="1"/>
  </r>
  <r>
    <s v="Heike 2.105"/>
    <s v="それ雄剣を帯して (sore yūken o tai shitei)"/>
    <s v="that wearing a sword"/>
    <s v="帯して "/>
    <s v="indicative"/>
    <x v="2"/>
    <x v="3"/>
    <x v="1"/>
    <s v="active"/>
    <s v="positive"/>
    <n v="1"/>
    <n v="1"/>
    <x v="1"/>
    <n v="0"/>
    <x v="1"/>
    <n v="3"/>
    <x v="1"/>
    <x v="0"/>
    <n v="0"/>
    <n v="0"/>
    <s v="n/a"/>
    <x v="1"/>
    <x v="0"/>
    <x v="0"/>
    <x v="0"/>
    <s v="n/a"/>
    <n v="0"/>
    <x v="2"/>
    <x v="2"/>
    <x v="1"/>
    <x v="0"/>
    <m/>
    <m/>
    <n v="1"/>
  </r>
  <r>
    <s v="Heike 2.106"/>
    <s v="公宴に列し  kōen ni res shi"/>
    <s v=" coming to a Court entertainment "/>
    <s v="列し"/>
    <s v="indicative"/>
    <x v="3"/>
    <x v="3"/>
    <x v="0"/>
    <s v="active"/>
    <s v="positive"/>
    <n v="1"/>
    <n v="1"/>
    <x v="5"/>
    <n v="0"/>
    <x v="1"/>
    <n v="3"/>
    <x v="7"/>
    <x v="3"/>
    <n v="0"/>
    <n v="0"/>
    <s v="n/a"/>
    <x v="1"/>
    <x v="0"/>
    <x v="0"/>
    <x v="0"/>
    <s v="n/a"/>
    <n v="0"/>
    <x v="2"/>
    <x v="1"/>
    <x v="1"/>
    <x v="0"/>
    <m/>
    <m/>
    <n v="1"/>
  </r>
  <r>
    <s v="Heike 2.107"/>
    <s v="兵仗を賜はりて  hyōjō o tamawari te "/>
    <s v="and bearing arms "/>
    <s v="賜はりて"/>
    <s v="indicative"/>
    <x v="2"/>
    <x v="1"/>
    <x v="1"/>
    <s v="active"/>
    <s v="positive"/>
    <n v="1"/>
    <n v="1"/>
    <x v="1"/>
    <n v="0"/>
    <x v="2"/>
    <n v="3"/>
    <x v="1"/>
    <x v="0"/>
    <n v="0"/>
    <n v="0"/>
    <s v="n/a"/>
    <x v="1"/>
    <x v="0"/>
    <x v="1"/>
    <x v="2"/>
    <s v="lexical_humble_verb"/>
    <n v="0"/>
    <x v="2"/>
    <x v="1"/>
    <x v="1"/>
    <x v="0"/>
    <m/>
    <m/>
    <n v="1"/>
  </r>
  <r>
    <s v="Heike 2.108"/>
    <s v="宮中を出入りするは kyūchū o ideiri suru wa "/>
    <s v="when passing in and out of the Palace"/>
    <s v="出入りする"/>
    <s v="indicative"/>
    <x v="3"/>
    <x v="1"/>
    <x v="1"/>
    <s v="active"/>
    <s v="positive"/>
    <n v="1"/>
    <n v="1"/>
    <x v="1"/>
    <n v="0"/>
    <x v="1"/>
    <n v="3"/>
    <x v="1"/>
    <x v="0"/>
    <n v="0"/>
    <n v="0"/>
    <s v="SUB"/>
    <x v="3"/>
    <x v="0"/>
    <x v="0"/>
    <x v="0"/>
    <s v="n/a"/>
    <n v="0"/>
    <x v="2"/>
    <x v="1"/>
    <x v="1"/>
    <x v="0"/>
    <s v="nominalisation"/>
    <m/>
    <n v="1"/>
  </r>
  <r>
    <s v="Heike 2.109"/>
    <s v="皆格式の礼を守る mina kakushiki no rei o mamoru"/>
    <s v=" is according to ancient precedent,"/>
    <s v="守る"/>
    <s v="indicative"/>
    <x v="2"/>
    <x v="1"/>
    <x v="1"/>
    <s v="active"/>
    <s v="positive"/>
    <n v="1"/>
    <n v="2"/>
    <x v="3"/>
    <n v="0"/>
    <x v="0"/>
    <n v="3"/>
    <x v="1"/>
    <x v="0"/>
    <n v="0"/>
    <n v="1"/>
    <s v="REL"/>
    <x v="0"/>
    <x v="0"/>
    <x v="0"/>
    <x v="0"/>
    <s v="n/a"/>
    <n v="0"/>
    <x v="2"/>
    <x v="2"/>
    <x v="1"/>
    <x v="0"/>
    <m/>
    <m/>
    <n v="2"/>
  </r>
  <r>
    <s v="Heike 2.110"/>
    <s v="綸命由ある  rinmei yoshi aru "/>
    <m/>
    <s v="ある"/>
    <s v="indicative"/>
    <x v="0"/>
    <x v="7"/>
    <x v="0"/>
    <s v="active"/>
    <s v="positive"/>
    <n v="1"/>
    <n v="1"/>
    <x v="0"/>
    <n v="0"/>
    <x v="0"/>
    <n v="3"/>
    <x v="0"/>
    <x v="0"/>
    <n v="0"/>
    <n v="1"/>
    <s v="REL"/>
    <x v="0"/>
    <x v="0"/>
    <x v="0"/>
    <x v="0"/>
    <s v="n/a"/>
    <n v="0"/>
    <x v="2"/>
    <x v="2"/>
    <x v="1"/>
    <x v="0"/>
    <m/>
    <m/>
    <n v="1"/>
  </r>
  <r>
    <s v="Heike 2.111"/>
    <s v="先規なり senki nari"/>
    <m/>
    <s v="なり"/>
    <s v="indicative"/>
    <x v="0"/>
    <x v="0"/>
    <x v="0"/>
    <s v="active"/>
    <s v="positive"/>
    <n v="1"/>
    <n v="0"/>
    <x v="2"/>
    <n v="0"/>
    <x v="6"/>
    <n v="0"/>
    <x v="0"/>
    <x v="0"/>
    <n v="0"/>
    <n v="0"/>
    <s v="n/a"/>
    <x v="8"/>
    <x v="0"/>
    <x v="0"/>
    <x v="0"/>
    <s v="n/a"/>
    <n v="0"/>
    <x v="2"/>
    <x v="4"/>
    <x v="1"/>
    <x v="1"/>
    <m/>
    <m/>
    <n v="0"/>
  </r>
  <r>
    <s v="Heike 2.112"/>
    <s v="然るを忠盛朝臣或いは相伝の郎従と号して (shikaru o Tadamori ason arui wa sōden no rōjū to gō shite)"/>
    <s v="but Ason Tadamori, calling a certain common soldier his hereditary retainer,"/>
    <s v="号して"/>
    <s v="indicative"/>
    <x v="2"/>
    <x v="1"/>
    <x v="1"/>
    <s v="active"/>
    <s v="positive"/>
    <n v="1"/>
    <n v="2"/>
    <x v="3"/>
    <n v="1"/>
    <x v="0"/>
    <n v="3"/>
    <x v="1"/>
    <x v="0"/>
    <n v="0"/>
    <n v="0"/>
    <s v="n/a"/>
    <x v="1"/>
    <x v="0"/>
    <x v="0"/>
    <x v="0"/>
    <s v="n/a"/>
    <n v="0"/>
    <x v="9"/>
    <x v="2"/>
    <x v="2"/>
    <x v="0"/>
    <m/>
    <m/>
    <n v="2"/>
  </r>
  <r>
    <s v="Heike 2.113"/>
    <s v="布衣の兵を殿上の小庭に召し置き (hoi no hyō o tenjō no koniwa ni meshioki)"/>
    <s v=" and placing him in the small courtyard of the Palace,"/>
    <s v="召し置き"/>
    <s v="indicative"/>
    <x v="2"/>
    <x v="1"/>
    <x v="1"/>
    <s v="active"/>
    <s v="positive"/>
    <n v="1"/>
    <n v="2"/>
    <x v="7"/>
    <n v="0"/>
    <x v="2"/>
    <n v="3"/>
    <x v="1"/>
    <x v="3"/>
    <n v="0"/>
    <n v="0"/>
    <s v="n/a"/>
    <x v="5"/>
    <x v="0"/>
    <x v="1"/>
    <x v="2"/>
    <s v="lexical_honorific_verb"/>
    <n v="0"/>
    <x v="2"/>
    <x v="1"/>
    <x v="1"/>
    <x v="0"/>
    <m/>
    <m/>
    <n v="2"/>
  </r>
  <r>
    <s v="Heike 2.114"/>
    <s v="或いは腰の刀を横へ差いて (arui wa koshi no katana o yokoe saite)"/>
    <s v="wearing a sword at his side,"/>
    <s v="差いて"/>
    <s v="indicative"/>
    <x v="1"/>
    <x v="1"/>
    <x v="1"/>
    <s v="active"/>
    <s v="positive"/>
    <n v="1"/>
    <n v="3"/>
    <x v="11"/>
    <n v="2"/>
    <x v="0"/>
    <n v="3"/>
    <x v="1"/>
    <x v="3"/>
    <n v="0"/>
    <n v="0"/>
    <s v="n/a"/>
    <x v="1"/>
    <x v="0"/>
    <x v="0"/>
    <x v="0"/>
    <s v="n/a"/>
    <n v="0"/>
    <x v="2"/>
    <x v="1"/>
    <x v="1"/>
    <x v="0"/>
    <m/>
    <m/>
    <n v="3"/>
  </r>
  <r>
    <s v="Heike 2.115"/>
    <s v="節会の座に列なる setsue no za ni tsuranaru"/>
    <s v="and coming to the festival seat "/>
    <s v="列なる"/>
    <s v="indicative"/>
    <x v="1"/>
    <x v="1"/>
    <x v="0"/>
    <s v="active"/>
    <s v="positive"/>
    <n v="1"/>
    <n v="1"/>
    <x v="5"/>
    <n v="0"/>
    <x v="1"/>
    <n v="3"/>
    <x v="7"/>
    <x v="3"/>
    <n v="0"/>
    <n v="1"/>
    <s v="REL"/>
    <x v="0"/>
    <x v="0"/>
    <x v="0"/>
    <x v="0"/>
    <s v="n/a"/>
    <n v="0"/>
    <x v="2"/>
    <x v="1"/>
    <x v="1"/>
    <x v="0"/>
    <m/>
    <m/>
    <n v="1"/>
  </r>
  <r>
    <s v="Heike 2.116"/>
    <s v="[両条稀代]未だ聞かざる (ryōjō kidai imada kikazaru)"/>
    <s v="both acts are unheard-of,"/>
    <s v="聞かざる"/>
    <s v="indicative"/>
    <x v="2"/>
    <x v="1"/>
    <x v="1"/>
    <s v="active"/>
    <s v="negative"/>
    <n v="1"/>
    <n v="0"/>
    <x v="2"/>
    <n v="1"/>
    <x v="4"/>
    <n v="3"/>
    <x v="0"/>
    <x v="0"/>
    <n v="1"/>
    <n v="0"/>
    <s v="REL"/>
    <x v="0"/>
    <x v="0"/>
    <x v="0"/>
    <x v="0"/>
    <s v="n/a"/>
    <n v="0"/>
    <x v="2"/>
    <x v="4"/>
    <x v="1"/>
    <x v="0"/>
    <m/>
    <m/>
    <n v="0"/>
  </r>
  <r>
    <s v="Heike 2.117"/>
    <s v="狼藉なり rōzaku nari"/>
    <s v="disorderliness"/>
    <s v="狼藉なり"/>
    <s v="indicative"/>
    <x v="0"/>
    <x v="0"/>
    <x v="0"/>
    <s v="active"/>
    <s v="positive"/>
    <n v="1"/>
    <n v="1"/>
    <x v="0"/>
    <n v="0"/>
    <x v="0"/>
    <n v="3"/>
    <x v="0"/>
    <x v="0"/>
    <n v="0"/>
    <n v="0"/>
    <s v="n/a"/>
    <x v="2"/>
    <x v="0"/>
    <x v="0"/>
    <x v="0"/>
    <s v="n/a"/>
    <n v="0"/>
    <x v="2"/>
    <x v="2"/>
    <x v="1"/>
    <x v="0"/>
    <m/>
    <m/>
    <n v="1"/>
  </r>
  <r>
    <s v="Heike 2.118"/>
    <s v="事既に重畳せり (koto sudeni chōjō seri)"/>
    <s v="indeed, one crime piled on another,"/>
    <s v="重畳せり"/>
    <s v="indicative"/>
    <x v="1"/>
    <x v="3"/>
    <x v="0"/>
    <s v="active"/>
    <s v="positive"/>
    <n v="1"/>
    <n v="1"/>
    <x v="0"/>
    <n v="1"/>
    <x v="0"/>
    <n v="3"/>
    <x v="0"/>
    <x v="0"/>
    <n v="0"/>
    <n v="0"/>
    <s v="n/a"/>
    <x v="5"/>
    <x v="0"/>
    <x v="0"/>
    <x v="0"/>
    <s v="n/a"/>
    <n v="0"/>
    <x v="2"/>
    <x v="2"/>
    <x v="1"/>
    <x v="2"/>
    <m/>
    <m/>
    <n v="1"/>
  </r>
  <r>
    <s v="Heike 2.119"/>
    <s v="罪科尤も遁れ難し (tsumitoga mottomo nogaregatashi)"/>
    <s v="a charge he would find difficult to escape."/>
    <s v="遁れ難し"/>
    <s v="dynamic"/>
    <x v="0"/>
    <x v="1"/>
    <x v="1"/>
    <s v="active"/>
    <s v="positive"/>
    <n v="1"/>
    <n v="1"/>
    <x v="0"/>
    <n v="0"/>
    <x v="0"/>
    <n v="3"/>
    <x v="1"/>
    <x v="0"/>
    <n v="0"/>
    <n v="0"/>
    <s v="n/a"/>
    <x v="2"/>
    <x v="0"/>
    <x v="0"/>
    <x v="0"/>
    <s v="n/a"/>
    <n v="0"/>
    <x v="2"/>
    <x v="1"/>
    <x v="1"/>
    <x v="0"/>
    <m/>
    <m/>
    <n v="1"/>
  </r>
  <r>
    <s v="Heike 2.120"/>
    <s v="早く殿上の御札を削りて (hayaku tenjō no mifuda o kezurite)"/>
    <s v="they petitioned that his name be erased from the list of Courtiers"/>
    <s v="削りて "/>
    <s v="indicative"/>
    <x v="2"/>
    <x v="1"/>
    <x v="1"/>
    <s v="active"/>
    <s v="positive"/>
    <n v="1"/>
    <n v="1"/>
    <x v="1"/>
    <n v="0"/>
    <x v="4"/>
    <n v="3"/>
    <x v="1"/>
    <x v="0"/>
    <n v="0"/>
    <n v="0"/>
    <s v="n/a"/>
    <x v="1"/>
    <x v="0"/>
    <x v="0"/>
    <x v="0"/>
    <s v="n/a"/>
    <n v="0"/>
    <x v="2"/>
    <x v="2"/>
    <x v="1"/>
    <x v="0"/>
    <m/>
    <m/>
    <n v="1"/>
  </r>
  <r>
    <s v="Heike 2.121"/>
    <s v="欠官停任せらるべき (kekkan teinin seraru beki yoshi)"/>
    <s v=" and he be deprived of rank and office,"/>
    <s v="停任せらるべき"/>
    <s v="deontic"/>
    <x v="2"/>
    <x v="3"/>
    <x v="0"/>
    <s v="passive"/>
    <s v="positive"/>
    <n v="1"/>
    <n v="0"/>
    <x v="2"/>
    <n v="0"/>
    <x v="1"/>
    <n v="3"/>
    <x v="0"/>
    <x v="0"/>
    <n v="0"/>
    <n v="1"/>
    <s v="REL"/>
    <x v="0"/>
    <x v="0"/>
    <x v="0"/>
    <x v="0"/>
    <s v="n/a"/>
    <n v="0"/>
    <x v="2"/>
    <x v="1"/>
    <x v="1"/>
    <x v="1"/>
    <m/>
    <m/>
    <n v="0"/>
  </r>
  <r>
    <s v="Heike 2.122"/>
    <s v="由諸卿一同に訴へ申されければ (yoshi shokyō ichidō ni uttaemōsarekereba)"/>
    <s v="and all the Court Nobles together petitioned,"/>
    <s v="訴へ申されければ"/>
    <s v="indicative"/>
    <x v="2"/>
    <x v="1"/>
    <x v="1"/>
    <s v="active"/>
    <s v="positive"/>
    <n v="1"/>
    <n v="2"/>
    <x v="3"/>
    <n v="1"/>
    <x v="0"/>
    <n v="3"/>
    <x v="1"/>
    <x v="0"/>
    <n v="0"/>
    <n v="0"/>
    <s v="n/a"/>
    <x v="3"/>
    <x v="1"/>
    <x v="0"/>
    <x v="2"/>
    <s v="honorific_aux+lexical_honorific_verb"/>
    <n v="0"/>
    <x v="0"/>
    <x v="2"/>
    <x v="1"/>
    <x v="0"/>
    <m/>
    <m/>
    <n v="2"/>
  </r>
  <r>
    <s v="Heike 2.123"/>
    <s v="上皇大きに驚かせ給ひて (Jōkō ōki ni odorokase tamai te)"/>
    <s v="His Majesty the Mikado, greatly surprised,"/>
    <s v="驚かせ給ひて"/>
    <s v="indicative"/>
    <x v="2"/>
    <x v="1"/>
    <x v="0"/>
    <s v="active"/>
    <s v="positive"/>
    <n v="1"/>
    <n v="1"/>
    <x v="0"/>
    <n v="0"/>
    <x v="0"/>
    <n v="3"/>
    <x v="0"/>
    <x v="0"/>
    <n v="0"/>
    <n v="0"/>
    <s v="n/a"/>
    <x v="1"/>
    <x v="1"/>
    <x v="0"/>
    <x v="2"/>
    <s v="honorific_aux+lexical_honorific_verb"/>
    <n v="0"/>
    <x v="2"/>
    <x v="2"/>
    <x v="1"/>
    <x v="0"/>
    <m/>
    <m/>
    <n v="1"/>
  </r>
  <r>
    <s v="Heike 2.124"/>
    <s v="忠盛を召して (Tadamori o meshite)"/>
    <s v="ordered Tadamori into his Presence,"/>
    <s v="召して"/>
    <s v="indicative"/>
    <x v="2"/>
    <x v="1"/>
    <x v="0"/>
    <s v="active"/>
    <s v="positive"/>
    <n v="1"/>
    <n v="1"/>
    <x v="1"/>
    <n v="0"/>
    <x v="2"/>
    <n v="3"/>
    <x v="1"/>
    <x v="0"/>
    <n v="0"/>
    <n v="0"/>
    <s v="n/a"/>
    <x v="1"/>
    <x v="0"/>
    <x v="1"/>
    <x v="2"/>
    <s v="lexical_honorific_verb"/>
    <n v="0"/>
    <x v="2"/>
    <x v="1"/>
    <x v="1"/>
    <x v="0"/>
    <m/>
    <m/>
    <n v="1"/>
  </r>
  <r>
    <s v="Heike 2.125"/>
    <s v="御尋ねあり o-tazune ari"/>
    <s v=" to make examination into the affair"/>
    <s v="御尋ねあり"/>
    <s v="indicative"/>
    <x v="2"/>
    <x v="1"/>
    <x v="0"/>
    <s v="active"/>
    <s v="positive"/>
    <n v="1"/>
    <n v="1"/>
    <x v="0"/>
    <n v="0"/>
    <x v="0"/>
    <n v="3"/>
    <x v="0"/>
    <x v="0"/>
    <n v="0"/>
    <n v="0"/>
    <s v="n/a"/>
    <x v="2"/>
    <x v="1"/>
    <x v="0"/>
    <x v="2"/>
    <s v="honorific prefix"/>
    <n v="1"/>
    <x v="2"/>
    <x v="2"/>
    <x v="1"/>
    <x v="0"/>
    <m/>
    <m/>
    <n v="1"/>
  </r>
  <r>
    <s v="Heike 2.126"/>
    <s v="陳じ申されけるは (chinji mōsarekeru wa)"/>
    <s v="in his reply he stated that,"/>
    <s v="申されける"/>
    <s v="indicative"/>
    <x v="2"/>
    <x v="1"/>
    <x v="1"/>
    <s v="active"/>
    <s v="positive"/>
    <n v="1"/>
    <n v="0"/>
    <x v="2"/>
    <n v="0"/>
    <x v="2"/>
    <n v="3"/>
    <x v="5"/>
    <x v="0"/>
    <n v="0"/>
    <n v="0"/>
    <s v="SUB"/>
    <x v="3"/>
    <x v="0"/>
    <x v="1"/>
    <x v="2"/>
    <s v="honorific_aux+lexical_humble_verb"/>
    <n v="0"/>
    <x v="2"/>
    <x v="2"/>
    <x v="1"/>
    <x v="1"/>
    <s v="nominalisation"/>
    <m/>
    <n v="0"/>
  </r>
  <r>
    <s v="Heike 2.127"/>
    <s v="まづ郎従小庭に伺候の由全く覚悟仕らず (mazu rōjū koniwa ni shikō no yoshi mattaku kakugo tsukamatsurazu)"/>
    <s v="as to the presence of his retainer in the Palace, he certainly knew nothing about it,"/>
    <s v="覚悟仕らず"/>
    <s v="indicative"/>
    <x v="2"/>
    <x v="3"/>
    <x v="1"/>
    <s v="active"/>
    <s v="negative"/>
    <n v="1"/>
    <n v="1"/>
    <x v="1"/>
    <n v="2"/>
    <x v="2"/>
    <n v="3"/>
    <x v="1"/>
    <x v="0"/>
    <n v="0"/>
    <n v="0"/>
    <s v="n/a"/>
    <x v="3"/>
    <x v="0"/>
    <x v="1"/>
    <x v="2"/>
    <s v="lexical_humble_verb"/>
    <n v="0"/>
    <x v="2"/>
    <x v="1"/>
    <x v="1"/>
    <x v="0"/>
    <m/>
    <m/>
    <n v="1"/>
  </r>
  <r>
    <s v="Heike 2.128"/>
    <s v="但し近日人々相巧まるる (tadashi kinjitsu hitobito ai-takuramaruru)"/>
    <s v=" [...]  the designs that people were plotting,"/>
    <s v="巧まるる"/>
    <s v="indicative"/>
    <x v="2"/>
    <x v="1"/>
    <x v="1"/>
    <s v="active"/>
    <s v="positive"/>
    <n v="1"/>
    <n v="1"/>
    <x v="0"/>
    <n v="1"/>
    <x v="0"/>
    <n v="3"/>
    <x v="5"/>
    <x v="0"/>
    <n v="0"/>
    <n v="0"/>
    <s v="REL"/>
    <x v="0"/>
    <x v="1"/>
    <x v="0"/>
    <x v="2"/>
    <s v="honorific_aux"/>
    <n v="0"/>
    <x v="2"/>
    <x v="2"/>
    <x v="1"/>
    <x v="0"/>
    <m/>
    <m/>
    <n v="1"/>
  </r>
  <r>
    <s v="Heike 2.129"/>
    <s v="旨子細あるかの間 mune shisai aru ka no aida "/>
    <s v="[…] had lately heard of"/>
    <s v="ある"/>
    <s v="indicative"/>
    <x v="0"/>
    <x v="7"/>
    <x v="0"/>
    <s v="active"/>
    <s v="positive"/>
    <n v="1"/>
    <n v="1"/>
    <x v="0"/>
    <n v="1"/>
    <x v="0"/>
    <n v="3"/>
    <x v="0"/>
    <x v="0"/>
    <n v="0"/>
    <n v="0"/>
    <s v="n/a"/>
    <x v="3"/>
    <x v="0"/>
    <x v="0"/>
    <x v="0"/>
    <s v="n/a"/>
    <n v="0"/>
    <x v="0"/>
    <x v="2"/>
    <x v="1"/>
    <x v="0"/>
    <m/>
    <m/>
    <n v="1"/>
  </r>
  <r>
    <s v="Heike 2.130"/>
    <s v="年来の家人事を伝へ聞くかによつて (nenrai no kenin goto o tsutae kiku ka ni yotte)"/>
    <s v=" if his retainers"/>
    <s v="伝へ聞く"/>
    <s v="indicative"/>
    <x v="6"/>
    <x v="12"/>
    <x v="1"/>
    <s v="active"/>
    <s v="positive"/>
    <n v="1"/>
    <n v="2"/>
    <x v="3"/>
    <n v="1"/>
    <x v="0"/>
    <n v="3"/>
    <x v="1"/>
    <x v="0"/>
    <n v="0"/>
    <n v="0"/>
    <s v="n/a"/>
    <x v="3"/>
    <x v="0"/>
    <x v="0"/>
    <x v="0"/>
    <s v="n/a"/>
    <n v="0"/>
    <x v="1"/>
    <x v="1"/>
    <x v="1"/>
    <x v="0"/>
    <m/>
    <m/>
    <n v="2"/>
  </r>
  <r>
    <s v="Heike 2.131"/>
    <s v="その恥を助けんが為に (sono haji o tasuken ga tame ni)"/>
    <s v="and in order to help him against such dishonour,  intending to prevent dishonour,"/>
    <s v="助けん"/>
    <s v="dynamic"/>
    <x v="1"/>
    <x v="1"/>
    <x v="1"/>
    <s v="active"/>
    <s v="positive"/>
    <n v="1"/>
    <n v="1"/>
    <x v="1"/>
    <n v="0"/>
    <x v="1"/>
    <n v="3"/>
    <x v="1"/>
    <x v="0"/>
    <n v="0"/>
    <n v="0"/>
    <s v="n/a"/>
    <x v="3"/>
    <x v="0"/>
    <x v="0"/>
    <x v="0"/>
    <s v="n/a"/>
    <n v="0"/>
    <x v="7"/>
    <x v="1"/>
    <x v="1"/>
    <x v="0"/>
    <m/>
    <m/>
    <n v="1"/>
  </r>
  <r>
    <s v="Heike 2.132"/>
    <s v="忠盛には知らせずして Tadamori ni wa shirasazu shite"/>
    <s v=" without informing him,  "/>
    <s v="知らせず"/>
    <s v="indicative"/>
    <x v="1"/>
    <x v="1"/>
    <x v="3"/>
    <s v="active"/>
    <s v="negative"/>
    <n v="1"/>
    <n v="2"/>
    <x v="5"/>
    <n v="1"/>
    <x v="1"/>
    <n v="3"/>
    <x v="3"/>
    <x v="3"/>
    <n v="0"/>
    <n v="0"/>
    <s v="n/a"/>
    <x v="1"/>
    <x v="0"/>
    <x v="0"/>
    <x v="0"/>
    <s v="n/a"/>
    <n v="0"/>
    <x v="1"/>
    <x v="1"/>
    <x v="3"/>
    <x v="0"/>
    <m/>
    <m/>
    <n v="2"/>
  </r>
  <r>
    <s v="Heike 2.133"/>
    <s v="密かに参候の条 (hisoka ni sankō no jō)"/>
    <s v="his retainers had come hither secretly"/>
    <s v="N/A (nominal clause)"/>
    <s v="indicative"/>
    <x v="1"/>
    <x v="10"/>
    <x v="2"/>
    <m/>
    <m/>
    <m/>
    <m/>
    <x v="6"/>
    <m/>
    <x v="3"/>
    <m/>
    <x v="4"/>
    <x v="4"/>
    <m/>
    <m/>
    <m/>
    <x v="7"/>
    <x v="2"/>
    <x v="2"/>
    <x v="0"/>
    <s v="n/a"/>
    <m/>
    <x v="5"/>
    <x v="3"/>
    <x v="4"/>
    <x v="3"/>
    <s v="not sure if I should treat this as a nominal or verbal predicate or whether there is predication at all"/>
    <m/>
    <m/>
  </r>
  <r>
    <s v="Heike 2.134"/>
    <s v="力及ばざる chikara oyobazaru"/>
    <s v="his retainers had come hither secretly"/>
    <s v="及ばざる"/>
    <s v="indicative"/>
    <x v="1"/>
    <x v="1"/>
    <x v="0"/>
    <s v="active"/>
    <s v="negative"/>
    <n v="1"/>
    <n v="1"/>
    <x v="0"/>
    <n v="0"/>
    <x v="0"/>
    <n v="3"/>
    <x v="0"/>
    <x v="0"/>
    <n v="0"/>
    <n v="1"/>
    <s v="REL"/>
    <x v="0"/>
    <x v="0"/>
    <x v="0"/>
    <x v="0"/>
    <s v="n/a"/>
    <n v="0"/>
    <x v="2"/>
    <x v="2"/>
    <x v="1"/>
    <x v="0"/>
    <m/>
    <m/>
    <n v="1"/>
  </r>
  <r>
    <s v="Heike 2.135"/>
    <s v="次第なり"/>
    <s v="shidai nari"/>
    <s v="なり"/>
    <s v="indicative"/>
    <x v="0"/>
    <x v="0"/>
    <x v="0"/>
    <s v="active"/>
    <s v="positive"/>
    <n v="1"/>
    <n v="0"/>
    <x v="2"/>
    <n v="0"/>
    <x v="1"/>
    <n v="3"/>
    <x v="0"/>
    <x v="0"/>
    <n v="0"/>
    <n v="0"/>
    <s v="n/a"/>
    <x v="2"/>
    <x v="0"/>
    <x v="0"/>
    <x v="0"/>
    <s v="n/a"/>
    <n v="0"/>
    <x v="2"/>
    <x v="2"/>
    <x v="1"/>
    <x v="1"/>
    <m/>
    <m/>
    <n v="0"/>
  </r>
  <r>
    <s v="Heike 2.136"/>
    <s v="もしその咎あるべくば (moshi sono toga arubekuba)"/>
    <s v="&quot;if there be any blame, "/>
    <s v="ある"/>
    <s v="indicative"/>
    <x v="0"/>
    <x v="7"/>
    <x v="0"/>
    <s v="active"/>
    <s v="positive"/>
    <n v="1"/>
    <n v="1"/>
    <x v="0"/>
    <n v="0"/>
    <x v="0"/>
    <n v="3"/>
    <x v="0"/>
    <x v="0"/>
    <n v="0"/>
    <n v="0"/>
    <s v="n/a"/>
    <x v="3"/>
    <x v="0"/>
    <x v="0"/>
    <x v="0"/>
    <s v="n/a"/>
    <n v="0"/>
    <x v="10"/>
    <x v="2"/>
    <x v="2"/>
    <x v="0"/>
    <m/>
    <m/>
    <n v="1"/>
  </r>
  <r>
    <s v="Heike 2.137"/>
    <s v="かの身を召し進ずべきか  ka no mi o meshi shinzu beki ka"/>
    <s v="do I not yield my body herewith?&quot;"/>
    <s v="召し進ずべき"/>
    <s v="deontic"/>
    <x v="2"/>
    <x v="3"/>
    <x v="2"/>
    <s v="active"/>
    <s v="positive"/>
    <n v="1"/>
    <n v="1"/>
    <x v="1"/>
    <n v="0"/>
    <x v="2"/>
    <n v="1"/>
    <x v="1"/>
    <x v="0"/>
    <n v="0"/>
    <n v="0"/>
    <s v="n/a"/>
    <x v="2"/>
    <x v="0"/>
    <x v="1"/>
    <x v="2"/>
    <s v="lexical_honorific_verb"/>
    <n v="0"/>
    <x v="2"/>
    <x v="2"/>
    <x v="1"/>
    <x v="0"/>
    <m/>
    <m/>
    <n v="1"/>
  </r>
  <r>
    <s v="Heike 2.138"/>
    <s v="次に刀の事は主殿司に預け置き候ひ畢んぬ (tsugi ni katana no koto wa tonomotsukasa ni azukeoki soroiowannu)"/>
    <s v="as for the sword, I deposited it in the Tonomotsukasa,"/>
    <s v="預け置き / 候ひ畢んぬ"/>
    <s v="indicative"/>
    <x v="2"/>
    <x v="12"/>
    <x v="1"/>
    <s v="active"/>
    <s v="positive"/>
    <n v="1"/>
    <n v="2"/>
    <x v="7"/>
    <n v="0"/>
    <x v="1"/>
    <n v="1"/>
    <x v="1"/>
    <x v="3"/>
    <n v="0"/>
    <n v="0"/>
    <s v="n/a"/>
    <x v="2"/>
    <x v="0"/>
    <x v="0"/>
    <x v="0"/>
    <s v="polite_aux"/>
    <n v="0"/>
    <x v="2"/>
    <x v="1"/>
    <x v="2"/>
    <x v="0"/>
    <m/>
    <m/>
    <n v="2"/>
  </r>
  <r>
    <s v="Heike 2.139"/>
    <s v="召し出だされ (meshi idasare)"/>
    <s v="if it be brought out from thence,"/>
    <s v="召し出だされ "/>
    <s v="indicative"/>
    <x v="2"/>
    <x v="1"/>
    <x v="0"/>
    <s v="passive"/>
    <s v="positive"/>
    <n v="1"/>
    <n v="0"/>
    <x v="2"/>
    <n v="0"/>
    <x v="2"/>
    <n v="3"/>
    <x v="3"/>
    <x v="2"/>
    <n v="0"/>
    <n v="0"/>
    <s v="n/a"/>
    <x v="2"/>
    <x v="0"/>
    <x v="1"/>
    <x v="2"/>
    <s v="lexical_honorific_verb"/>
    <n v="0"/>
    <x v="2"/>
    <x v="2"/>
    <x v="1"/>
    <x v="1"/>
    <m/>
    <m/>
    <n v="0"/>
  </r>
  <r>
    <s v="Heike 2.140"/>
    <s v="刀の実否に付きて咎の左右あるべきか  katana no jippi ni tsukite toga no sayū aru beki ka"/>
    <s v=" it may be seen if it be a real sword or not,"/>
    <s v="あるべき"/>
    <s v="deontic"/>
    <x v="0"/>
    <x v="7"/>
    <x v="0"/>
    <s v="active"/>
    <s v="positive"/>
    <n v="1"/>
    <n v="1"/>
    <x v="0"/>
    <n v="1"/>
    <x v="0"/>
    <n v="3"/>
    <x v="0"/>
    <x v="0"/>
    <n v="0"/>
    <n v="0"/>
    <s v="n/a"/>
    <x v="2"/>
    <x v="0"/>
    <x v="0"/>
    <x v="0"/>
    <s v="n/a"/>
    <n v="0"/>
    <x v="2"/>
    <x v="1"/>
    <x v="1"/>
    <x v="0"/>
    <m/>
    <m/>
    <n v="1"/>
  </r>
  <r>
    <s v="Heike 2.141"/>
    <s v="この儀尤も然るべしとて (kono gi motto mo shikarubeshi tote)"/>
    <s v="&quot;This seems quite reasonable,&quot;"/>
    <s v="然るべし"/>
    <s v="deontic"/>
    <x v="0"/>
    <x v="5"/>
    <x v="0"/>
    <s v="active"/>
    <s v="positive"/>
    <n v="1"/>
    <n v="1"/>
    <x v="0"/>
    <n v="0"/>
    <x v="0"/>
    <n v="3"/>
    <x v="0"/>
    <x v="0"/>
    <n v="0"/>
    <n v="0"/>
    <s v="n/a"/>
    <x v="3"/>
    <x v="0"/>
    <x v="0"/>
    <x v="0"/>
    <s v="n/a"/>
    <n v="0"/>
    <x v="3"/>
    <x v="2"/>
    <x v="1"/>
    <x v="0"/>
    <m/>
    <m/>
    <n v="1"/>
  </r>
  <r>
    <s v="Heike 2.142"/>
    <s v="かの刀を召し出でて (kano katana o meshi-idete)"/>
    <s v="and they hastened to bring forth the sword,"/>
    <s v="召し出でて"/>
    <s v="indicative"/>
    <x v="2"/>
    <x v="1"/>
    <x v="1"/>
    <s v="active"/>
    <s v="positive"/>
    <n v="1"/>
    <n v="1"/>
    <x v="1"/>
    <n v="1"/>
    <x v="2"/>
    <n v="3"/>
    <x v="1"/>
    <x v="0"/>
    <n v="0"/>
    <n v="0"/>
    <s v="n/a"/>
    <x v="1"/>
    <x v="0"/>
    <x v="1"/>
    <x v="2"/>
    <s v="lexical_honorific_verb"/>
    <n v="0"/>
    <x v="1"/>
    <x v="2"/>
    <x v="3"/>
    <x v="2"/>
    <m/>
    <m/>
    <n v="1"/>
  </r>
  <r>
    <s v="Heike 2.143"/>
    <s v="叡覧あるに (eiran aru ni)"/>
    <s v="and exhibit it before His Majesty,"/>
    <s v="叡覧ある"/>
    <s v="indicative"/>
    <x v="2"/>
    <x v="3"/>
    <x v="1"/>
    <s v="active"/>
    <s v="positive"/>
    <n v="1"/>
    <n v="0"/>
    <x v="2"/>
    <n v="0"/>
    <x v="2"/>
    <n v="3"/>
    <x v="3"/>
    <x v="0"/>
    <n v="0"/>
    <n v="0"/>
    <s v="n/a"/>
    <x v="3"/>
    <x v="0"/>
    <x v="1"/>
    <x v="2"/>
    <s v="lexical_honorific_verb"/>
    <n v="0"/>
    <x v="0"/>
    <x v="1"/>
    <x v="1"/>
    <x v="1"/>
    <m/>
    <m/>
    <n v="0"/>
  </r>
  <r>
    <s v="Heike 2.144"/>
    <s v="上は鞘巻の黒う塗つたりけるが (ue wa sayamaki no kuro u nuttari keru ga)"/>
    <s v="its outside was that of a dirk in a black lacquer sheath,"/>
    <s v="塗つたりける"/>
    <s v="indicative"/>
    <x v="0"/>
    <x v="1"/>
    <x v="0"/>
    <s v="resultative"/>
    <s v="positive"/>
    <n v="1"/>
    <n v="1"/>
    <x v="0"/>
    <n v="0"/>
    <x v="0"/>
    <n v="3"/>
    <x v="0"/>
    <x v="0"/>
    <n v="0"/>
    <n v="0"/>
    <s v="n/a"/>
    <x v="3"/>
    <x v="0"/>
    <x v="0"/>
    <x v="0"/>
    <s v="n/a"/>
    <n v="0"/>
    <x v="9"/>
    <x v="2"/>
    <x v="1"/>
    <x v="0"/>
    <m/>
    <m/>
    <n v="1"/>
  </r>
  <r>
    <s v="Heike 2.145"/>
    <s v="中は木刀に銀薄をぞ押したりける (naka wa bokutō ni gin-haku o zo oshitari keru)"/>
    <s v="but within was only a wooden blade covered with silver."/>
    <s v="押したりける"/>
    <s v="indicative"/>
    <x v="0"/>
    <x v="1"/>
    <x v="1"/>
    <s v="resultative"/>
    <s v="positive"/>
    <n v="1"/>
    <n v="3"/>
    <x v="11"/>
    <n v="0"/>
    <x v="0"/>
    <n v="3"/>
    <x v="1"/>
    <x v="3"/>
    <n v="0"/>
    <n v="0"/>
    <s v="n/a"/>
    <x v="2"/>
    <x v="0"/>
    <x v="0"/>
    <x v="0"/>
    <s v="n/a"/>
    <n v="0"/>
    <x v="2"/>
    <x v="2"/>
    <x v="1"/>
    <x v="0"/>
    <m/>
    <m/>
    <n v="3"/>
  </r>
  <r>
    <s v="Heike 2.146"/>
    <s v="当座の恥辱を遁れんが為に (tōza no chijoku o nogaren ga tame ni)"/>
    <s v=" to avoid dishonour at the moment,"/>
    <s v="遁れん "/>
    <s v="dynamic"/>
    <x v="1"/>
    <x v="1"/>
    <x v="1"/>
    <s v="active"/>
    <s v="positive"/>
    <n v="1"/>
    <n v="1"/>
    <x v="1"/>
    <n v="0"/>
    <x v="1"/>
    <n v="3"/>
    <x v="1"/>
    <x v="0"/>
    <n v="0"/>
    <n v="0"/>
    <s v="n/a"/>
    <x v="3"/>
    <x v="0"/>
    <x v="0"/>
    <x v="0"/>
    <s v="n/a"/>
    <n v="0"/>
    <x v="7"/>
    <x v="2"/>
    <x v="1"/>
    <x v="0"/>
    <m/>
    <m/>
    <n v="1"/>
  </r>
  <r>
    <s v="Heike 2.147"/>
    <s v="刀を帯する katana o taisuru "/>
    <s v="Although he had displayed "/>
    <s v="帯する"/>
    <s v="indicative"/>
    <x v="1"/>
    <x v="3"/>
    <x v="1"/>
    <s v="active"/>
    <s v="positive"/>
    <n v="1"/>
    <n v="1"/>
    <x v="1"/>
    <n v="0"/>
    <x v="1"/>
    <n v="3"/>
    <x v="1"/>
    <x v="0"/>
    <n v="0"/>
    <n v="1"/>
    <s v="REL"/>
    <x v="0"/>
    <x v="0"/>
    <x v="0"/>
    <x v="0"/>
    <s v="n/a"/>
    <n v="0"/>
    <x v="2"/>
    <x v="1"/>
    <x v="1"/>
    <x v="2"/>
    <m/>
    <m/>
    <n v="1"/>
  </r>
  <r>
    <s v="Heike 2.148"/>
    <s v="由顕すといへども yoshi arawasu to iedomo"/>
    <s v="the appearance of a sword"/>
    <s v="顕す"/>
    <s v="indicative"/>
    <x v="1"/>
    <x v="1"/>
    <x v="1"/>
    <s v="active"/>
    <s v="positive"/>
    <n v="1"/>
    <n v="1"/>
    <x v="1"/>
    <n v="0"/>
    <x v="1"/>
    <n v="3"/>
    <x v="1"/>
    <x v="0"/>
    <n v="0"/>
    <n v="0"/>
    <s v="n/a"/>
    <x v="3"/>
    <x v="0"/>
    <x v="0"/>
    <x v="0"/>
    <s v="n/a"/>
    <n v="0"/>
    <x v="9"/>
    <x v="1"/>
    <x v="1"/>
    <x v="0"/>
    <m/>
    <m/>
    <n v="1"/>
  </r>
  <r>
    <s v="Heike 2.149"/>
    <s v="後日の訴訟を存じて (gojitsu no soshō o zonjite)"/>
    <s v="his substitution of a wooden blade as a precaution against an after accusation was exceedingly praiseworthy."/>
    <s v="存じて"/>
    <s v="indicative"/>
    <x v="6"/>
    <x v="3"/>
    <x v="1"/>
    <s v="active"/>
    <s v="positive"/>
    <n v="1"/>
    <n v="1"/>
    <x v="1"/>
    <n v="0"/>
    <x v="2"/>
    <n v="3"/>
    <x v="1"/>
    <x v="0"/>
    <n v="0"/>
    <n v="0"/>
    <s v="n/a"/>
    <x v="1"/>
    <x v="0"/>
    <x v="1"/>
    <x v="2"/>
    <s v="lexical_humble_verb"/>
    <n v="0"/>
    <x v="2"/>
    <x v="1"/>
    <x v="1"/>
    <x v="0"/>
    <m/>
    <m/>
    <n v="1"/>
  </r>
  <r>
    <s v="Heike 2.150"/>
    <s v="木刀を帯したる"/>
    <s v=" bokutō o tachitaru "/>
    <s v="帯したる"/>
    <s v="indicative"/>
    <x v="2"/>
    <x v="3"/>
    <x v="1"/>
    <s v="active"/>
    <s v="positive"/>
    <n v="1"/>
    <n v="1"/>
    <x v="1"/>
    <n v="0"/>
    <x v="1"/>
    <n v="3"/>
    <x v="1"/>
    <x v="0"/>
    <n v="0"/>
    <n v="1"/>
    <s v="REL"/>
    <x v="0"/>
    <x v="0"/>
    <x v="0"/>
    <x v="0"/>
    <s v="n/a"/>
    <n v="0"/>
    <x v="2"/>
    <x v="1"/>
    <x v="1"/>
    <x v="0"/>
    <m/>
    <m/>
    <n v="1"/>
  </r>
  <r>
    <s v="Heike 2.151"/>
    <s v="用意のほどこそ神妙なれ yōi no hodo koso shinmyō nare"/>
    <m/>
    <s v="なれ"/>
    <s v="indicative"/>
    <x v="0"/>
    <x v="0"/>
    <x v="0"/>
    <s v="active"/>
    <s v="positive"/>
    <n v="1"/>
    <n v="1"/>
    <x v="0"/>
    <n v="0"/>
    <x v="0"/>
    <n v="3"/>
    <x v="0"/>
    <x v="0"/>
    <n v="0"/>
    <n v="0"/>
    <s v="n/a"/>
    <x v="2"/>
    <x v="0"/>
    <x v="0"/>
    <x v="0"/>
    <s v="n/a"/>
    <n v="0"/>
    <x v="2"/>
    <x v="2"/>
    <x v="1"/>
    <x v="0"/>
    <m/>
    <m/>
    <n v="1"/>
  </r>
  <r>
    <s v="Heike 2.152"/>
    <s v="弓箭に携らん (yumiya ni tazusaran)"/>
    <s v="Such prudence is most commendable in a warrior."/>
    <s v="携らん"/>
    <s v="dynamic"/>
    <x v="2"/>
    <x v="1"/>
    <x v="0"/>
    <s v="active"/>
    <s v="positive"/>
    <n v="1"/>
    <n v="1"/>
    <x v="5"/>
    <n v="0"/>
    <x v="1"/>
    <n v="3"/>
    <x v="0"/>
    <x v="3"/>
    <n v="1"/>
    <n v="0"/>
    <s v="REL"/>
    <x v="0"/>
    <x v="0"/>
    <x v="0"/>
    <x v="0"/>
    <s v="n/a"/>
    <n v="0"/>
    <x v="2"/>
    <x v="2"/>
    <x v="2"/>
    <x v="0"/>
    <m/>
    <m/>
    <n v="1"/>
  </r>
  <r>
    <s v="Heike 2.153"/>
    <s v="ほどの者の謀は尤もかうこそあらまほしけれ hodo no mono no hakarigoto wa motto mo kō koso aramahoshikere"/>
    <m/>
    <s v="あらまほしけれ"/>
    <s v="desiderative"/>
    <x v="4"/>
    <x v="5"/>
    <x v="0"/>
    <s v="active"/>
    <s v="positive"/>
    <n v="1"/>
    <n v="1"/>
    <x v="0"/>
    <n v="1"/>
    <x v="0"/>
    <n v="3"/>
    <x v="0"/>
    <x v="0"/>
    <n v="0"/>
    <n v="0"/>
    <s v="n/a"/>
    <x v="2"/>
    <x v="0"/>
    <x v="0"/>
    <x v="0"/>
    <s v="n/a"/>
    <n v="0"/>
    <x v="2"/>
    <x v="2"/>
    <x v="2"/>
    <x v="0"/>
    <m/>
    <m/>
    <n v="1"/>
  </r>
  <r>
    <s v="Heike 2.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x v="0"/>
    <x v="0"/>
    <x v="0"/>
    <s v="active"/>
    <s v="positive"/>
    <n v="1"/>
    <n v="1"/>
    <x v="0"/>
    <n v="3"/>
    <x v="0"/>
    <n v="3"/>
    <x v="0"/>
    <x v="0"/>
    <n v="0"/>
    <n v="0"/>
    <s v="n/a"/>
    <x v="2"/>
    <x v="0"/>
    <x v="0"/>
    <x v="0"/>
    <s v="n/a"/>
    <n v="0"/>
    <x v="2"/>
    <x v="2"/>
    <x v="2"/>
    <x v="0"/>
    <m/>
    <m/>
    <n v="1"/>
  </r>
  <r>
    <s v="Heike 2.155"/>
    <s v="忠盛が咎にはあらずとて (Tadamori ga toga ni wa arazu tote)"/>
    <s v="and no fault was found in Tadamori."/>
    <s v="あらず"/>
    <s v="indicative"/>
    <x v="0"/>
    <x v="0"/>
    <x v="0"/>
    <s v="active"/>
    <s v="negative"/>
    <n v="1"/>
    <n v="1"/>
    <x v="0"/>
    <n v="0"/>
    <x v="0"/>
    <n v="3"/>
    <x v="0"/>
    <x v="0"/>
    <n v="0"/>
    <n v="0"/>
    <s v="n/a"/>
    <x v="3"/>
    <x v="0"/>
    <x v="0"/>
    <x v="0"/>
    <s v="n/a"/>
    <n v="0"/>
    <x v="3"/>
    <x v="2"/>
    <x v="2"/>
    <x v="0"/>
    <m/>
    <m/>
    <n v="1"/>
  </r>
  <r>
    <s v="Heike 2.156"/>
    <s v="却つて叡感に預かりし上は (kaette eikan ni azukarishi ue wa)"/>
    <s v="and on the contrary, his conduct was greatly admired,"/>
    <s v="預かりし"/>
    <s v="indicative"/>
    <x v="2"/>
    <x v="1"/>
    <x v="0"/>
    <s v="active"/>
    <s v="positive"/>
    <n v="1"/>
    <n v="1"/>
    <x v="5"/>
    <n v="1"/>
    <x v="1"/>
    <n v="3"/>
    <x v="0"/>
    <x v="3"/>
    <n v="0"/>
    <n v="0"/>
    <s v="REL"/>
    <x v="3"/>
    <x v="0"/>
    <x v="0"/>
    <x v="0"/>
    <s v="n/a"/>
    <n v="1"/>
    <x v="6"/>
    <x v="1"/>
    <x v="1"/>
    <x v="0"/>
    <m/>
    <m/>
    <n v="1"/>
  </r>
  <r>
    <s v="Heike 2.157"/>
    <s v="敢へて罪科の沙汰はなかりけり aete tsumikado no sata wa nakarikeri"/>
    <s v="and he was pronounced guiltless."/>
    <s v="なかりけり"/>
    <s v="indicative"/>
    <x v="7"/>
    <x v="1"/>
    <x v="0"/>
    <s v="active"/>
    <s v="negative"/>
    <n v="1"/>
    <n v="1"/>
    <x v="0"/>
    <n v="1"/>
    <x v="0"/>
    <n v="3"/>
    <x v="0"/>
    <x v="0"/>
    <n v="0"/>
    <n v="0"/>
    <s v="n/a"/>
    <x v="2"/>
    <x v="0"/>
    <x v="0"/>
    <x v="0"/>
    <s v="n/a"/>
    <n v="0"/>
    <x v="8"/>
    <x v="2"/>
    <x v="1"/>
    <x v="0"/>
    <m/>
    <m/>
    <n v="1"/>
  </r>
  <r>
    <s v="Total"/>
    <m/>
    <m/>
    <m/>
    <m/>
    <x v="8"/>
    <x v="6"/>
    <x v="2"/>
    <m/>
    <m/>
    <n v="154"/>
    <n v="150"/>
    <x v="6"/>
    <n v="72"/>
    <x v="7"/>
    <n v="426"/>
    <x v="8"/>
    <x v="5"/>
    <n v="7"/>
    <n v="17"/>
    <n v="0"/>
    <x v="9"/>
    <x v="3"/>
    <x v="3"/>
    <x v="5"/>
    <n v="0"/>
    <n v="6"/>
    <x v="5"/>
    <x v="3"/>
    <x v="4"/>
    <x v="3"/>
    <m/>
    <m/>
    <n v="0.974025974025974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x v="0"/>
    <s v="忠盛朝臣未だ備前守たりし時 (Tadamori ason imada Bizen no kami tarishi toki)"/>
    <s v="Now Tadamori, while holding the office of Bizen no Kami,"/>
    <s v="たりし"/>
    <s v="indicative"/>
    <x v="0"/>
    <x v="0"/>
    <s v="intransitive"/>
    <s v="active"/>
    <s v="positive"/>
    <n v="1"/>
    <n v="1"/>
    <s v="SUB"/>
    <n v="0"/>
    <x v="0"/>
    <n v="3"/>
    <s v="n/a"/>
    <s v="n/a"/>
    <n v="0"/>
    <n v="1"/>
    <s v="REL"/>
    <x v="0"/>
    <n v="0"/>
    <n v="0"/>
    <s v="n/a"/>
    <s v="n/a"/>
    <n v="0"/>
    <x v="0"/>
    <m/>
    <s v="new"/>
    <x v="0"/>
    <s v="topic-introduced"/>
    <s v="contains_new"/>
    <m/>
    <m/>
    <x v="0"/>
  </r>
  <r>
    <x v="1"/>
    <s v="鳥羽院の御願得長寿院を造進して (Toba-in no ogan Tokuchōju-in o zōshin shite)"/>
    <s v="by the request of the retired Emperor Toba,"/>
    <s v="造進して"/>
    <s v="indicative"/>
    <x v="1"/>
    <x v="1"/>
    <s v="transitive"/>
    <s v="active"/>
    <s v="positive"/>
    <n v="1"/>
    <n v="1"/>
    <s v="OBJ"/>
    <n v="1"/>
    <x v="1"/>
    <n v="3"/>
    <s v="overt"/>
    <s v="n/a"/>
    <n v="0"/>
    <n v="0"/>
    <s v="n/a"/>
    <x v="1"/>
    <n v="0"/>
    <n v="0"/>
    <s v="obj"/>
    <s v="nominal_prefix"/>
    <n v="1"/>
    <x v="1"/>
    <s v="relative"/>
    <s v="ss"/>
    <x v="0"/>
    <s v="topic-drop"/>
    <s v="contains_new"/>
    <s v="stranded subject Tadamori"/>
    <m/>
    <x v="0"/>
  </r>
  <r>
    <x v="2"/>
    <s v="三十三間の御堂を建て (sanjūsangen no midō o tatete)"/>
    <s v=" had built the temple Toku-cho-juin and the Sa-ju-san-gen-do, or hall 33 ken long,"/>
    <s v="建て"/>
    <s v="indicative"/>
    <x v="1"/>
    <x v="1"/>
    <s v="transitive"/>
    <s v="active"/>
    <s v="positive"/>
    <n v="1"/>
    <n v="1"/>
    <s v="OBJ"/>
    <n v="0"/>
    <x v="1"/>
    <n v="3"/>
    <s v="overt"/>
    <s v="n/a"/>
    <n v="0"/>
    <n v="0"/>
    <s v="n/a"/>
    <x v="1"/>
    <n v="0"/>
    <n v="0"/>
    <s v="obj"/>
    <s v="nominal_prefix"/>
    <n v="1"/>
    <x v="1"/>
    <s v="te"/>
    <s v="ss"/>
    <x v="0"/>
    <s v="topic-drop"/>
    <s v="contains_new"/>
    <m/>
    <m/>
    <x v="0"/>
  </r>
  <r>
    <x v="3"/>
    <s v="一千一体の御仏を据ゑ奉らる (issen ittai no mihotoke o sue-tatematsuraru)"/>
    <s v="within which were one thousand and one Buddhas;"/>
    <s v="据ゑ奉らる"/>
    <s v="indicative"/>
    <x v="2"/>
    <x v="1"/>
    <s v="transitive"/>
    <s v="active"/>
    <s v="positive"/>
    <n v="1"/>
    <n v="1"/>
    <s v="OBJ"/>
    <n v="0"/>
    <x v="2"/>
    <n v="3"/>
    <s v="overt"/>
    <s v="n/a"/>
    <n v="0"/>
    <n v="1"/>
    <s v="REL"/>
    <x v="0"/>
    <n v="1"/>
    <n v="1"/>
    <s v="sub"/>
    <s v="honorific_aux"/>
    <n v="1"/>
    <x v="2"/>
    <s v="te"/>
    <s v="ss"/>
    <x v="1"/>
    <s v="topic-drop"/>
    <s v="contains_new"/>
    <s v="complex verbal form"/>
    <m/>
    <x v="0"/>
  </r>
  <r>
    <x v="4"/>
    <s v="供養は天承元年三月十三日なり (kuyō wa Tenshō gannen sangatsu jūsan-nichi nari)"/>
    <s v="its first festival being on the thirteenth day of the third month of the first year of Tensho."/>
    <s v="なり"/>
    <s v="indicative"/>
    <x v="0"/>
    <x v="0"/>
    <s v="intransitive"/>
    <s v="active"/>
    <s v="positive"/>
    <n v="1"/>
    <n v="1"/>
    <s v="SUB"/>
    <n v="0"/>
    <x v="0"/>
    <n v="3"/>
    <s v="n/a"/>
    <s v="n/a"/>
    <n v="0"/>
    <n v="0"/>
    <s v="n/a"/>
    <x v="2"/>
    <n v="0"/>
    <n v="0"/>
    <s v="n/a"/>
    <s v="n/a"/>
    <n v="0"/>
    <x v="2"/>
    <s v="relative"/>
    <s v="ds"/>
    <x v="1"/>
    <s v="topic-introduced"/>
    <s v="contains_new"/>
    <m/>
    <m/>
    <x v="0"/>
  </r>
  <r>
    <x v="5"/>
    <s v="勧賞には欠国を賜ふべき由 (kanshō ni wa kakukuni o tamau beki yoshi)"/>
    <s v="As a reward he was to be granted a fief,"/>
    <s v="賜ふべき"/>
    <s v="deontic"/>
    <x v="2"/>
    <x v="1"/>
    <s v="transitive"/>
    <s v="active"/>
    <s v="positive"/>
    <n v="1"/>
    <n v="1"/>
    <s v="OBJ"/>
    <n v="1"/>
    <x v="2"/>
    <n v="3"/>
    <s v="overt"/>
    <s v="n/a"/>
    <n v="0"/>
    <n v="1"/>
    <s v="n/a"/>
    <x v="3"/>
    <n v="0"/>
    <n v="1"/>
    <s v="sub"/>
    <s v="lexical_honorific_verb"/>
    <n v="0"/>
    <x v="3"/>
    <s v="main"/>
    <s v="ds"/>
    <x v="1"/>
    <s v="topic-shift"/>
    <s v="contains_new"/>
    <m/>
    <m/>
    <x v="0"/>
  </r>
  <r>
    <x v="6"/>
    <s v="仰せ下されける (ōse-kudasa rekeru)"/>
    <s v="he was honoured by receiving the territory of the province of Tamba,"/>
    <s v="仰せ下されける"/>
    <s v="indicative"/>
    <x v="2"/>
    <x v="2"/>
    <s v="intransitive"/>
    <s v="passive"/>
    <s v="positive"/>
    <n v="1"/>
    <n v="0"/>
    <s v="n/a"/>
    <n v="0"/>
    <x v="2"/>
    <n v="3"/>
    <s v="not_applicable"/>
    <s v="not_applicable"/>
    <n v="1"/>
    <n v="0"/>
    <s v="REL"/>
    <x v="0"/>
    <n v="0"/>
    <n v="1"/>
    <s v="io"/>
    <s v="lexical honorific+honorific aux"/>
    <n v="0"/>
    <x v="2"/>
    <s v="subordinate"/>
    <s v="ds"/>
    <x v="0"/>
    <s v="topic-drop"/>
    <s v="no_overt_NP"/>
    <m/>
    <m/>
    <x v="1"/>
  </r>
  <r>
    <x v="7"/>
    <s v="折節但馬国の空きたりけるをぞ (orifushi Tamba no kuni no aki tarikeru o zo)"/>
    <s v="which then happened to be unappropriated."/>
    <s v="空きたりける"/>
    <s v="indicative"/>
    <x v="0"/>
    <x v="1"/>
    <s v="intransitive"/>
    <s v="resultative"/>
    <s v="positive"/>
    <n v="1"/>
    <n v="1"/>
    <s v="SUB"/>
    <n v="1"/>
    <x v="0"/>
    <n v="3"/>
    <s v="n/a"/>
    <s v="n/a"/>
    <n v="0"/>
    <n v="0"/>
    <s v="OBJ"/>
    <x v="4"/>
    <n v="0"/>
    <n v="0"/>
    <s v="n/a"/>
    <s v="n/a"/>
    <n v="0"/>
    <x v="2"/>
    <s v="relative"/>
    <s v="ss"/>
    <x v="1"/>
    <s v="topic-drop"/>
    <s v="contains_new"/>
    <s v="internally headed"/>
    <m/>
    <x v="0"/>
  </r>
  <r>
    <x v="8"/>
    <s v="賜はりける (tamawari keru)"/>
    <s v="As a reward he was honoured by receiving the territory of the province of Tamba, which then happened to be unappropriated."/>
    <s v="賜はりける"/>
    <s v="indicative"/>
    <x v="2"/>
    <x v="1"/>
    <s v="transitive"/>
    <s v="active"/>
    <s v="positive"/>
    <n v="1"/>
    <n v="1"/>
    <s v="OBJ"/>
    <n v="0"/>
    <x v="2"/>
    <n v="3"/>
    <s v="zero_recoverable"/>
    <s v="zero_recoverable"/>
    <n v="0"/>
    <n v="0"/>
    <s v="n/a"/>
    <x v="2"/>
    <n v="0"/>
    <n v="1"/>
    <s v="sub"/>
    <s v="lexical_humble_verb"/>
    <n v="0"/>
    <x v="2"/>
    <s v="nominalised"/>
    <s v="ds"/>
    <x v="1"/>
    <s v="topic-drop"/>
    <s v="no_overt_NP"/>
    <m/>
    <m/>
    <x v="0"/>
  </r>
  <r>
    <x v="9"/>
    <s v="上皇御感のあまりに内の昇殿を許さる (jōkō go-kan no amari ni uchi no shōden o yurusaru)"/>
    <s v="Moreover the Emperor of his bounty graciously permitted him to attend the Court;"/>
    <s v="許さる"/>
    <s v="indicative"/>
    <x v="2"/>
    <x v="1"/>
    <s v="transitive"/>
    <s v="active"/>
    <s v="positive"/>
    <n v="1"/>
    <n v="2"/>
    <s v="S+O"/>
    <n v="1"/>
    <x v="0"/>
    <n v="3"/>
    <s v="overt"/>
    <s v="zero_recoverable"/>
    <n v="1"/>
    <n v="0"/>
    <s v="REL"/>
    <x v="0"/>
    <n v="1"/>
    <n v="0"/>
    <s v="sub"/>
    <s v="honorific_aux"/>
    <n v="1"/>
    <x v="2"/>
    <s v="main"/>
    <s v="ds"/>
    <x v="1"/>
    <s v="topic-drop"/>
    <s v="contains_new"/>
    <s v="it's unlcear whether -re- in -yurusareru is passive or honorific"/>
    <m/>
    <x v="2"/>
  </r>
  <r>
    <x v="10"/>
    <s v="忠盛三十六にて初めて昇殿す (Tadamori sanjūroku nite hajimete shōden su)"/>
    <s v="which Tadamori did for the first time at the age of thirty six."/>
    <s v="昇殿す"/>
    <s v="indicative"/>
    <x v="3"/>
    <x v="3"/>
    <s v="intransitive"/>
    <s v="active"/>
    <s v="positive"/>
    <n v="1"/>
    <n v="1"/>
    <s v="SUB"/>
    <n v="2"/>
    <x v="0"/>
    <n v="3"/>
    <s v="overt"/>
    <s v="n/a"/>
    <n v="0"/>
    <n v="0"/>
    <s v="n/a"/>
    <x v="2"/>
    <n v="0"/>
    <n v="0"/>
    <s v="n/a"/>
    <s v="n/a"/>
    <n v="0"/>
    <x v="2"/>
    <s v="relative"/>
    <s v="ds"/>
    <x v="1"/>
    <s v="topic-continued"/>
    <s v="contains_new"/>
    <m/>
    <m/>
    <x v="0"/>
  </r>
  <r>
    <x v="11"/>
    <s v="雲の上人これを嫉み憤り (kumo no uebito kore o sonemi ikidori)"/>
    <s v="the higher Courtiers were furious with jealousy"/>
    <s v="嫉み憤り"/>
    <s v="indicative"/>
    <x v="4"/>
    <x v="4"/>
    <s v="transitive"/>
    <s v="active"/>
    <s v="positive"/>
    <n v="1"/>
    <n v="2"/>
    <s v="S+O"/>
    <n v="0"/>
    <x v="0"/>
    <n v="3"/>
    <s v="overt"/>
    <s v="n/a"/>
    <n v="0"/>
    <n v="0"/>
    <s v="n/a"/>
    <x v="5"/>
    <n v="0"/>
    <n v="0"/>
    <s v="n/a"/>
    <s v="n/a"/>
    <n v="0"/>
    <x v="2"/>
    <s v="main"/>
    <s v="ds"/>
    <x v="0"/>
    <s v="topic-introduced"/>
    <s v="contains_new"/>
    <m/>
    <m/>
    <x v="2"/>
  </r>
  <r>
    <x v="12"/>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x v="1"/>
    <x v="3"/>
    <s v="transitive"/>
    <s v="active"/>
    <s v="positive"/>
    <n v="1"/>
    <n v="1"/>
    <s v="OBJ"/>
    <n v="1"/>
    <x v="1"/>
    <n v="3"/>
    <s v="overt"/>
    <s v="n/a"/>
    <n v="0"/>
    <n v="0"/>
    <s v="n/a"/>
    <x v="6"/>
    <n v="0"/>
    <n v="0"/>
    <s v="n/a"/>
    <s v="n/a"/>
    <n v="0"/>
    <x v="4"/>
    <s v="inf"/>
    <s v="ss"/>
    <x v="1"/>
    <s v="topic-continued"/>
    <s v="contains_new"/>
    <m/>
    <m/>
    <x v="0"/>
  </r>
  <r>
    <x v="13"/>
    <s v="とぞ議せられける (to zo giserarikeru)"/>
    <s v="they plotted"/>
    <s v="議せられける"/>
    <s v="indicative"/>
    <x v="5"/>
    <x v="3"/>
    <s v="intransitive"/>
    <s v="passive"/>
    <s v="positive"/>
    <n v="1"/>
    <n v="1"/>
    <s v="S (Speech)"/>
    <n v="0"/>
    <x v="0"/>
    <s v="n/a"/>
    <s v="n/a"/>
    <s v="n/a"/>
    <n v="0"/>
    <n v="0"/>
    <s v="n/a"/>
    <x v="2"/>
    <n v="0"/>
    <n v="0"/>
    <s v="n/a"/>
    <s v="n/a"/>
    <n v="0"/>
    <x v="2"/>
    <s v="complement"/>
    <s v="ds"/>
    <x v="1"/>
    <s v="topic-drop"/>
    <s v="all given"/>
    <m/>
    <m/>
    <x v="0"/>
  </r>
  <r>
    <x v="14"/>
    <s v="忠盛この由を伝へ聞きて (Tadamori kono yoshi o tsutae kikite)"/>
    <s v="Tadamori, on hearing of this"/>
    <s v="伝へ聞きて"/>
    <s v="indicative"/>
    <x v="6"/>
    <x v="4"/>
    <s v="transitive"/>
    <s v="active"/>
    <s v="positive"/>
    <n v="1"/>
    <n v="2"/>
    <s v="OBJ"/>
    <n v="0"/>
    <x v="0"/>
    <n v="3"/>
    <s v="overt"/>
    <s v="n/a"/>
    <n v="0"/>
    <n v="0"/>
    <s v="n/a"/>
    <x v="1"/>
    <n v="0"/>
    <n v="0"/>
    <s v="n/a"/>
    <s v="n/a"/>
    <n v="0"/>
    <x v="1"/>
    <s v="main"/>
    <s v="ds"/>
    <x v="1"/>
    <s v="topic-shift"/>
    <s v="all given"/>
    <m/>
    <m/>
    <x v="2"/>
  </r>
  <r>
    <x v="15"/>
    <s v="我右弼の身にあらず (ware ubitsu no mi ni a-razu)"/>
    <s v="I am not a civil official"/>
    <s v="あらず"/>
    <s v="indicative"/>
    <x v="1"/>
    <x v="0"/>
    <s v="intransitive"/>
    <s v="active"/>
    <s v="negative"/>
    <n v="1"/>
    <n v="1"/>
    <s v="SUB"/>
    <n v="0"/>
    <x v="0"/>
    <n v="1"/>
    <s v="n/a"/>
    <s v="n/a"/>
    <n v="0"/>
    <n v="0"/>
    <s v="n/a"/>
    <x v="3"/>
    <n v="0"/>
    <n v="0"/>
    <s v="n/a"/>
    <s v="n/a"/>
    <n v="0"/>
    <x v="1"/>
    <s v="te"/>
    <s v="ds"/>
    <x v="0"/>
    <s v="topic-shift"/>
    <s v="contains_new"/>
    <m/>
    <m/>
    <x v="0"/>
  </r>
  <r>
    <x v="16"/>
    <s v="武勇の家に生れて (buyū no ie ni umarete)"/>
    <s v="being born of a line of warriors"/>
    <s v="生れて"/>
    <s v="indicative"/>
    <x v="1"/>
    <x v="1"/>
    <s v="intransitive"/>
    <s v="active"/>
    <s v="positive"/>
    <n v="1"/>
    <n v="1"/>
    <s v="SUB"/>
    <n v="1"/>
    <x v="1"/>
    <n v="1"/>
    <s v="n/a"/>
    <s v="n/a"/>
    <n v="0"/>
    <n v="0"/>
    <s v="n/a"/>
    <x v="1"/>
    <n v="0"/>
    <n v="0"/>
    <s v="n/a"/>
    <s v="n/a"/>
    <n v="0"/>
    <x v="1"/>
    <s v="subordinate"/>
    <s v="ss"/>
    <x v="0"/>
    <s v="topic-drop"/>
    <s v="contains_new"/>
    <m/>
    <m/>
    <x v="0"/>
  </r>
  <r>
    <x v="17"/>
    <s v="今不慮の恥に遇はん (ima furyo no haji ni awan)"/>
    <s v="for myself and my house at this unexpected shame"/>
    <s v="遇はん"/>
    <s v="epistemic"/>
    <x v="1"/>
    <x v="1"/>
    <s v="intransitive"/>
    <s v="active"/>
    <s v="positive"/>
    <n v="1"/>
    <n v="1"/>
    <s v="IO"/>
    <n v="1"/>
    <x v="1"/>
    <s v="n/a"/>
    <s v="n/a"/>
    <s v="overt"/>
    <n v="0"/>
    <n v="1"/>
    <s v="n/a"/>
    <x v="0"/>
    <n v="0"/>
    <n v="0"/>
    <s v="n/a"/>
    <s v="n/a"/>
    <n v="0"/>
    <x v="2"/>
    <s v="te"/>
    <s v="ss"/>
    <x v="1"/>
    <s v="topic-drop"/>
    <s v="contains_new"/>
    <m/>
    <m/>
    <x v="0"/>
  </r>
  <r>
    <x v="18"/>
    <s v="事家の為身の為心憂かるべし (koto ie no tame mi no tame kokoroukarubeshi)"/>
    <s v="I am troubled in my heart"/>
    <s v="憂かるべし"/>
    <s v="epistemic"/>
    <x v="4"/>
    <x v="5"/>
    <s v="intransitive"/>
    <s v="active"/>
    <s v="positive"/>
    <n v="1"/>
    <n v="1"/>
    <s v="SUB"/>
    <n v="1"/>
    <x v="0"/>
    <n v="3"/>
    <s v="n/a"/>
    <s v="n/a"/>
    <n v="0"/>
    <n v="0"/>
    <s v="n/a"/>
    <x v="2"/>
    <n v="0"/>
    <n v="0"/>
    <s v="n/a"/>
    <s v="n/a"/>
    <n v="0"/>
    <x v="2"/>
    <s v="relative"/>
    <s v="ds"/>
    <x v="2"/>
    <s v="topic-drop"/>
    <s v="contains_new"/>
    <m/>
    <m/>
    <x v="0"/>
  </r>
  <r>
    <x v="19"/>
    <s v="詮ずるところ (senzuru tokoro)"/>
    <s v="finally, as for what is to be done"/>
    <s v="詮ずる"/>
    <s v="indicative"/>
    <x v="1"/>
    <x v="6"/>
    <m/>
    <m/>
    <m/>
    <m/>
    <m/>
    <m/>
    <m/>
    <x v="3"/>
    <m/>
    <m/>
    <m/>
    <m/>
    <m/>
    <m/>
    <x v="7"/>
    <m/>
    <m/>
    <m/>
    <m/>
    <m/>
    <x v="5"/>
    <s v="main"/>
    <m/>
    <x v="0"/>
    <m/>
    <m/>
    <m/>
    <m/>
    <x v="3"/>
  </r>
  <r>
    <x v="20"/>
    <s v="身を全うして (mi o mattō shite)"/>
    <s v="with all your might"/>
    <s v="全うして"/>
    <s v="indicative"/>
    <x v="1"/>
    <x v="3"/>
    <s v="transitive"/>
    <s v="active"/>
    <s v="positive"/>
    <n v="1"/>
    <n v="1"/>
    <s v="OBJ"/>
    <n v="0"/>
    <x v="1"/>
    <n v="1"/>
    <s v="overt"/>
    <s v="n/a"/>
    <n v="0"/>
    <n v="0"/>
    <s v="n/a"/>
    <x v="1"/>
    <n v="0"/>
    <n v="0"/>
    <s v="n/a"/>
    <s v="n/a"/>
    <n v="0"/>
    <x v="1"/>
    <n v="0"/>
    <s v="ss"/>
    <x v="0"/>
    <s v="topic-drop"/>
    <s v="contains_new"/>
    <m/>
    <m/>
    <x v="0"/>
  </r>
  <r>
    <x v="21"/>
    <s v="君に仕へ奉れ"/>
    <s v=" kimi ni tsukae tatematsure"/>
    <s v="仕へ奉れ"/>
    <s v="imperative"/>
    <x v="2"/>
    <x v="1"/>
    <s v="intransitive"/>
    <s v="active"/>
    <s v="positive"/>
    <n v="1"/>
    <n v="1"/>
    <s v="IO"/>
    <n v="0"/>
    <x v="2"/>
    <n v="1"/>
    <s v="n/a"/>
    <s v="overt"/>
    <n v="0"/>
    <n v="0"/>
    <s v="n/a"/>
    <x v="6"/>
    <n v="1"/>
    <n v="1"/>
    <s v="sub"/>
    <s v="lexical_humble_verb"/>
    <n v="0"/>
    <x v="2"/>
    <s v="te"/>
    <s v="ss"/>
    <x v="1"/>
    <s v="topic-drop"/>
    <s v="contains_new"/>
    <m/>
    <m/>
    <x v="0"/>
  </r>
  <r>
    <x v="22"/>
    <s v="といふ本文あり (to iu honbun ari)"/>
    <s v="so goes the original passage"/>
    <s v="あり"/>
    <s v="indicative"/>
    <x v="0"/>
    <x v="7"/>
    <s v="intransitive"/>
    <s v="active"/>
    <s v="positive"/>
    <n v="1"/>
    <n v="1"/>
    <s v="SUB"/>
    <n v="1"/>
    <x v="0"/>
    <n v="3"/>
    <s v="n/a"/>
    <s v="n/a"/>
    <n v="0"/>
    <n v="0"/>
    <s v="n/a"/>
    <x v="2"/>
    <n v="0"/>
    <n v="0"/>
    <s v="n/a"/>
    <s v="n/a"/>
    <n v="0"/>
    <x v="2"/>
    <s v="complement"/>
    <s v="ds"/>
    <x v="0"/>
    <s v="topic-drop"/>
    <s v="contains_new"/>
    <s v="frame predicate"/>
    <m/>
    <x v="0"/>
  </r>
  <r>
    <x v="23"/>
    <s v="参内の初めより大なる鞘巻を用意し (sannai no hajime yori ō-naru sayamaki o yōi shi)"/>
    <s v="Before entering the Court he provided himself with a long dirk"/>
    <s v="用意し"/>
    <s v="indicative"/>
    <x v="1"/>
    <x v="3"/>
    <s v="transitive"/>
    <s v="active"/>
    <s v="positive"/>
    <n v="1"/>
    <n v="1"/>
    <s v="OBJ"/>
    <n v="1"/>
    <x v="1"/>
    <n v="3"/>
    <s v="overt"/>
    <s v="n/a"/>
    <n v="0"/>
    <n v="0"/>
    <s v="n/a"/>
    <x v="5"/>
    <n v="0"/>
    <n v="0"/>
    <s v="n/a"/>
    <s v="n/a"/>
    <n v="0"/>
    <x v="2"/>
    <s v="main"/>
    <s v="ss"/>
    <x v="0"/>
    <s v="topic-drop"/>
    <s v="contains_new"/>
    <m/>
    <m/>
    <x v="0"/>
  </r>
  <r>
    <x v="24"/>
    <s v="束帯の下にしどけなげに差し (sokutai no shita ni shidokenage ni sashi)"/>
    <s v="which he girt on under his long court dress"/>
    <s v="差し"/>
    <s v="indicative"/>
    <x v="1"/>
    <x v="1"/>
    <s v="transitive"/>
    <s v="active"/>
    <s v="positive"/>
    <n v="1"/>
    <n v="1"/>
    <s v="IO"/>
    <n v="1"/>
    <x v="1"/>
    <n v="3"/>
    <s v="zero_recoverable"/>
    <s v="overt"/>
    <n v="0"/>
    <n v="0"/>
    <s v="n/a"/>
    <x v="5"/>
    <n v="0"/>
    <n v="0"/>
    <s v="n/a"/>
    <s v="n/a"/>
    <n v="0"/>
    <x v="2"/>
    <s v="inf"/>
    <s v="ss"/>
    <x v="0"/>
    <s v="topic-drop"/>
    <s v="contains_new"/>
    <m/>
    <m/>
    <x v="0"/>
  </r>
  <r>
    <x v="25"/>
    <s v="火の仄暗き方に向かつて (hi no hokuraki kata ni mukatte)"/>
    <s v="and turning aside to a dimly lit place"/>
    <s v="向かつて"/>
    <s v="indicative"/>
    <x v="1"/>
    <x v="1"/>
    <s v="intransitive"/>
    <s v="active"/>
    <s v="positive"/>
    <n v="1"/>
    <n v="1"/>
    <s v="IO"/>
    <n v="1"/>
    <x v="1"/>
    <n v="3"/>
    <s v="n/a"/>
    <s v="overt"/>
    <n v="0"/>
    <n v="0"/>
    <s v="n/a"/>
    <x v="1"/>
    <n v="0"/>
    <n v="0"/>
    <s v="n/a"/>
    <s v="n/a"/>
    <n v="0"/>
    <x v="1"/>
    <s v="inf"/>
    <s v="ss"/>
    <x v="0"/>
    <s v="topic-drop"/>
    <s v="contains_new"/>
    <m/>
    <m/>
    <x v="0"/>
  </r>
  <r>
    <x v="26"/>
    <s v="やはらこの刀を抜き出でて (yahara kono katana o nuki-idete)"/>
    <s v="slowly drew the blade"/>
    <s v="抜き出でて"/>
    <s v="indicative"/>
    <x v="3"/>
    <x v="4"/>
    <s v="transitive"/>
    <s v="active"/>
    <s v="positive"/>
    <n v="1"/>
    <n v="1"/>
    <s v="OBJ"/>
    <n v="0"/>
    <x v="1"/>
    <n v="3"/>
    <s v="overt"/>
    <s v="n/a"/>
    <n v="0"/>
    <n v="0"/>
    <s v="n/a"/>
    <x v="1"/>
    <n v="0"/>
    <n v="0"/>
    <s v="n/a"/>
    <s v="n/a"/>
    <n v="0"/>
    <x v="1"/>
    <s v="te"/>
    <s v="ss"/>
    <x v="0"/>
    <s v="topic-drop"/>
    <s v="all given"/>
    <s v="&quot;kono katana&quot; refers to the &quot;sayamaki&quot;, so all given"/>
    <m/>
    <x v="0"/>
  </r>
  <r>
    <x v="27"/>
    <s v="鬢に引き当てられたりけるが (kami ni hiki-ate raretarikeru ga)"/>
    <s v="and passed it through the hair of his head"/>
    <s v="引き当てられたりける"/>
    <s v="indicative"/>
    <x v="3"/>
    <x v="1"/>
    <s v="transitive"/>
    <s v="active"/>
    <s v="positive"/>
    <n v="1"/>
    <n v="1"/>
    <s v="IO"/>
    <n v="0"/>
    <x v="2"/>
    <n v="3"/>
    <s v="zero_recoverable"/>
    <s v="overt"/>
    <n v="0"/>
    <n v="0"/>
    <s v="n/a"/>
    <x v="3"/>
    <n v="0"/>
    <n v="1"/>
    <s v="sub"/>
    <s v="honorific_aux"/>
    <n v="0"/>
    <x v="6"/>
    <s v="te"/>
    <s v="ss"/>
    <x v="1"/>
    <s v="topic-drop"/>
    <s v="contains_new"/>
    <s v="should the -to part be considered a clausal subject?"/>
    <m/>
    <x v="0"/>
  </r>
  <r>
    <x v="28"/>
    <s v="余所よりは氷などのやうにぞ見えたりける (yoso yori wa kōri nado no yō ni zo mieta rikeru)"/>
    <s v="so that it gleamed afar off with an icy sheen"/>
    <s v="見えたりける"/>
    <s v="indicative"/>
    <x v="6"/>
    <x v="1"/>
    <s v="intransitive"/>
    <s v="resultative"/>
    <s v="positive"/>
    <n v="1"/>
    <n v="0"/>
    <s v="n/a"/>
    <n v="2"/>
    <x v="1"/>
    <n v="3"/>
    <s v="n/a"/>
    <s v="n/a"/>
    <n v="0"/>
    <n v="0"/>
    <s v="n/a"/>
    <x v="0"/>
    <n v="0"/>
    <n v="0"/>
    <s v="n/a"/>
    <s v="n/a"/>
    <n v="0"/>
    <x v="2"/>
    <s v="subordinate"/>
    <s v="ds"/>
    <x v="0"/>
    <s v="topic-drop"/>
    <s v="no_overt_NP"/>
    <m/>
    <m/>
    <x v="1"/>
  </r>
  <r>
    <x v="29"/>
    <s v="諸人目を澄ましけり (morobito me o sumashikeri)"/>
    <s v="causing all to stare open-eyed"/>
    <s v="澄ましけり"/>
    <s v="indicative"/>
    <x v="1"/>
    <x v="1"/>
    <s v="transitive"/>
    <s v="active"/>
    <s v="positive"/>
    <n v="1"/>
    <n v="2"/>
    <s v="O+IO"/>
    <n v="0"/>
    <x v="1"/>
    <n v="3"/>
    <s v="overt"/>
    <s v="overt"/>
    <n v="0"/>
    <n v="0"/>
    <s v="n/a"/>
    <x v="2"/>
    <n v="0"/>
    <n v="0"/>
    <s v="n/a"/>
    <s v="n/a"/>
    <n v="0"/>
    <x v="2"/>
    <s v="relative"/>
    <s v="ss"/>
    <x v="1"/>
    <s v="topic-drop"/>
    <s v="contains_new"/>
    <m/>
    <m/>
    <x v="2"/>
  </r>
  <r>
    <x v="30"/>
    <s v="また忠盛の郎等元は一門たりし( mata Tadamori no rōtō moto wa ichimon tarishi) "/>
    <s v="Moreover a retainer of Tadamori ... "/>
    <s v="たりし"/>
    <s v="indicative"/>
    <x v="1"/>
    <x v="0"/>
    <s v="intransitive"/>
    <s v="active"/>
    <s v="positive"/>
    <n v="1"/>
    <n v="1"/>
    <s v="SUB"/>
    <n v="1"/>
    <x v="0"/>
    <n v="3"/>
    <s v="n/a"/>
    <s v="n/a"/>
    <n v="0"/>
    <n v="0"/>
    <s v="REL"/>
    <x v="0"/>
    <n v="0"/>
    <n v="0"/>
    <s v="n/a"/>
    <s v="n/a"/>
    <n v="0"/>
    <x v="6"/>
    <s v="main"/>
    <s v="ds"/>
    <x v="0"/>
    <s v="topic-introduced"/>
    <s v="contains_new"/>
    <m/>
    <m/>
    <x v="0"/>
  </r>
  <r>
    <x v="31"/>
    <s v="木工助平貞光が孫新四郎太夫家房が子に左兵衛尉家貞といふ者あり (Moku no suke Sadamitsu ga mago Shinshirō Tayū Iefusa ga ko ni Sahyōe no jō Iesada to iu mono ari)"/>
    <s v="there was one named Sahyoe-no-jo Iesada"/>
    <s v="あり"/>
    <s v="indicative"/>
    <x v="1"/>
    <x v="7"/>
    <s v="intransitive"/>
    <s v="active"/>
    <s v="positive"/>
    <n v="1"/>
    <n v="1"/>
    <s v="SUB"/>
    <n v="2"/>
    <x v="0"/>
    <n v="3"/>
    <s v="n/a"/>
    <s v="n/a"/>
    <n v="0"/>
    <n v="0"/>
    <s v="n/a"/>
    <x v="2"/>
    <n v="0"/>
    <n v="0"/>
    <s v="n/a"/>
    <s v="n/a"/>
    <n v="0"/>
    <x v="2"/>
    <s v="relative"/>
    <s v="ss"/>
    <x v="0"/>
    <s v="topic-introduced"/>
    <s v="contains_new"/>
    <s v="frame predicate"/>
    <m/>
    <x v="0"/>
  </r>
  <r>
    <x v="32"/>
    <s v="薄青の狩衣の下に萌黄威の腹巻を着 (usuao no kariginu no shita ni moegi-odoshi no haramaki o ki)"/>
    <s v="wearing a body armour laced with bright green under a light green &quot;kariginu&quot;"/>
    <s v="着"/>
    <s v="indicative"/>
    <x v="1"/>
    <x v="1"/>
    <s v="transitive"/>
    <s v="active"/>
    <s v="positive"/>
    <n v="1"/>
    <n v="1"/>
    <s v="OBJ"/>
    <n v="1"/>
    <x v="1"/>
    <n v="3"/>
    <s v="overt"/>
    <s v="n/a"/>
    <n v="0"/>
    <n v="0"/>
    <s v="n/a"/>
    <x v="5"/>
    <n v="0"/>
    <n v="0"/>
    <s v="n/a"/>
    <s v="n/a"/>
    <n v="0"/>
    <x v="2"/>
    <s v="main"/>
    <s v="ss"/>
    <x v="0"/>
    <s v="topic-drop"/>
    <s v="contains_new"/>
    <m/>
    <m/>
    <x v="0"/>
  </r>
  <r>
    <x v="33"/>
    <s v="柄弦袋付けたる ezurubukuro tsuketaru "/>
    <s v="with a bowstring bag attached"/>
    <s v="付けたる"/>
    <s v="indicative"/>
    <x v="1"/>
    <x v="1"/>
    <s v="transitive"/>
    <s v="active"/>
    <s v="positive"/>
    <n v="1"/>
    <n v="1"/>
    <s v="OBJ"/>
    <n v="0"/>
    <x v="1"/>
    <n v="3"/>
    <s v="overt"/>
    <s v="n/a"/>
    <n v="1"/>
    <n v="0"/>
    <s v="REL"/>
    <x v="0"/>
    <n v="0"/>
    <n v="0"/>
    <s v="n/a"/>
    <s v="n/a"/>
    <n v="0"/>
    <x v="2"/>
    <s v="inf"/>
    <s v="ss"/>
    <x v="0"/>
    <s v="topic-drop"/>
    <s v="contains_new"/>
    <m/>
    <m/>
    <x v="0"/>
  </r>
  <r>
    <x v="34"/>
    <s v="太刀脇挟んで (tachi wakihasande)"/>
    <s v="and carrying under his arm a &quot;tachi&quot; "/>
    <s v="挟んで"/>
    <s v="indicative"/>
    <x v="1"/>
    <x v="1"/>
    <s v="transitive"/>
    <s v="active"/>
    <s v="positive"/>
    <n v="1"/>
    <n v="2"/>
    <s v="O+IO"/>
    <n v="0"/>
    <x v="1"/>
    <n v="3"/>
    <s v="overt"/>
    <s v="overt"/>
    <n v="0"/>
    <n v="0"/>
    <s v="n/a"/>
    <x v="1"/>
    <n v="0"/>
    <n v="0"/>
    <s v="n/a"/>
    <s v="n/a"/>
    <n v="0"/>
    <x v="2"/>
    <s v="relative"/>
    <s v="ss"/>
    <x v="0"/>
    <s v="topic-drop"/>
    <s v="contains_new"/>
    <m/>
    <m/>
    <x v="2"/>
  </r>
  <r>
    <x v="35"/>
    <s v="殿上の小庭に畏つてぞ候ひける (tenjō no koniwa ni kashikomatte zo soroikyeru)"/>
    <s v="was waiting in the &quot;koniwa,&quot; the small court by the Seiryoden"/>
    <s v="畏つて候ひける"/>
    <s v="indicative"/>
    <x v="1"/>
    <x v="2"/>
    <s v="intransitive"/>
    <s v="active"/>
    <s v="positive"/>
    <n v="1"/>
    <n v="0"/>
    <s v="n/a"/>
    <n v="1"/>
    <x v="1"/>
    <n v="3"/>
    <s v="n/a"/>
    <s v="n/a"/>
    <n v="0"/>
    <n v="0"/>
    <s v="n/a"/>
    <x v="2"/>
    <n v="0"/>
    <n v="1"/>
    <s v="sub"/>
    <s v="lexical_humble_verb"/>
    <n v="0"/>
    <x v="2"/>
    <s v="te"/>
    <s v="ss"/>
    <x v="1"/>
    <s v="topic-drop"/>
    <s v="no_overt_NP"/>
    <m/>
    <m/>
    <x v="1"/>
  </r>
  <r>
    <x v="36"/>
    <s v="貫首以下怪しみをなして (kanshu ika ayashimi o nashite)"/>
    <s v="Now the Kurando-no-to and others, thinking it strange,"/>
    <s v="なして"/>
    <s v="indicative"/>
    <x v="1"/>
    <x v="8"/>
    <s v="transitive"/>
    <s v="active"/>
    <s v="negative"/>
    <n v="1"/>
    <n v="2"/>
    <s v="S+O"/>
    <n v="0"/>
    <x v="0"/>
    <n v="3"/>
    <s v="overt"/>
    <s v="n/a"/>
    <n v="0"/>
    <n v="0"/>
    <s v="n/a"/>
    <x v="1"/>
    <n v="0"/>
    <n v="0"/>
    <s v="n/a"/>
    <s v="n/a"/>
    <n v="0"/>
    <x v="1"/>
    <s v="main"/>
    <s v="ds"/>
    <x v="0"/>
    <s v="topic-shift"/>
    <s v="contains_new"/>
    <m/>
    <m/>
    <x v="2"/>
  </r>
  <r>
    <x v="37"/>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x v="1"/>
    <x v="1"/>
    <s v="intransitive"/>
    <s v="active"/>
    <s v="positive"/>
    <n v="1"/>
    <n v="1"/>
    <s v="SUB"/>
    <n v="1"/>
    <x v="0"/>
    <n v="3"/>
    <s v="n/a"/>
    <s v="n/a"/>
    <n v="0"/>
    <n v="0"/>
    <s v="SUB"/>
    <x v="4"/>
    <n v="1"/>
    <n v="0"/>
    <s v="sub"/>
    <s v="lexical_humble_verb"/>
    <n v="0"/>
    <x v="2"/>
    <s v="te"/>
    <s v="ss"/>
    <x v="0"/>
    <s v="topic-shift"/>
    <s v="contains_new"/>
    <s v="internally headed"/>
    <m/>
    <x v="0"/>
  </r>
  <r>
    <x v="38"/>
    <s v="は何者ぞ  wa nani mono zo"/>
    <s v="and wondering who he was."/>
    <s v="何者ぞ  "/>
    <s v="indicative"/>
    <x v="1"/>
    <x v="0"/>
    <s v="intransitive"/>
    <s v="active"/>
    <s v="positive"/>
    <n v="1"/>
    <n v="1"/>
    <s v="SUB"/>
    <n v="0"/>
    <x v="0"/>
    <n v="3"/>
    <s v="n/a"/>
    <s v="n/a"/>
    <n v="0"/>
    <n v="0"/>
    <s v="n/a"/>
    <x v="2"/>
    <n v="0"/>
    <n v="0"/>
    <s v="n/a"/>
    <s v="n/a"/>
    <n v="0"/>
    <x v="2"/>
    <s v="nominalised"/>
    <s v="ss"/>
    <x v="0"/>
    <s v="topic-continued"/>
    <s v="all given"/>
    <m/>
    <m/>
    <x v="0"/>
  </r>
  <r>
    <x v="39"/>
    <s v="狼藉なり (rōzaku nari)"/>
    <s v="&quot;[He is] disorderly&quot;"/>
    <s v="なり"/>
    <s v="indicative"/>
    <x v="0"/>
    <x v="0"/>
    <s v="intransitive"/>
    <s v="active"/>
    <s v="positive"/>
    <n v="1"/>
    <n v="0"/>
    <s v="n/a"/>
    <n v="0"/>
    <x v="4"/>
    <n v="3"/>
    <s v="n/a"/>
    <s v="n/a"/>
    <n v="0"/>
    <n v="0"/>
    <s v="n/a"/>
    <x v="2"/>
    <n v="0"/>
    <n v="0"/>
    <s v="n/a"/>
    <s v="n/a"/>
    <n v="0"/>
    <x v="2"/>
    <s v="main"/>
    <s v="ss"/>
    <x v="0"/>
    <s v="topic-drop"/>
    <s v="no_overt_NP"/>
    <m/>
    <m/>
    <x v="1"/>
  </r>
  <r>
    <x v="40"/>
    <s v="疾う疾う罷り出でよと (tōtō makari ideyo to)"/>
    <s v="&quot;Depart quickly&quot;"/>
    <s v="罷り出でよ"/>
    <s v="imperative"/>
    <x v="3"/>
    <x v="1"/>
    <s v="intransitive"/>
    <s v="active"/>
    <s v="positive"/>
    <n v="1"/>
    <n v="0"/>
    <s v="n/a"/>
    <n v="0"/>
    <x v="1"/>
    <n v="2"/>
    <s v="n/a"/>
    <s v="n/a"/>
    <n v="0"/>
    <n v="0"/>
    <s v="n/a"/>
    <x v="6"/>
    <n v="0"/>
    <n v="1"/>
    <s v="sub"/>
    <s v="lexical_humble_verb"/>
    <n v="0"/>
    <x v="4"/>
    <s v="main"/>
    <s v="ss"/>
    <x v="0"/>
    <s v="topic-drop"/>
    <s v="no_overt_NP"/>
    <s v="embedded"/>
    <m/>
    <x v="1"/>
  </r>
  <r>
    <x v="41"/>
    <s v="六位を以て云はせられたりければ (to roku-i o motte iwaseraretarikereba)"/>
    <s v="an official of the sixth rank ordered him to depart quickly."/>
    <s v="云はせられたりければ"/>
    <s v="indicative"/>
    <x v="0"/>
    <x v="1"/>
    <s v="intransitive"/>
    <s v="causative-passive-resultative"/>
    <s v="positive"/>
    <n v="1"/>
    <n v="2"/>
    <s v="O (Speech) +IO"/>
    <n v="1"/>
    <x v="1"/>
    <n v="3"/>
    <s v="overt"/>
    <s v="n/a"/>
    <n v="0"/>
    <n v="0"/>
    <s v="n/a"/>
    <x v="3"/>
    <n v="1"/>
    <n v="0"/>
    <s v="n/a"/>
    <s v="honorific_aux"/>
    <n v="0"/>
    <x v="2"/>
    <s v="complement"/>
    <s v="ss"/>
    <x v="0"/>
    <s v="topic-drop"/>
    <s v="contains_new"/>
    <m/>
    <m/>
    <x v="2"/>
  </r>
  <r>
    <x v="42"/>
    <s v="家貞畏つて申しけるは (Iesada kashikomatte mōshikeru wa)"/>
    <s v="But Iesada thus replied:"/>
    <s v="申しける"/>
    <s v="indicative"/>
    <x v="2"/>
    <x v="1"/>
    <s v="transitive"/>
    <s v="active"/>
    <s v="positive"/>
    <n v="1"/>
    <n v="1"/>
    <s v="SUB"/>
    <n v="0"/>
    <x v="0"/>
    <n v="3"/>
    <s v="zero_other"/>
    <s v="n/a"/>
    <n v="1"/>
    <n v="0"/>
    <s v="SUB"/>
    <x v="3"/>
    <n v="1"/>
    <n v="0"/>
    <s v="sub"/>
    <s v="lexical_humble_verb"/>
    <n v="0"/>
    <x v="2"/>
    <s v="subordinate"/>
    <s v="ss"/>
    <x v="1"/>
    <s v="topic-continued"/>
    <s v="all given"/>
    <s v="internally headed"/>
    <m/>
    <x v="0"/>
  </r>
  <r>
    <x v="43"/>
    <s v="相伝の主備前守殿今夜闇討にせられ給ふべき (sōden no aruji Bizen no kami-dono kon'ya yamiuchi ni serare-tamō beki) "/>
    <s v="tonight they will try to kill my Lord Bizen-no-kami dono&quot;"/>
    <s v="闇討にせられ給ふ"/>
    <s v="indicative"/>
    <x v="1"/>
    <x v="3"/>
    <s v="intransitive"/>
    <s v="passive"/>
    <s v="positive"/>
    <n v="1"/>
    <n v="1"/>
    <s v="SUB"/>
    <n v="1"/>
    <x v="0"/>
    <n v="3"/>
    <s v="n/a"/>
    <s v="n/a"/>
    <n v="0"/>
    <n v="1"/>
    <s v="REL"/>
    <x v="0"/>
    <n v="1"/>
    <n v="0"/>
    <s v="sub"/>
    <s v="lexical_honorific_verb"/>
    <n v="0"/>
    <x v="2"/>
    <s v="subordinate"/>
    <s v="ds"/>
    <x v="0"/>
    <s v="topic-shift"/>
    <s v="contains_new"/>
    <m/>
    <m/>
    <x v="0"/>
  </r>
  <r>
    <x v="44"/>
    <s v="由伝へ承つて(yoshi tsutae uketamawatte) "/>
    <s v="Because I have heard that"/>
    <s v="伝へ承つて"/>
    <s v="indicative"/>
    <x v="5"/>
    <x v="1"/>
    <s v="transitive"/>
    <s v="active"/>
    <s v="positive"/>
    <n v="1"/>
    <n v="1"/>
    <s v="OBJ"/>
    <n v="0"/>
    <x v="1"/>
    <n v="1"/>
    <s v="overt"/>
    <s v="n/a"/>
    <n v="0"/>
    <n v="0"/>
    <s v="n/a"/>
    <x v="1"/>
    <n v="0"/>
    <n v="1"/>
    <s v="sub"/>
    <s v="honorific_aux"/>
    <n v="0"/>
    <x v="1"/>
    <s v="relative"/>
    <s v="ss"/>
    <x v="1"/>
    <s v="topic-drop"/>
    <s v="contains_new"/>
    <m/>
    <m/>
    <x v="0"/>
  </r>
  <r>
    <x v="45"/>
    <s v="それならん  (sore naran )"/>
    <s v="&quot;whether it is so&quot;"/>
    <s v="ならん "/>
    <s v="epistemic"/>
    <x v="1"/>
    <x v="1"/>
    <s v="intransitive"/>
    <s v="active"/>
    <s v="positive"/>
    <n v="1"/>
    <n v="1"/>
    <s v="SUB"/>
    <n v="0"/>
    <x v="0"/>
    <n v="3"/>
    <s v="n/a"/>
    <s v="n/a"/>
    <n v="0"/>
    <n v="1"/>
    <s v="REL"/>
    <x v="0"/>
    <n v="0"/>
    <n v="0"/>
    <s v="n/a"/>
    <s v="n/a"/>
    <n v="0"/>
    <x v="2"/>
    <s v="te"/>
    <s v="ds"/>
    <x v="1"/>
    <s v="topic-continued"/>
    <s v="all given"/>
    <m/>
    <m/>
    <x v="0"/>
  </r>
  <r>
    <x v="46"/>
    <s v="やうを見んとて (yō o min to te)"/>
    <s v="and in order to see "/>
    <s v="見ん"/>
    <s v="dynamic"/>
    <x v="6"/>
    <x v="1"/>
    <s v="transitive"/>
    <s v="active"/>
    <s v="positive"/>
    <n v="1"/>
    <n v="1"/>
    <s v="OBJ"/>
    <n v="0"/>
    <x v="1"/>
    <n v="1"/>
    <s v="overt"/>
    <s v="n/a"/>
    <n v="0"/>
    <n v="0"/>
    <s v="REL"/>
    <x v="3"/>
    <n v="0"/>
    <n v="0"/>
    <s v="n/a"/>
    <s v="n/a"/>
    <n v="0"/>
    <x v="7"/>
    <s v="relative"/>
    <s v="ds"/>
    <x v="0"/>
    <s v="topic-drop"/>
    <s v="contains_new"/>
    <m/>
    <m/>
    <x v="0"/>
  </r>
  <r>
    <x v="47"/>
    <s v="かくて候ふなり (kakute soro fu nari)"/>
    <s v="&quot;have come and am thus waiting&quot;"/>
    <s v="候ふなり"/>
    <s v="indicative"/>
    <x v="0"/>
    <x v="2"/>
    <s v="intransitive"/>
    <s v="active"/>
    <s v="positive"/>
    <n v="1"/>
    <n v="0"/>
    <s v="n/a"/>
    <n v="1"/>
    <x v="2"/>
    <n v="1"/>
    <s v="n/a"/>
    <s v="n/a"/>
    <n v="0"/>
    <n v="0"/>
    <s v="n/a"/>
    <x v="2"/>
    <n v="0"/>
    <n v="1"/>
    <s v="sub"/>
    <s v="lexical_humble_verb"/>
    <n v="0"/>
    <x v="2"/>
    <s v="subordinate"/>
    <s v="ss"/>
    <x v="0"/>
    <s v="topic-drop"/>
    <s v="no_overt_NP"/>
    <m/>
    <m/>
    <x v="1"/>
  </r>
  <r>
    <x v="48"/>
    <s v="えこそ出でまじう候へ (e koso idema jiu soro e)"/>
    <s v="&quot;I cannot possibly go out&quot;"/>
    <s v="出でまじう候へ"/>
    <s v="dynamic"/>
    <x v="3"/>
    <x v="1"/>
    <s v="intransitive"/>
    <s v="active"/>
    <s v="negative"/>
    <n v="1"/>
    <n v="0"/>
    <s v="n/a"/>
    <n v="0"/>
    <x v="2"/>
    <n v="1"/>
    <s v="n/a"/>
    <s v="n/a"/>
    <n v="0"/>
    <n v="0"/>
    <s v="n/a"/>
    <x v="2"/>
    <n v="0"/>
    <n v="1"/>
    <s v="sub"/>
    <s v="polite_aux"/>
    <n v="0"/>
    <x v="2"/>
    <s v="main"/>
    <s v="ss"/>
    <x v="1"/>
    <s v="topic-drop"/>
    <s v="no_overt_NP"/>
    <m/>
    <m/>
    <x v="1"/>
  </r>
  <r>
    <x v="49"/>
    <s v="これらを由なしとや (korera o yoshi nashi to ya)"/>
    <s v=" there was nothing more to be done;"/>
    <s v="なし"/>
    <s v="indicative"/>
    <x v="0"/>
    <x v="7"/>
    <s v="intransitive"/>
    <s v="active"/>
    <s v="negative"/>
    <n v="1"/>
    <n v="1"/>
    <s v="SUB"/>
    <n v="1"/>
    <x v="0"/>
    <n v="3"/>
    <s v="n/a"/>
    <s v="n/a"/>
    <n v="0"/>
    <n v="0"/>
    <s v="n/a"/>
    <x v="6"/>
    <n v="0"/>
    <n v="0"/>
    <s v="n/a"/>
    <s v="n/a"/>
    <n v="0"/>
    <x v="4"/>
    <s v="main"/>
    <s v="ds"/>
    <x v="3"/>
    <s v="topic-continued"/>
    <s v="contains_new"/>
    <m/>
    <m/>
    <x v="0"/>
  </r>
  <r>
    <x v="50"/>
    <s v="思はれけん (omowareken)"/>
    <s v="And they saw that"/>
    <s v="思はれけん"/>
    <s v="epistemic"/>
    <x v="4"/>
    <x v="1"/>
    <s v="transitive"/>
    <s v="active"/>
    <s v="positive"/>
    <n v="1"/>
    <n v="1"/>
    <s v="O (Speech)"/>
    <n v="0"/>
    <x v="2"/>
    <n v="3"/>
    <s v="overt"/>
    <s v="n/a"/>
    <n v="0"/>
    <n v="0"/>
    <s v="n/a"/>
    <x v="2"/>
    <n v="0"/>
    <n v="1"/>
    <s v="sub"/>
    <s v="honorific_aux"/>
    <n v="0"/>
    <x v="8"/>
    <m/>
    <s v="ds"/>
    <x v="3"/>
    <s v="topic-drop"/>
    <s v="contains_new"/>
    <m/>
    <m/>
    <x v="0"/>
  </r>
  <r>
    <x v="51"/>
    <s v="その夜の闇討なかりけり (sono yo no yamiuchi nakarikeri)"/>
    <s v="and thus the attempt did not take place."/>
    <s v="なかりけり"/>
    <s v="indicative"/>
    <x v="7"/>
    <x v="1"/>
    <s v="intransitive"/>
    <s v="active"/>
    <s v="negative"/>
    <n v="1"/>
    <n v="1"/>
    <s v="SUB"/>
    <n v="0"/>
    <x v="0"/>
    <s v="inanimate"/>
    <s v="n/a"/>
    <s v="n/a"/>
    <n v="0"/>
    <n v="0"/>
    <s v="n/a"/>
    <x v="2"/>
    <n v="0"/>
    <n v="0"/>
    <s v="n/a"/>
    <s v="n/a"/>
    <n v="0"/>
    <x v="2"/>
    <s v="main"/>
    <s v="ss"/>
    <x v="1"/>
    <s v="topic-shift"/>
    <s v="contains_new"/>
    <m/>
    <m/>
    <x v="0"/>
  </r>
  <r>
    <x v="52"/>
    <s v="忠盛また御前の召しに舞はれけるに (Tadamori mata gozen no meshi ni mawarekeru ni)"/>
    <s v="But when Tadamori danced in the August presence of the Mikado at his Imperial wish,"/>
    <s v="舞はれける"/>
    <s v="indicative"/>
    <x v="2"/>
    <x v="1"/>
    <s v="intransitive"/>
    <s v="active"/>
    <s v="positive"/>
    <n v="1"/>
    <n v="1"/>
    <s v="SUB"/>
    <n v="1"/>
    <x v="0"/>
    <n v="3"/>
    <s v="n/a"/>
    <s v="n/a"/>
    <n v="0"/>
    <n v="0"/>
    <s v="REL"/>
    <x v="3"/>
    <n v="1"/>
    <n v="0"/>
    <s v="sub"/>
    <s v="honorific_aux"/>
    <n v="0"/>
    <x v="0"/>
    <s v="main"/>
    <s v="ds"/>
    <x v="1"/>
    <s v="topic-shift"/>
    <s v="contains_new"/>
    <m/>
    <m/>
    <x v="0"/>
  </r>
  <r>
    <x v="53"/>
    <s v="人々拍子を変へて (hitobito hyōshi o kaete)"/>
    <s v="the others mocked at him, changing the words of the music"/>
    <s v="変へて"/>
    <s v="indicative"/>
    <x v="1"/>
    <x v="1"/>
    <s v="transitive"/>
    <s v="active"/>
    <s v="positive"/>
    <n v="1"/>
    <n v="2"/>
    <s v="S+O"/>
    <n v="0"/>
    <x v="0"/>
    <n v="3"/>
    <s v="overt"/>
    <s v="n/a"/>
    <n v="0"/>
    <n v="0"/>
    <s v="n/a"/>
    <x v="1"/>
    <n v="0"/>
    <n v="0"/>
    <s v="n/a"/>
    <s v="n/a"/>
    <n v="0"/>
    <x v="1"/>
    <s v="subordinate"/>
    <s v="ds"/>
    <x v="1"/>
    <s v="topic-shift"/>
    <s v="contains_new"/>
    <m/>
    <m/>
    <x v="2"/>
  </r>
  <r>
    <x v="54"/>
    <s v="伊勢へいじはすがめなりけりとぞ (Ise heiji wa sugame narikeri)"/>
    <s v="&quot;the winepot of Ise has turned into a vinegar jar&quot;"/>
    <s v="なりけり"/>
    <s v="indicative"/>
    <x v="0"/>
    <x v="0"/>
    <s v="intransitive"/>
    <s v="active"/>
    <s v="positive"/>
    <n v="1"/>
    <n v="1"/>
    <s v="SUB"/>
    <n v="0"/>
    <x v="0"/>
    <n v="3"/>
    <s v="n/a"/>
    <s v="n/a"/>
    <n v="0"/>
    <n v="0"/>
    <s v="n/a"/>
    <x v="6"/>
    <n v="0"/>
    <n v="0"/>
    <s v="n/a"/>
    <s v="n/a"/>
    <n v="0"/>
    <x v="4"/>
    <s v="te"/>
    <s v="ds"/>
    <x v="0"/>
    <s v="topic-introduced"/>
    <s v="contains_new"/>
    <m/>
    <m/>
    <x v="0"/>
  </r>
  <r>
    <x v="55"/>
    <s v="囃されける (to zo hayasarekeru)"/>
    <s v="they sang in mockery"/>
    <s v="囃されける"/>
    <s v="indicative"/>
    <x v="2"/>
    <x v="1"/>
    <s v="transitive"/>
    <s v="active"/>
    <s v="positive"/>
    <n v="1"/>
    <n v="1"/>
    <s v="O (Speech)"/>
    <n v="0"/>
    <x v="2"/>
    <n v="3"/>
    <s v="overt"/>
    <s v="n/a"/>
    <n v="0"/>
    <n v="0"/>
    <s v="kakari-musubi"/>
    <x v="2"/>
    <n v="0"/>
    <n v="1"/>
    <s v="sub"/>
    <s v="honorific_aux"/>
    <n v="0"/>
    <x v="8"/>
    <s v="complement"/>
    <s v="ss"/>
    <x v="0"/>
    <s v="topic-drop"/>
    <s v="contains_new"/>
    <m/>
    <m/>
    <x v="0"/>
  </r>
  <r>
    <x v="56"/>
    <s v="かけまくも忝くこの人々は柏原天皇の御末とは申しながら (kakemakumo katabokaku kono hitobito wa Kashiwabara Tennō no o-sue to wa mōshinagara)"/>
    <s v="In thus mentioning the vessels of his province they punned on his title..."/>
    <s v="申しながら"/>
    <s v="indicative"/>
    <x v="5"/>
    <x v="1"/>
    <s v="transitive"/>
    <s v="active"/>
    <s v="positive"/>
    <n v="1"/>
    <n v="2"/>
    <s v="S+O (Speech)"/>
    <n v="1"/>
    <x v="0"/>
    <n v="3"/>
    <s v="overt"/>
    <s v="n/a"/>
    <n v="0"/>
    <n v="0"/>
    <s v="n/a"/>
    <x v="3"/>
    <n v="1"/>
    <n v="0"/>
    <s v="sub"/>
    <s v="lexical_humble_verb"/>
    <n v="0"/>
    <x v="0"/>
    <s v="main"/>
    <s v="ss"/>
    <x v="1"/>
    <s v="topic-shift"/>
    <s v="contains_new"/>
    <m/>
    <m/>
    <x v="2"/>
  </r>
  <r>
    <x v="57"/>
    <s v="中比は都の住まひも疎々しく (chūbi wa miyako no sumai mo utoutoshiku)"/>
    <s v="and since lately his family had lived away from the capital,"/>
    <s v="疎々しく"/>
    <s v="indicative"/>
    <x v="4"/>
    <x v="5"/>
    <s v="intransitive"/>
    <s v="active"/>
    <s v="positive"/>
    <n v="1"/>
    <n v="1"/>
    <s v="SUB"/>
    <n v="1"/>
    <x v="0"/>
    <n v="3"/>
    <s v="n/a"/>
    <s v="n/a"/>
    <n v="0"/>
    <n v="0"/>
    <s v="n/a"/>
    <x v="2"/>
    <n v="0"/>
    <n v="0"/>
    <s v="n/a"/>
    <s v="n/a"/>
    <n v="0"/>
    <x v="2"/>
    <s v="subordinate"/>
    <s v="ds"/>
    <x v="0"/>
    <s v="topic-shift"/>
    <s v="contains_new"/>
    <m/>
    <m/>
    <x v="0"/>
  </r>
  <r>
    <x v="58"/>
    <s v="地下にのみ振舞ひなつて ( jige ni nomi furumai natte)"/>
    <s v=" behaving as mere provincial folk"/>
    <s v="振舞ひなつて"/>
    <s v="indicative"/>
    <x v="1"/>
    <x v="4"/>
    <s v="intransitive"/>
    <s v="active"/>
    <s v="positive"/>
    <n v="1"/>
    <n v="1"/>
    <s v="IO"/>
    <n v="0"/>
    <x v="1"/>
    <n v="3"/>
    <s v="n/a"/>
    <s v="overt"/>
    <n v="0"/>
    <n v="0"/>
    <s v="n/a"/>
    <x v="1"/>
    <n v="0"/>
    <n v="0"/>
    <s v="n/a"/>
    <s v="n/a"/>
    <n v="0"/>
    <x v="1"/>
    <s v="main"/>
    <s v="ss"/>
    <x v="0"/>
    <s v="topic-drop"/>
    <s v="contains_new"/>
    <m/>
    <m/>
    <x v="0"/>
  </r>
  <r>
    <x v="59"/>
    <s v="伊勢国に住国深かりしかば  (Ise no kuni ni sumikoku fukakarishikaba)"/>
    <s v="and as they lived deep in Ise province, they likened him to the vessels of that province"/>
    <s v="深かりしかば"/>
    <s v="indicative"/>
    <x v="4"/>
    <x v="5"/>
    <s v="intransitive"/>
    <s v="active"/>
    <s v="positive"/>
    <n v="1"/>
    <n v="1"/>
    <s v="SUB"/>
    <n v="1"/>
    <x v="1"/>
    <n v="3"/>
    <s v="n/a"/>
    <s v="n/a"/>
    <n v="0"/>
    <n v="0"/>
    <s v="n/a"/>
    <x v="3"/>
    <n v="0"/>
    <n v="0"/>
    <s v="n/a"/>
    <s v="n/a"/>
    <n v="0"/>
    <x v="3"/>
    <s v="te"/>
    <s v="ss"/>
    <x v="1"/>
    <s v="topic-drop"/>
    <s v="contains_new"/>
    <m/>
    <m/>
    <x v="0"/>
  </r>
  <r>
    <x v="60"/>
    <s v="その国の器に言寄せて"/>
    <s v="sono kuni no utsuwa ni kotoyosete)"/>
    <s v="言寄せて"/>
    <s v="indicative"/>
    <x v="5"/>
    <x v="1"/>
    <s v="ditransitive"/>
    <s v="active"/>
    <s v="positive"/>
    <n v="1"/>
    <n v="1"/>
    <s v="IO"/>
    <n v="0"/>
    <x v="5"/>
    <n v="3"/>
    <s v="zero_uncertain"/>
    <s v="overt"/>
    <n v="0"/>
    <n v="0"/>
    <s v="n/a"/>
    <x v="1"/>
    <n v="0"/>
    <n v="0"/>
    <s v="n/a"/>
    <s v="n/a"/>
    <n v="0"/>
    <x v="1"/>
    <s v="subordinate"/>
    <s v="ds"/>
    <x v="0"/>
    <s v="topic-drop"/>
    <s v="contains_new"/>
    <m/>
    <m/>
    <x v="0"/>
  </r>
  <r>
    <x v="61"/>
    <s v="伊勢平氏とぞ囃されける (Ise Heishi to zo hayasarekeru)"/>
    <s v="so they mocked him as 'Ise Heishi'"/>
    <s v="囃されける"/>
    <s v="indicative"/>
    <x v="2"/>
    <x v="1"/>
    <s v="intransitive"/>
    <s v="passive"/>
    <s v="positive"/>
    <n v="1"/>
    <n v="1"/>
    <s v="O (Speech)"/>
    <n v="0"/>
    <x v="1"/>
    <n v="3"/>
    <s v="n/a"/>
    <s v="overt"/>
    <n v="0"/>
    <n v="0"/>
    <s v="kakari-musubi"/>
    <x v="2"/>
    <n v="0"/>
    <n v="0"/>
    <s v="n/a"/>
    <s v="n/a"/>
    <n v="0"/>
    <x v="2"/>
    <s v="te"/>
    <s v="ss"/>
    <x v="1"/>
    <s v="topic-drop"/>
    <s v="contains_new"/>
    <m/>
    <m/>
    <x v="0"/>
  </r>
  <r>
    <x v="62"/>
    <s v="その上忠盛目の眇まれたりける故にこそ (sono ue Tadamori me no sugamaretari keru yue ni koso)"/>
    <s v="moreover, because Tadamori's eyes were squinted, "/>
    <s v="眇まれたりける"/>
    <s v="indicative"/>
    <x v="2"/>
    <x v="1"/>
    <s v="intransitive"/>
    <s v="active"/>
    <s v="positive"/>
    <n v="1"/>
    <n v="1"/>
    <s v="SUB"/>
    <n v="1"/>
    <x v="0"/>
    <n v="3"/>
    <s v="n/a"/>
    <s v="n/a"/>
    <n v="0"/>
    <n v="1"/>
    <s v="REL"/>
    <x v="3"/>
    <n v="0"/>
    <n v="0"/>
    <s v="n/a"/>
    <s v="n/a"/>
    <n v="0"/>
    <x v="3"/>
    <s v="main"/>
    <s v="ds"/>
    <x v="0"/>
    <s v="topic-continued"/>
    <s v="contains_new"/>
    <m/>
    <m/>
    <x v="0"/>
  </r>
  <r>
    <x v="63"/>
    <s v="かやうには囃されけるなれ  (kayō ni wa hayasarekeru nare)"/>
    <s v="he was mocked in such a way"/>
    <s v="囃されけるなれ"/>
    <s v="indicative"/>
    <x v="1"/>
    <x v="1"/>
    <s v="intransitive"/>
    <s v="passive"/>
    <s v="positive"/>
    <n v="1"/>
    <n v="0"/>
    <s v="n/a"/>
    <n v="0"/>
    <x v="1"/>
    <n v="3"/>
    <s v="n/a"/>
    <s v="n/a"/>
    <n v="0"/>
    <n v="0"/>
    <s v="kakari-musubi"/>
    <x v="2"/>
    <n v="0"/>
    <n v="0"/>
    <s v="n/a"/>
    <s v="n/a"/>
    <n v="0"/>
    <x v="2"/>
    <s v="subordinate"/>
    <s v="ss"/>
    <x v="0"/>
    <s v="topic-drop"/>
    <s v="no_overt_NP"/>
    <m/>
    <m/>
    <x v="1"/>
  </r>
  <r>
    <x v="64"/>
    <s v="忠盛何とすべきやうもなくして (Tadamori nan to subeki yō mo nakushite)"/>
    <s v="Tadamori, having no way of dealing with the situation,"/>
    <s v="なくして"/>
    <s v="indicative"/>
    <x v="1"/>
    <x v="1"/>
    <s v="transitive"/>
    <s v="active"/>
    <s v="negative"/>
    <n v="1"/>
    <n v="2"/>
    <s v="S+O"/>
    <n v="0"/>
    <x v="0"/>
    <n v="3"/>
    <s v="overt"/>
    <s v="n/a"/>
    <n v="0"/>
    <n v="0"/>
    <s v="n/a"/>
    <x v="1"/>
    <n v="0"/>
    <n v="0"/>
    <s v="n/a"/>
    <s v="n/a"/>
    <n v="0"/>
    <x v="1"/>
    <s v="main"/>
    <s v="ss"/>
    <x v="1"/>
    <s v="topic-continued"/>
    <s v="contains_new"/>
    <m/>
    <m/>
    <x v="2"/>
  </r>
  <r>
    <x v="65"/>
    <s v="御遊も未だ終らざる前に (gyoyū mo mada owarazaru mae ni)"/>
    <s v="before the entertainment had ended,"/>
    <s v="終らざる"/>
    <s v="indicative"/>
    <x v="1"/>
    <x v="1"/>
    <s v="intransitive"/>
    <s v="active"/>
    <s v="negative"/>
    <n v="1"/>
    <n v="1"/>
    <s v="SUB"/>
    <n v="1"/>
    <x v="0"/>
    <n v="3"/>
    <s v="n/a"/>
    <s v="n/a"/>
    <n v="0"/>
    <n v="1"/>
    <s v="REL"/>
    <x v="3"/>
    <n v="0"/>
    <n v="0"/>
    <s v="n/a"/>
    <s v="n/a"/>
    <n v="0"/>
    <x v="0"/>
    <s v="te"/>
    <s v="ds"/>
    <x v="1"/>
    <s v="topic-drop"/>
    <s v="contains_new"/>
    <m/>
    <m/>
    <x v="0"/>
  </r>
  <r>
    <x v="66"/>
    <s v="密かに罷り出でらるとて (hisokani makari ideraru tote)"/>
    <s v="he secretly left the Presence,"/>
    <s v="罷り出でらる"/>
    <s v="indicative"/>
    <x v="3"/>
    <x v="1"/>
    <s v="intransitive"/>
    <s v="active"/>
    <s v="positive"/>
    <n v="1"/>
    <n v="0"/>
    <s v="n/a"/>
    <n v="1"/>
    <x v="2"/>
    <n v="3"/>
    <s v="n/a"/>
    <s v="n/a"/>
    <n v="0"/>
    <n v="0"/>
    <s v="REL"/>
    <x v="3"/>
    <n v="0"/>
    <n v="1"/>
    <s v="sub"/>
    <s v="honorific_aux+lexical_honorific_verb"/>
    <n v="0"/>
    <x v="0"/>
    <s v="subordinate"/>
    <s v="ds"/>
    <x v="0"/>
    <s v="topic-drop"/>
    <s v="no_overt_NP"/>
    <m/>
    <m/>
    <x v="1"/>
  </r>
  <r>
    <x v="67"/>
    <s v="紫宸殿の御後にして (Shishinden no o-ato ni shite)"/>
    <s v="and going behind the Shishinden,"/>
    <s v="後にして"/>
    <s v="indicative"/>
    <x v="1"/>
    <x v="9"/>
    <s v="intransitive"/>
    <s v="active"/>
    <s v="positive"/>
    <n v="1"/>
    <n v="0"/>
    <s v="n/a"/>
    <n v="1"/>
    <x v="1"/>
    <n v="3"/>
    <s v="n/a"/>
    <s v="n/a"/>
    <n v="0"/>
    <n v="0"/>
    <s v="n/a"/>
    <x v="1"/>
    <n v="0"/>
    <n v="0"/>
    <s v="n/a"/>
    <s v="n/a"/>
    <n v="0"/>
    <x v="1"/>
    <s v="subordinate"/>
    <s v="ss"/>
    <x v="1"/>
    <s v="topic-drop"/>
    <s v="no_overt_NP"/>
    <m/>
    <m/>
    <x v="1"/>
  </r>
  <r>
    <x v="68"/>
    <s v="かたへの殿上人の見られける (kata e no tenjōbito no mirarekeru)"/>
    <s v=" the court nobles could see him,"/>
    <s v="見られける"/>
    <s v="indicative"/>
    <x v="2"/>
    <x v="1"/>
    <s v="transitive"/>
    <s v="active"/>
    <s v="positive"/>
    <n v="1"/>
    <n v="1"/>
    <s v="SUB"/>
    <n v="0"/>
    <x v="0"/>
    <n v="3"/>
    <s v="zero_recoverable"/>
    <s v="n/a"/>
    <n v="0"/>
    <n v="1"/>
    <s v="REL"/>
    <x v="0"/>
    <n v="1"/>
    <n v="0"/>
    <s v="sub"/>
    <s v="honorific_aux"/>
    <n v="0"/>
    <x v="2"/>
    <s v="te"/>
    <s v="ds"/>
    <x v="0"/>
    <s v="topic-introduced"/>
    <s v="contains_new"/>
    <m/>
    <m/>
    <x v="0"/>
  </r>
  <r>
    <x v="69"/>
    <s v="所にて主殿司を召して (tokoro nite tonomotsukasa o meshite azukeokite zo iderarekeru)"/>
    <s v="in a place where… he summoned the Tonomotsukasa, "/>
    <s v="召して "/>
    <s v="indicative"/>
    <x v="2"/>
    <x v="1"/>
    <s v="transitive"/>
    <s v="active"/>
    <s v="positive"/>
    <n v="1"/>
    <n v="1"/>
    <s v="OBJ"/>
    <n v="1"/>
    <x v="2"/>
    <n v="3"/>
    <s v="overt"/>
    <s v="n/a"/>
    <n v="0"/>
    <n v="0"/>
    <s v="n/a"/>
    <x v="1"/>
    <n v="0"/>
    <n v="1"/>
    <s v="sub"/>
    <s v="lexical_honorific_verb"/>
    <n v="0"/>
    <x v="1"/>
    <s v="relative"/>
    <s v="ss"/>
    <x v="0"/>
    <s v="topic-drop"/>
    <s v="contains_new"/>
    <m/>
    <m/>
    <x v="0"/>
  </r>
  <r>
    <x v="70"/>
    <s v="預け置きてぞ"/>
    <s v=" entrusted [his sword]"/>
    <s v="預け置きて"/>
    <s v="indicative"/>
    <x v="1"/>
    <x v="1"/>
    <s v="transitive"/>
    <s v="active"/>
    <s v="positive"/>
    <n v="1"/>
    <n v="0"/>
    <s v="n/a"/>
    <n v="0"/>
    <x v="1"/>
    <n v="3"/>
    <s v="zero_recoverable"/>
    <s v="n/a"/>
    <n v="0"/>
    <n v="0"/>
    <s v="n/a"/>
    <x v="1"/>
    <n v="0"/>
    <n v="0"/>
    <s v="n/a"/>
    <s v="n/a"/>
    <n v="0"/>
    <x v="2"/>
    <s v="te"/>
    <s v="ss"/>
    <x v="0"/>
    <s v="topic-drop"/>
    <s v="no_overt_NP"/>
    <m/>
    <m/>
    <x v="1"/>
  </r>
  <r>
    <x v="71"/>
    <s v="出でられける"/>
    <s v="and left,"/>
    <s v="出でられける"/>
    <s v="indicative"/>
    <x v="3"/>
    <x v="1"/>
    <s v="intransitive"/>
    <s v="active"/>
    <s v="positive"/>
    <n v="1"/>
    <n v="0"/>
    <s v="n/a"/>
    <n v="0"/>
    <x v="2"/>
    <n v="3"/>
    <s v="n/a"/>
    <s v="n/a"/>
    <n v="0"/>
    <n v="0"/>
    <s v="n/a"/>
    <x v="2"/>
    <n v="0"/>
    <n v="1"/>
    <s v="sub"/>
    <s v="honorific_aux"/>
    <n v="0"/>
    <x v="2"/>
    <s v="te"/>
    <s v="ss"/>
    <x v="1"/>
    <s v="topic-drop"/>
    <s v="no_overt_NP"/>
    <m/>
    <m/>
    <x v="1"/>
  </r>
  <r>
    <x v="72"/>
    <s v="家貞待ち受け奉りて (Iesada machi-uke tatemawari-te)"/>
    <s v="Iesada, who was waiting for his lord,"/>
    <s v="待ち受け奉りて"/>
    <s v="indicative"/>
    <x v="2"/>
    <x v="2"/>
    <s v="transitive"/>
    <s v="active"/>
    <s v="positive"/>
    <n v="1"/>
    <n v="1"/>
    <s v="SUB"/>
    <n v="0"/>
    <x v="0"/>
    <n v="3"/>
    <s v="zero_recoverable"/>
    <s v="n/a"/>
    <n v="0"/>
    <n v="0"/>
    <s v="n/a"/>
    <x v="1"/>
    <n v="1"/>
    <n v="0"/>
    <s v="sub"/>
    <s v="lexical_humble_verb"/>
    <n v="0"/>
    <x v="1"/>
    <s v="main"/>
    <s v="ds"/>
    <x v="0"/>
    <s v="topic-shift"/>
    <s v="contains_new"/>
    <m/>
    <m/>
    <x v="0"/>
  </r>
  <r>
    <x v="73"/>
    <s v="さていかが候ひつると (sate ikaga soroitsuru to)"/>
    <s v="&quot;What has happened?&quot; he asked."/>
    <s v="候ひつる"/>
    <s v="indicative"/>
    <x v="1"/>
    <x v="1"/>
    <s v="intransitive"/>
    <s v="active"/>
    <s v="positive"/>
    <n v="1"/>
    <n v="0"/>
    <s v="n/a"/>
    <n v="1"/>
    <x v="4"/>
    <n v="3"/>
    <s v="n/a"/>
    <s v="n/a"/>
    <n v="0"/>
    <n v="0"/>
    <s v="REL"/>
    <x v="6"/>
    <n v="0"/>
    <n v="0"/>
    <s v="n/a"/>
    <s v="polite_aux"/>
    <n v="0"/>
    <x v="4"/>
    <s v="te"/>
    <s v="ss"/>
    <x v="0"/>
    <s v="topic-drop"/>
    <s v="no_overt_NP"/>
    <m/>
    <m/>
    <x v="1"/>
  </r>
  <r>
    <x v="74"/>
    <s v="申されければ (mōsarekeru ba)"/>
    <s v="he was asked,"/>
    <s v="申されける"/>
    <s v="indicative"/>
    <x v="2"/>
    <x v="1"/>
    <s v="intransitive"/>
    <s v="passive"/>
    <s v="positive"/>
    <n v="1"/>
    <n v="1"/>
    <s v="O (Speech)"/>
    <n v="0"/>
    <x v="2"/>
    <n v="3"/>
    <s v="overt"/>
    <s v="n/a"/>
    <n v="0"/>
    <n v="0"/>
    <s v="n/a"/>
    <x v="2"/>
    <n v="0"/>
    <n v="1"/>
    <s v="sub"/>
    <s v="honorific_aux+lexical_humble_verb"/>
    <n v="0"/>
    <x v="0"/>
    <s v="complement"/>
    <s v="ss"/>
    <x v="0"/>
    <s v="topic-drop"/>
    <s v="contains_new"/>
    <m/>
    <m/>
    <x v="0"/>
  </r>
  <r>
    <x v="75"/>
    <s v="かくとも云はまほしう"/>
    <s v="to tell him"/>
    <s v="云はまほしう"/>
    <s v="desiderative"/>
    <x v="1"/>
    <x v="1"/>
    <s v="intransitive"/>
    <s v="active"/>
    <s v="positive"/>
    <n v="1"/>
    <n v="0"/>
    <s v="n/a"/>
    <n v="1"/>
    <x v="4"/>
    <n v="3"/>
    <s v="not_applicable"/>
    <s v="not_applicable"/>
    <n v="0"/>
    <n v="0"/>
    <s v="n/a"/>
    <x v="2"/>
    <n v="0"/>
    <n v="0"/>
    <s v="n/a"/>
    <s v="n/a"/>
    <n v="0"/>
    <x v="2"/>
    <s v="main"/>
    <s v="ss"/>
    <x v="0"/>
    <s v="topic-drop"/>
    <s v="no_overt_NP"/>
    <m/>
    <m/>
    <x v="1"/>
  </r>
  <r>
    <x v="76"/>
    <s v="思はれけれども (kakutomo iwamahoshū omowarekeredomo)"/>
    <s v="although he greatly wished,"/>
    <s v="思はれけれども"/>
    <s v="indicative"/>
    <x v="4"/>
    <x v="1"/>
    <s v="transitive"/>
    <s v="active"/>
    <s v="positive"/>
    <n v="1"/>
    <n v="1"/>
    <s v="O (Speech)"/>
    <n v="1"/>
    <x v="4"/>
    <n v="3"/>
    <s v="overt"/>
    <s v="n/a"/>
    <n v="0"/>
    <n v="0"/>
    <s v="n/a"/>
    <x v="2"/>
    <n v="0"/>
    <n v="0"/>
    <s v="n/a"/>
    <s v="n/a"/>
    <n v="0"/>
    <x v="9"/>
    <s v="main"/>
    <s v="ss"/>
    <x v="0"/>
    <s v="topic-drop"/>
    <s v="contains_new"/>
    <s v="Psych predicate; かくとも as adjunct."/>
    <m/>
    <x v="0"/>
  </r>
  <r>
    <x v="77"/>
    <s v="云ひつるほどならば (iitsuru hodo naraba)"/>
    <s v="seeing that, if he told him,"/>
    <s v="云ひつる"/>
    <s v="indicative"/>
    <x v="1"/>
    <x v="1"/>
    <s v="transitive"/>
    <s v="active"/>
    <s v="positive"/>
    <n v="1"/>
    <n v="0"/>
    <s v="n/a"/>
    <n v="0"/>
    <x v="4"/>
    <n v="3"/>
    <s v="zero_recoverable"/>
    <s v="n/a"/>
    <n v="0"/>
    <n v="1"/>
    <s v="REL"/>
    <x v="3"/>
    <n v="0"/>
    <n v="0"/>
    <s v="n/a"/>
    <s v="n/a"/>
    <n v="0"/>
    <x v="10"/>
    <s v="main"/>
    <s v="ss"/>
    <x v="1"/>
    <s v="topic-drop"/>
    <s v="no_overt_NP"/>
    <m/>
    <m/>
    <x v="1"/>
  </r>
  <r>
    <x v="78"/>
    <s v="やがて殿上までも斬り上らんずる  yagate tenjō made mo kiriagaranzuru "/>
    <s v="who would even do violence in the Palace itself,"/>
    <s v="斬り上らんずる"/>
    <s v="dynamic"/>
    <x v="1"/>
    <x v="1"/>
    <s v="intransitive"/>
    <s v="active"/>
    <s v="positive"/>
    <n v="1"/>
    <n v="0"/>
    <s v="n/a"/>
    <n v="2"/>
    <x v="1"/>
    <n v="3"/>
    <s v="n/a"/>
    <s v="n/a"/>
    <n v="1"/>
    <n v="0"/>
    <s v="REL"/>
    <x v="0"/>
    <n v="0"/>
    <n v="0"/>
    <s v="n/a"/>
    <s v="n/a"/>
    <n v="0"/>
    <x v="2"/>
    <s v="subordinate"/>
    <s v="ds"/>
    <x v="0"/>
    <s v="topic-drop"/>
    <s v="no_overt_NP"/>
    <m/>
    <m/>
    <x v="1"/>
  </r>
  <r>
    <x v="79"/>
    <s v="者の面魂にてある間 mono no omodamashii nite aru aida"/>
    <s v="he appeared as one "/>
    <s v="にてある"/>
    <s v="indicative"/>
    <x v="1"/>
    <x v="0"/>
    <s v="intransitive"/>
    <s v="active"/>
    <s v="positive"/>
    <n v="1"/>
    <n v="0"/>
    <s v="n/a"/>
    <n v="0"/>
    <x v="1"/>
    <n v="3"/>
    <s v="n/a"/>
    <s v="n/a"/>
    <n v="0"/>
    <n v="0"/>
    <s v="REL"/>
    <x v="3"/>
    <n v="0"/>
    <n v="0"/>
    <s v="n/a"/>
    <s v="n/a"/>
    <n v="0"/>
    <x v="0"/>
    <s v="relative"/>
    <s v="ss"/>
    <x v="1"/>
    <s v="topic-drop"/>
    <s v="no_overt_NP"/>
    <m/>
    <m/>
    <x v="1"/>
  </r>
  <r>
    <x v="80"/>
    <s v="別の事なし (betsu no koto nashi)"/>
    <s v="nothing out of the ordinary had taken place."/>
    <s v="なし"/>
    <s v="indicative"/>
    <x v="1"/>
    <x v="7"/>
    <s v="intransitive"/>
    <s v="active"/>
    <s v="negative"/>
    <n v="1"/>
    <n v="1"/>
    <s v="SUB"/>
    <n v="0"/>
    <x v="0"/>
    <n v="3"/>
    <s v="n/a"/>
    <s v="n/a"/>
    <n v="0"/>
    <n v="0"/>
    <s v="n/a"/>
    <x v="2"/>
    <n v="0"/>
    <n v="0"/>
    <s v="n/a"/>
    <s v="n/a"/>
    <n v="0"/>
    <x v="2"/>
    <s v="subordinate"/>
    <s v="ds"/>
    <x v="1"/>
    <s v="topic-drop"/>
    <s v="contains_new"/>
    <s v="Subject = 別の事."/>
    <m/>
    <x v="0"/>
  </r>
  <r>
    <x v="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x v="1"/>
    <x v="4"/>
    <s v="transitive"/>
    <s v="active"/>
    <s v="positive"/>
    <n v="1"/>
    <n v="1"/>
    <s v="OBJ"/>
    <n v="2"/>
    <x v="2"/>
    <n v="3"/>
    <s v="overt"/>
    <s v="n/a"/>
    <n v="0"/>
    <n v="0"/>
    <s v="REL"/>
    <x v="3"/>
    <n v="0"/>
    <n v="1"/>
    <s v="sub"/>
    <s v="honorific_aux"/>
    <n v="0"/>
    <x v="9"/>
    <s v="main"/>
    <s v="ds"/>
    <x v="1"/>
    <s v="topic-shift"/>
    <s v="contains_new"/>
    <s v="Passive/respect; subject omitted; object 面白き事を overt."/>
    <m/>
    <x v="0"/>
  </r>
  <r>
    <x v="82"/>
    <s v="中比太宰権帥季仲卿といふ人ありけり (chūbi Dazai gon no so Sukechika kyō to iu hito arikeri)"/>
    <s v="but there was a certain Dazai Gon-no-sotsu Suenaka no Kyo,"/>
    <s v="ありけり"/>
    <s v="indicative"/>
    <x v="0"/>
    <x v="7"/>
    <s v="intransitive"/>
    <s v="active"/>
    <s v="positive"/>
    <n v="1"/>
    <n v="1"/>
    <s v="SUB"/>
    <n v="1"/>
    <x v="0"/>
    <n v="3"/>
    <s v="n/a"/>
    <s v="n/a"/>
    <n v="0"/>
    <n v="0"/>
    <s v="n/a"/>
    <x v="2"/>
    <n v="0"/>
    <n v="0"/>
    <s v="n/a"/>
    <s v="n/a"/>
    <n v="0"/>
    <x v="2"/>
    <s v="subordinate"/>
    <s v="ds"/>
    <x v="1"/>
    <s v="topic-introduced"/>
    <s v="contains_new"/>
    <s v="frame predicate"/>
    <m/>
    <x v="0"/>
  </r>
  <r>
    <x v="83"/>
    <s v="あまりに色の黒かりければ (amari ni iro no kurokarikereba)"/>
    <s v="who was of so dark a complexion that"/>
    <s v="黒かりければ"/>
    <s v="indicative"/>
    <x v="1"/>
    <x v="5"/>
    <s v="intransitive"/>
    <s v="active"/>
    <s v="positive"/>
    <n v="1"/>
    <n v="1"/>
    <s v="SUB"/>
    <n v="1"/>
    <x v="0"/>
    <n v="3"/>
    <s v="n/a"/>
    <s v="not_applicable"/>
    <n v="0"/>
    <n v="0"/>
    <s v="n/a"/>
    <x v="3"/>
    <n v="0"/>
    <n v="0"/>
    <s v="n/a"/>
    <s v="n/a"/>
    <n v="0"/>
    <x v="3"/>
    <s v="main"/>
    <s v="ds"/>
    <x v="1"/>
    <s v="topic-drop"/>
    <s v="contains_new"/>
    <s v="Adjectival predicate; subject = 色."/>
    <m/>
    <x v="0"/>
  </r>
  <r>
    <x v="84"/>
    <s v="見る人黒帥とぞ申しける (miru hito kurosotsu to zo mōshikeru)"/>
    <s v="people called him 'kuro-sotsu',"/>
    <s v="申しける"/>
    <s v="indicative"/>
    <x v="2"/>
    <x v="1"/>
    <s v="transitive"/>
    <s v="active"/>
    <s v="positive"/>
    <n v="1"/>
    <n v="2"/>
    <s v="S+O"/>
    <n v="0"/>
    <x v="0"/>
    <n v="3"/>
    <s v="overt"/>
    <s v="n/a"/>
    <n v="0"/>
    <n v="0"/>
    <s v="n/a"/>
    <x v="2"/>
    <n v="1"/>
    <n v="0"/>
    <s v="n/a"/>
    <s v="lexical_humble_verb"/>
    <n v="0"/>
    <x v="2"/>
    <s v="subordinate"/>
    <s v="ds"/>
    <x v="0"/>
    <s v="topic-drop"/>
    <s v="contains_new"/>
    <s v="申す humble; subject overt; counted as EXALT INSIG."/>
    <m/>
    <x v="2"/>
  </r>
  <r>
    <x v="85"/>
    <s v="その人未だ蔵人頭たりし時 (sono hito imada kurōdo no tō tarishi toki)"/>
    <s v="and while he was still Kurando-no-to, "/>
    <s v="たりし"/>
    <s v="indicative"/>
    <x v="0"/>
    <x v="0"/>
    <s v="intransitive"/>
    <s v="active"/>
    <s v="positive"/>
    <n v="1"/>
    <n v="1"/>
    <s v="SUB"/>
    <n v="0"/>
    <x v="0"/>
    <n v="3"/>
    <s v="n/a"/>
    <s v="n/a"/>
    <n v="0"/>
    <n v="0"/>
    <s v="REL"/>
    <x v="3"/>
    <n v="0"/>
    <n v="0"/>
    <s v="n/a"/>
    <s v="honorific_aux"/>
    <n v="0"/>
    <x v="0"/>
    <s v="main"/>
    <s v="ss"/>
    <x v="0"/>
    <s v="topic-continued"/>
    <s v="no_overt_NP"/>
    <m/>
    <m/>
    <x v="0"/>
  </r>
  <r>
    <x v="86"/>
    <s v="五節に舞はれけるに gosechi ni mawarekeru ni"/>
    <s v="when he danced at the Go-sechie,"/>
    <s v="舞はれける"/>
    <s v="indicative"/>
    <x v="2"/>
    <x v="1"/>
    <s v="intransitive"/>
    <s v="active"/>
    <s v="positive"/>
    <n v="1"/>
    <n v="0"/>
    <s v="n/a"/>
    <n v="0"/>
    <x v="2"/>
    <n v="3"/>
    <s v="n/a"/>
    <s v="n/a"/>
    <n v="0"/>
    <n v="0"/>
    <s v="REL"/>
    <x v="3"/>
    <n v="0"/>
    <n v="1"/>
    <s v="sub"/>
    <s v="lexical_honorific_verb"/>
    <n v="0"/>
    <x v="0"/>
    <s v="subordinate"/>
    <s v="ss"/>
    <x v="1"/>
    <s v="topic-drop"/>
    <s v="no_overt_NP"/>
    <m/>
    <m/>
    <x v="1"/>
  </r>
  <r>
    <x v="87"/>
    <s v="人々拍子を変へて (hitobito hyōshi o kaete)"/>
    <s v="they changed the rhythm of the music"/>
    <s v="変へて"/>
    <s v="indicative"/>
    <x v="1"/>
    <x v="1"/>
    <s v="transitive"/>
    <s v="active"/>
    <s v="positive"/>
    <n v="1"/>
    <n v="2"/>
    <s v="S+O"/>
    <n v="0"/>
    <x v="0"/>
    <n v="3"/>
    <s v="overt"/>
    <s v="n/a"/>
    <n v="0"/>
    <n v="0"/>
    <s v="n/a"/>
    <x v="1"/>
    <n v="0"/>
    <n v="0"/>
    <s v="n/a"/>
    <s v="n/a"/>
    <n v="0"/>
    <x v="1"/>
    <s v="subordinate"/>
    <s v="ds"/>
    <x v="0"/>
    <s v="topic-drop"/>
    <s v="contains_new"/>
    <m/>
    <m/>
    <x v="2"/>
  </r>
  <r>
    <x v="88"/>
    <s v="あなくろくろ黒き頭かな (ana kuro kuro kuroki atama kana)"/>
    <s v="&quot;Oh what a black, black head!&quot;"/>
    <s v="N/A (exclamatory nominal clause)"/>
    <s v="indicative"/>
    <x v="1"/>
    <x v="10"/>
    <s v="intransitive"/>
    <m/>
    <m/>
    <n v="0"/>
    <n v="1"/>
    <s v="SUB"/>
    <n v="0"/>
    <x v="0"/>
    <n v="3"/>
    <s v="n/a"/>
    <s v="n/a"/>
    <n v="0"/>
    <n v="0"/>
    <s v="n/a"/>
    <x v="2"/>
    <n v="0"/>
    <n v="0"/>
    <s v="n/a"/>
    <s v="n/a"/>
    <n v="0"/>
    <x v="2"/>
    <s v="te"/>
    <s v="ss"/>
    <x v="1"/>
    <s v="topic-drop"/>
    <s v="contains_new"/>
    <m/>
    <m/>
    <x v="3"/>
  </r>
  <r>
    <x v="89"/>
    <s v="いかなる人の漆塗りけんとぞ (ikanaru hito no urushinuriken to zo )"/>
    <s v="&quot;someone must have painted him with lacquer&quot;"/>
    <s v="漆塗りけん"/>
    <s v="epistemic"/>
    <x v="1"/>
    <x v="1"/>
    <s v="transitive"/>
    <s v="active"/>
    <s v="positive"/>
    <n v="1"/>
    <n v="2"/>
    <s v="S+O"/>
    <n v="0"/>
    <x v="0"/>
    <n v="3"/>
    <s v="overt"/>
    <s v="n/a"/>
    <n v="0"/>
    <n v="0"/>
    <s v="n/a"/>
    <x v="6"/>
    <n v="0"/>
    <n v="0"/>
    <s v="n/a"/>
    <s v="n/a"/>
    <n v="0"/>
    <x v="4"/>
    <s v="main"/>
    <s v="ds"/>
    <x v="1"/>
    <s v="topic-drop"/>
    <s v="contains_new"/>
    <m/>
    <m/>
    <x v="2"/>
  </r>
  <r>
    <x v="90"/>
    <s v="囃されける (hayasarekeru)"/>
    <s v="they sang in mockery."/>
    <s v="囃されける"/>
    <s v="indicative"/>
    <x v="5"/>
    <x v="1"/>
    <s v="transitive"/>
    <s v="active"/>
    <s v="positive"/>
    <n v="1"/>
    <n v="1"/>
    <s v="O (Speech)"/>
    <n v="0"/>
    <x v="2"/>
    <n v="3"/>
    <s v="overt"/>
    <s v="n/a"/>
    <n v="0"/>
    <n v="0"/>
    <s v="n/a"/>
    <x v="2"/>
    <n v="0"/>
    <n v="1"/>
    <s v="sub"/>
    <s v="honorific_aux"/>
    <n v="0"/>
    <x v="2"/>
    <s v="complement"/>
    <s v="ds"/>
    <x v="1"/>
    <s v="topic-drop"/>
    <s v="no_overt_NP"/>
    <m/>
    <m/>
    <x v="0"/>
  </r>
  <r>
    <x v="91"/>
    <s v="また花山院前太政大臣忠雅公未だ十歳と申しし時 (mata Kazanin no saki no Daijōdaijin Tadamasa kō imada jissai to mōshi shi toki)"/>
    <s v="Also, when Prince Tadamasa of the Kazan-in, the former Prime Minister, was only ten years old,"/>
    <s v="申しし"/>
    <s v="indicative"/>
    <x v="2"/>
    <x v="1"/>
    <s v="intransitive"/>
    <s v="active"/>
    <s v="positive"/>
    <n v="1"/>
    <n v="1"/>
    <s v="SUB"/>
    <n v="1"/>
    <x v="0"/>
    <n v="3"/>
    <s v="n/a"/>
    <s v="n/a"/>
    <n v="0"/>
    <n v="0"/>
    <s v="n/a"/>
    <x v="3"/>
    <n v="1"/>
    <n v="0"/>
    <s v="sub"/>
    <s v="lexical_humble_verb"/>
    <n v="0"/>
    <x v="0"/>
    <s v="main"/>
    <s v="ds"/>
    <x v="0"/>
    <s v="topic-introduced"/>
    <s v="contains_new"/>
    <m/>
    <m/>
    <x v="0"/>
  </r>
  <r>
    <x v="92"/>
    <s v="父中納言忠宗卿に後れ給ひて (chichi Chūnagon Tadamune kyō ni okure tamai te)"/>
    <s v="having lost his father, Chunagon Tadamune,"/>
    <s v="後れ給ひて"/>
    <s v="indicative"/>
    <x v="2"/>
    <x v="1"/>
    <s v="intransitive"/>
    <s v="active"/>
    <s v="positive"/>
    <n v="1"/>
    <n v="1"/>
    <s v="IO"/>
    <n v="0"/>
    <x v="2"/>
    <n v="3"/>
    <s v="n/a"/>
    <s v="overt"/>
    <n v="0"/>
    <n v="0"/>
    <s v="n/a"/>
    <x v="1"/>
    <n v="0"/>
    <n v="1"/>
    <s v="sub"/>
    <s v="lexical_honorific_verb"/>
    <n v="0"/>
    <x v="1"/>
    <s v="subordinate"/>
    <s v="ss"/>
    <x v="0"/>
    <s v="topic-introduced"/>
    <s v="contains_new"/>
    <m/>
    <m/>
    <x v="0"/>
  </r>
  <r>
    <x v="93"/>
    <s v="孤子にておはせしを (koji nite ohaseshi o)"/>
    <s v="and being left an orphan,"/>
    <s v="おはせし"/>
    <s v="indicative"/>
    <x v="2"/>
    <x v="7"/>
    <s v="intransitive"/>
    <s v="active"/>
    <s v="positive"/>
    <n v="1"/>
    <n v="0"/>
    <s v="n/a"/>
    <n v="0"/>
    <x v="2"/>
    <n v="3"/>
    <s v="n/a"/>
    <s v="n/a"/>
    <n v="0"/>
    <n v="0"/>
    <s v="REL"/>
    <x v="3"/>
    <n v="0"/>
    <n v="1"/>
    <s v="sub"/>
    <s v="lexical_honorific_verb"/>
    <n v="0"/>
    <x v="9"/>
    <s v="te"/>
    <s v="ss"/>
    <x v="1"/>
    <s v="topic-drop"/>
    <s v="contains_new"/>
    <m/>
    <m/>
    <x v="1"/>
  </r>
  <r>
    <x v="94"/>
    <s v="故中御門藤中納言家成卿未だ播磨守にておはしけるが ko-Nakamikado Fuji Chūnagon Ienari kyō imada Harima no kami nite ohasikeru ga"/>
    <s v=" by Fuji Chūnagon Ienari, then Harima no Kami,"/>
    <s v="おはしける"/>
    <s v="indicative"/>
    <x v="0"/>
    <x v="0"/>
    <s v="intransitive"/>
    <s v="active"/>
    <s v="positive"/>
    <n v="1"/>
    <n v="1"/>
    <s v="SUB"/>
    <n v="1"/>
    <x v="0"/>
    <n v="3"/>
    <s v="n/a"/>
    <s v="n/a"/>
    <n v="0"/>
    <n v="0"/>
    <s v="REL"/>
    <x v="3"/>
    <n v="1"/>
    <n v="0"/>
    <s v="sub"/>
    <s v="lexical_honorific_verb"/>
    <n v="0"/>
    <x v="9"/>
    <s v="subordinate"/>
    <s v="ds"/>
    <x v="0"/>
    <s v="topic-introduced"/>
    <s v="contains_new"/>
    <m/>
    <m/>
    <x v="0"/>
  </r>
  <r>
    <x v="95"/>
    <s v="聟に取りて muko ni torite "/>
    <s v="he was taken as son-in-law"/>
    <s v="取りて"/>
    <s v="indicative"/>
    <x v="2"/>
    <x v="1"/>
    <s v="transitive"/>
    <s v="active"/>
    <s v="positive"/>
    <n v="1"/>
    <n v="1"/>
    <s v="IO"/>
    <n v="0"/>
    <x v="1"/>
    <n v="3"/>
    <s v="zero_recoverable"/>
    <s v="overt"/>
    <n v="0"/>
    <n v="0"/>
    <s v="n/a"/>
    <x v="1"/>
    <n v="0"/>
    <n v="0"/>
    <s v="n/a"/>
    <s v="n/a"/>
    <n v="0"/>
    <x v="2"/>
    <s v="subordinate"/>
    <s v="ss"/>
    <x v="0"/>
    <s v="topic-drop"/>
    <s v="contains_new"/>
    <m/>
    <m/>
    <x v="0"/>
  </r>
  <r>
    <x v="96"/>
    <s v="華やかにもてなされければ  hanayaka ni motenasarekereba"/>
    <s v="and splendidly welcomed,"/>
    <s v="もてなされければ"/>
    <s v="indicative"/>
    <x v="2"/>
    <x v="1"/>
    <s v="intransitive"/>
    <s v="passive"/>
    <s v="positive"/>
    <n v="1"/>
    <n v="0"/>
    <s v="n/a"/>
    <n v="0"/>
    <x v="1"/>
    <n v="3"/>
    <s v="n/a"/>
    <s v="zero_recoverable"/>
    <n v="0"/>
    <n v="0"/>
    <s v="n/a"/>
    <x v="3"/>
    <n v="0"/>
    <n v="0"/>
    <s v="n/a"/>
    <s v="n/a"/>
    <n v="0"/>
    <x v="3"/>
    <s v="te"/>
    <s v="ss"/>
    <x v="1"/>
    <s v="topic-drop"/>
    <s v="contains_new"/>
    <s v="verbal sequence"/>
    <m/>
    <x v="1"/>
  </r>
  <r>
    <x v="97"/>
    <s v="これも五節には播磨の米は木賊か椋の葉か人の綺羅を磨くはとぞ (kore mo gosechi ni wa Harima no kome wa tokusa ka mukuno ha ka hito no kira o migaku wa to zo)"/>
    <s v="at that Go-sechie with the refrain ‘The rice of Harima...’"/>
    <s v="磨く"/>
    <s v="indicative"/>
    <x v="2"/>
    <x v="1"/>
    <s v="transitive"/>
    <s v="active"/>
    <s v="positive"/>
    <n v="1"/>
    <n v="2"/>
    <s v="S+O"/>
    <n v="1"/>
    <x v="0"/>
    <n v="3"/>
    <s v="overt"/>
    <s v="n/a"/>
    <n v="0"/>
    <n v="0"/>
    <s v="REL"/>
    <x v="6"/>
    <n v="0"/>
    <n v="0"/>
    <s v="n/a"/>
    <s v="honorific_aux"/>
    <n v="0"/>
    <x v="2"/>
    <s v="subordinate"/>
    <s v="ds"/>
    <x v="1"/>
    <s v="topic-drop"/>
    <s v="contains_new"/>
    <m/>
    <m/>
    <x v="2"/>
  </r>
  <r>
    <x v="98"/>
    <s v="囃されける hayasarekeru"/>
    <s v=" they also japed at him"/>
    <s v="囃されける"/>
    <s v="indicative"/>
    <x v="2"/>
    <x v="1"/>
    <s v="intransitive"/>
    <s v="passive"/>
    <s v="positive"/>
    <n v="1"/>
    <n v="0"/>
    <s v="n/a"/>
    <n v="1"/>
    <x v="1"/>
    <n v="3"/>
    <s v="n/a"/>
    <s v="n/a"/>
    <n v="0"/>
    <n v="0"/>
    <s v="kakari-musubi"/>
    <x v="2"/>
    <n v="0"/>
    <n v="0"/>
    <s v="n/a"/>
    <s v="n/a"/>
    <n v="0"/>
    <x v="4"/>
    <s v="complement"/>
    <s v="ds"/>
    <x v="1"/>
    <s v="topic-drop"/>
    <s v="no_overt_NP"/>
    <m/>
    <m/>
    <x v="1"/>
  </r>
  <r>
    <x v="99"/>
    <s v="上古にはかやうにありしかども (jōko ni wa kayō ni arishikadomo )"/>
    <s v="Long ago such things had happened, "/>
    <s v="ありし / 出で来ず"/>
    <s v="indicative"/>
    <x v="2"/>
    <x v="7"/>
    <s v="intransitive"/>
    <s v="active"/>
    <s v="positive"/>
    <n v="1"/>
    <n v="0"/>
    <s v="n/a"/>
    <n v="2"/>
    <x v="5"/>
    <n v="0"/>
    <s v="n/a"/>
    <s v="n/a"/>
    <n v="0"/>
    <n v="0"/>
    <s v="n/a"/>
    <x v="3"/>
    <n v="0"/>
    <n v="0"/>
    <s v="n/a"/>
    <s v="n/a"/>
    <n v="0"/>
    <x v="9"/>
    <s v="main"/>
    <s v="ds"/>
    <x v="1"/>
    <s v="topic-shift"/>
    <s v="contains_new"/>
    <m/>
    <m/>
    <x v="1"/>
  </r>
  <r>
    <x v="100"/>
    <s v="事出で来ず koto idekozu"/>
    <s v="but nothing had come of them,"/>
    <s v="出で来ず"/>
    <s v="indicative"/>
    <x v="0"/>
    <x v="11"/>
    <s v="intransitive"/>
    <s v="active"/>
    <s v="negative"/>
    <n v="1"/>
    <n v="1"/>
    <s v="SUB"/>
    <n v="0"/>
    <x v="0"/>
    <n v="3"/>
    <s v="n/a"/>
    <s v="n/a"/>
    <n v="0"/>
    <n v="0"/>
    <s v="n/a"/>
    <x v="3"/>
    <n v="0"/>
    <n v="0"/>
    <s v="n/a"/>
    <s v="n/a"/>
    <n v="0"/>
    <x v="2"/>
    <s v="subordinate"/>
    <s v="ds"/>
    <x v="2"/>
    <s v="topic-drop"/>
    <s v="contains_new"/>
    <m/>
    <m/>
    <x v="0"/>
  </r>
  <r>
    <x v="101"/>
    <s v="末代いかがあらんずらん (matsudai ikaga aranzuran obotsukanashi)"/>
    <s v="and people said that what was to be done"/>
    <s v="あらんずらん"/>
    <s v="epistemic"/>
    <x v="0"/>
    <x v="11"/>
    <m/>
    <m/>
    <m/>
    <m/>
    <m/>
    <m/>
    <m/>
    <x v="3"/>
    <m/>
    <m/>
    <m/>
    <m/>
    <m/>
    <m/>
    <x v="7"/>
    <m/>
    <m/>
    <s v="n/a"/>
    <s v="n/a"/>
    <m/>
    <x v="5"/>
    <s v="subordinate"/>
    <m/>
    <x v="1"/>
    <m/>
    <m/>
    <m/>
    <m/>
    <x v="3"/>
  </r>
  <r>
    <x v="102"/>
    <s v="覚束なし"/>
    <s v="was doubtful"/>
    <s v="覚束なし"/>
    <s v="indicative"/>
    <x v="4"/>
    <x v="5"/>
    <s v="intransitive"/>
    <s v="active"/>
    <s v="negative"/>
    <n v="1"/>
    <n v="0"/>
    <s v="n/a"/>
    <n v="0"/>
    <x v="5"/>
    <n v="0"/>
    <s v="n/a"/>
    <s v="n/a"/>
    <n v="0"/>
    <n v="0"/>
    <s v="n/a"/>
    <x v="2"/>
    <n v="0"/>
    <n v="0"/>
    <s v="n/a"/>
    <s v="n/a"/>
    <n v="0"/>
    <x v="2"/>
    <n v="0"/>
    <s v="ds"/>
    <x v="1"/>
    <s v="topic-drop"/>
    <s v="no_overt_NP"/>
    <m/>
    <m/>
    <x v="1"/>
  </r>
  <r>
    <x v="103"/>
    <s v="案の如く五節果てにしかば (an no gotoku gosechi hate ni shikaba)"/>
    <s v="As he had expected, after the conclusion of the festival,"/>
    <s v="果てにしかば"/>
    <s v="indicative"/>
    <x v="1"/>
    <x v="1"/>
    <s v="intransitive"/>
    <s v="active"/>
    <s v="positive"/>
    <n v="1"/>
    <n v="1"/>
    <s v="SUB"/>
    <n v="1"/>
    <x v="0"/>
    <n v="3"/>
    <s v="n/a"/>
    <s v="n/a"/>
    <n v="0"/>
    <n v="0"/>
    <s v="n/a"/>
    <x v="3"/>
    <n v="0"/>
    <n v="0"/>
    <s v="n/a"/>
    <s v="n/a"/>
    <n v="0"/>
    <x v="0"/>
    <s v="main"/>
    <s v="ds"/>
    <x v="1"/>
    <s v="topic-shift"/>
    <s v="contains_new"/>
    <m/>
    <m/>
    <x v="0"/>
  </r>
  <r>
    <x v="104"/>
    <s v="殿上人一同に訴へ申されけるは (tenjōbito ichidō ni uttaemōsarekeru wa)"/>
    <s v="all the courtiers and officials together appealed,"/>
    <s v="訴へ申されける"/>
    <s v="indicative"/>
    <x v="1"/>
    <x v="1"/>
    <s v="transitive"/>
    <s v="active"/>
    <s v="positive"/>
    <n v="1"/>
    <n v="1"/>
    <s v="SUB"/>
    <n v="1"/>
    <x v="0"/>
    <n v="3"/>
    <s v="zero_other"/>
    <s v="n/a"/>
    <n v="0"/>
    <n v="0"/>
    <s v="SUB"/>
    <x v="3"/>
    <n v="1"/>
    <n v="0"/>
    <s v="sub"/>
    <s v="honorific_aux+lexical_humble_verb"/>
    <n v="0"/>
    <x v="2"/>
    <s v="subordinate"/>
    <s v="ds"/>
    <x v="1"/>
    <s v="topic-drop"/>
    <s v="contains_new"/>
    <s v="nominalisation"/>
    <m/>
    <x v="0"/>
  </r>
  <r>
    <x v="105"/>
    <s v="それ雄剣を帯して (sore yūken o tai shitei)"/>
    <s v="that wearing a sword"/>
    <s v="帯して "/>
    <s v="indicative"/>
    <x v="2"/>
    <x v="3"/>
    <s v="transitive"/>
    <s v="active"/>
    <s v="positive"/>
    <n v="1"/>
    <n v="1"/>
    <s v="OBJ"/>
    <n v="0"/>
    <x v="1"/>
    <n v="3"/>
    <s v="overt"/>
    <s v="n/a"/>
    <n v="0"/>
    <n v="0"/>
    <s v="n/a"/>
    <x v="1"/>
    <n v="0"/>
    <n v="0"/>
    <s v="n/a"/>
    <s v="n/a"/>
    <n v="0"/>
    <x v="2"/>
    <s v="subordinate"/>
    <s v="ds"/>
    <x v="0"/>
    <s v="topic-drop"/>
    <s v="contains_new"/>
    <m/>
    <m/>
    <x v="0"/>
  </r>
  <r>
    <x v="106"/>
    <s v="公宴に列し  kōen ni res shi"/>
    <s v=" coming to a Court entertainment "/>
    <s v="列し"/>
    <s v="indicative"/>
    <x v="3"/>
    <x v="3"/>
    <s v="intransitive"/>
    <s v="active"/>
    <s v="positive"/>
    <n v="1"/>
    <n v="1"/>
    <s v="IO"/>
    <n v="0"/>
    <x v="1"/>
    <n v="3"/>
    <s v="none"/>
    <s v="overt"/>
    <n v="0"/>
    <n v="0"/>
    <s v="n/a"/>
    <x v="1"/>
    <n v="0"/>
    <n v="0"/>
    <s v="n/a"/>
    <s v="n/a"/>
    <n v="0"/>
    <x v="2"/>
    <s v="te"/>
    <s v="ss"/>
    <x v="0"/>
    <s v="topic-drop"/>
    <s v="contains_new"/>
    <m/>
    <m/>
    <x v="0"/>
  </r>
  <r>
    <x v="107"/>
    <s v="兵仗を賜はりて  hyōjō o tamawari te "/>
    <s v="and bearing arms "/>
    <s v="賜はりて"/>
    <s v="indicative"/>
    <x v="2"/>
    <x v="1"/>
    <s v="transitive"/>
    <s v="active"/>
    <s v="positive"/>
    <n v="1"/>
    <n v="1"/>
    <s v="OBJ"/>
    <n v="0"/>
    <x v="2"/>
    <n v="3"/>
    <s v="overt"/>
    <s v="n/a"/>
    <n v="0"/>
    <n v="0"/>
    <s v="n/a"/>
    <x v="1"/>
    <n v="0"/>
    <n v="1"/>
    <s v="sub"/>
    <s v="lexical_humble_verb"/>
    <n v="0"/>
    <x v="2"/>
    <s v="te"/>
    <s v="ss"/>
    <x v="0"/>
    <s v="topic-drop"/>
    <s v="contains_new"/>
    <m/>
    <m/>
    <x v="0"/>
  </r>
  <r>
    <x v="108"/>
    <s v="宮中を出入りするは kyūchū o ideiri suru wa "/>
    <s v="when passing in and out of the Palace"/>
    <s v="出入りする"/>
    <s v="indicative"/>
    <x v="3"/>
    <x v="1"/>
    <s v="transitive"/>
    <s v="active"/>
    <s v="positive"/>
    <n v="1"/>
    <n v="1"/>
    <s v="OBJ"/>
    <n v="0"/>
    <x v="1"/>
    <n v="3"/>
    <s v="overt"/>
    <s v="n/a"/>
    <n v="0"/>
    <n v="0"/>
    <s v="SUB"/>
    <x v="3"/>
    <n v="0"/>
    <n v="0"/>
    <s v="n/a"/>
    <s v="n/a"/>
    <n v="0"/>
    <x v="2"/>
    <s v="te"/>
    <s v="ss"/>
    <x v="1"/>
    <s v="topic-drop"/>
    <s v="contains_new"/>
    <s v="nominalisation"/>
    <m/>
    <x v="0"/>
  </r>
  <r>
    <x v="109"/>
    <s v="皆格式の礼を守る mina kakushiki no rei o mamoru"/>
    <s v=" is according to ancient precedent,"/>
    <s v="守る"/>
    <s v="indicative"/>
    <x v="2"/>
    <x v="1"/>
    <s v="transitive"/>
    <s v="active"/>
    <s v="positive"/>
    <n v="1"/>
    <n v="2"/>
    <s v="S+O"/>
    <n v="0"/>
    <x v="0"/>
    <n v="3"/>
    <s v="overt"/>
    <s v="n/a"/>
    <n v="0"/>
    <n v="1"/>
    <s v="REL"/>
    <x v="0"/>
    <n v="0"/>
    <n v="0"/>
    <s v="n/a"/>
    <s v="n/a"/>
    <n v="0"/>
    <x v="2"/>
    <s v="subordinate"/>
    <s v="ds"/>
    <x v="1"/>
    <s v="topic-drop"/>
    <s v="contains_new"/>
    <m/>
    <m/>
    <x v="2"/>
  </r>
  <r>
    <x v="110"/>
    <s v="綸命由ある  rinmei yoshi aru "/>
    <m/>
    <s v="ある"/>
    <s v="indicative"/>
    <x v="0"/>
    <x v="7"/>
    <s v="intransitive"/>
    <s v="active"/>
    <s v="positive"/>
    <n v="1"/>
    <n v="1"/>
    <s v="SUB"/>
    <n v="0"/>
    <x v="0"/>
    <n v="3"/>
    <s v="n/a"/>
    <s v="n/a"/>
    <n v="0"/>
    <n v="1"/>
    <s v="REL"/>
    <x v="0"/>
    <n v="0"/>
    <n v="0"/>
    <s v="n/a"/>
    <s v="n/a"/>
    <n v="0"/>
    <x v="2"/>
    <s v="relative"/>
    <s v="ds"/>
    <x v="4"/>
    <s v="topic-drop"/>
    <s v="contains_new"/>
    <m/>
    <m/>
    <x v="0"/>
  </r>
  <r>
    <x v="111"/>
    <s v="先規なり senki nari"/>
    <m/>
    <s v="なり"/>
    <s v="indicative"/>
    <x v="0"/>
    <x v="0"/>
    <s v="intransitive"/>
    <s v="active"/>
    <s v="positive"/>
    <n v="1"/>
    <n v="0"/>
    <s v="n/a"/>
    <n v="0"/>
    <x v="6"/>
    <n v="0"/>
    <s v="n/a"/>
    <s v="n/a"/>
    <n v="0"/>
    <n v="0"/>
    <s v="n/a"/>
    <x v="8"/>
    <n v="0"/>
    <n v="0"/>
    <s v="n/a"/>
    <s v="n/a"/>
    <n v="0"/>
    <x v="2"/>
    <s v="relative"/>
    <s v="n/a"/>
    <x v="1"/>
    <s v="topic-drop"/>
    <s v="no_overt_NP"/>
    <m/>
    <m/>
    <x v="1"/>
  </r>
  <r>
    <x v="112"/>
    <s v="然るを忠盛朝臣或いは相伝の郎従と号して (shikaru o Tadamori ason arui wa sōden no rōjū to gō shite)"/>
    <s v="but Ason Tadamori, calling a certain common soldier his hereditary retainer,"/>
    <s v="号して"/>
    <s v="indicative"/>
    <x v="2"/>
    <x v="1"/>
    <s v="transitive"/>
    <s v="active"/>
    <s v="positive"/>
    <n v="1"/>
    <n v="2"/>
    <s v="S+O"/>
    <n v="1"/>
    <x v="0"/>
    <n v="3"/>
    <s v="overt"/>
    <s v="n/a"/>
    <n v="0"/>
    <n v="0"/>
    <s v="n/a"/>
    <x v="1"/>
    <n v="0"/>
    <n v="0"/>
    <s v="n/a"/>
    <s v="n/a"/>
    <n v="0"/>
    <x v="9"/>
    <s v="none"/>
    <s v="ds"/>
    <x v="0"/>
    <s v="topic-shift"/>
    <s v="contains_new"/>
    <m/>
    <m/>
    <x v="2"/>
  </r>
  <r>
    <x v="113"/>
    <s v="布衣の兵を殿上の小庭に召し置き (hoi no hyō o tenjō no koniwa ni meshioki)"/>
    <s v=" and placing him in the small courtyard of the Palace,"/>
    <s v="召し置き"/>
    <s v="indicative"/>
    <x v="2"/>
    <x v="1"/>
    <s v="transitive"/>
    <s v="active"/>
    <s v="positive"/>
    <n v="1"/>
    <n v="2"/>
    <s v="O+IO"/>
    <n v="0"/>
    <x v="2"/>
    <n v="3"/>
    <s v="overt"/>
    <s v="overt"/>
    <n v="0"/>
    <n v="0"/>
    <s v="n/a"/>
    <x v="5"/>
    <n v="0"/>
    <n v="1"/>
    <s v="sub"/>
    <s v="lexical_honorific_verb"/>
    <n v="0"/>
    <x v="2"/>
    <s v="te"/>
    <s v="ss"/>
    <x v="0"/>
    <s v="topic-drop"/>
    <s v="contains_new"/>
    <m/>
    <m/>
    <x v="2"/>
  </r>
  <r>
    <x v="114"/>
    <s v="或いは腰の刀を横へ差いて (arui wa koshi no katana o yokoe saite)"/>
    <s v="wearing a sword at his side,"/>
    <s v="差いて"/>
    <s v="indicative"/>
    <x v="1"/>
    <x v="1"/>
    <s v="transitive"/>
    <s v="active"/>
    <s v="positive"/>
    <n v="1"/>
    <n v="3"/>
    <s v="S+O+IO"/>
    <n v="2"/>
    <x v="0"/>
    <n v="3"/>
    <s v="overt"/>
    <s v="overt"/>
    <n v="0"/>
    <n v="0"/>
    <s v="n/a"/>
    <x v="1"/>
    <n v="0"/>
    <n v="0"/>
    <s v="n/a"/>
    <s v="n/a"/>
    <n v="0"/>
    <x v="2"/>
    <s v="inf"/>
    <s v="ss"/>
    <x v="0"/>
    <s v="topic-drop"/>
    <s v="contains_new"/>
    <m/>
    <m/>
    <x v="4"/>
  </r>
  <r>
    <x v="115"/>
    <s v="節会の座に列なる setsue no za ni tsuranaru"/>
    <s v="and coming to the festival seat "/>
    <s v="列なる"/>
    <s v="indicative"/>
    <x v="1"/>
    <x v="1"/>
    <s v="intransitive"/>
    <s v="active"/>
    <s v="positive"/>
    <n v="1"/>
    <n v="1"/>
    <s v="IO"/>
    <n v="0"/>
    <x v="1"/>
    <n v="3"/>
    <s v="none"/>
    <s v="overt"/>
    <n v="0"/>
    <n v="1"/>
    <s v="REL"/>
    <x v="0"/>
    <n v="0"/>
    <n v="0"/>
    <s v="n/a"/>
    <s v="n/a"/>
    <n v="0"/>
    <x v="2"/>
    <s v="te"/>
    <s v="ss"/>
    <x v="4"/>
    <s v="topic-drop"/>
    <s v="contains_new"/>
    <m/>
    <m/>
    <x v="0"/>
  </r>
  <r>
    <x v="116"/>
    <s v="[両条稀代]未だ聞かざる (ryōjō kidai imada kikazaru)"/>
    <s v="both acts are unheard-of,"/>
    <s v="聞かざる"/>
    <s v="indicative"/>
    <x v="2"/>
    <x v="1"/>
    <s v="transitive"/>
    <s v="active"/>
    <s v="negative"/>
    <n v="1"/>
    <n v="0"/>
    <s v="n/a"/>
    <n v="1"/>
    <x v="4"/>
    <n v="3"/>
    <s v="n/a"/>
    <s v="n/a"/>
    <n v="1"/>
    <n v="0"/>
    <s v="REL"/>
    <x v="0"/>
    <n v="0"/>
    <n v="0"/>
    <s v="n/a"/>
    <s v="n/a"/>
    <n v="0"/>
    <x v="2"/>
    <s v="relative"/>
    <s v="n/a"/>
    <x v="1"/>
    <s v="topic-drop"/>
    <s v="contains_new"/>
    <m/>
    <m/>
    <x v="1"/>
  </r>
  <r>
    <x v="117"/>
    <s v="狼藉なり rōzaku nari"/>
    <s v="disorderliness"/>
    <s v="狼藉なり"/>
    <s v="indicative"/>
    <x v="0"/>
    <x v="0"/>
    <s v="intransitive"/>
    <s v="active"/>
    <s v="positive"/>
    <n v="1"/>
    <n v="1"/>
    <s v="SUB"/>
    <n v="0"/>
    <x v="0"/>
    <n v="3"/>
    <s v="n/a"/>
    <s v="n/a"/>
    <n v="0"/>
    <n v="0"/>
    <s v="n/a"/>
    <x v="2"/>
    <n v="0"/>
    <n v="0"/>
    <s v="n/a"/>
    <s v="n/a"/>
    <n v="0"/>
    <x v="2"/>
    <s v="relative"/>
    <s v="ds"/>
    <x v="1"/>
    <s v="topic-drop"/>
    <s v="contains_new"/>
    <m/>
    <m/>
    <x v="0"/>
  </r>
  <r>
    <x v="118"/>
    <s v="事既に重畳せり (koto sudeni chōjō seri)"/>
    <s v="indeed, one crime piled on another,"/>
    <s v="重畳せり"/>
    <s v="indicative"/>
    <x v="1"/>
    <x v="3"/>
    <s v="intransitive"/>
    <s v="active"/>
    <s v="positive"/>
    <n v="1"/>
    <n v="1"/>
    <s v="SUB"/>
    <n v="1"/>
    <x v="0"/>
    <n v="3"/>
    <s v="n/a"/>
    <s v="n/a"/>
    <n v="0"/>
    <n v="0"/>
    <s v="n/a"/>
    <x v="5"/>
    <n v="0"/>
    <n v="0"/>
    <s v="n/a"/>
    <s v="n/a"/>
    <n v="0"/>
    <x v="2"/>
    <s v="main"/>
    <s v="ds"/>
    <x v="0"/>
    <s v="topic-drop"/>
    <s v="all given"/>
    <m/>
    <m/>
    <x v="0"/>
  </r>
  <r>
    <x v="119"/>
    <s v="罪科尤も遁れ難し (tsumitoga mottomo nogaregatashi)"/>
    <s v="a charge he would find difficult to escape."/>
    <s v="遁れ難し"/>
    <s v="dynamic"/>
    <x v="0"/>
    <x v="1"/>
    <s v="transitive"/>
    <s v="active"/>
    <s v="positive"/>
    <n v="1"/>
    <n v="1"/>
    <s v="SUB"/>
    <n v="0"/>
    <x v="0"/>
    <n v="3"/>
    <s v="overt"/>
    <s v="n/a"/>
    <n v="0"/>
    <n v="0"/>
    <s v="n/a"/>
    <x v="2"/>
    <n v="0"/>
    <n v="0"/>
    <s v="n/a"/>
    <s v="n/a"/>
    <n v="0"/>
    <x v="2"/>
    <s v="inf"/>
    <s v="ss"/>
    <x v="1"/>
    <s v="topic-drop"/>
    <s v="contains_new"/>
    <m/>
    <m/>
    <x v="0"/>
  </r>
  <r>
    <x v="120"/>
    <s v="早く殿上の御札を削りて (hayaku tenjō no mifuda o kezurite)"/>
    <s v="they petitioned that his name be erased from the list of Courtiers"/>
    <s v="削りて "/>
    <s v="indicative"/>
    <x v="2"/>
    <x v="1"/>
    <s v="transitive"/>
    <s v="active"/>
    <s v="positive"/>
    <n v="1"/>
    <n v="1"/>
    <s v="OBJ"/>
    <n v="0"/>
    <x v="4"/>
    <n v="3"/>
    <s v="overt"/>
    <s v="n/a"/>
    <n v="0"/>
    <n v="0"/>
    <s v="n/a"/>
    <x v="1"/>
    <n v="0"/>
    <n v="0"/>
    <s v="n/a"/>
    <s v="n/a"/>
    <n v="0"/>
    <x v="2"/>
    <s v="main"/>
    <s v="ds"/>
    <x v="0"/>
    <s v="topic-drop"/>
    <s v="contains_new"/>
    <m/>
    <m/>
    <x v="0"/>
  </r>
  <r>
    <x v="121"/>
    <s v="欠官停任せらるべき (kekkan teinin seraru beki yoshi)"/>
    <s v=" and he be deprived of rank and office,"/>
    <s v="停任せらるべき"/>
    <s v="deontic"/>
    <x v="2"/>
    <x v="3"/>
    <s v="intransitive"/>
    <s v="passive"/>
    <s v="positive"/>
    <n v="1"/>
    <n v="0"/>
    <s v="n/a"/>
    <n v="0"/>
    <x v="1"/>
    <n v="3"/>
    <s v="n/a"/>
    <s v="n/a"/>
    <n v="0"/>
    <n v="1"/>
    <s v="REL"/>
    <x v="0"/>
    <n v="0"/>
    <n v="0"/>
    <s v="n/a"/>
    <s v="n/a"/>
    <n v="0"/>
    <x v="2"/>
    <s v="te"/>
    <s v="ss"/>
    <x v="1"/>
    <s v="topic-drop"/>
    <s v="no_overt_NP"/>
    <m/>
    <m/>
    <x v="1"/>
  </r>
  <r>
    <x v="122"/>
    <s v="由諸卿一同に訴へ申されければ (yoshi shokyō ichidō ni uttaemōsarekereba)"/>
    <s v="and all the Court Nobles together petitioned,"/>
    <s v="訴へ申されければ"/>
    <s v="indicative"/>
    <x v="2"/>
    <x v="1"/>
    <s v="transitive"/>
    <s v="active"/>
    <s v="positive"/>
    <n v="1"/>
    <n v="2"/>
    <s v="S+O"/>
    <n v="1"/>
    <x v="0"/>
    <n v="3"/>
    <s v="overt"/>
    <s v="n/a"/>
    <n v="0"/>
    <n v="0"/>
    <s v="n/a"/>
    <x v="3"/>
    <n v="1"/>
    <n v="0"/>
    <s v="sub"/>
    <s v="honorific_aux+lexical_honorific_verb"/>
    <n v="0"/>
    <x v="0"/>
    <s v="relative"/>
    <s v="ds"/>
    <x v="1"/>
    <s v="topic-drop"/>
    <s v="contains_new"/>
    <m/>
    <m/>
    <x v="2"/>
  </r>
  <r>
    <x v="123"/>
    <s v="上皇大きに驚かせ給ひて (Jōkō ōki ni odorokase tamai te)"/>
    <s v="His Majesty the Mikado, greatly surprised,"/>
    <s v="驚かせ給ひて"/>
    <s v="indicative"/>
    <x v="2"/>
    <x v="1"/>
    <s v="intransitive"/>
    <s v="active"/>
    <s v="positive"/>
    <n v="1"/>
    <n v="1"/>
    <s v="SUB"/>
    <n v="0"/>
    <x v="0"/>
    <n v="3"/>
    <s v="n/a"/>
    <s v="n/a"/>
    <n v="0"/>
    <n v="0"/>
    <s v="n/a"/>
    <x v="1"/>
    <n v="1"/>
    <n v="0"/>
    <s v="sub"/>
    <s v="honorific_aux+lexical_honorific_verb"/>
    <n v="0"/>
    <x v="2"/>
    <s v="subordinate"/>
    <s v="ds"/>
    <x v="0"/>
    <s v="topic-drop"/>
    <s v="contains_new"/>
    <m/>
    <m/>
    <x v="0"/>
  </r>
  <r>
    <x v="124"/>
    <s v="忠盛を召して (Tadamori o meshite)"/>
    <s v="ordered Tadamori into his Presence,"/>
    <s v="召して"/>
    <s v="indicative"/>
    <x v="2"/>
    <x v="1"/>
    <s v="intransitive"/>
    <s v="active"/>
    <s v="positive"/>
    <n v="1"/>
    <n v="1"/>
    <s v="OBJ"/>
    <n v="0"/>
    <x v="2"/>
    <n v="3"/>
    <s v="overt"/>
    <s v="n/a"/>
    <n v="0"/>
    <n v="0"/>
    <s v="n/a"/>
    <x v="1"/>
    <n v="0"/>
    <n v="1"/>
    <s v="sub"/>
    <s v="lexical_honorific_verb"/>
    <n v="0"/>
    <x v="2"/>
    <s v="te"/>
    <s v="ss"/>
    <x v="1"/>
    <s v="topic-drop"/>
    <s v="contains_new"/>
    <m/>
    <m/>
    <x v="0"/>
  </r>
  <r>
    <x v="125"/>
    <s v="御尋ねあり o-tazune ari"/>
    <s v=" to make examination into the affair"/>
    <s v="御尋ねあり"/>
    <s v="indicative"/>
    <x v="2"/>
    <x v="1"/>
    <s v="intransitive"/>
    <s v="active"/>
    <s v="positive"/>
    <n v="1"/>
    <n v="1"/>
    <s v="SUB"/>
    <n v="0"/>
    <x v="0"/>
    <n v="3"/>
    <s v="n/a"/>
    <s v="n/a"/>
    <n v="0"/>
    <n v="0"/>
    <s v="n/a"/>
    <x v="2"/>
    <n v="1"/>
    <n v="0"/>
    <s v="sub"/>
    <s v="honorific prefix"/>
    <n v="1"/>
    <x v="2"/>
    <s v="te"/>
    <s v="ds"/>
    <x v="1"/>
    <s v="topic-drop"/>
    <s v="contains_new"/>
    <m/>
    <m/>
    <x v="0"/>
  </r>
  <r>
    <x v="126"/>
    <s v="陳じ申されけるは (chinji mōsarekeru wa)"/>
    <s v="in his reply he stated that,"/>
    <s v="申されける"/>
    <s v="indicative"/>
    <x v="2"/>
    <x v="1"/>
    <s v="transitive"/>
    <s v="active"/>
    <s v="positive"/>
    <n v="1"/>
    <n v="0"/>
    <s v="n/a"/>
    <n v="0"/>
    <x v="2"/>
    <n v="3"/>
    <s v="zero_other"/>
    <s v="n/a"/>
    <n v="0"/>
    <n v="0"/>
    <s v="SUB"/>
    <x v="3"/>
    <n v="0"/>
    <n v="1"/>
    <s v="sub"/>
    <s v="honorific_aux+lexical_humble_verb"/>
    <n v="0"/>
    <x v="2"/>
    <s v="main"/>
    <s v="ds"/>
    <x v="0"/>
    <s v="topic-drop"/>
    <s v="no_overt_NP"/>
    <s v="nominalisation"/>
    <m/>
    <x v="1"/>
  </r>
  <r>
    <x v="127"/>
    <s v="まづ郎従小庭に伺候の由全く覚悟仕らず (mazu rōjū koniwa ni shikō no yoshi mattaku kakugo tsukamatsurazu)"/>
    <s v="as to the presence of his retainer in the Palace, he certainly knew nothing about it,"/>
    <s v="覚悟仕らず"/>
    <s v="indicative"/>
    <x v="2"/>
    <x v="3"/>
    <s v="transitive"/>
    <s v="active"/>
    <s v="negative"/>
    <n v="1"/>
    <n v="1"/>
    <s v="OBJ"/>
    <n v="2"/>
    <x v="2"/>
    <n v="3"/>
    <s v="overt"/>
    <s v="n/a"/>
    <n v="0"/>
    <n v="0"/>
    <s v="n/a"/>
    <x v="3"/>
    <n v="0"/>
    <n v="1"/>
    <s v="sub"/>
    <s v="lexical_humble_verb"/>
    <n v="0"/>
    <x v="2"/>
    <s v="subordinate"/>
    <s v="ss"/>
    <x v="1"/>
    <s v="topic-drop"/>
    <s v="contains_new"/>
    <m/>
    <m/>
    <x v="0"/>
  </r>
  <r>
    <x v="128"/>
    <s v="但し近日人々相巧まるる (tadashi kinjitsu hitobito ai-takuramaruru)"/>
    <s v=" [...]  the designs that people were plotting,"/>
    <s v="巧まるる"/>
    <s v="indicative"/>
    <x v="2"/>
    <x v="1"/>
    <s v="transitive"/>
    <s v="active"/>
    <s v="positive"/>
    <n v="1"/>
    <n v="1"/>
    <s v="SUB"/>
    <n v="1"/>
    <x v="0"/>
    <n v="3"/>
    <s v="zero_other"/>
    <s v="n/a"/>
    <n v="0"/>
    <n v="0"/>
    <s v="REL"/>
    <x v="0"/>
    <n v="1"/>
    <n v="0"/>
    <s v="sub"/>
    <s v="honorific_aux"/>
    <n v="0"/>
    <x v="2"/>
    <s v="subordinate"/>
    <s v="ds"/>
    <x v="1"/>
    <s v="topic-drop"/>
    <s v="contains_new"/>
    <m/>
    <m/>
    <x v="0"/>
  </r>
  <r>
    <x v="129"/>
    <s v="旨子細あるかの間 mune shisai aru ka no aida "/>
    <s v="[…] had lately heard of"/>
    <s v="ある"/>
    <s v="indicative"/>
    <x v="0"/>
    <x v="7"/>
    <s v="intransitive"/>
    <s v="active"/>
    <s v="positive"/>
    <n v="1"/>
    <n v="1"/>
    <s v="SUB"/>
    <n v="1"/>
    <x v="0"/>
    <n v="3"/>
    <s v="n/a"/>
    <s v="n/a"/>
    <n v="0"/>
    <n v="0"/>
    <s v="n/a"/>
    <x v="3"/>
    <n v="0"/>
    <n v="0"/>
    <s v="n/a"/>
    <s v="n/a"/>
    <n v="0"/>
    <x v="0"/>
    <s v="relative"/>
    <s v="ds"/>
    <x v="0"/>
    <s v="topic-drop"/>
    <s v="contains_new"/>
    <m/>
    <m/>
    <x v="0"/>
  </r>
  <r>
    <x v="130"/>
    <s v="年来の家人事を伝へ聞くかによつて (nenrai no kenin goto o tsutae kiku ka ni yotte)"/>
    <s v=" if his retainers"/>
    <s v="伝へ聞く"/>
    <s v="indicative"/>
    <x v="6"/>
    <x v="12"/>
    <s v="transitive"/>
    <s v="active"/>
    <s v="positive"/>
    <n v="1"/>
    <n v="2"/>
    <s v="S+O"/>
    <n v="1"/>
    <x v="0"/>
    <n v="3"/>
    <s v="overt"/>
    <s v="n/a"/>
    <n v="0"/>
    <n v="0"/>
    <s v="n/a"/>
    <x v="3"/>
    <n v="0"/>
    <n v="0"/>
    <s v="n/a"/>
    <s v="n/a"/>
    <n v="0"/>
    <x v="1"/>
    <s v="subordinate"/>
    <s v="ss"/>
    <x v="0"/>
    <s v="topic-drop"/>
    <s v="contains_new"/>
    <m/>
    <m/>
    <x v="2"/>
  </r>
  <r>
    <x v="131"/>
    <s v="その恥を助けんが為に (sono haji o tasuken ga tame ni)"/>
    <s v="and in order to help him against such dishonour,  intending to prevent dishonour,"/>
    <s v="助けん"/>
    <s v="dynamic"/>
    <x v="1"/>
    <x v="1"/>
    <s v="transitive"/>
    <s v="active"/>
    <s v="positive"/>
    <n v="1"/>
    <n v="1"/>
    <s v="OBJ"/>
    <n v="0"/>
    <x v="1"/>
    <n v="3"/>
    <s v="overt"/>
    <s v="n/a"/>
    <n v="0"/>
    <n v="0"/>
    <s v="n/a"/>
    <x v="3"/>
    <n v="0"/>
    <n v="0"/>
    <s v="n/a"/>
    <s v="n/a"/>
    <n v="0"/>
    <x v="7"/>
    <s v="subordinate"/>
    <s v="ss"/>
    <x v="0"/>
    <s v="topic-drop"/>
    <s v="contains_new"/>
    <m/>
    <m/>
    <x v="0"/>
  </r>
  <r>
    <x v="132"/>
    <s v="忠盛には知らせずして Tadamori ni wa shirasazu shite"/>
    <s v=" without informing him,  "/>
    <s v="知らせず"/>
    <s v="indicative"/>
    <x v="1"/>
    <x v="1"/>
    <s v="ditransitive"/>
    <s v="active"/>
    <s v="negative"/>
    <n v="1"/>
    <n v="2"/>
    <s v="IO"/>
    <n v="1"/>
    <x v="1"/>
    <n v="3"/>
    <s v="zero_recoverable"/>
    <s v="overt"/>
    <n v="0"/>
    <n v="0"/>
    <s v="n/a"/>
    <x v="1"/>
    <n v="0"/>
    <n v="0"/>
    <s v="n/a"/>
    <s v="n/a"/>
    <n v="0"/>
    <x v="1"/>
    <s v="subordinate"/>
    <s v="ss"/>
    <x v="2"/>
    <s v="topic-continued"/>
    <s v="contains_new"/>
    <m/>
    <m/>
    <x v="2"/>
  </r>
  <r>
    <x v="133"/>
    <s v="密かに参候の条 (hisoka ni sankō no jō)"/>
    <s v="his retainers had come hither secretly"/>
    <s v="N/A (nominal clause)"/>
    <s v="indicative"/>
    <x v="1"/>
    <x v="10"/>
    <m/>
    <m/>
    <m/>
    <m/>
    <m/>
    <m/>
    <m/>
    <x v="3"/>
    <m/>
    <m/>
    <m/>
    <m/>
    <m/>
    <m/>
    <x v="7"/>
    <m/>
    <m/>
    <s v="n/a"/>
    <s v="n/a"/>
    <m/>
    <x v="5"/>
    <s v="te"/>
    <m/>
    <x v="1"/>
    <m/>
    <m/>
    <s v="not sure if I should treat this as a nominal or verbal predicate or whether there is predication at all"/>
    <m/>
    <x v="3"/>
  </r>
  <r>
    <x v="134"/>
    <s v="力及ばざる chikara oyobazaru"/>
    <s v="his retainers had come hither secretly"/>
    <s v="及ばざる"/>
    <s v="indicative"/>
    <x v="1"/>
    <x v="1"/>
    <s v="intransitive"/>
    <s v="active"/>
    <s v="negative"/>
    <n v="1"/>
    <n v="1"/>
    <s v="SUB"/>
    <n v="0"/>
    <x v="0"/>
    <n v="3"/>
    <s v="n/a"/>
    <s v="n/a"/>
    <n v="0"/>
    <n v="1"/>
    <s v="REL"/>
    <x v="0"/>
    <n v="0"/>
    <n v="0"/>
    <s v="n/a"/>
    <s v="n/a"/>
    <n v="0"/>
    <x v="2"/>
    <n v="0"/>
    <s v="ds"/>
    <x v="1"/>
    <s v="topic-drop"/>
    <s v="contains_new"/>
    <m/>
    <m/>
    <x v="0"/>
  </r>
  <r>
    <x v="135"/>
    <s v="次第なり"/>
    <s v="shidai nari"/>
    <s v="なり"/>
    <s v="indicative"/>
    <x v="0"/>
    <x v="0"/>
    <s v="intransitive"/>
    <s v="active"/>
    <s v="positive"/>
    <n v="1"/>
    <n v="0"/>
    <s v="n/a"/>
    <n v="0"/>
    <x v="1"/>
    <n v="3"/>
    <s v="n/a"/>
    <s v="n/a"/>
    <n v="0"/>
    <n v="0"/>
    <s v="n/a"/>
    <x v="2"/>
    <n v="0"/>
    <n v="0"/>
    <s v="n/a"/>
    <s v="n/a"/>
    <n v="0"/>
    <x v="2"/>
    <s v="relative"/>
    <s v="ds"/>
    <x v="1"/>
    <s v="topic-drop"/>
    <s v="no_overt_NP"/>
    <m/>
    <m/>
    <x v="1"/>
  </r>
  <r>
    <x v="136"/>
    <s v="もしその咎あるべくば (moshi sono toga arubekuba)"/>
    <s v="&quot;if there be any blame, "/>
    <s v="ある"/>
    <s v="indicative"/>
    <x v="0"/>
    <x v="7"/>
    <s v="intransitive"/>
    <s v="active"/>
    <s v="positive"/>
    <n v="1"/>
    <n v="1"/>
    <s v="SUB"/>
    <n v="0"/>
    <x v="0"/>
    <n v="3"/>
    <s v="n/a"/>
    <s v="n/a"/>
    <n v="0"/>
    <n v="0"/>
    <s v="n/a"/>
    <x v="3"/>
    <n v="0"/>
    <n v="0"/>
    <s v="n/a"/>
    <s v="n/a"/>
    <n v="0"/>
    <x v="10"/>
    <s v="main"/>
    <s v="ds"/>
    <x v="1"/>
    <s v="topic-shift"/>
    <s v="contains_new"/>
    <m/>
    <m/>
    <x v="0"/>
  </r>
  <r>
    <x v="137"/>
    <s v="かの身を召し進ずべきか  ka no mi o meshi shinzu beki ka"/>
    <s v="do I not yield my body herewith?&quot;"/>
    <s v="召し進ずべき"/>
    <s v="deontic"/>
    <x v="2"/>
    <x v="3"/>
    <m/>
    <s v="active"/>
    <s v="positive"/>
    <n v="1"/>
    <n v="1"/>
    <s v="OBJ"/>
    <n v="0"/>
    <x v="2"/>
    <n v="1"/>
    <s v="overt"/>
    <s v="n/a"/>
    <n v="0"/>
    <n v="0"/>
    <s v="n/a"/>
    <x v="2"/>
    <n v="0"/>
    <n v="1"/>
    <s v="sub"/>
    <s v="lexical_honorific_verb"/>
    <n v="0"/>
    <x v="2"/>
    <s v="subordinate"/>
    <s v="ds"/>
    <x v="0"/>
    <s v="topic-drop"/>
    <s v="contains_new"/>
    <m/>
    <m/>
    <x v="0"/>
  </r>
  <r>
    <x v="138"/>
    <s v="次に刀の事は主殿司に預け置き候ひ畢んぬ (tsugi ni katana no koto wa tonomotsukasa ni azukeoki soroiowannu)"/>
    <s v="as for the sword, I deposited it in the Tonomotsukasa,"/>
    <s v="預け置き / 候ひ畢んぬ"/>
    <s v="indicative"/>
    <x v="2"/>
    <x v="12"/>
    <s v="transitive"/>
    <s v="active"/>
    <s v="positive"/>
    <n v="1"/>
    <n v="2"/>
    <s v="O+IO"/>
    <n v="0"/>
    <x v="1"/>
    <n v="1"/>
    <s v="overt"/>
    <s v="overt"/>
    <n v="0"/>
    <n v="0"/>
    <s v="n/a"/>
    <x v="2"/>
    <n v="0"/>
    <n v="0"/>
    <s v="n/a"/>
    <s v="polite_aux"/>
    <n v="0"/>
    <x v="2"/>
    <s v="main"/>
    <s v="ss"/>
    <x v="1"/>
    <s v="topic-shift"/>
    <s v="contains_new"/>
    <m/>
    <m/>
    <x v="2"/>
  </r>
  <r>
    <x v="139"/>
    <s v="召し出だされ (meshi idasare)"/>
    <s v="if it be brought out from thence,"/>
    <s v="召し出だされ "/>
    <s v="indicative"/>
    <x v="2"/>
    <x v="1"/>
    <s v="intransitive"/>
    <s v="passive"/>
    <s v="positive"/>
    <n v="1"/>
    <n v="0"/>
    <s v="n/a"/>
    <n v="0"/>
    <x v="2"/>
    <n v="3"/>
    <s v="zero_recoverable"/>
    <s v="zero_recoverable"/>
    <n v="0"/>
    <n v="0"/>
    <s v="n/a"/>
    <x v="2"/>
    <n v="0"/>
    <n v="1"/>
    <s v="sub"/>
    <s v="lexical_honorific_verb"/>
    <n v="0"/>
    <x v="2"/>
    <s v="main"/>
    <s v="ds"/>
    <x v="0"/>
    <s v="topic-drop"/>
    <s v="no_overt_NP"/>
    <m/>
    <m/>
    <x v="1"/>
  </r>
  <r>
    <x v="140"/>
    <s v="刀の実否に付きて咎の左右あるべきか  katana no jippi ni tsukite toga no sayū aru beki ka"/>
    <s v=" it may be seen if it be a real sword or not,"/>
    <s v="あるべき"/>
    <s v="deontic"/>
    <x v="0"/>
    <x v="7"/>
    <s v="intransitive"/>
    <s v="active"/>
    <s v="positive"/>
    <n v="1"/>
    <n v="1"/>
    <s v="SUB"/>
    <n v="1"/>
    <x v="0"/>
    <n v="3"/>
    <s v="n/a"/>
    <s v="n/a"/>
    <n v="0"/>
    <n v="0"/>
    <s v="n/a"/>
    <x v="2"/>
    <n v="0"/>
    <n v="0"/>
    <s v="n/a"/>
    <s v="n/a"/>
    <n v="0"/>
    <x v="2"/>
    <s v="main"/>
    <s v="ss"/>
    <x v="1"/>
    <s v="topic-drop"/>
    <s v="contains_new"/>
    <m/>
    <m/>
    <x v="0"/>
  </r>
  <r>
    <x v="141"/>
    <s v="この儀尤も然るべしとて (kono gi motto mo shikarubeshi tote)"/>
    <s v="&quot;This seems quite reasonable,&quot;"/>
    <s v="然るべし"/>
    <s v="deontic"/>
    <x v="0"/>
    <x v="5"/>
    <s v="intransitive"/>
    <s v="active"/>
    <s v="positive"/>
    <n v="1"/>
    <n v="1"/>
    <s v="SUB"/>
    <n v="0"/>
    <x v="0"/>
    <n v="3"/>
    <s v="n/a"/>
    <s v="n/a"/>
    <n v="0"/>
    <n v="0"/>
    <s v="n/a"/>
    <x v="3"/>
    <n v="0"/>
    <n v="0"/>
    <s v="n/a"/>
    <s v="n/a"/>
    <n v="0"/>
    <x v="3"/>
    <s v="main"/>
    <s v="ds"/>
    <x v="1"/>
    <s v="topic-drop"/>
    <s v="contains_new"/>
    <m/>
    <m/>
    <x v="0"/>
  </r>
  <r>
    <x v="142"/>
    <s v="かの刀を召し出でて (kano katana o meshi-idete)"/>
    <s v="and they hastened to bring forth the sword,"/>
    <s v="召し出でて"/>
    <s v="indicative"/>
    <x v="2"/>
    <x v="1"/>
    <s v="transitive"/>
    <s v="active"/>
    <s v="positive"/>
    <n v="1"/>
    <n v="1"/>
    <s v="OBJ"/>
    <n v="1"/>
    <x v="2"/>
    <n v="3"/>
    <s v="overt"/>
    <s v="n/a"/>
    <n v="0"/>
    <n v="0"/>
    <s v="n/a"/>
    <x v="1"/>
    <n v="0"/>
    <n v="1"/>
    <s v="sub"/>
    <s v="lexical_honorific_verb"/>
    <n v="0"/>
    <x v="1"/>
    <s v="subordinate"/>
    <s v="ds"/>
    <x v="0"/>
    <s v="topic-continued"/>
    <s v="all given"/>
    <m/>
    <m/>
    <x v="0"/>
  </r>
  <r>
    <x v="143"/>
    <s v="叡覧あるに (eiran aru ni)"/>
    <s v="and exhibit it before His Majesty,"/>
    <s v="叡覧ある"/>
    <s v="indicative"/>
    <x v="2"/>
    <x v="3"/>
    <s v="transitive"/>
    <s v="active"/>
    <s v="positive"/>
    <n v="1"/>
    <n v="0"/>
    <s v="n/a"/>
    <n v="0"/>
    <x v="2"/>
    <n v="3"/>
    <s v="zero_recoverable"/>
    <s v="n/a"/>
    <n v="0"/>
    <n v="0"/>
    <s v="n/a"/>
    <x v="3"/>
    <n v="0"/>
    <n v="1"/>
    <s v="sub"/>
    <s v="lexical_honorific_verb"/>
    <n v="0"/>
    <x v="0"/>
    <s v="te"/>
    <s v="ss"/>
    <x v="1"/>
    <s v="topic-drop"/>
    <s v="no_overt_NP"/>
    <m/>
    <m/>
    <x v="1"/>
  </r>
  <r>
    <x v="144"/>
    <s v="上は鞘巻の黒う塗つたりけるが (ue wa sayamaki no kuro u nuttari keru ga)"/>
    <s v="its outside was that of a dirk in a black lacquer sheath,"/>
    <s v="塗つたりける"/>
    <s v="indicative"/>
    <x v="0"/>
    <x v="1"/>
    <s v="intransitive"/>
    <s v="resultative"/>
    <s v="positive"/>
    <n v="1"/>
    <n v="1"/>
    <s v="SUB"/>
    <n v="0"/>
    <x v="0"/>
    <n v="3"/>
    <s v="n/a"/>
    <s v="n/a"/>
    <n v="0"/>
    <n v="0"/>
    <s v="n/a"/>
    <x v="3"/>
    <n v="0"/>
    <n v="0"/>
    <s v="n/a"/>
    <s v="n/a"/>
    <n v="0"/>
    <x v="9"/>
    <s v="subordinate"/>
    <s v="ds"/>
    <x v="1"/>
    <s v="topic-drop"/>
    <s v="contains_new"/>
    <m/>
    <m/>
    <x v="0"/>
  </r>
  <r>
    <x v="145"/>
    <s v="中は木刀に銀薄をぞ押したりける (naka wa bokutō ni gin-haku o zo oshitari keru)"/>
    <s v="but within was only a wooden blade covered with silver."/>
    <s v="押したりける"/>
    <s v="indicative"/>
    <x v="0"/>
    <x v="1"/>
    <s v="transitive"/>
    <s v="resultative"/>
    <s v="positive"/>
    <n v="1"/>
    <n v="3"/>
    <s v="S+O+IO"/>
    <n v="0"/>
    <x v="0"/>
    <n v="3"/>
    <s v="overt"/>
    <s v="overt"/>
    <n v="0"/>
    <n v="0"/>
    <s v="n/a"/>
    <x v="2"/>
    <n v="0"/>
    <n v="0"/>
    <s v="n/a"/>
    <s v="n/a"/>
    <n v="0"/>
    <x v="2"/>
    <s v="subordinate"/>
    <s v="ds"/>
    <x v="1"/>
    <s v="topic-drop"/>
    <s v="contains_new"/>
    <m/>
    <m/>
    <x v="4"/>
  </r>
  <r>
    <x v="146"/>
    <s v="当座の恥辱を遁れんが為に (tōza no chijoku o nogaren ga tame ni)"/>
    <s v=" to avoid dishonour at the moment,"/>
    <s v="遁れん "/>
    <s v="dynamic"/>
    <x v="1"/>
    <x v="1"/>
    <s v="transitive"/>
    <s v="active"/>
    <s v="positive"/>
    <n v="1"/>
    <n v="1"/>
    <s v="OBJ"/>
    <n v="0"/>
    <x v="1"/>
    <n v="3"/>
    <s v="overt"/>
    <s v="n/a"/>
    <n v="0"/>
    <n v="0"/>
    <s v="n/a"/>
    <x v="3"/>
    <n v="0"/>
    <n v="0"/>
    <s v="n/a"/>
    <s v="n/a"/>
    <n v="0"/>
    <x v="7"/>
    <s v="main"/>
    <s v="ds"/>
    <x v="0"/>
    <s v="topic-drop"/>
    <s v="contains_new"/>
    <m/>
    <m/>
    <x v="0"/>
  </r>
  <r>
    <x v="147"/>
    <s v="刀を帯する katana o taisuru "/>
    <s v="Although he had displayed "/>
    <s v="帯する"/>
    <s v="indicative"/>
    <x v="1"/>
    <x v="3"/>
    <s v="transitive"/>
    <s v="active"/>
    <s v="positive"/>
    <n v="1"/>
    <n v="1"/>
    <s v="OBJ"/>
    <n v="0"/>
    <x v="1"/>
    <n v="3"/>
    <s v="overt"/>
    <s v="n/a"/>
    <n v="0"/>
    <n v="1"/>
    <s v="REL"/>
    <x v="0"/>
    <n v="0"/>
    <n v="0"/>
    <s v="n/a"/>
    <s v="n/a"/>
    <n v="0"/>
    <x v="2"/>
    <s v="subordinate"/>
    <s v="ss"/>
    <x v="0"/>
    <s v="topic-drop"/>
    <s v="all given"/>
    <m/>
    <m/>
    <x v="0"/>
  </r>
  <r>
    <x v="148"/>
    <s v="由顕すといへども yoshi arawasu to iedomo"/>
    <s v="the appearance of a sword"/>
    <s v="顕す"/>
    <s v="indicative"/>
    <x v="1"/>
    <x v="1"/>
    <s v="transitive"/>
    <s v="active"/>
    <s v="positive"/>
    <n v="1"/>
    <n v="1"/>
    <s v="OBJ"/>
    <n v="0"/>
    <x v="1"/>
    <n v="3"/>
    <s v="overt"/>
    <s v="n/a"/>
    <n v="0"/>
    <n v="0"/>
    <s v="n/a"/>
    <x v="3"/>
    <n v="0"/>
    <n v="0"/>
    <s v="n/a"/>
    <s v="n/a"/>
    <n v="0"/>
    <x v="9"/>
    <s v="relative"/>
    <s v="ss"/>
    <x v="0"/>
    <s v="topic-drop"/>
    <s v="contains_new"/>
    <m/>
    <m/>
    <x v="0"/>
  </r>
  <r>
    <x v="149"/>
    <s v="後日の訴訟を存じて (gojitsu no soshō o zonjite)"/>
    <s v="his substitution of a wooden blade as a precaution against an after accusation was exceedingly praiseworthy."/>
    <s v="存じて"/>
    <s v="indicative"/>
    <x v="6"/>
    <x v="3"/>
    <s v="transitive"/>
    <s v="active"/>
    <s v="positive"/>
    <n v="1"/>
    <n v="1"/>
    <s v="OBJ"/>
    <n v="0"/>
    <x v="2"/>
    <n v="3"/>
    <s v="overt"/>
    <s v="n/a"/>
    <n v="0"/>
    <n v="0"/>
    <s v="n/a"/>
    <x v="1"/>
    <n v="0"/>
    <n v="1"/>
    <s v="sub"/>
    <s v="lexical_humble_verb"/>
    <n v="0"/>
    <x v="2"/>
    <s v="subordinate"/>
    <s v="ss"/>
    <x v="0"/>
    <s v="topic-drop"/>
    <s v="contains_new"/>
    <m/>
    <m/>
    <x v="0"/>
  </r>
  <r>
    <x v="150"/>
    <s v="木刀を帯したる"/>
    <s v=" bokutō o tachitaru "/>
    <s v="帯したる"/>
    <s v="indicative"/>
    <x v="2"/>
    <x v="3"/>
    <s v="transitive"/>
    <s v="active"/>
    <s v="positive"/>
    <n v="1"/>
    <n v="1"/>
    <s v="OBJ"/>
    <n v="0"/>
    <x v="1"/>
    <n v="3"/>
    <s v="overt"/>
    <s v="n/a"/>
    <n v="0"/>
    <n v="1"/>
    <s v="REL"/>
    <x v="0"/>
    <n v="0"/>
    <n v="0"/>
    <s v="n/a"/>
    <s v="n/a"/>
    <n v="0"/>
    <x v="2"/>
    <s v="te"/>
    <s v="ss"/>
    <x v="1"/>
    <s v="topic-drop"/>
    <s v="contains_new"/>
    <m/>
    <m/>
    <x v="0"/>
  </r>
  <r>
    <x v="151"/>
    <s v="用意のほどこそ神妙なれ yōi no hodo koso shinmyō nare"/>
    <m/>
    <s v="なれ"/>
    <s v="indicative"/>
    <x v="0"/>
    <x v="0"/>
    <s v="intransitive"/>
    <s v="active"/>
    <s v="positive"/>
    <n v="1"/>
    <n v="1"/>
    <s v="SUB"/>
    <n v="0"/>
    <x v="0"/>
    <n v="3"/>
    <s v="n/a"/>
    <s v="n/a"/>
    <n v="0"/>
    <n v="0"/>
    <s v="n/a"/>
    <x v="2"/>
    <n v="0"/>
    <n v="0"/>
    <s v="n/a"/>
    <s v="n/a"/>
    <n v="0"/>
    <x v="2"/>
    <s v="relative"/>
    <s v="ds"/>
    <x v="1"/>
    <s v="topic-drop"/>
    <s v="contains_new"/>
    <m/>
    <m/>
    <x v="0"/>
  </r>
  <r>
    <x v="152"/>
    <s v="弓箭に携らん (yumiya ni tazusaran)"/>
    <s v="Such prudence is most commendable in a warrior."/>
    <s v="携らん"/>
    <s v="dynamic"/>
    <x v="2"/>
    <x v="1"/>
    <s v="intransitive"/>
    <s v="active"/>
    <s v="positive"/>
    <n v="1"/>
    <n v="1"/>
    <s v="IO"/>
    <n v="0"/>
    <x v="1"/>
    <n v="3"/>
    <s v="n/a"/>
    <s v="overt"/>
    <n v="1"/>
    <n v="0"/>
    <s v="REL"/>
    <x v="0"/>
    <n v="0"/>
    <n v="0"/>
    <s v="n/a"/>
    <s v="n/a"/>
    <n v="0"/>
    <x v="2"/>
    <s v="main"/>
    <s v="ds"/>
    <x v="1"/>
    <s v="topic-shift"/>
    <s v="contains_new"/>
    <m/>
    <m/>
    <x v="0"/>
  </r>
  <r>
    <x v="153"/>
    <s v="ほどの者の謀は尤もかうこそあらまほしけれ hodo no mono no hakarigoto wa motto mo kō koso aramahoshikere"/>
    <m/>
    <s v="あらまほしけれ"/>
    <s v="desiderative"/>
    <x v="4"/>
    <x v="5"/>
    <s v="intransitive"/>
    <s v="active"/>
    <s v="positive"/>
    <n v="1"/>
    <n v="1"/>
    <s v="SUB"/>
    <n v="1"/>
    <x v="0"/>
    <n v="3"/>
    <s v="n/a"/>
    <s v="n/a"/>
    <n v="0"/>
    <n v="0"/>
    <s v="n/a"/>
    <x v="2"/>
    <n v="0"/>
    <n v="0"/>
    <s v="n/a"/>
    <s v="n/a"/>
    <n v="0"/>
    <x v="2"/>
    <s v="relative"/>
    <s v="ds"/>
    <x v="1"/>
    <s v="topic-shift"/>
    <s v="contains_new"/>
    <m/>
    <m/>
    <x v="0"/>
  </r>
  <r>
    <x v="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x v="0"/>
    <x v="0"/>
    <s v="intransitive"/>
    <s v="active"/>
    <s v="positive"/>
    <n v="1"/>
    <n v="1"/>
    <s v="SUB"/>
    <n v="3"/>
    <x v="0"/>
    <n v="3"/>
    <s v="n/a"/>
    <s v="n/a"/>
    <n v="0"/>
    <n v="0"/>
    <s v="n/a"/>
    <x v="2"/>
    <n v="0"/>
    <n v="0"/>
    <s v="n/a"/>
    <s v="n/a"/>
    <n v="0"/>
    <x v="2"/>
    <s v="main"/>
    <s v="ds"/>
    <x v="1"/>
    <s v="topic-shift"/>
    <s v="contains_new"/>
    <m/>
    <m/>
    <x v="0"/>
  </r>
  <r>
    <x v="155"/>
    <s v="忠盛が咎にはあらずとて (Tadamori ga toga ni wa arazu tote)"/>
    <s v="and no fault was found in Tadamori."/>
    <s v="あらず"/>
    <s v="indicative"/>
    <x v="0"/>
    <x v="0"/>
    <s v="intransitive"/>
    <s v="active"/>
    <s v="negative"/>
    <n v="1"/>
    <n v="1"/>
    <s v="SUB"/>
    <n v="0"/>
    <x v="0"/>
    <n v="3"/>
    <s v="n/a"/>
    <s v="n/a"/>
    <n v="0"/>
    <n v="0"/>
    <s v="n/a"/>
    <x v="3"/>
    <n v="0"/>
    <n v="0"/>
    <s v="n/a"/>
    <s v="n/a"/>
    <n v="0"/>
    <x v="3"/>
    <s v="main"/>
    <s v="ds"/>
    <x v="0"/>
    <s v="topic-shift"/>
    <s v="contains_new"/>
    <m/>
    <m/>
    <x v="0"/>
  </r>
  <r>
    <x v="156"/>
    <s v="却つて叡感に預かりし上は (kaette eikan ni azukarishi ue wa)"/>
    <s v="and on the contrary, his conduct was greatly admired,"/>
    <s v="預かりし"/>
    <s v="indicative"/>
    <x v="2"/>
    <x v="1"/>
    <s v="intransitive"/>
    <s v="active"/>
    <s v="positive"/>
    <n v="1"/>
    <n v="1"/>
    <s v="IO"/>
    <n v="1"/>
    <x v="1"/>
    <n v="3"/>
    <s v="n/a"/>
    <s v="overt"/>
    <n v="0"/>
    <n v="0"/>
    <s v="REL"/>
    <x v="3"/>
    <n v="0"/>
    <n v="0"/>
    <s v="n/a"/>
    <s v="n/a"/>
    <n v="1"/>
    <x v="6"/>
    <s v="subordinate"/>
    <s v="ss"/>
    <x v="1"/>
    <s v="topic-drop"/>
    <s v="contains_new"/>
    <m/>
    <m/>
    <x v="0"/>
  </r>
  <r>
    <x v="157"/>
    <s v="敢へて罪科の沙汰はなかりけり aete tsumikado no sata wa nakarikeri"/>
    <s v="and he was pronounced guiltless."/>
    <s v="なかりけり"/>
    <s v="indicative"/>
    <x v="7"/>
    <x v="1"/>
    <s v="intransitive"/>
    <s v="active"/>
    <s v="negative"/>
    <n v="1"/>
    <n v="1"/>
    <s v="SUB"/>
    <n v="1"/>
    <x v="0"/>
    <n v="3"/>
    <s v="n/a"/>
    <s v="n/a"/>
    <n v="0"/>
    <n v="0"/>
    <s v="n/a"/>
    <x v="2"/>
    <n v="0"/>
    <n v="0"/>
    <s v="n/a"/>
    <s v="n/a"/>
    <n v="0"/>
    <x v="8"/>
    <s v="subordinate"/>
    <s v="ds"/>
    <x v="2"/>
    <s v="topic-drop"/>
    <s v="contains_new"/>
    <m/>
    <m/>
    <x v="0"/>
  </r>
  <r>
    <x v="158"/>
    <m/>
    <m/>
    <m/>
    <m/>
    <x v="8"/>
    <x v="6"/>
    <m/>
    <m/>
    <m/>
    <n v="154"/>
    <n v="150"/>
    <m/>
    <n v="72"/>
    <x v="7"/>
    <n v="426"/>
    <n v="0"/>
    <n v="0"/>
    <n v="7"/>
    <n v="17"/>
    <n v="0"/>
    <x v="9"/>
    <n v="19"/>
    <n v="32"/>
    <n v="0"/>
    <n v="0"/>
    <n v="6"/>
    <x v="5"/>
    <m/>
    <m/>
    <x v="3"/>
    <m/>
    <m/>
    <m/>
    <m/>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s v="Heike 2.1"/>
    <s v="忠盛朝臣未だ備前守たりし時 (Tadamori ason imada Bizen no kami tarishi toki)"/>
    <s v="Now Tadamori, while holding the office of Bizen no Kami,"/>
    <s v="たりし"/>
    <s v="indicative"/>
    <x v="0"/>
    <x v="0"/>
    <s v="intransitive"/>
    <s v="active"/>
    <s v="positive"/>
    <n v="1"/>
    <n v="1"/>
    <s v="SUB"/>
    <n v="0"/>
    <s v="overt"/>
    <n v="3"/>
    <s v="n/a"/>
    <s v="n/a"/>
    <n v="0"/>
    <n v="1"/>
    <s v="REL"/>
    <s v="relative"/>
    <n v="0"/>
    <x v="0"/>
    <s v="n/a"/>
    <s v="n/a"/>
    <n v="0"/>
    <s v="temporal"/>
    <m/>
    <s v="new"/>
    <s v="ss"/>
    <s v="topic-introduced"/>
    <s v="contains_new"/>
    <m/>
    <m/>
    <n v="1"/>
    <m/>
    <x v="0"/>
  </r>
  <r>
    <s v="Heike 2.2"/>
    <s v="鳥羽院の御願得長寿院を造進して (Toba-in no ogan Tokuchōju-in o zōshin shite)"/>
    <s v="by the request of the retired Emperor Toba,"/>
    <s v="造進して"/>
    <s v="indicative"/>
    <x v="1"/>
    <x v="1"/>
    <s v="transitive"/>
    <s v="active"/>
    <s v="positive"/>
    <n v="1"/>
    <n v="1"/>
    <s v="OBJ"/>
    <n v="1"/>
    <s v="zero_recoverable"/>
    <n v="3"/>
    <s v="overt"/>
    <s v="n/a"/>
    <n v="0"/>
    <n v="0"/>
    <s v="n/a"/>
    <s v="te"/>
    <n v="0"/>
    <x v="0"/>
    <s v="obj"/>
    <s v="nominal_prefix"/>
    <n v="1"/>
    <s v="sequential"/>
    <s v="relative"/>
    <s v="ss"/>
    <s v="ss"/>
    <s v="topic-drop"/>
    <s v="contains_new"/>
    <s v="stranded subject Tadamori"/>
    <m/>
    <n v="1"/>
    <m/>
    <x v="0"/>
  </r>
  <r>
    <s v="Heike 2.3"/>
    <s v="三十三間の御堂を建て (sanjūsangen no midō o tatete)"/>
    <s v=" had built the temple Toku-cho-juin and the Sa-ju-san-gen-do, or hall 33 ken long,"/>
    <s v="建て"/>
    <s v="indicative"/>
    <x v="1"/>
    <x v="1"/>
    <s v="transitive"/>
    <s v="active"/>
    <s v="positive"/>
    <n v="1"/>
    <n v="1"/>
    <s v="OBJ"/>
    <n v="0"/>
    <s v="zero_recoverable"/>
    <n v="3"/>
    <s v="overt"/>
    <s v="n/a"/>
    <n v="0"/>
    <n v="0"/>
    <s v="n/a"/>
    <s v="te"/>
    <n v="0"/>
    <x v="0"/>
    <s v="obj"/>
    <s v="nominal_prefix"/>
    <n v="1"/>
    <s v="sequential"/>
    <s v="te"/>
    <s v="ss"/>
    <s v="ss"/>
    <s v="topic-drop"/>
    <s v="contains_new"/>
    <m/>
    <m/>
    <n v="1"/>
    <m/>
    <x v="0"/>
  </r>
  <r>
    <s v="Heike 2.4"/>
    <s v="一千一体の御仏を据ゑ奉らる (issen ittai no mihotoke o sue-tatematsuraru)"/>
    <s v="within which were one thousand and one Buddhas;"/>
    <s v="据ゑ奉らる"/>
    <s v="indicative"/>
    <x v="2"/>
    <x v="1"/>
    <s v="transitive"/>
    <s v="active"/>
    <s v="positive"/>
    <n v="1"/>
    <n v="1"/>
    <s v="OBJ"/>
    <n v="0"/>
    <s v="zero_exalt"/>
    <n v="3"/>
    <s v="overt"/>
    <s v="n/a"/>
    <n v="0"/>
    <n v="1"/>
    <s v="REL"/>
    <s v="relative"/>
    <n v="1"/>
    <x v="1"/>
    <s v="sub"/>
    <s v="honorific_aux"/>
    <n v="1"/>
    <s v="none"/>
    <s v="te"/>
    <s v="ss"/>
    <s v="ds"/>
    <s v="topic-drop"/>
    <s v="contains_new"/>
    <s v="complex verbal form"/>
    <m/>
    <n v="1"/>
    <m/>
    <x v="0"/>
  </r>
  <r>
    <s v="Heike 2.5"/>
    <s v="供養は天承元年三月十三日なり (kuyō wa Tenshō gannen sangatsu jūsan-nichi nari)"/>
    <s v="its first festival being on the thirteenth day of the third month of the first year of Tensho."/>
    <s v="なり"/>
    <s v="indicative"/>
    <x v="0"/>
    <x v="0"/>
    <s v="intransitive"/>
    <s v="active"/>
    <s v="positive"/>
    <n v="1"/>
    <n v="1"/>
    <s v="SUB"/>
    <n v="0"/>
    <s v="overt"/>
    <n v="3"/>
    <s v="n/a"/>
    <s v="n/a"/>
    <n v="0"/>
    <n v="0"/>
    <s v="n/a"/>
    <s v="main"/>
    <n v="0"/>
    <x v="0"/>
    <s v="n/a"/>
    <s v="n/a"/>
    <n v="0"/>
    <s v="none"/>
    <s v="relative"/>
    <s v="ds"/>
    <s v="ds"/>
    <s v="topic-introduced"/>
    <s v="contains_new"/>
    <m/>
    <m/>
    <n v="1"/>
    <m/>
    <x v="0"/>
  </r>
  <r>
    <s v="Heike 2.6"/>
    <s v="勧賞には欠国を賜ふべき由 (kanshō ni wa kakukuni o tamau beki yoshi)"/>
    <s v="As a reward he was to be granted a fief,"/>
    <s v="賜ふべき"/>
    <s v="deontic"/>
    <x v="2"/>
    <x v="1"/>
    <s v="transitive"/>
    <s v="active"/>
    <s v="positive"/>
    <n v="1"/>
    <n v="1"/>
    <s v="OBJ"/>
    <n v="1"/>
    <s v="zero_exalt"/>
    <n v="3"/>
    <s v="overt"/>
    <s v="n/a"/>
    <n v="0"/>
    <n v="1"/>
    <s v="n/a"/>
    <s v="subordinate"/>
    <n v="0"/>
    <x v="1"/>
    <s v="sub"/>
    <s v="lexical_honorific_verb"/>
    <n v="0"/>
    <s v="causal"/>
    <s v="main"/>
    <s v="ds"/>
    <s v="ds"/>
    <s v="topic-shift"/>
    <s v="contains_new"/>
    <m/>
    <m/>
    <n v="1"/>
    <m/>
    <x v="0"/>
  </r>
  <r>
    <s v="Heike 2.7"/>
    <s v="仰せ下されける (ōse-kudasa rekeru)"/>
    <s v="he was honoured by receiving the territory of the province of Tamba,"/>
    <s v="仰せ下されける"/>
    <s v="indicative"/>
    <x v="2"/>
    <x v="2"/>
    <s v="intransitive"/>
    <s v="passive"/>
    <s v="positive"/>
    <n v="1"/>
    <n v="0"/>
    <s v="n/a"/>
    <n v="0"/>
    <s v="zero_exalt"/>
    <n v="3"/>
    <s v="not_applicable"/>
    <s v="not_applicable"/>
    <n v="1"/>
    <n v="0"/>
    <s v="REL"/>
    <s v="relative"/>
    <n v="0"/>
    <x v="1"/>
    <s v="io"/>
    <s v="lexical honorific+honorific aux"/>
    <n v="0"/>
    <s v="none"/>
    <s v="subordinate"/>
    <s v="ds"/>
    <s v="ss"/>
    <s v="topic-drop"/>
    <s v="no_overt_NP"/>
    <m/>
    <m/>
    <n v="0"/>
    <m/>
    <x v="0"/>
  </r>
  <r>
    <s v="Heike 2.8"/>
    <s v="折節但馬国の空きたりけるをぞ (orifushi Tamba no kuni no aki tarikeru o zo)"/>
    <s v="which then happened to be unappropriated."/>
    <s v="空きたりける"/>
    <s v="indicative"/>
    <x v="0"/>
    <x v="1"/>
    <s v="intransitive"/>
    <s v="resultative"/>
    <s v="positive"/>
    <n v="1"/>
    <n v="1"/>
    <s v="SUB"/>
    <n v="1"/>
    <s v="overt"/>
    <n v="3"/>
    <s v="n/a"/>
    <s v="n/a"/>
    <n v="0"/>
    <n v="0"/>
    <s v="OBJ"/>
    <s v="nominalised"/>
    <n v="0"/>
    <x v="0"/>
    <s v="n/a"/>
    <s v="n/a"/>
    <n v="0"/>
    <s v="none"/>
    <s v="relative"/>
    <s v="ss"/>
    <s v="ds"/>
    <s v="topic-drop"/>
    <s v="contains_new"/>
    <s v="internally headed"/>
    <m/>
    <n v="1"/>
    <m/>
    <x v="0"/>
  </r>
  <r>
    <s v="Heike 2.9"/>
    <s v="賜はりける (tamawari keru)"/>
    <s v="As a reward he was honoured by receiving the territory of the province of Tamba, which then happened to be unappropriated."/>
    <s v="賜はりける"/>
    <s v="indicative"/>
    <x v="2"/>
    <x v="1"/>
    <s v="transitive"/>
    <s v="active"/>
    <s v="positive"/>
    <n v="1"/>
    <n v="1"/>
    <s v="OBJ"/>
    <n v="0"/>
    <s v="zero_exalt"/>
    <n v="3"/>
    <s v="zero_recoverable"/>
    <s v="zero_recoverable"/>
    <n v="0"/>
    <n v="0"/>
    <s v="n/a"/>
    <s v="main"/>
    <n v="0"/>
    <x v="1"/>
    <s v="sub"/>
    <s v="lexical_humble_verb"/>
    <n v="0"/>
    <s v="none"/>
    <s v="nominalised"/>
    <s v="ds"/>
    <s v="ds"/>
    <s v="topic-drop"/>
    <s v="no_overt_NP"/>
    <m/>
    <m/>
    <n v="1"/>
    <m/>
    <x v="0"/>
  </r>
  <r>
    <s v="Heike 2.10"/>
    <s v="上皇御感のあまりに内の昇殿を許さる (jōkō go-kan no amari ni uchi no shōden o yurusaru)"/>
    <s v="Moreover the Emperor of his bounty graciously permitted him to attend the Court;"/>
    <s v="許さる"/>
    <s v="indicative"/>
    <x v="2"/>
    <x v="1"/>
    <s v="transitive"/>
    <s v="active"/>
    <s v="positive"/>
    <n v="1"/>
    <n v="2"/>
    <s v="S+O"/>
    <n v="1"/>
    <s v="overt"/>
    <n v="3"/>
    <s v="overt"/>
    <s v="zero_recoverable"/>
    <n v="1"/>
    <n v="0"/>
    <s v="REL"/>
    <s v="relative"/>
    <n v="1"/>
    <x v="0"/>
    <s v="sub"/>
    <s v="honorific_aux"/>
    <n v="1"/>
    <s v="none"/>
    <s v="main"/>
    <s v="ds"/>
    <s v="ds"/>
    <s v="topic-drop"/>
    <s v="contains_new"/>
    <s v="it's unlcear whether -re- in -yurusareru is passive or honorific"/>
    <m/>
    <n v="2"/>
    <m/>
    <x v="0"/>
  </r>
  <r>
    <s v="Heike 2.11"/>
    <s v="忠盛三十六にて初めて昇殿す (Tadamori sanjūroku nite hajimete shōden su)"/>
    <s v="which Tadamori did for the first time at the age of thirty six."/>
    <s v="昇殿す"/>
    <s v="indicative"/>
    <x v="3"/>
    <x v="3"/>
    <s v="intransitive"/>
    <s v="active"/>
    <s v="positive"/>
    <n v="1"/>
    <n v="1"/>
    <s v="SUB"/>
    <n v="2"/>
    <s v="overt"/>
    <n v="3"/>
    <s v="overt"/>
    <s v="n/a"/>
    <n v="0"/>
    <n v="0"/>
    <s v="n/a"/>
    <s v="main"/>
    <n v="0"/>
    <x v="0"/>
    <s v="n/a"/>
    <s v="n/a"/>
    <n v="0"/>
    <s v="none"/>
    <s v="relative"/>
    <s v="ds"/>
    <s v="ds"/>
    <s v="topic-continued"/>
    <s v="contains_new"/>
    <m/>
    <m/>
    <n v="1"/>
    <m/>
    <x v="0"/>
  </r>
  <r>
    <s v="Heike 2.12"/>
    <s v="雲の上人これを嫉み憤り (kumo no uebito kore o sonemi ikidori)"/>
    <s v="the higher Courtiers were furious with jealousy"/>
    <s v="嫉み憤り"/>
    <s v="indicative"/>
    <x v="4"/>
    <x v="4"/>
    <s v="transitive"/>
    <s v="active"/>
    <s v="positive"/>
    <n v="1"/>
    <n v="2"/>
    <s v="S+O"/>
    <n v="0"/>
    <s v="overt"/>
    <n v="3"/>
    <s v="overt"/>
    <s v="n/a"/>
    <n v="0"/>
    <n v="0"/>
    <s v="n/a"/>
    <s v="inf"/>
    <n v="0"/>
    <x v="0"/>
    <s v="n/a"/>
    <s v="n/a"/>
    <n v="0"/>
    <s v="none"/>
    <s v="main"/>
    <s v="ds"/>
    <s v="ss"/>
    <s v="topic-introduced"/>
    <s v="contains_new"/>
    <m/>
    <m/>
    <n v="2"/>
    <m/>
    <x v="0"/>
  </r>
  <r>
    <s v="Heike 2.13"/>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x v="1"/>
    <x v="3"/>
    <s v="transitive"/>
    <s v="active"/>
    <s v="positive"/>
    <n v="1"/>
    <n v="1"/>
    <s v="OBJ"/>
    <n v="1"/>
    <s v="zero_recoverable"/>
    <n v="3"/>
    <s v="overt"/>
    <s v="n/a"/>
    <n v="0"/>
    <n v="0"/>
    <s v="n/a"/>
    <s v="complement"/>
    <n v="0"/>
    <x v="0"/>
    <s v="n/a"/>
    <s v="n/a"/>
    <n v="0"/>
    <s v="quotative"/>
    <s v="inf"/>
    <s v="ss"/>
    <s v="ds"/>
    <s v="topic-continued"/>
    <s v="contains_new"/>
    <m/>
    <m/>
    <n v="1"/>
    <m/>
    <x v="0"/>
  </r>
  <r>
    <s v="Heike 2.14"/>
    <s v="とぞ議せられける (to zo giserarikeru)"/>
    <s v="they plotted"/>
    <s v="議せられける"/>
    <s v="indicative"/>
    <x v="5"/>
    <x v="3"/>
    <s v="intransitive"/>
    <s v="passive"/>
    <s v="positive"/>
    <n v="1"/>
    <n v="1"/>
    <s v="S (Speech)"/>
    <n v="0"/>
    <s v="overt"/>
    <s v="n/a"/>
    <s v="n/a"/>
    <s v="n/a"/>
    <n v="0"/>
    <n v="0"/>
    <s v="n/a"/>
    <s v="main"/>
    <n v="0"/>
    <x v="0"/>
    <s v="n/a"/>
    <s v="n/a"/>
    <n v="0"/>
    <s v="none"/>
    <s v="complement"/>
    <s v="ds"/>
    <s v="ds"/>
    <s v="topic-drop"/>
    <s v="all given"/>
    <m/>
    <m/>
    <n v="1"/>
    <m/>
    <x v="0"/>
  </r>
  <r>
    <s v="Heike 2.15"/>
    <s v="忠盛この由を伝へ聞きて (Tadamori kono yoshi o tsutae kikite)"/>
    <s v="Tadamori, on hearing of this"/>
    <s v="伝へ聞きて"/>
    <s v="indicative"/>
    <x v="6"/>
    <x v="4"/>
    <s v="transitive"/>
    <s v="active"/>
    <s v="positive"/>
    <n v="1"/>
    <n v="2"/>
    <s v="OBJ"/>
    <n v="0"/>
    <s v="overt"/>
    <n v="3"/>
    <s v="overt"/>
    <s v="n/a"/>
    <n v="0"/>
    <n v="0"/>
    <s v="n/a"/>
    <s v="te"/>
    <n v="0"/>
    <x v="0"/>
    <s v="n/a"/>
    <s v="n/a"/>
    <n v="0"/>
    <s v="sequential"/>
    <s v="main"/>
    <s v="ds"/>
    <s v="ds"/>
    <s v="topic-shift"/>
    <s v="all given"/>
    <m/>
    <m/>
    <n v="2"/>
    <m/>
    <x v="0"/>
  </r>
  <r>
    <s v="Heike 2.16"/>
    <s v="我右弼の身にあらず (ware ubitsu no mi ni a-razu)"/>
    <s v="I am not a civil official"/>
    <s v="あらず"/>
    <s v="indicative"/>
    <x v="1"/>
    <x v="0"/>
    <s v="intransitive"/>
    <s v="active"/>
    <s v="negative"/>
    <n v="1"/>
    <n v="1"/>
    <s v="SUB"/>
    <n v="0"/>
    <s v="overt"/>
    <n v="1"/>
    <s v="n/a"/>
    <s v="n/a"/>
    <n v="0"/>
    <n v="0"/>
    <s v="n/a"/>
    <s v="subordinate"/>
    <n v="0"/>
    <x v="0"/>
    <s v="n/a"/>
    <s v="n/a"/>
    <n v="0"/>
    <s v="sequential"/>
    <s v="te"/>
    <s v="ds"/>
    <s v="ss"/>
    <s v="topic-shift"/>
    <s v="contains_new"/>
    <m/>
    <m/>
    <n v="1"/>
    <m/>
    <x v="0"/>
  </r>
  <r>
    <s v="Heike 2.17"/>
    <s v="武勇の家に生れて (buyū no ie ni umarete)"/>
    <s v="being born of a line of warriors"/>
    <s v="生れて"/>
    <s v="indicative"/>
    <x v="1"/>
    <x v="1"/>
    <s v="intransitive"/>
    <s v="active"/>
    <s v="positive"/>
    <n v="1"/>
    <n v="1"/>
    <s v="SUB"/>
    <n v="1"/>
    <s v="zero_recoverable"/>
    <n v="1"/>
    <s v="n/a"/>
    <s v="n/a"/>
    <n v="0"/>
    <n v="0"/>
    <s v="n/a"/>
    <s v="te"/>
    <n v="0"/>
    <x v="0"/>
    <s v="n/a"/>
    <s v="n/a"/>
    <n v="0"/>
    <s v="sequential"/>
    <s v="subordinate"/>
    <s v="ss"/>
    <s v="ss"/>
    <s v="topic-drop"/>
    <s v="contains_new"/>
    <m/>
    <m/>
    <n v="1"/>
    <m/>
    <x v="0"/>
  </r>
  <r>
    <s v="Heike 2.18"/>
    <s v="今不慮の恥に遇はん (ima furyo no haji ni awan)"/>
    <s v="for myself and my house at this unexpected shame"/>
    <s v="遇はん"/>
    <s v="epistemic"/>
    <x v="1"/>
    <x v="1"/>
    <s v="intransitive"/>
    <s v="active"/>
    <s v="positive"/>
    <n v="1"/>
    <n v="1"/>
    <s v="IO"/>
    <n v="1"/>
    <s v="zero_recoverable"/>
    <s v="n/a"/>
    <s v="n/a"/>
    <s v="overt"/>
    <n v="0"/>
    <n v="1"/>
    <s v="n/a"/>
    <s v="relative"/>
    <n v="0"/>
    <x v="0"/>
    <s v="n/a"/>
    <s v="n/a"/>
    <n v="0"/>
    <s v="none"/>
    <s v="te"/>
    <s v="ss"/>
    <s v="ds"/>
    <s v="topic-drop"/>
    <s v="contains_new"/>
    <m/>
    <m/>
    <n v="1"/>
    <m/>
    <x v="0"/>
  </r>
  <r>
    <s v="Heike 2.19"/>
    <s v="事家の為身の為心憂かるべし (koto ie no tame mi no tame kokoroukarubeshi)"/>
    <s v="I am troubled in my heart"/>
    <s v="憂かるべし"/>
    <s v="epistemic"/>
    <x v="4"/>
    <x v="5"/>
    <s v="intransitive"/>
    <s v="active"/>
    <s v="positive"/>
    <n v="1"/>
    <n v="1"/>
    <s v="SUB"/>
    <n v="1"/>
    <s v="overt"/>
    <n v="3"/>
    <s v="n/a"/>
    <s v="n/a"/>
    <n v="0"/>
    <n v="0"/>
    <s v="n/a"/>
    <s v="main"/>
    <n v="0"/>
    <x v="0"/>
    <s v="n/a"/>
    <s v="n/a"/>
    <n v="0"/>
    <s v="none"/>
    <s v="relative"/>
    <s v="ds"/>
    <n v="0"/>
    <s v="topic-drop"/>
    <s v="contains_new"/>
    <m/>
    <m/>
    <n v="1"/>
    <m/>
    <x v="0"/>
  </r>
  <r>
    <s v="Heike 2.20"/>
    <s v="詮ずるところ (senzuru tokoro)"/>
    <s v="finally, as for what is to be done"/>
    <s v="詮ずる"/>
    <s v="indicative"/>
    <x v="1"/>
    <x v="6"/>
    <m/>
    <m/>
    <m/>
    <m/>
    <m/>
    <m/>
    <m/>
    <m/>
    <m/>
    <m/>
    <m/>
    <m/>
    <m/>
    <m/>
    <m/>
    <m/>
    <x v="2"/>
    <m/>
    <m/>
    <m/>
    <m/>
    <s v="main"/>
    <m/>
    <s v="ss"/>
    <m/>
    <m/>
    <m/>
    <m/>
    <m/>
    <m/>
    <x v="0"/>
  </r>
  <r>
    <s v="Heike 2.21"/>
    <s v="身を全うして (mi o mattō shite)"/>
    <s v="with all your might"/>
    <s v="全うして"/>
    <s v="indicative"/>
    <x v="1"/>
    <x v="3"/>
    <s v="transitive"/>
    <s v="active"/>
    <s v="positive"/>
    <n v="1"/>
    <n v="1"/>
    <s v="OBJ"/>
    <n v="0"/>
    <s v="zero_recoverable"/>
    <n v="1"/>
    <s v="overt"/>
    <s v="n/a"/>
    <n v="0"/>
    <n v="0"/>
    <s v="n/a"/>
    <s v="te"/>
    <n v="0"/>
    <x v="0"/>
    <s v="n/a"/>
    <s v="n/a"/>
    <n v="0"/>
    <s v="sequential"/>
    <n v="0"/>
    <s v="ss"/>
    <s v="ss"/>
    <s v="topic-drop"/>
    <s v="contains_new"/>
    <m/>
    <m/>
    <n v="1"/>
    <m/>
    <x v="0"/>
  </r>
  <r>
    <s v="Heike 2.22"/>
    <s v="君に仕へ奉れ"/>
    <s v=" kimi ni tsukae tatematsure"/>
    <s v="仕へ奉れ"/>
    <s v="imperative"/>
    <x v="2"/>
    <x v="1"/>
    <s v="intransitive"/>
    <s v="active"/>
    <s v="positive"/>
    <n v="1"/>
    <n v="1"/>
    <s v="IO"/>
    <n v="0"/>
    <s v="zero_exalt"/>
    <n v="1"/>
    <s v="n/a"/>
    <s v="overt"/>
    <n v="0"/>
    <n v="0"/>
    <s v="n/a"/>
    <s v="complement"/>
    <n v="1"/>
    <x v="1"/>
    <s v="sub"/>
    <s v="lexical_humble_verb"/>
    <n v="0"/>
    <s v="none"/>
    <s v="te"/>
    <s v="ss"/>
    <s v="ds"/>
    <s v="topic-drop"/>
    <s v="contains_new"/>
    <m/>
    <m/>
    <n v="1"/>
    <m/>
    <x v="0"/>
  </r>
  <r>
    <s v="Heike 2.23"/>
    <s v="といふ本文あり (to iu honbun ari)"/>
    <s v="so goes the original passage"/>
    <s v="あり"/>
    <s v="indicative"/>
    <x v="0"/>
    <x v="7"/>
    <s v="intransitive"/>
    <s v="active"/>
    <s v="positive"/>
    <n v="1"/>
    <n v="1"/>
    <s v="SUB"/>
    <n v="1"/>
    <s v="overt"/>
    <n v="3"/>
    <s v="n/a"/>
    <s v="n/a"/>
    <n v="0"/>
    <n v="0"/>
    <s v="n/a"/>
    <s v="main"/>
    <n v="0"/>
    <x v="0"/>
    <s v="n/a"/>
    <s v="n/a"/>
    <n v="0"/>
    <s v="none"/>
    <s v="complement"/>
    <s v="ds"/>
    <s v="ss"/>
    <s v="topic-drop"/>
    <s v="contains_new"/>
    <s v="frame predicate"/>
    <m/>
    <n v="1"/>
    <m/>
    <x v="0"/>
  </r>
  <r>
    <s v="Heike 2.24"/>
    <s v="参内の初めより大なる鞘巻を用意し (sannai no hajime yori ō-naru sayamaki o yōi shi)"/>
    <s v="Before entering the Court he provided himself with a long dirk"/>
    <s v="用意し"/>
    <s v="indicative"/>
    <x v="1"/>
    <x v="3"/>
    <s v="transitive"/>
    <s v="active"/>
    <s v="positive"/>
    <n v="1"/>
    <n v="1"/>
    <s v="OBJ"/>
    <n v="1"/>
    <s v="zero_recoverable"/>
    <n v="3"/>
    <s v="overt"/>
    <s v="n/a"/>
    <n v="0"/>
    <n v="0"/>
    <s v="n/a"/>
    <s v="inf"/>
    <n v="0"/>
    <x v="0"/>
    <s v="n/a"/>
    <s v="n/a"/>
    <n v="0"/>
    <s v="none"/>
    <s v="main"/>
    <s v="ss"/>
    <s v="ss"/>
    <s v="topic-drop"/>
    <s v="contains_new"/>
    <m/>
    <m/>
    <n v="1"/>
    <m/>
    <x v="0"/>
  </r>
  <r>
    <s v="Heike 2.25"/>
    <s v="束帯の下にしどけなげに差し (sokutai no shita ni shidokenage ni sashi)"/>
    <s v="which he girt on under his long court dress"/>
    <s v="差し"/>
    <s v="indicative"/>
    <x v="1"/>
    <x v="1"/>
    <s v="transitive"/>
    <s v="active"/>
    <s v="positive"/>
    <n v="1"/>
    <n v="1"/>
    <s v="IO"/>
    <n v="1"/>
    <s v="zero_recoverable"/>
    <n v="3"/>
    <s v="zero_recoverable"/>
    <s v="overt"/>
    <n v="0"/>
    <n v="0"/>
    <s v="n/a"/>
    <s v="inf"/>
    <n v="0"/>
    <x v="0"/>
    <s v="n/a"/>
    <s v="n/a"/>
    <n v="0"/>
    <s v="none"/>
    <s v="inf"/>
    <s v="ss"/>
    <s v="ss"/>
    <s v="topic-drop"/>
    <s v="contains_new"/>
    <m/>
    <m/>
    <n v="1"/>
    <m/>
    <x v="0"/>
  </r>
  <r>
    <s v="Heike 2.26"/>
    <s v="火の仄暗き方に向かつて (hi no hokuraki kata ni mukatte)"/>
    <s v="and turning aside to a dimly lit place"/>
    <s v="向かつて"/>
    <s v="indicative"/>
    <x v="1"/>
    <x v="1"/>
    <s v="intransitive"/>
    <s v="active"/>
    <s v="positive"/>
    <n v="1"/>
    <n v="1"/>
    <s v="IO"/>
    <n v="1"/>
    <s v="zero_recoverable"/>
    <n v="3"/>
    <s v="n/a"/>
    <s v="overt"/>
    <n v="0"/>
    <n v="0"/>
    <s v="n/a"/>
    <s v="te"/>
    <n v="0"/>
    <x v="0"/>
    <s v="n/a"/>
    <s v="n/a"/>
    <n v="0"/>
    <s v="sequential"/>
    <s v="inf"/>
    <s v="ss"/>
    <s v="ss"/>
    <s v="topic-drop"/>
    <s v="contains_new"/>
    <m/>
    <m/>
    <n v="1"/>
    <m/>
    <x v="0"/>
  </r>
  <r>
    <s v="Heike 2.27"/>
    <s v="やはらこの刀を抜き出でて (yahara kono katana o nuki-idete)"/>
    <s v="slowly drew the blade"/>
    <s v="抜き出でて"/>
    <s v="indicative"/>
    <x v="3"/>
    <x v="4"/>
    <s v="transitive"/>
    <s v="active"/>
    <s v="positive"/>
    <n v="1"/>
    <n v="1"/>
    <s v="OBJ"/>
    <n v="0"/>
    <s v="zero_recoverable"/>
    <n v="3"/>
    <s v="overt"/>
    <s v="n/a"/>
    <n v="0"/>
    <n v="0"/>
    <s v="n/a"/>
    <s v="te"/>
    <n v="0"/>
    <x v="0"/>
    <s v="n/a"/>
    <s v="n/a"/>
    <n v="0"/>
    <s v="sequential"/>
    <s v="te"/>
    <s v="ss"/>
    <s v="ss"/>
    <s v="topic-drop"/>
    <s v="all given"/>
    <s v="&quot;kono katana&quot; refers to the &quot;sayamaki&quot;, so all given"/>
    <m/>
    <n v="1"/>
    <m/>
    <x v="0"/>
  </r>
  <r>
    <s v="Heike 2.28"/>
    <s v="鬢に引き当てられたりけるが (kami ni hiki-ate raretarikeru ga)"/>
    <s v="and passed it through the hair of his head"/>
    <s v="引き当てられたりける"/>
    <s v="indicative"/>
    <x v="3"/>
    <x v="1"/>
    <s v="transitive"/>
    <s v="active"/>
    <s v="positive"/>
    <n v="1"/>
    <n v="1"/>
    <s v="IO"/>
    <n v="0"/>
    <s v="zero_exalt"/>
    <n v="3"/>
    <s v="zero_recoverable"/>
    <s v="overt"/>
    <n v="0"/>
    <n v="0"/>
    <s v="n/a"/>
    <s v="subordinate"/>
    <n v="0"/>
    <x v="1"/>
    <s v="sub"/>
    <s v="honorific_aux"/>
    <n v="0"/>
    <s v="conjunctive"/>
    <s v="te"/>
    <s v="ss"/>
    <s v="ds"/>
    <s v="topic-drop"/>
    <s v="contains_new"/>
    <s v="should the -to part be considered a clausal subject?"/>
    <m/>
    <n v="1"/>
    <m/>
    <x v="0"/>
  </r>
  <r>
    <s v="Heike 2.29"/>
    <s v="余所よりは氷などのやうにぞ見えたりける (yoso yori wa kōri nado no yō ni zo mieta rikeru)"/>
    <s v="so that it gleamed afar off with an icy sheen"/>
    <s v="見えたりける"/>
    <s v="indicative"/>
    <x v="6"/>
    <x v="1"/>
    <s v="intransitive"/>
    <s v="resultative"/>
    <s v="positive"/>
    <n v="1"/>
    <n v="0"/>
    <s v="n/a"/>
    <n v="2"/>
    <s v="zero_recoverable"/>
    <n v="3"/>
    <s v="n/a"/>
    <s v="n/a"/>
    <n v="0"/>
    <n v="0"/>
    <s v="n/a"/>
    <s v="relative"/>
    <n v="0"/>
    <x v="0"/>
    <s v="n/a"/>
    <s v="n/a"/>
    <n v="0"/>
    <s v="none"/>
    <s v="subordinate"/>
    <s v="ds"/>
    <s v="ss"/>
    <s v="topic-drop"/>
    <s v="no_overt_NP"/>
    <m/>
    <m/>
    <n v="0"/>
    <m/>
    <x v="0"/>
  </r>
  <r>
    <s v="Heike 2.30"/>
    <s v="諸人目を澄ましけり (morobito me o sumashikeri)"/>
    <s v="causing all to stare open-eyed"/>
    <s v="澄ましけり"/>
    <s v="indicative"/>
    <x v="1"/>
    <x v="1"/>
    <s v="transitive"/>
    <s v="active"/>
    <s v="positive"/>
    <n v="1"/>
    <n v="2"/>
    <s v="O+IO"/>
    <n v="0"/>
    <s v="zero_recoverable"/>
    <n v="3"/>
    <s v="overt"/>
    <s v="overt"/>
    <n v="0"/>
    <n v="0"/>
    <s v="n/a"/>
    <s v="main"/>
    <n v="0"/>
    <x v="0"/>
    <s v="n/a"/>
    <s v="n/a"/>
    <n v="0"/>
    <s v="none"/>
    <s v="relative"/>
    <s v="ss"/>
    <s v="ds"/>
    <s v="topic-drop"/>
    <s v="contains_new"/>
    <m/>
    <m/>
    <n v="2"/>
    <m/>
    <x v="0"/>
  </r>
  <r>
    <s v="Heike 2.31"/>
    <s v="また忠盛の郎等元は一門たりし( mata Tadamori no rōtō moto wa ichimon tarishi) "/>
    <s v="Moreover a retainer of Tadamori ... "/>
    <s v="たりし"/>
    <s v="indicative"/>
    <x v="1"/>
    <x v="0"/>
    <s v="intransitive"/>
    <s v="active"/>
    <s v="positive"/>
    <n v="1"/>
    <n v="1"/>
    <s v="SUB"/>
    <n v="1"/>
    <s v="overt"/>
    <n v="3"/>
    <s v="n/a"/>
    <s v="n/a"/>
    <n v="0"/>
    <n v="0"/>
    <s v="REL"/>
    <s v="relative"/>
    <n v="0"/>
    <x v="0"/>
    <s v="n/a"/>
    <s v="n/a"/>
    <n v="0"/>
    <s v="conjunctive"/>
    <s v="main"/>
    <s v="ds"/>
    <s v="ss"/>
    <s v="topic-introduced"/>
    <s v="contains_new"/>
    <m/>
    <m/>
    <n v="1"/>
    <m/>
    <x v="0"/>
  </r>
  <r>
    <s v="Heike 2.32"/>
    <s v="木工助平貞光が孫新四郎太夫家房が子に左兵衛尉家貞といふ者あり (Moku no suke Sadamitsu ga mago Shinshirō Tayū Iefusa ga ko ni Sahyōe no jō Iesada to iu mono ari)"/>
    <s v="there was one named Sahyoe-no-jo Iesada"/>
    <s v="あり"/>
    <s v="indicative"/>
    <x v="1"/>
    <x v="7"/>
    <s v="intransitive"/>
    <s v="active"/>
    <s v="positive"/>
    <n v="1"/>
    <n v="1"/>
    <s v="SUB"/>
    <n v="2"/>
    <s v="overt"/>
    <n v="3"/>
    <s v="n/a"/>
    <s v="n/a"/>
    <n v="0"/>
    <n v="0"/>
    <s v="n/a"/>
    <s v="main"/>
    <n v="0"/>
    <x v="0"/>
    <s v="n/a"/>
    <s v="n/a"/>
    <n v="0"/>
    <s v="none"/>
    <s v="relative"/>
    <s v="ss"/>
    <s v="ss"/>
    <s v="topic-introduced"/>
    <s v="contains_new"/>
    <s v="frame predicate"/>
    <m/>
    <n v="1"/>
    <m/>
    <x v="0"/>
  </r>
  <r>
    <s v="Heike 2.33"/>
    <s v="薄青の狩衣の下に萌黄威の腹巻を着 (usuao no kariginu no shita ni moegi-odoshi no haramaki o ki)"/>
    <s v="wearing a body armour laced with bright green under a light green &quot;kariginu&quot;"/>
    <s v="着"/>
    <s v="indicative"/>
    <x v="1"/>
    <x v="1"/>
    <s v="transitive"/>
    <s v="active"/>
    <s v="positive"/>
    <n v="1"/>
    <n v="1"/>
    <s v="OBJ"/>
    <n v="1"/>
    <s v="zero_recoverable"/>
    <n v="3"/>
    <s v="overt"/>
    <s v="n/a"/>
    <n v="0"/>
    <n v="0"/>
    <s v="n/a"/>
    <s v="inf"/>
    <n v="0"/>
    <x v="0"/>
    <s v="n/a"/>
    <s v="n/a"/>
    <n v="0"/>
    <s v="none"/>
    <s v="main"/>
    <s v="ss"/>
    <s v="ss"/>
    <s v="topic-drop"/>
    <s v="contains_new"/>
    <m/>
    <m/>
    <n v="1"/>
    <m/>
    <x v="0"/>
  </r>
  <r>
    <s v="Heike 2.34"/>
    <s v="柄弦袋付けたる ezurubukuro tsuketaru "/>
    <s v="with a bowstring bag attached"/>
    <s v="付けたる"/>
    <s v="indicative"/>
    <x v="1"/>
    <x v="1"/>
    <s v="transitive"/>
    <s v="active"/>
    <s v="positive"/>
    <n v="1"/>
    <n v="1"/>
    <s v="OBJ"/>
    <n v="0"/>
    <s v="zero_recoverable"/>
    <n v="3"/>
    <s v="overt"/>
    <s v="n/a"/>
    <n v="1"/>
    <n v="0"/>
    <s v="REL"/>
    <s v="relative"/>
    <n v="0"/>
    <x v="0"/>
    <s v="n/a"/>
    <s v="n/a"/>
    <n v="0"/>
    <s v="none"/>
    <s v="inf"/>
    <s v="ss"/>
    <s v="ss"/>
    <s v="topic-drop"/>
    <s v="contains_new"/>
    <m/>
    <m/>
    <n v="1"/>
    <m/>
    <x v="0"/>
  </r>
  <r>
    <s v="Heike 2.35"/>
    <s v="太刀脇挟んで (tachi wakihasande)"/>
    <s v="and carrying under his arm a &quot;tachi&quot; "/>
    <s v="挟んで"/>
    <s v="indicative"/>
    <x v="1"/>
    <x v="1"/>
    <s v="transitive"/>
    <s v="active"/>
    <s v="positive"/>
    <n v="1"/>
    <n v="2"/>
    <s v="O+IO"/>
    <n v="0"/>
    <s v="zero_recoverable"/>
    <n v="3"/>
    <s v="overt"/>
    <s v="overt"/>
    <n v="0"/>
    <n v="0"/>
    <s v="n/a"/>
    <s v="te"/>
    <n v="0"/>
    <x v="0"/>
    <s v="n/a"/>
    <s v="n/a"/>
    <n v="0"/>
    <s v="none"/>
    <s v="relative"/>
    <s v="ss"/>
    <s v="ss"/>
    <s v="topic-drop"/>
    <s v="contains_new"/>
    <m/>
    <m/>
    <n v="2"/>
    <m/>
    <x v="0"/>
  </r>
  <r>
    <s v="Heike 2.36"/>
    <s v="殿上の小庭に畏つてぞ候ひける (tenjō no koniwa ni kashikomatte zo soroikyeru)"/>
    <s v="was waiting in the &quot;koniwa,&quot; the small court by the Seiryoden"/>
    <s v="畏つて候ひける"/>
    <s v="indicative"/>
    <x v="1"/>
    <x v="2"/>
    <s v="intransitive"/>
    <s v="active"/>
    <s v="positive"/>
    <n v="1"/>
    <n v="0"/>
    <s v="n/a"/>
    <n v="1"/>
    <s v="zero_recoverable"/>
    <n v="3"/>
    <s v="n/a"/>
    <s v="n/a"/>
    <n v="0"/>
    <n v="0"/>
    <s v="n/a"/>
    <s v="main"/>
    <n v="0"/>
    <x v="1"/>
    <s v="sub"/>
    <s v="lexical_humble_verb"/>
    <n v="0"/>
    <s v="none"/>
    <s v="te"/>
    <s v="ss"/>
    <s v="ds"/>
    <s v="topic-drop"/>
    <s v="no_overt_NP"/>
    <m/>
    <m/>
    <n v="0"/>
    <m/>
    <x v="0"/>
  </r>
  <r>
    <s v="Heike 2.37"/>
    <s v="貫首以下怪しみをなして (kanshu ika ayashimi o nashite)"/>
    <s v="Now the Kurando-no-to and others, thinking it strange,"/>
    <s v="なして"/>
    <s v="indicative"/>
    <x v="1"/>
    <x v="8"/>
    <s v="transitive"/>
    <s v="active"/>
    <s v="negative"/>
    <n v="1"/>
    <n v="2"/>
    <s v="S+O"/>
    <n v="0"/>
    <s v="overt"/>
    <n v="3"/>
    <s v="overt"/>
    <s v="n/a"/>
    <n v="0"/>
    <n v="0"/>
    <s v="n/a"/>
    <s v="te"/>
    <n v="0"/>
    <x v="0"/>
    <s v="n/a"/>
    <s v="n/a"/>
    <n v="0"/>
    <s v="sequential"/>
    <s v="main"/>
    <s v="ds"/>
    <s v="ss"/>
    <s v="topic-shift"/>
    <s v="contains_new"/>
    <m/>
    <m/>
    <n v="2"/>
    <m/>
    <x v="0"/>
  </r>
  <r>
    <s v="Heike 2.38"/>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x v="1"/>
    <x v="1"/>
    <s v="intransitive"/>
    <s v="active"/>
    <s v="positive"/>
    <n v="1"/>
    <n v="1"/>
    <s v="SUB"/>
    <n v="1"/>
    <s v="overt"/>
    <n v="3"/>
    <s v="n/a"/>
    <s v="n/a"/>
    <n v="0"/>
    <n v="0"/>
    <s v="SUB"/>
    <s v="nominalised"/>
    <n v="1"/>
    <x v="0"/>
    <s v="sub"/>
    <s v="lexical_humble_verb"/>
    <n v="0"/>
    <s v="none"/>
    <s v="te"/>
    <s v="ss"/>
    <s v="ss"/>
    <s v="topic-shift"/>
    <s v="contains_new"/>
    <s v="internally headed"/>
    <m/>
    <n v="1"/>
    <m/>
    <x v="0"/>
  </r>
  <r>
    <s v="Heike 2.39"/>
    <s v="は何者ぞ  wa nani mono zo"/>
    <s v="and wondering who he was."/>
    <s v="何者ぞ  "/>
    <s v="indicative"/>
    <x v="1"/>
    <x v="0"/>
    <s v="intransitive"/>
    <s v="active"/>
    <s v="positive"/>
    <n v="1"/>
    <n v="1"/>
    <s v="SUB"/>
    <n v="0"/>
    <s v="overt"/>
    <n v="3"/>
    <s v="n/a"/>
    <s v="n/a"/>
    <n v="0"/>
    <n v="0"/>
    <s v="n/a"/>
    <s v="main"/>
    <n v="0"/>
    <x v="0"/>
    <s v="n/a"/>
    <s v="n/a"/>
    <n v="0"/>
    <s v="none"/>
    <s v="nominalised"/>
    <s v="ss"/>
    <s v="ss"/>
    <s v="topic-continued"/>
    <s v="all given"/>
    <m/>
    <m/>
    <n v="1"/>
    <m/>
    <x v="0"/>
  </r>
  <r>
    <s v="Heike 2.40"/>
    <s v="狼藉なり (rōzaku nari)"/>
    <s v="&quot;[He is] disorderly&quot;"/>
    <s v="なり"/>
    <s v="indicative"/>
    <x v="0"/>
    <x v="0"/>
    <s v="intransitive"/>
    <s v="active"/>
    <s v="positive"/>
    <n v="1"/>
    <n v="0"/>
    <s v="n/a"/>
    <n v="0"/>
    <s v="zero_other"/>
    <n v="3"/>
    <s v="n/a"/>
    <s v="n/a"/>
    <n v="0"/>
    <n v="0"/>
    <s v="n/a"/>
    <s v="main"/>
    <n v="0"/>
    <x v="0"/>
    <s v="n/a"/>
    <s v="n/a"/>
    <n v="0"/>
    <s v="none"/>
    <s v="main"/>
    <s v="ss"/>
    <s v="ss"/>
    <s v="topic-drop"/>
    <s v="no_overt_NP"/>
    <m/>
    <m/>
    <n v="0"/>
    <m/>
    <x v="0"/>
  </r>
  <r>
    <s v="Heike 2.41"/>
    <s v="疾う疾う罷り出でよと (tōtō makari ideyo to)"/>
    <s v="&quot;Depart quickly&quot;"/>
    <s v="罷り出でよ"/>
    <s v="imperative"/>
    <x v="3"/>
    <x v="1"/>
    <s v="intransitive"/>
    <s v="active"/>
    <s v="positive"/>
    <n v="1"/>
    <n v="0"/>
    <s v="n/a"/>
    <n v="0"/>
    <s v="zero_recoverable"/>
    <n v="2"/>
    <s v="n/a"/>
    <s v="n/a"/>
    <n v="0"/>
    <n v="0"/>
    <s v="n/a"/>
    <s v="complement"/>
    <n v="0"/>
    <x v="1"/>
    <s v="sub"/>
    <s v="lexical_humble_verb"/>
    <n v="0"/>
    <s v="quotative"/>
    <s v="main"/>
    <s v="ss"/>
    <s v="ss"/>
    <s v="topic-drop"/>
    <s v="no_overt_NP"/>
    <s v="embedded"/>
    <m/>
    <n v="0"/>
    <m/>
    <x v="0"/>
  </r>
  <r>
    <s v="Heike 2.42"/>
    <s v="六位を以て云はせられたりければ (to roku-i o motte iwaseraretarikereba)"/>
    <s v="an official of the sixth rank ordered him to depart quickly."/>
    <s v="云はせられたりければ"/>
    <s v="indicative"/>
    <x v="0"/>
    <x v="1"/>
    <s v="intransitive"/>
    <s v="causative-passive-resultative"/>
    <s v="positive"/>
    <n v="1"/>
    <n v="2"/>
    <s v="O (Speech) +IO"/>
    <n v="1"/>
    <s v="zero_recoverable"/>
    <n v="3"/>
    <s v="overt"/>
    <s v="n/a"/>
    <n v="0"/>
    <n v="0"/>
    <s v="n/a"/>
    <s v="subordinate"/>
    <n v="1"/>
    <x v="0"/>
    <s v="n/a"/>
    <s v="honorific_aux"/>
    <n v="0"/>
    <s v="none"/>
    <s v="complement"/>
    <s v="ss"/>
    <s v="ss"/>
    <s v="topic-drop"/>
    <s v="contains_new"/>
    <m/>
    <m/>
    <n v="2"/>
    <m/>
    <x v="0"/>
  </r>
  <r>
    <s v="Heike 2.43"/>
    <s v="家貞畏つて申しけるは (Iesada kashikomatte mōshikeru wa)"/>
    <s v="But Iesada thus replied:"/>
    <s v="申しける"/>
    <s v="indicative"/>
    <x v="2"/>
    <x v="1"/>
    <s v="transitive"/>
    <s v="active"/>
    <s v="positive"/>
    <n v="1"/>
    <n v="1"/>
    <s v="SUB"/>
    <n v="0"/>
    <s v="overt"/>
    <n v="3"/>
    <s v="zero_other"/>
    <s v="n/a"/>
    <n v="1"/>
    <n v="0"/>
    <s v="SUB"/>
    <s v="subordinate"/>
    <n v="1"/>
    <x v="0"/>
    <s v="sub"/>
    <s v="lexical_humble_verb"/>
    <n v="0"/>
    <s v="none"/>
    <s v="subordinate"/>
    <s v="ss"/>
    <s v="ds"/>
    <s v="topic-continued"/>
    <s v="all given"/>
    <s v="internally headed"/>
    <m/>
    <n v="1"/>
    <m/>
    <x v="0"/>
  </r>
  <r>
    <s v="Heike 2.44"/>
    <s v="相伝の主備前守殿今夜闇討にせられ給ふべき (sōden no aruji Bizen no kami-dono kon'ya yamiuchi ni serare-tamō beki) "/>
    <s v="tonight they will try to kill my Lord Bizen-no-kami dono&quot;"/>
    <s v="闇討にせられ給ふ"/>
    <s v="indicative"/>
    <x v="1"/>
    <x v="3"/>
    <s v="intransitive"/>
    <s v="passive"/>
    <s v="positive"/>
    <n v="1"/>
    <n v="1"/>
    <s v="SUB"/>
    <n v="1"/>
    <s v="overt"/>
    <n v="3"/>
    <s v="n/a"/>
    <s v="n/a"/>
    <n v="0"/>
    <n v="1"/>
    <s v="REL"/>
    <s v="relative"/>
    <n v="1"/>
    <x v="0"/>
    <s v="sub"/>
    <s v="lexical_honorific_verb"/>
    <n v="0"/>
    <s v="none"/>
    <s v="subordinate"/>
    <s v="ds"/>
    <s v="ss"/>
    <s v="topic-shift"/>
    <s v="contains_new"/>
    <m/>
    <m/>
    <n v="1"/>
    <m/>
    <x v="0"/>
  </r>
  <r>
    <s v="Heike 2.45"/>
    <s v="由伝へ承つて(yoshi tsutae uketamawatte) "/>
    <s v="Because I have heard that"/>
    <s v="伝へ承つて"/>
    <s v="indicative"/>
    <x v="5"/>
    <x v="1"/>
    <s v="transitive"/>
    <s v="active"/>
    <s v="positive"/>
    <n v="1"/>
    <n v="1"/>
    <s v="OBJ"/>
    <n v="0"/>
    <s v="zero_recoverable"/>
    <n v="1"/>
    <s v="overt"/>
    <s v="n/a"/>
    <n v="0"/>
    <n v="0"/>
    <s v="n/a"/>
    <s v="te"/>
    <n v="0"/>
    <x v="1"/>
    <s v="sub"/>
    <s v="honorific_aux"/>
    <n v="0"/>
    <s v="sequential"/>
    <s v="relative"/>
    <s v="ss"/>
    <s v="ds"/>
    <s v="topic-drop"/>
    <s v="contains_new"/>
    <m/>
    <m/>
    <n v="1"/>
    <m/>
    <x v="0"/>
  </r>
  <r>
    <s v="Heike 2.46"/>
    <s v="それならん  (sore naran )"/>
    <s v="&quot;whether it is so&quot;"/>
    <s v="ならん "/>
    <s v="epistemic"/>
    <x v="1"/>
    <x v="1"/>
    <s v="intransitive"/>
    <s v="active"/>
    <s v="positive"/>
    <n v="1"/>
    <n v="1"/>
    <s v="SUB"/>
    <n v="0"/>
    <s v="overt"/>
    <n v="3"/>
    <s v="n/a"/>
    <s v="n/a"/>
    <n v="0"/>
    <n v="1"/>
    <s v="REL"/>
    <s v="relative"/>
    <n v="0"/>
    <x v="0"/>
    <s v="n/a"/>
    <s v="n/a"/>
    <n v="0"/>
    <s v="none"/>
    <s v="te"/>
    <s v="ds"/>
    <s v="ds"/>
    <s v="topic-continued"/>
    <s v="all given"/>
    <m/>
    <m/>
    <n v="1"/>
    <m/>
    <x v="0"/>
  </r>
  <r>
    <s v="Heike 2.47"/>
    <s v="やうを見んとて (yō o min to te)"/>
    <s v="and in order to see "/>
    <s v="見ん"/>
    <s v="dynamic"/>
    <x v="6"/>
    <x v="1"/>
    <s v="transitive"/>
    <s v="active"/>
    <s v="positive"/>
    <n v="1"/>
    <n v="1"/>
    <s v="OBJ"/>
    <n v="0"/>
    <s v="zero_recoverable"/>
    <n v="1"/>
    <s v="overt"/>
    <s v="n/a"/>
    <n v="0"/>
    <n v="0"/>
    <s v="REL"/>
    <s v="subordinate"/>
    <n v="0"/>
    <x v="0"/>
    <s v="n/a"/>
    <s v="n/a"/>
    <n v="0"/>
    <s v="purpose"/>
    <s v="relative"/>
    <s v="ds"/>
    <s v="ss"/>
    <s v="topic-drop"/>
    <s v="contains_new"/>
    <m/>
    <m/>
    <n v="1"/>
    <m/>
    <x v="0"/>
  </r>
  <r>
    <s v="Heike 2.48"/>
    <s v="かくて候ふなり (kakute soro fu nari)"/>
    <s v="&quot;have come and am thus waiting&quot;"/>
    <s v="候ふなり"/>
    <s v="indicative"/>
    <x v="0"/>
    <x v="2"/>
    <s v="intransitive"/>
    <s v="active"/>
    <s v="positive"/>
    <n v="1"/>
    <n v="0"/>
    <s v="n/a"/>
    <n v="1"/>
    <s v="zero_exalt"/>
    <n v="1"/>
    <s v="n/a"/>
    <s v="n/a"/>
    <n v="0"/>
    <n v="0"/>
    <s v="n/a"/>
    <s v="main"/>
    <n v="0"/>
    <x v="1"/>
    <s v="sub"/>
    <s v="lexical_humble_verb"/>
    <n v="0"/>
    <s v="none"/>
    <s v="subordinate"/>
    <s v="ss"/>
    <s v="ss"/>
    <s v="topic-drop"/>
    <s v="no_overt_NP"/>
    <m/>
    <m/>
    <n v="0"/>
    <m/>
    <x v="0"/>
  </r>
  <r>
    <s v="Heike 2.49"/>
    <s v="えこそ出でまじう候へ (e koso idema jiu soro e)"/>
    <s v="&quot;I cannot possibly go out&quot;"/>
    <s v="出でまじう候へ"/>
    <s v="dynamic"/>
    <x v="3"/>
    <x v="1"/>
    <s v="intransitive"/>
    <s v="active"/>
    <s v="negative"/>
    <n v="1"/>
    <n v="0"/>
    <s v="n/a"/>
    <n v="0"/>
    <s v="zero_exalt"/>
    <n v="1"/>
    <s v="n/a"/>
    <s v="n/a"/>
    <n v="0"/>
    <n v="0"/>
    <s v="n/a"/>
    <s v="main"/>
    <n v="0"/>
    <x v="1"/>
    <s v="sub"/>
    <s v="polite_aux"/>
    <n v="0"/>
    <s v="none"/>
    <s v="main"/>
    <s v="ss"/>
    <s v="ds"/>
    <s v="topic-drop"/>
    <s v="no_overt_NP"/>
    <m/>
    <m/>
    <n v="0"/>
    <m/>
    <x v="0"/>
  </r>
  <r>
    <s v="Heike 2.50"/>
    <s v="これらを由なしとや (korera o yoshi nashi to ya)"/>
    <s v=" there was nothing more to be done;"/>
    <s v="なし"/>
    <s v="indicative"/>
    <x v="0"/>
    <x v="7"/>
    <s v="intransitive"/>
    <s v="active"/>
    <s v="negative"/>
    <n v="1"/>
    <n v="1"/>
    <s v="SUB"/>
    <n v="1"/>
    <s v="overt"/>
    <n v="3"/>
    <s v="n/a"/>
    <s v="n/a"/>
    <n v="0"/>
    <n v="0"/>
    <s v="n/a"/>
    <s v="complement"/>
    <n v="0"/>
    <x v="0"/>
    <s v="n/a"/>
    <s v="n/a"/>
    <n v="0"/>
    <s v="quotative"/>
    <s v="main"/>
    <s v="ds"/>
    <m/>
    <s v="topic-continued"/>
    <s v="contains_new"/>
    <m/>
    <m/>
    <n v="1"/>
    <m/>
    <x v="0"/>
  </r>
  <r>
    <m/>
    <s v="思はれけん (omowareken)"/>
    <s v="And they saw that"/>
    <s v="思はれけん"/>
    <s v="epistemic"/>
    <x v="4"/>
    <x v="1"/>
    <s v="transitive"/>
    <s v="active"/>
    <s v="positive"/>
    <n v="1"/>
    <n v="1"/>
    <s v="O (Speech)"/>
    <n v="0"/>
    <s v="zero_exalt"/>
    <n v="3"/>
    <s v="overt"/>
    <s v="n/a"/>
    <n v="0"/>
    <n v="0"/>
    <s v="n/a"/>
    <s v="main"/>
    <n v="0"/>
    <x v="1"/>
    <s v="sub"/>
    <s v="honorific_aux"/>
    <n v="0"/>
    <s v="main"/>
    <m/>
    <s v="ds"/>
    <m/>
    <s v="topic-drop"/>
    <s v="contains_new"/>
    <m/>
    <m/>
    <n v="1"/>
    <m/>
    <x v="0"/>
  </r>
  <r>
    <s v="Heike 2.51"/>
    <s v="その夜の闇討なかりけり (sono yo no yamiuchi nakarikeri)"/>
    <s v="and thus the attempt did not take place."/>
    <s v="なかりけり"/>
    <s v="indicative"/>
    <x v="7"/>
    <x v="1"/>
    <s v="intransitive"/>
    <s v="active"/>
    <s v="negative"/>
    <n v="1"/>
    <n v="1"/>
    <s v="SUB"/>
    <n v="0"/>
    <s v="overt"/>
    <s v="inanimate"/>
    <s v="n/a"/>
    <s v="n/a"/>
    <n v="0"/>
    <n v="0"/>
    <s v="n/a"/>
    <s v="main"/>
    <n v="0"/>
    <x v="0"/>
    <s v="n/a"/>
    <s v="n/a"/>
    <n v="0"/>
    <s v="none"/>
    <s v="main"/>
    <s v="ss"/>
    <s v="ds"/>
    <s v="topic-shift"/>
    <s v="contains_new"/>
    <m/>
    <m/>
    <n v="1"/>
    <m/>
    <x v="0"/>
  </r>
  <r>
    <s v="Heike 2.52"/>
    <s v="忠盛また御前の召しに舞はれけるに (Tadamori mata gozen no meshi ni mawarekeru ni)"/>
    <s v="But when Tadamori danced in the August presence of the Mikado at his Imperial wish,"/>
    <s v="舞はれける"/>
    <s v="indicative"/>
    <x v="2"/>
    <x v="1"/>
    <s v="intransitive"/>
    <s v="active"/>
    <s v="positive"/>
    <n v="1"/>
    <n v="1"/>
    <s v="SUB"/>
    <n v="1"/>
    <s v="overt"/>
    <n v="3"/>
    <s v="n/a"/>
    <s v="n/a"/>
    <n v="0"/>
    <n v="0"/>
    <s v="REL"/>
    <s v="subordinate"/>
    <n v="1"/>
    <x v="0"/>
    <s v="sub"/>
    <s v="honorific_aux"/>
    <n v="0"/>
    <s v="temporal"/>
    <s v="main"/>
    <s v="ds"/>
    <s v="ds"/>
    <s v="topic-shift"/>
    <s v="contains_new"/>
    <m/>
    <m/>
    <n v="1"/>
    <m/>
    <x v="0"/>
  </r>
  <r>
    <s v="Heike 2.53"/>
    <s v="人々拍子を変へて (hitobito hyōshi o kaete)"/>
    <s v="the others mocked at him, changing the words of the music"/>
    <s v="変へて"/>
    <s v="indicative"/>
    <x v="1"/>
    <x v="1"/>
    <s v="transitive"/>
    <s v="active"/>
    <s v="positive"/>
    <n v="1"/>
    <n v="2"/>
    <s v="S+O"/>
    <n v="0"/>
    <s v="overt"/>
    <n v="3"/>
    <s v="overt"/>
    <s v="n/a"/>
    <n v="0"/>
    <n v="0"/>
    <s v="n/a"/>
    <s v="te"/>
    <n v="0"/>
    <x v="0"/>
    <s v="n/a"/>
    <s v="n/a"/>
    <n v="0"/>
    <s v="sequential"/>
    <s v="subordinate"/>
    <s v="ds"/>
    <s v="ds"/>
    <s v="topic-shift"/>
    <s v="contains_new"/>
    <m/>
    <m/>
    <n v="2"/>
    <m/>
    <x v="0"/>
  </r>
  <r>
    <s v="Heike 2.54"/>
    <s v="伊勢へいじはすがめなりけりとぞ (Ise heiji wa sugame narikeri)"/>
    <s v="&quot;the winepot of Ise has turned into a vinegar jar&quot;"/>
    <s v="なりけり"/>
    <s v="indicative"/>
    <x v="0"/>
    <x v="0"/>
    <s v="intransitive"/>
    <s v="active"/>
    <s v="positive"/>
    <n v="1"/>
    <n v="1"/>
    <s v="SUB"/>
    <n v="0"/>
    <s v="overt"/>
    <n v="3"/>
    <s v="n/a"/>
    <s v="n/a"/>
    <n v="0"/>
    <n v="0"/>
    <s v="n/a"/>
    <s v="complement"/>
    <n v="0"/>
    <x v="0"/>
    <s v="n/a"/>
    <s v="n/a"/>
    <n v="0"/>
    <s v="quotative"/>
    <s v="te"/>
    <s v="ds"/>
    <s v="ss"/>
    <s v="topic-introduced"/>
    <s v="contains_new"/>
    <m/>
    <m/>
    <n v="1"/>
    <m/>
    <x v="0"/>
  </r>
  <r>
    <s v="Heike 2.55"/>
    <s v="囃されける (to zo hayasarekeru)"/>
    <s v="they sang in mockery"/>
    <s v="囃されける"/>
    <s v="indicative"/>
    <x v="2"/>
    <x v="1"/>
    <s v="transitive"/>
    <s v="active"/>
    <s v="positive"/>
    <n v="1"/>
    <n v="1"/>
    <s v="O (Speech)"/>
    <n v="0"/>
    <s v="zero_exalt"/>
    <n v="3"/>
    <s v="overt"/>
    <s v="n/a"/>
    <n v="0"/>
    <n v="0"/>
    <s v="kakari-musubi"/>
    <s v="main"/>
    <n v="0"/>
    <x v="1"/>
    <s v="sub"/>
    <s v="honorific_aux"/>
    <n v="0"/>
    <s v="main"/>
    <s v="complement"/>
    <s v="ss"/>
    <s v="ss"/>
    <s v="topic-drop"/>
    <s v="contains_new"/>
    <m/>
    <m/>
    <n v="1"/>
    <m/>
    <x v="0"/>
  </r>
  <r>
    <s v="Heike 2.56"/>
    <s v="かけまくも忝くこの人々は柏原天皇の御末とは申しながら (kakemakumo katabokaku kono hitobito wa Kashiwabara Tennō no o-sue to wa mōshinagara)"/>
    <s v="In thus mentioning the vessels of his province they punned on his title..."/>
    <s v="申しながら"/>
    <s v="indicative"/>
    <x v="5"/>
    <x v="1"/>
    <s v="transitive"/>
    <s v="active"/>
    <s v="positive"/>
    <n v="1"/>
    <n v="2"/>
    <s v="S+O (Speech)"/>
    <n v="1"/>
    <s v="overt"/>
    <n v="3"/>
    <s v="overt"/>
    <s v="n/a"/>
    <n v="0"/>
    <n v="0"/>
    <s v="n/a"/>
    <s v="subordinate"/>
    <n v="1"/>
    <x v="0"/>
    <s v="sub"/>
    <s v="lexical_humble_verb"/>
    <n v="0"/>
    <s v="temporal"/>
    <s v="main"/>
    <s v="ss"/>
    <s v="ds"/>
    <s v="topic-shift"/>
    <s v="contains_new"/>
    <m/>
    <m/>
    <n v="2"/>
    <m/>
    <x v="0"/>
  </r>
  <r>
    <s v="Heike 2.57"/>
    <s v="中比は都の住まひも疎々しく (chūbi wa miyako no sumai mo utoutoshiku)"/>
    <s v="and since lately his family had lived away from the capital,"/>
    <s v="疎々しく"/>
    <s v="indicative"/>
    <x v="4"/>
    <x v="5"/>
    <s v="intransitive"/>
    <s v="active"/>
    <s v="positive"/>
    <n v="1"/>
    <n v="1"/>
    <s v="SUB"/>
    <n v="1"/>
    <s v="overt"/>
    <n v="3"/>
    <s v="n/a"/>
    <s v="n/a"/>
    <n v="0"/>
    <n v="0"/>
    <s v="n/a"/>
    <s v="main"/>
    <n v="0"/>
    <x v="0"/>
    <s v="n/a"/>
    <s v="n/a"/>
    <n v="0"/>
    <s v="none"/>
    <s v="subordinate"/>
    <s v="ds"/>
    <s v="ss"/>
    <s v="topic-shift"/>
    <s v="contains_new"/>
    <m/>
    <m/>
    <n v="1"/>
    <m/>
    <x v="0"/>
  </r>
  <r>
    <s v="Heike 2.58"/>
    <s v="地下にのみ振舞ひなつて ( jige ni nomi furumai natte)"/>
    <s v=" behaving as mere provincial folk"/>
    <s v="振舞ひなつて"/>
    <s v="indicative"/>
    <x v="1"/>
    <x v="4"/>
    <s v="intransitive"/>
    <s v="active"/>
    <s v="positive"/>
    <n v="1"/>
    <n v="1"/>
    <s v="IO"/>
    <n v="0"/>
    <s v="zero_recoverable"/>
    <n v="3"/>
    <s v="n/a"/>
    <s v="overt"/>
    <n v="0"/>
    <n v="0"/>
    <s v="n/a"/>
    <s v="te"/>
    <n v="0"/>
    <x v="0"/>
    <s v="n/a"/>
    <s v="n/a"/>
    <n v="0"/>
    <s v="sequential"/>
    <s v="main"/>
    <s v="ss"/>
    <s v="ss"/>
    <s v="topic-drop"/>
    <s v="contains_new"/>
    <m/>
    <m/>
    <n v="1"/>
    <m/>
    <x v="0"/>
  </r>
  <r>
    <s v="Heike 2.59"/>
    <s v="伊勢国に住国深かりしかば  (Ise no kuni ni sumikoku fukakarishikaba)"/>
    <s v="and as they lived deep in Ise province, they likened him to the vessels of that province"/>
    <s v="深かりしかば"/>
    <s v="indicative"/>
    <x v="4"/>
    <x v="5"/>
    <s v="intransitive"/>
    <s v="active"/>
    <s v="positive"/>
    <n v="1"/>
    <n v="1"/>
    <s v="SUB"/>
    <n v="1"/>
    <s v="zero_recoverable"/>
    <n v="3"/>
    <s v="n/a"/>
    <s v="n/a"/>
    <n v="0"/>
    <n v="0"/>
    <s v="n/a"/>
    <s v="subordinate"/>
    <n v="0"/>
    <x v="0"/>
    <s v="n/a"/>
    <s v="n/a"/>
    <n v="0"/>
    <s v="causal"/>
    <s v="te"/>
    <s v="ss"/>
    <s v="ds"/>
    <s v="topic-drop"/>
    <s v="contains_new"/>
    <m/>
    <m/>
    <n v="1"/>
    <m/>
    <x v="0"/>
  </r>
  <r>
    <s v="Heike 2.60"/>
    <s v="その国の器に言寄せて"/>
    <s v="sono kuni no utsuwa ni kotoyosete)"/>
    <s v="言寄せて"/>
    <s v="indicative"/>
    <x v="5"/>
    <x v="1"/>
    <s v="ditransitive"/>
    <s v="active"/>
    <s v="positive"/>
    <n v="1"/>
    <n v="1"/>
    <s v="IO"/>
    <n v="0"/>
    <s v="zero_uncertain"/>
    <n v="3"/>
    <s v="zero_uncertain"/>
    <s v="overt"/>
    <n v="0"/>
    <n v="0"/>
    <s v="n/a"/>
    <s v="te"/>
    <n v="0"/>
    <x v="0"/>
    <s v="n/a"/>
    <s v="n/a"/>
    <n v="0"/>
    <s v="sequential"/>
    <s v="subordinate"/>
    <s v="ds"/>
    <s v="ss"/>
    <s v="topic-drop"/>
    <s v="contains_new"/>
    <m/>
    <m/>
    <n v="1"/>
    <m/>
    <x v="0"/>
  </r>
  <r>
    <s v="Heike 2.61"/>
    <s v="伊勢平氏とぞ囃されける (Ise Heishi to zo hayasarekeru)"/>
    <s v="so they mocked him as 'Ise Heishi'"/>
    <s v="囃されける"/>
    <s v="indicative"/>
    <x v="2"/>
    <x v="1"/>
    <s v="intransitive"/>
    <s v="passive"/>
    <s v="positive"/>
    <n v="1"/>
    <n v="1"/>
    <s v="O (Speech)"/>
    <n v="0"/>
    <s v="zero_recoverable"/>
    <n v="3"/>
    <s v="n/a"/>
    <s v="overt"/>
    <n v="0"/>
    <n v="0"/>
    <s v="kakari-musubi"/>
    <s v="main"/>
    <n v="0"/>
    <x v="0"/>
    <s v="n/a"/>
    <s v="n/a"/>
    <n v="0"/>
    <s v="none"/>
    <s v="te"/>
    <s v="ss"/>
    <s v="ds"/>
    <s v="topic-drop"/>
    <s v="contains_new"/>
    <m/>
    <m/>
    <n v="1"/>
    <m/>
    <x v="0"/>
  </r>
  <r>
    <s v="Heike 2.62"/>
    <s v="その上忠盛目の眇まれたりける故にこそ (sono ue Tadamori me no sugamaretari keru yue ni koso)"/>
    <s v="moreover, because Tadamori's eyes were squinted, "/>
    <s v="眇まれたりける"/>
    <s v="indicative"/>
    <x v="2"/>
    <x v="1"/>
    <s v="intransitive"/>
    <s v="active"/>
    <s v="positive"/>
    <n v="1"/>
    <n v="1"/>
    <s v="SUB"/>
    <n v="1"/>
    <s v="overt"/>
    <n v="3"/>
    <s v="n/a"/>
    <s v="n/a"/>
    <n v="0"/>
    <n v="1"/>
    <s v="REL"/>
    <s v="subordinate"/>
    <n v="0"/>
    <x v="0"/>
    <s v="n/a"/>
    <s v="n/a"/>
    <n v="0"/>
    <s v="causal"/>
    <s v="main"/>
    <s v="ds"/>
    <s v="ss"/>
    <s v="topic-continued"/>
    <s v="contains_new"/>
    <m/>
    <m/>
    <n v="1"/>
    <m/>
    <x v="0"/>
  </r>
  <r>
    <s v="Heike 2.63"/>
    <s v="かやうには囃されけるなれ  (kayō ni wa hayasarekeru nare)"/>
    <s v="he was mocked in such a way"/>
    <s v="囃されけるなれ"/>
    <s v="indicative"/>
    <x v="1"/>
    <x v="1"/>
    <s v="intransitive"/>
    <s v="passive"/>
    <s v="positive"/>
    <n v="1"/>
    <n v="0"/>
    <s v="n/a"/>
    <n v="0"/>
    <s v="zero_recoverable"/>
    <n v="3"/>
    <s v="n/a"/>
    <s v="n/a"/>
    <n v="0"/>
    <n v="0"/>
    <s v="kakari-musubi"/>
    <s v="main"/>
    <n v="0"/>
    <x v="0"/>
    <s v="n/a"/>
    <s v="n/a"/>
    <n v="0"/>
    <s v="none"/>
    <s v="subordinate"/>
    <s v="ss"/>
    <s v="ss"/>
    <s v="topic-drop"/>
    <s v="no_overt_NP"/>
    <m/>
    <m/>
    <n v="0"/>
    <m/>
    <x v="0"/>
  </r>
  <r>
    <s v="Heike 2.64"/>
    <s v="忠盛何とすべきやうもなくして (Tadamori nan to subeki yō mo nakushite)"/>
    <s v="Tadamori, having no way of dealing with the situation,"/>
    <s v="なくして"/>
    <s v="indicative"/>
    <x v="1"/>
    <x v="1"/>
    <s v="transitive"/>
    <s v="active"/>
    <s v="negative"/>
    <n v="1"/>
    <n v="2"/>
    <s v="S+O"/>
    <n v="0"/>
    <s v="overt"/>
    <n v="3"/>
    <s v="overt"/>
    <s v="n/a"/>
    <n v="0"/>
    <n v="0"/>
    <s v="n/a"/>
    <s v="te"/>
    <n v="0"/>
    <x v="0"/>
    <s v="n/a"/>
    <s v="n/a"/>
    <n v="0"/>
    <s v="sequential"/>
    <s v="main"/>
    <s v="ss"/>
    <s v="ds"/>
    <s v="topic-continued"/>
    <s v="contains_new"/>
    <m/>
    <m/>
    <n v="2"/>
    <m/>
    <x v="0"/>
  </r>
  <r>
    <s v="Heike 2.65"/>
    <s v="御遊も未だ終らざる前に (gyoyū mo mada owarazaru mae ni)"/>
    <s v="before the entertainment had ended,"/>
    <s v="終らざる"/>
    <s v="indicative"/>
    <x v="1"/>
    <x v="1"/>
    <s v="intransitive"/>
    <s v="active"/>
    <s v="negative"/>
    <n v="1"/>
    <n v="1"/>
    <s v="SUB"/>
    <n v="1"/>
    <s v="overt"/>
    <n v="3"/>
    <s v="n/a"/>
    <s v="n/a"/>
    <n v="0"/>
    <n v="1"/>
    <s v="REL"/>
    <s v="subordinate"/>
    <n v="0"/>
    <x v="0"/>
    <s v="n/a"/>
    <s v="n/a"/>
    <n v="0"/>
    <s v="temporal"/>
    <s v="te"/>
    <s v="ds"/>
    <s v="ds"/>
    <s v="topic-drop"/>
    <s v="contains_new"/>
    <m/>
    <m/>
    <n v="1"/>
    <m/>
    <x v="0"/>
  </r>
  <r>
    <s v="Heike 2.66"/>
    <s v="密かに罷り出でらるとて (hisokani makari ideraru tote)"/>
    <s v="he secretly left the Presence,"/>
    <s v="罷り出でらる"/>
    <s v="indicative"/>
    <x v="3"/>
    <x v="1"/>
    <s v="intransitive"/>
    <s v="active"/>
    <s v="positive"/>
    <n v="1"/>
    <n v="0"/>
    <s v="n/a"/>
    <n v="1"/>
    <s v="zero_exalt"/>
    <n v="3"/>
    <s v="n/a"/>
    <s v="n/a"/>
    <n v="0"/>
    <n v="0"/>
    <s v="REL"/>
    <s v="subordinate"/>
    <n v="0"/>
    <x v="1"/>
    <s v="sub"/>
    <s v="honorific_aux+lexical_honorific_verb"/>
    <n v="0"/>
    <s v="temporal"/>
    <s v="subordinate"/>
    <s v="ds"/>
    <s v="ss"/>
    <s v="topic-drop"/>
    <s v="no_overt_NP"/>
    <m/>
    <m/>
    <n v="0"/>
    <m/>
    <x v="0"/>
  </r>
  <r>
    <s v="Heike 2.67"/>
    <s v="紫宸殿の御後にして (Shishinden no o-ato ni shite)"/>
    <s v="and going behind the Shishinden,"/>
    <s v="後にして"/>
    <s v="indicative"/>
    <x v="1"/>
    <x v="9"/>
    <s v="intransitive"/>
    <s v="active"/>
    <s v="positive"/>
    <n v="1"/>
    <n v="0"/>
    <s v="n/a"/>
    <n v="1"/>
    <s v="zero_recoverable"/>
    <n v="3"/>
    <s v="n/a"/>
    <s v="n/a"/>
    <n v="0"/>
    <n v="0"/>
    <s v="n/a"/>
    <s v="te"/>
    <n v="0"/>
    <x v="0"/>
    <s v="n/a"/>
    <s v="n/a"/>
    <n v="0"/>
    <s v="sequential"/>
    <s v="subordinate"/>
    <s v="ss"/>
    <s v="ds"/>
    <s v="topic-drop"/>
    <s v="no_overt_NP"/>
    <m/>
    <m/>
    <n v="0"/>
    <m/>
    <x v="0"/>
  </r>
  <r>
    <s v="Heike 2.68"/>
    <s v="かたへの殿上人の見られける (kata e no tenjōbito no mirarekeru)"/>
    <s v=" the court nobles could see him,"/>
    <s v="見られける"/>
    <s v="indicative"/>
    <x v="2"/>
    <x v="1"/>
    <s v="transitive"/>
    <s v="active"/>
    <s v="positive"/>
    <n v="1"/>
    <n v="1"/>
    <s v="SUB"/>
    <n v="0"/>
    <s v="overt"/>
    <n v="3"/>
    <s v="zero_recoverable"/>
    <s v="n/a"/>
    <n v="0"/>
    <n v="1"/>
    <s v="REL"/>
    <s v="relative"/>
    <n v="1"/>
    <x v="0"/>
    <s v="sub"/>
    <s v="honorific_aux"/>
    <n v="0"/>
    <s v="none"/>
    <s v="te"/>
    <s v="ds"/>
    <s v="ss"/>
    <s v="topic-introduced"/>
    <s v="contains_new"/>
    <m/>
    <m/>
    <n v="1"/>
    <m/>
    <x v="0"/>
  </r>
  <r>
    <s v="Heike 2.69"/>
    <s v="所にて主殿司を召して (tokoro nite tonomotsukasa o meshite azukeokite zo iderarekeru)"/>
    <s v="in a place where… he summoned the Tonomotsukasa, "/>
    <s v="召して "/>
    <s v="indicative"/>
    <x v="2"/>
    <x v="1"/>
    <s v="transitive"/>
    <s v="active"/>
    <s v="positive"/>
    <n v="1"/>
    <n v="1"/>
    <s v="OBJ"/>
    <n v="1"/>
    <s v="zero_exalt"/>
    <n v="3"/>
    <s v="overt"/>
    <s v="n/a"/>
    <n v="0"/>
    <n v="0"/>
    <s v="n/a"/>
    <s v="te"/>
    <n v="0"/>
    <x v="1"/>
    <s v="sub"/>
    <s v="lexical_honorific_verb"/>
    <n v="0"/>
    <s v="sequential"/>
    <s v="relative"/>
    <s v="ss"/>
    <s v="ss"/>
    <s v="topic-drop"/>
    <s v="contains_new"/>
    <m/>
    <m/>
    <n v="1"/>
    <m/>
    <x v="0"/>
  </r>
  <r>
    <s v="Heike 2.70"/>
    <s v="預け置きてぞ"/>
    <s v=" entrusted [his sword]"/>
    <s v="預け置きて"/>
    <s v="indicative"/>
    <x v="1"/>
    <x v="1"/>
    <s v="transitive"/>
    <s v="active"/>
    <s v="positive"/>
    <n v="1"/>
    <n v="0"/>
    <s v="n/a"/>
    <n v="0"/>
    <s v="zero_recoverable"/>
    <n v="3"/>
    <s v="zero_recoverable"/>
    <s v="n/a"/>
    <n v="0"/>
    <n v="0"/>
    <s v="n/a"/>
    <s v="te"/>
    <n v="0"/>
    <x v="0"/>
    <s v="n/a"/>
    <s v="n/a"/>
    <n v="0"/>
    <s v="none"/>
    <s v="te"/>
    <s v="ss"/>
    <s v="ss"/>
    <s v="topic-drop"/>
    <s v="no_overt_NP"/>
    <m/>
    <m/>
    <n v="0"/>
    <m/>
    <x v="0"/>
  </r>
  <r>
    <s v="Heike 2.71"/>
    <s v="出でられける"/>
    <s v="and left,"/>
    <s v="出でられける"/>
    <s v="indicative"/>
    <x v="3"/>
    <x v="1"/>
    <s v="intransitive"/>
    <s v="active"/>
    <s v="positive"/>
    <n v="1"/>
    <n v="0"/>
    <s v="n/a"/>
    <n v="0"/>
    <s v="zero_exalt"/>
    <n v="3"/>
    <s v="n/a"/>
    <s v="n/a"/>
    <n v="0"/>
    <n v="0"/>
    <s v="n/a"/>
    <s v="main"/>
    <n v="0"/>
    <x v="1"/>
    <s v="sub"/>
    <s v="honorific_aux"/>
    <n v="0"/>
    <s v="none"/>
    <s v="te"/>
    <s v="ss"/>
    <s v="ds"/>
    <s v="topic-drop"/>
    <s v="no_overt_NP"/>
    <m/>
    <m/>
    <n v="0"/>
    <m/>
    <x v="0"/>
  </r>
  <r>
    <s v="Heike 2.72"/>
    <s v="家貞待ち受け奉りて (Iesada machi-uke tatemawari-te)"/>
    <s v="Iesada, who was waiting for his lord,"/>
    <s v="待ち受け奉りて"/>
    <s v="indicative"/>
    <x v="2"/>
    <x v="2"/>
    <s v="transitive"/>
    <s v="active"/>
    <s v="positive"/>
    <n v="1"/>
    <n v="1"/>
    <s v="SUB"/>
    <n v="0"/>
    <s v="overt"/>
    <n v="3"/>
    <s v="zero_recoverable"/>
    <s v="n/a"/>
    <n v="0"/>
    <n v="0"/>
    <s v="n/a"/>
    <s v="te"/>
    <n v="1"/>
    <x v="0"/>
    <s v="sub"/>
    <s v="lexical_humble_verb"/>
    <n v="0"/>
    <s v="sequential"/>
    <s v="main"/>
    <s v="ds"/>
    <s v="ss"/>
    <s v="topic-shift"/>
    <s v="contains_new"/>
    <m/>
    <m/>
    <n v="1"/>
    <m/>
    <x v="0"/>
  </r>
  <r>
    <s v="Heike 2.73"/>
    <s v="さていかが候ひつると (sate ikaga soroitsuru to)"/>
    <s v="&quot;What has happened?&quot; he asked."/>
    <s v="候ひつる"/>
    <s v="indicative"/>
    <x v="1"/>
    <x v="1"/>
    <s v="intransitive"/>
    <s v="active"/>
    <s v="positive"/>
    <n v="1"/>
    <n v="0"/>
    <s v="n/a"/>
    <n v="1"/>
    <s v="zero_other"/>
    <n v="3"/>
    <s v="n/a"/>
    <s v="n/a"/>
    <n v="0"/>
    <n v="0"/>
    <s v="REL"/>
    <s v="complement"/>
    <n v="0"/>
    <x v="0"/>
    <s v="n/a"/>
    <s v="polite_aux"/>
    <n v="0"/>
    <s v="quotative"/>
    <s v="te"/>
    <s v="ss"/>
    <s v="ss"/>
    <s v="topic-drop"/>
    <s v="no_overt_NP"/>
    <m/>
    <m/>
    <n v="0"/>
    <m/>
    <x v="0"/>
  </r>
  <r>
    <s v="Heike 2.74"/>
    <s v="申されければ (mōsarekeru ba)"/>
    <s v="he was asked,"/>
    <s v="申されける"/>
    <s v="indicative"/>
    <x v="2"/>
    <x v="1"/>
    <s v="intransitive"/>
    <s v="passive"/>
    <s v="positive"/>
    <n v="1"/>
    <n v="1"/>
    <s v="O (Speech)"/>
    <n v="0"/>
    <s v="zero_exalt"/>
    <n v="3"/>
    <s v="overt"/>
    <s v="n/a"/>
    <n v="0"/>
    <n v="0"/>
    <s v="n/a"/>
    <s v="main"/>
    <n v="0"/>
    <x v="1"/>
    <s v="sub"/>
    <s v="honorific_aux+lexical_humble_verb"/>
    <n v="0"/>
    <s v="temporal"/>
    <s v="complement"/>
    <s v="ss"/>
    <s v="ss"/>
    <s v="topic-drop"/>
    <s v="contains_new"/>
    <m/>
    <m/>
    <n v="1"/>
    <m/>
    <x v="0"/>
  </r>
  <r>
    <s v="Heike 2.75"/>
    <s v="かくとも云はまほしう"/>
    <s v="to tell him"/>
    <s v="云はまほしう"/>
    <s v="desiderative"/>
    <x v="1"/>
    <x v="1"/>
    <s v="intransitive"/>
    <s v="active"/>
    <s v="positive"/>
    <n v="1"/>
    <n v="0"/>
    <s v="n/a"/>
    <n v="1"/>
    <s v="zero_other"/>
    <n v="3"/>
    <s v="not_applicable"/>
    <s v="not_applicable"/>
    <n v="0"/>
    <n v="0"/>
    <s v="n/a"/>
    <s v="main"/>
    <n v="0"/>
    <x v="0"/>
    <s v="n/a"/>
    <s v="n/a"/>
    <n v="0"/>
    <s v="none"/>
    <s v="main"/>
    <s v="ss"/>
    <s v="ss"/>
    <s v="topic-drop"/>
    <s v="no_overt_NP"/>
    <m/>
    <m/>
    <n v="0"/>
    <m/>
    <x v="0"/>
  </r>
  <r>
    <s v="Heike 2.76"/>
    <s v="思はれけれども (kakutomo iwamahoshū omowarekeredomo)"/>
    <s v="although he greatly wished,"/>
    <s v="思はれけれども"/>
    <s v="indicative"/>
    <x v="4"/>
    <x v="1"/>
    <s v="transitive"/>
    <s v="active"/>
    <s v="positive"/>
    <n v="1"/>
    <n v="1"/>
    <s v="O (Speech)"/>
    <n v="1"/>
    <s v="zero_other"/>
    <n v="3"/>
    <s v="overt"/>
    <s v="n/a"/>
    <n v="0"/>
    <n v="0"/>
    <s v="n/a"/>
    <s v="main"/>
    <n v="0"/>
    <x v="0"/>
    <s v="n/a"/>
    <s v="n/a"/>
    <n v="0"/>
    <s v="concessive"/>
    <s v="main"/>
    <s v="ss"/>
    <s v="ss"/>
    <s v="topic-drop"/>
    <s v="contains_new"/>
    <s v="Psych predicate; かくとも as adjunct."/>
    <m/>
    <n v="1"/>
    <m/>
    <x v="0"/>
  </r>
  <r>
    <s v="Heike 2.77"/>
    <s v="云ひつるほどならば (iitsuru hodo naraba)"/>
    <s v="seeing that, if he told him,"/>
    <s v="云ひつる"/>
    <s v="indicative"/>
    <x v="1"/>
    <x v="1"/>
    <s v="transitive"/>
    <s v="active"/>
    <s v="positive"/>
    <n v="1"/>
    <n v="0"/>
    <s v="n/a"/>
    <n v="0"/>
    <s v="zero_other"/>
    <n v="3"/>
    <s v="zero_recoverable"/>
    <s v="n/a"/>
    <n v="0"/>
    <n v="1"/>
    <s v="REL"/>
    <s v="subordinate"/>
    <n v="0"/>
    <x v="0"/>
    <s v="n/a"/>
    <s v="n/a"/>
    <n v="0"/>
    <s v="conditional"/>
    <s v="main"/>
    <s v="ss"/>
    <s v="ds"/>
    <s v="topic-drop"/>
    <s v="no_overt_NP"/>
    <m/>
    <m/>
    <n v="0"/>
    <m/>
    <x v="0"/>
  </r>
  <r>
    <s v="Heike 2.78"/>
    <s v="やがて殿上までも斬り上らんずる  yagate tenjō made mo kiriagaranzuru "/>
    <s v="who would even do violence in the Palace itself,"/>
    <s v="斬り上らんずる"/>
    <s v="dynamic"/>
    <x v="1"/>
    <x v="1"/>
    <s v="intransitive"/>
    <s v="active"/>
    <s v="positive"/>
    <n v="1"/>
    <n v="0"/>
    <s v="n/a"/>
    <n v="2"/>
    <s v="zero_recoverable"/>
    <n v="3"/>
    <s v="n/a"/>
    <s v="n/a"/>
    <n v="1"/>
    <n v="0"/>
    <s v="REL"/>
    <s v="relative"/>
    <n v="0"/>
    <x v="0"/>
    <s v="n/a"/>
    <s v="n/a"/>
    <n v="0"/>
    <s v="none"/>
    <s v="subordinate"/>
    <s v="ds"/>
    <s v="ss"/>
    <s v="topic-drop"/>
    <s v="no_overt_NP"/>
    <m/>
    <m/>
    <n v="0"/>
    <m/>
    <x v="0"/>
  </r>
  <r>
    <s v="Heike 2.79"/>
    <s v="者の面魂にてある間 mono no omodamashii nite aru aida"/>
    <s v="he appeared as one "/>
    <s v="にてある"/>
    <s v="indicative"/>
    <x v="1"/>
    <x v="0"/>
    <s v="intransitive"/>
    <s v="active"/>
    <s v="positive"/>
    <n v="1"/>
    <n v="0"/>
    <s v="n/a"/>
    <n v="0"/>
    <s v="zero_recoverable"/>
    <n v="3"/>
    <s v="n/a"/>
    <s v="n/a"/>
    <n v="0"/>
    <n v="0"/>
    <s v="REL"/>
    <s v="subordinate"/>
    <n v="0"/>
    <x v="0"/>
    <s v="n/a"/>
    <s v="n/a"/>
    <n v="0"/>
    <s v="temporal"/>
    <s v="relative"/>
    <s v="ss"/>
    <s v="ds"/>
    <s v="topic-drop"/>
    <s v="no_overt_NP"/>
    <m/>
    <m/>
    <n v="0"/>
    <m/>
    <x v="0"/>
  </r>
  <r>
    <s v="Heike 2.80"/>
    <s v="別の事なし (betsu no koto nashi)"/>
    <s v="nothing out of the ordinary had taken place."/>
    <s v="なし"/>
    <s v="indicative"/>
    <x v="1"/>
    <x v="7"/>
    <s v="intransitive"/>
    <s v="active"/>
    <s v="negative"/>
    <n v="1"/>
    <n v="1"/>
    <s v="SUB"/>
    <n v="0"/>
    <s v="overt"/>
    <n v="3"/>
    <s v="n/a"/>
    <s v="n/a"/>
    <n v="0"/>
    <n v="0"/>
    <s v="n/a"/>
    <s v="main"/>
    <n v="0"/>
    <x v="0"/>
    <s v="n/a"/>
    <s v="n/a"/>
    <n v="0"/>
    <s v="none"/>
    <s v="subordinate"/>
    <s v="ds"/>
    <s v="ds"/>
    <s v="topic-drop"/>
    <s v="contains_new"/>
    <s v="Subject = 別の事."/>
    <m/>
    <n v="1"/>
    <m/>
    <x v="0"/>
  </r>
  <r>
    <s v="Heike 2.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x v="1"/>
    <x v="4"/>
    <s v="transitive"/>
    <s v="active"/>
    <s v="positive"/>
    <n v="1"/>
    <n v="1"/>
    <s v="OBJ"/>
    <n v="2"/>
    <s v="zero_exalt"/>
    <n v="3"/>
    <s v="overt"/>
    <s v="n/a"/>
    <n v="0"/>
    <n v="0"/>
    <s v="REL"/>
    <s v="subordinate"/>
    <n v="0"/>
    <x v="1"/>
    <s v="sub"/>
    <s v="honorific_aux"/>
    <n v="0"/>
    <s v="concessive"/>
    <s v="main"/>
    <s v="ds"/>
    <s v="ds"/>
    <s v="topic-shift"/>
    <s v="contains_new"/>
    <s v="Passive/respect; subject omitted; object 面白き事を overt."/>
    <m/>
    <n v="1"/>
    <m/>
    <x v="0"/>
  </r>
  <r>
    <s v="Heike 2.82"/>
    <s v="中比太宰権帥季仲卿といふ人ありけり (chūbi Dazai gon no so Sukechika kyō to iu hito arikeri)"/>
    <s v="but there was a certain Dazai Gon-no-sotsu Suenaka no Kyo,"/>
    <s v="ありけり"/>
    <s v="indicative"/>
    <x v="0"/>
    <x v="7"/>
    <s v="intransitive"/>
    <s v="active"/>
    <s v="positive"/>
    <n v="1"/>
    <n v="1"/>
    <s v="SUB"/>
    <n v="1"/>
    <s v="overt"/>
    <n v="3"/>
    <s v="n/a"/>
    <s v="n/a"/>
    <n v="0"/>
    <n v="0"/>
    <s v="n/a"/>
    <s v="main"/>
    <n v="0"/>
    <x v="0"/>
    <s v="n/a"/>
    <s v="n/a"/>
    <n v="0"/>
    <s v="none"/>
    <s v="subordinate"/>
    <s v="ds"/>
    <s v="ds"/>
    <s v="topic-introduced"/>
    <s v="contains_new"/>
    <s v="frame predicate"/>
    <m/>
    <n v="1"/>
    <m/>
    <x v="0"/>
  </r>
  <r>
    <s v="Heike 2.83"/>
    <s v="あまりに色の黒かりければ (amari ni iro no kurokarikereba)"/>
    <s v="who was of so dark a complexion that"/>
    <s v="黒かりければ"/>
    <s v="indicative"/>
    <x v="1"/>
    <x v="5"/>
    <s v="intransitive"/>
    <s v="active"/>
    <s v="positive"/>
    <n v="1"/>
    <n v="1"/>
    <s v="SUB"/>
    <n v="1"/>
    <s v="overt"/>
    <n v="3"/>
    <s v="n/a"/>
    <s v="not_applicable"/>
    <n v="0"/>
    <n v="0"/>
    <s v="n/a"/>
    <s v="subordinate"/>
    <n v="0"/>
    <x v="0"/>
    <s v="n/a"/>
    <s v="n/a"/>
    <n v="0"/>
    <s v="causal"/>
    <s v="main"/>
    <s v="ds"/>
    <s v="ds"/>
    <s v="topic-drop"/>
    <s v="contains_new"/>
    <s v="Adjectival predicate; subject = 色."/>
    <m/>
    <n v="1"/>
    <m/>
    <x v="0"/>
  </r>
  <r>
    <s v="Heike 2.84"/>
    <s v="見る人黒帥とぞ申しける (miru hito kurosotsu to zo mōshikeru)"/>
    <s v="people called him 'kuro-sotsu',"/>
    <s v="申しける"/>
    <s v="indicative"/>
    <x v="2"/>
    <x v="1"/>
    <s v="transitive"/>
    <s v="active"/>
    <s v="positive"/>
    <n v="1"/>
    <n v="2"/>
    <s v="S+O"/>
    <n v="0"/>
    <s v="overt"/>
    <n v="3"/>
    <s v="overt"/>
    <s v="n/a"/>
    <n v="0"/>
    <n v="0"/>
    <s v="n/a"/>
    <s v="main"/>
    <n v="1"/>
    <x v="0"/>
    <s v="n/a"/>
    <s v="lexical_humble_verb"/>
    <n v="0"/>
    <s v="none"/>
    <s v="subordinate"/>
    <s v="ds"/>
    <s v="ss"/>
    <s v="topic-drop"/>
    <s v="contains_new"/>
    <s v="申す humble; subject overt; counted as EXALT INSIG."/>
    <m/>
    <n v="2"/>
    <m/>
    <x v="0"/>
  </r>
  <r>
    <s v="Heike 2.85"/>
    <s v="その人未だ蔵人頭たりし時 (sono hito imada kurōdo no tō tarishi toki)"/>
    <s v="and while he was still Kurando-no-to, "/>
    <s v="たりし"/>
    <s v="indicative"/>
    <x v="0"/>
    <x v="0"/>
    <s v="intransitive"/>
    <s v="active"/>
    <s v="positive"/>
    <n v="1"/>
    <n v="1"/>
    <s v="SUB"/>
    <n v="0"/>
    <s v="overt"/>
    <n v="3"/>
    <s v="n/a"/>
    <s v="n/a"/>
    <n v="0"/>
    <n v="0"/>
    <s v="REL"/>
    <s v="subordinate"/>
    <n v="0"/>
    <x v="0"/>
    <s v="n/a"/>
    <s v="honorific_aux"/>
    <n v="0"/>
    <s v="temporal"/>
    <s v="main"/>
    <s v="ss"/>
    <s v="ss"/>
    <s v="topic-continued"/>
    <s v="no_overt_NP"/>
    <m/>
    <m/>
    <n v="1"/>
    <m/>
    <x v="0"/>
  </r>
  <r>
    <s v="Heike 2.86"/>
    <s v="五節に舞はれけるに gosechi ni mawarekeru ni"/>
    <s v="when he danced at the Go-sechie,"/>
    <s v="舞はれける"/>
    <s v="indicative"/>
    <x v="2"/>
    <x v="1"/>
    <s v="intransitive"/>
    <s v="active"/>
    <s v="positive"/>
    <n v="1"/>
    <n v="0"/>
    <s v="n/a"/>
    <n v="0"/>
    <s v="zero_exalt"/>
    <n v="3"/>
    <s v="n/a"/>
    <s v="n/a"/>
    <n v="0"/>
    <n v="0"/>
    <s v="REL"/>
    <s v="subordinate"/>
    <n v="0"/>
    <x v="1"/>
    <s v="sub"/>
    <s v="lexical_honorific_verb"/>
    <n v="0"/>
    <s v="temporal"/>
    <s v="subordinate"/>
    <s v="ss"/>
    <s v="ds"/>
    <s v="topic-drop"/>
    <s v="no_overt_NP"/>
    <m/>
    <m/>
    <n v="0"/>
    <m/>
    <x v="0"/>
  </r>
  <r>
    <s v="Heike 2.87"/>
    <s v="人々拍子を変へて (hitobito hyōshi o kaete)"/>
    <s v="they changed the rhythm of the music"/>
    <s v="変へて"/>
    <s v="indicative"/>
    <x v="1"/>
    <x v="1"/>
    <s v="transitive"/>
    <s v="active"/>
    <s v="positive"/>
    <n v="1"/>
    <n v="2"/>
    <s v="S+O"/>
    <n v="0"/>
    <s v="overt"/>
    <n v="3"/>
    <s v="overt"/>
    <s v="n/a"/>
    <n v="0"/>
    <n v="0"/>
    <s v="n/a"/>
    <s v="te"/>
    <n v="0"/>
    <x v="0"/>
    <s v="n/a"/>
    <s v="n/a"/>
    <n v="0"/>
    <s v="sequential"/>
    <s v="subordinate"/>
    <s v="ds"/>
    <s v="ss"/>
    <s v="topic-drop"/>
    <s v="contains_new"/>
    <m/>
    <m/>
    <n v="2"/>
    <m/>
    <x v="0"/>
  </r>
  <r>
    <s v="Heike 2.88"/>
    <s v="あなくろくろ黒き頭かな (ana kuro kuro kuroki atama kana)"/>
    <s v="&quot;Oh what a black, black head!&quot;"/>
    <s v="N/A (exclamatory nominal clause)"/>
    <s v="indicative"/>
    <x v="1"/>
    <x v="10"/>
    <s v="intransitive"/>
    <m/>
    <m/>
    <n v="0"/>
    <n v="1"/>
    <s v="SUB"/>
    <n v="0"/>
    <s v="overt"/>
    <n v="3"/>
    <s v="n/a"/>
    <s v="n/a"/>
    <n v="0"/>
    <n v="0"/>
    <s v="n/a"/>
    <s v="main"/>
    <n v="0"/>
    <x v="0"/>
    <s v="n/a"/>
    <s v="n/a"/>
    <n v="0"/>
    <s v="none"/>
    <s v="te"/>
    <s v="ss"/>
    <s v="ds"/>
    <s v="topic-drop"/>
    <s v="contains_new"/>
    <m/>
    <m/>
    <m/>
    <m/>
    <x v="0"/>
  </r>
  <r>
    <s v="Heike 2.89"/>
    <s v="いかなる人の漆塗りけんとぞ (ikanaru hito no urushinuriken to zo )"/>
    <s v="&quot;someone must have painted him with lacquer&quot;"/>
    <s v="漆塗りけん"/>
    <s v="epistemic"/>
    <x v="1"/>
    <x v="1"/>
    <s v="transitive"/>
    <s v="active"/>
    <s v="positive"/>
    <n v="1"/>
    <n v="2"/>
    <s v="S+O"/>
    <n v="0"/>
    <s v="overt"/>
    <n v="3"/>
    <s v="overt"/>
    <s v="n/a"/>
    <n v="0"/>
    <n v="0"/>
    <s v="n/a"/>
    <s v="complement"/>
    <n v="0"/>
    <x v="0"/>
    <s v="n/a"/>
    <s v="n/a"/>
    <n v="0"/>
    <s v="quotative"/>
    <s v="main"/>
    <s v="ds"/>
    <s v="ds"/>
    <s v="topic-drop"/>
    <s v="contains_new"/>
    <m/>
    <m/>
    <n v="2"/>
    <m/>
    <x v="0"/>
  </r>
  <r>
    <s v="Heike 2.90"/>
    <s v="囃されける (hayasarekeru)"/>
    <s v="they sang in mockery."/>
    <s v="囃されける"/>
    <s v="indicative"/>
    <x v="5"/>
    <x v="1"/>
    <s v="transitive"/>
    <s v="active"/>
    <s v="positive"/>
    <n v="1"/>
    <n v="1"/>
    <s v="O (Speech)"/>
    <n v="0"/>
    <s v="zero_exalt"/>
    <n v="3"/>
    <s v="overt"/>
    <s v="n/a"/>
    <n v="0"/>
    <n v="0"/>
    <s v="n/a"/>
    <s v="main"/>
    <n v="0"/>
    <x v="1"/>
    <s v="sub"/>
    <s v="honorific_aux"/>
    <n v="0"/>
    <s v="none"/>
    <s v="complement"/>
    <s v="ds"/>
    <s v="ds"/>
    <s v="topic-drop"/>
    <s v="no_overt_NP"/>
    <m/>
    <m/>
    <n v="1"/>
    <m/>
    <x v="0"/>
  </r>
  <r>
    <s v="Heike 2.91"/>
    <s v="また花山院前太政大臣忠雅公未だ十歳と申しし時 (mata Kazanin no saki no Daijōdaijin Tadamasa kō imada jissai to mōshi shi toki)"/>
    <s v="Also, when Prince Tadamasa of the Kazan-in, the former Prime Minister, was only ten years old,"/>
    <s v="申しし"/>
    <s v="indicative"/>
    <x v="2"/>
    <x v="1"/>
    <s v="intransitive"/>
    <s v="active"/>
    <s v="positive"/>
    <n v="1"/>
    <n v="1"/>
    <s v="SUB"/>
    <n v="1"/>
    <s v="overt"/>
    <n v="3"/>
    <s v="n/a"/>
    <s v="n/a"/>
    <n v="0"/>
    <n v="0"/>
    <s v="n/a"/>
    <s v="subordinate"/>
    <n v="1"/>
    <x v="0"/>
    <s v="sub"/>
    <s v="lexical_humble_verb"/>
    <n v="0"/>
    <s v="temporal"/>
    <s v="main"/>
    <s v="ds"/>
    <s v="ss"/>
    <s v="topic-introduced"/>
    <s v="contains_new"/>
    <m/>
    <m/>
    <n v="1"/>
    <m/>
    <x v="0"/>
  </r>
  <r>
    <s v="Heike 2.92"/>
    <s v="父中納言忠宗卿に後れ給ひて (chichi Chūnagon Tadamune kyō ni okure tamai te)"/>
    <s v="having lost his father, Chunagon Tadamune,"/>
    <s v="後れ給ひて"/>
    <s v="indicative"/>
    <x v="2"/>
    <x v="1"/>
    <s v="intransitive"/>
    <s v="active"/>
    <s v="positive"/>
    <n v="1"/>
    <n v="1"/>
    <s v="IO"/>
    <n v="0"/>
    <s v="zero_exalt"/>
    <n v="3"/>
    <s v="n/a"/>
    <s v="overt"/>
    <n v="0"/>
    <n v="0"/>
    <s v="n/a"/>
    <s v="te"/>
    <n v="0"/>
    <x v="1"/>
    <s v="sub"/>
    <s v="lexical_honorific_verb"/>
    <n v="0"/>
    <s v="sequential"/>
    <s v="subordinate"/>
    <s v="ss"/>
    <s v="ss"/>
    <s v="topic-introduced"/>
    <s v="contains_new"/>
    <m/>
    <m/>
    <n v="1"/>
    <m/>
    <x v="0"/>
  </r>
  <r>
    <s v="Heike 2.93"/>
    <s v="孤子にておはせしを (koji nite ohaseshi o)"/>
    <s v="and being left an orphan,"/>
    <s v="おはせし"/>
    <s v="indicative"/>
    <x v="2"/>
    <x v="7"/>
    <s v="intransitive"/>
    <s v="active"/>
    <s v="positive"/>
    <n v="1"/>
    <n v="0"/>
    <s v="n/a"/>
    <n v="0"/>
    <s v="zero_exalt"/>
    <n v="3"/>
    <s v="n/a"/>
    <s v="n/a"/>
    <n v="0"/>
    <n v="0"/>
    <s v="REL"/>
    <s v="subordinate"/>
    <n v="0"/>
    <x v="1"/>
    <s v="sub"/>
    <s v="lexical_honorific_verb"/>
    <n v="0"/>
    <s v="concessive"/>
    <s v="te"/>
    <s v="ss"/>
    <s v="ds"/>
    <s v="topic-drop"/>
    <s v="contains_new"/>
    <m/>
    <m/>
    <n v="0"/>
    <m/>
    <x v="0"/>
  </r>
  <r>
    <s v="Heike 2.94"/>
    <s v="故中御門藤中納言家成卿未だ播磨守にておはしけるが ko-Nakamikado Fuji Chūnagon Ienari kyō imada Harima no kami nite ohasikeru ga"/>
    <s v=" by Fuji Chūnagon Ienari, then Harima no Kami,"/>
    <s v="おはしける"/>
    <s v="indicative"/>
    <x v="0"/>
    <x v="0"/>
    <s v="intransitive"/>
    <s v="active"/>
    <s v="positive"/>
    <n v="1"/>
    <n v="1"/>
    <s v="SUB"/>
    <n v="1"/>
    <s v="overt"/>
    <n v="3"/>
    <s v="n/a"/>
    <s v="n/a"/>
    <n v="0"/>
    <n v="0"/>
    <s v="REL"/>
    <s v="subordinate"/>
    <n v="1"/>
    <x v="0"/>
    <s v="sub"/>
    <s v="lexical_honorific_verb"/>
    <n v="0"/>
    <s v="concessive"/>
    <s v="subordinate"/>
    <s v="ds"/>
    <s v="ss"/>
    <s v="topic-introduced"/>
    <s v="contains_new"/>
    <m/>
    <m/>
    <n v="1"/>
    <m/>
    <x v="0"/>
  </r>
  <r>
    <s v="Heike 2.95"/>
    <s v="聟に取りて muko ni torite "/>
    <s v="he was taken as son-in-law"/>
    <s v="取りて"/>
    <s v="indicative"/>
    <x v="2"/>
    <x v="1"/>
    <s v="transitive"/>
    <s v="active"/>
    <s v="positive"/>
    <n v="1"/>
    <n v="1"/>
    <s v="IO"/>
    <n v="0"/>
    <s v="zero_recoverable"/>
    <n v="3"/>
    <s v="zero_recoverable"/>
    <s v="overt"/>
    <n v="0"/>
    <n v="0"/>
    <s v="n/a"/>
    <s v="te"/>
    <n v="0"/>
    <x v="0"/>
    <s v="n/a"/>
    <s v="n/a"/>
    <n v="0"/>
    <s v="none"/>
    <s v="subordinate"/>
    <s v="ss"/>
    <s v="ss"/>
    <s v="topic-drop"/>
    <s v="contains_new"/>
    <m/>
    <m/>
    <n v="1"/>
    <m/>
    <x v="0"/>
  </r>
  <r>
    <s v="Heike 2.96"/>
    <s v="華やかにもてなされければ  hanayaka ni motenasarekereba"/>
    <s v="and splendidly welcomed,"/>
    <s v="もてなされければ"/>
    <s v="indicative"/>
    <x v="2"/>
    <x v="1"/>
    <s v="intransitive"/>
    <s v="passive"/>
    <s v="positive"/>
    <n v="1"/>
    <n v="0"/>
    <s v="n/a"/>
    <n v="0"/>
    <s v="zero_recoverable"/>
    <n v="3"/>
    <s v="n/a"/>
    <s v="zero_recoverable"/>
    <n v="0"/>
    <n v="0"/>
    <s v="n/a"/>
    <s v="subordinate"/>
    <n v="0"/>
    <x v="0"/>
    <s v="n/a"/>
    <s v="n/a"/>
    <n v="0"/>
    <s v="causal"/>
    <s v="te"/>
    <s v="ss"/>
    <s v="ds"/>
    <s v="topic-drop"/>
    <s v="contains_new"/>
    <s v="verbal sequence"/>
    <m/>
    <n v="0"/>
    <m/>
    <x v="0"/>
  </r>
  <r>
    <s v="Heike 2.97"/>
    <s v="これも五節には播磨の米は木賊か椋の葉か人の綺羅を磨くはとぞ (kore mo gosechi ni wa Harima no kome wa tokusa ka mukuno ha ka hito no kira o migaku wa to zo)"/>
    <s v="at that Go-sechie with the refrain ‘The rice of Harima...’"/>
    <s v="磨く"/>
    <s v="indicative"/>
    <x v="2"/>
    <x v="1"/>
    <s v="transitive"/>
    <s v="active"/>
    <s v="positive"/>
    <n v="1"/>
    <n v="2"/>
    <s v="S+O"/>
    <n v="1"/>
    <s v="overt"/>
    <n v="3"/>
    <s v="overt"/>
    <s v="n/a"/>
    <n v="0"/>
    <n v="0"/>
    <s v="REL"/>
    <s v="complement"/>
    <n v="0"/>
    <x v="0"/>
    <s v="n/a"/>
    <s v="honorific_aux"/>
    <n v="0"/>
    <s v="none"/>
    <s v="subordinate"/>
    <s v="ds"/>
    <s v="ds"/>
    <s v="topic-drop"/>
    <s v="contains_new"/>
    <m/>
    <m/>
    <n v="2"/>
    <m/>
    <x v="0"/>
  </r>
  <r>
    <s v="Heike 2.98"/>
    <s v="囃されける hayasarekeru"/>
    <s v=" they also japed at him"/>
    <s v="囃されける"/>
    <s v="indicative"/>
    <x v="2"/>
    <x v="1"/>
    <s v="intransitive"/>
    <s v="passive"/>
    <s v="positive"/>
    <n v="1"/>
    <n v="0"/>
    <s v="n/a"/>
    <n v="1"/>
    <s v="zero_recoverable"/>
    <n v="3"/>
    <s v="n/a"/>
    <s v="n/a"/>
    <n v="0"/>
    <n v="0"/>
    <s v="kakari-musubi"/>
    <s v="main"/>
    <n v="0"/>
    <x v="0"/>
    <s v="n/a"/>
    <s v="n/a"/>
    <n v="0"/>
    <s v="quotative"/>
    <s v="complement"/>
    <s v="ds"/>
    <s v="ds"/>
    <s v="topic-drop"/>
    <s v="no_overt_NP"/>
    <m/>
    <m/>
    <n v="0"/>
    <m/>
    <x v="0"/>
  </r>
  <r>
    <s v="Heike 2.99"/>
    <s v="上古にはかやうにありしかども (jōko ni wa kayō ni arishikadomo )"/>
    <s v="Long ago such things had happened, "/>
    <s v="ありし / 出で来ず"/>
    <s v="indicative"/>
    <x v="2"/>
    <x v="7"/>
    <s v="intransitive"/>
    <s v="active"/>
    <s v="positive"/>
    <n v="1"/>
    <n v="0"/>
    <s v="n/a"/>
    <n v="2"/>
    <s v="zero_uncertain"/>
    <n v="0"/>
    <s v="n/a"/>
    <s v="n/a"/>
    <n v="0"/>
    <n v="0"/>
    <s v="n/a"/>
    <s v="subordinate"/>
    <n v="0"/>
    <x v="0"/>
    <s v="n/a"/>
    <s v="n/a"/>
    <n v="0"/>
    <s v="concessive"/>
    <s v="main"/>
    <s v="ds"/>
    <s v="ds"/>
    <s v="topic-shift"/>
    <s v="contains_new"/>
    <m/>
    <m/>
    <n v="0"/>
    <m/>
    <x v="0"/>
  </r>
  <r>
    <s v="Heike 2.100"/>
    <s v="事出で来ず koto idekozu"/>
    <s v="but nothing had come of them,"/>
    <s v="出で来ず"/>
    <s v="indicative"/>
    <x v="0"/>
    <x v="11"/>
    <s v="intransitive"/>
    <s v="active"/>
    <s v="negative"/>
    <n v="1"/>
    <n v="1"/>
    <s v="SUB"/>
    <n v="0"/>
    <s v="overt"/>
    <n v="3"/>
    <s v="n/a"/>
    <s v="n/a"/>
    <n v="0"/>
    <n v="0"/>
    <s v="n/a"/>
    <s v="subordinate"/>
    <n v="0"/>
    <x v="0"/>
    <s v="n/a"/>
    <s v="n/a"/>
    <n v="0"/>
    <s v="none"/>
    <s v="subordinate"/>
    <s v="ds"/>
    <n v="0"/>
    <s v="topic-drop"/>
    <s v="contains_new"/>
    <m/>
    <m/>
    <n v="1"/>
    <m/>
    <x v="0"/>
  </r>
  <r>
    <s v="Heike 2.101"/>
    <s v="末代いかがあらんずらん (matsudai ikaga aranzuran obotsukanashi)"/>
    <s v="and people said that what was to be done"/>
    <s v="あらんずらん"/>
    <s v="epistemic"/>
    <x v="0"/>
    <x v="11"/>
    <m/>
    <m/>
    <m/>
    <m/>
    <m/>
    <m/>
    <m/>
    <m/>
    <m/>
    <m/>
    <m/>
    <m/>
    <m/>
    <m/>
    <m/>
    <m/>
    <x v="2"/>
    <s v="n/a"/>
    <s v="n/a"/>
    <m/>
    <m/>
    <s v="subordinate"/>
    <m/>
    <s v="ds"/>
    <m/>
    <m/>
    <m/>
    <m/>
    <m/>
    <m/>
    <x v="0"/>
  </r>
  <r>
    <s v="Heike 2.102"/>
    <s v="覚束なし"/>
    <s v="was doubtful"/>
    <s v="覚束なし"/>
    <s v="indicative"/>
    <x v="4"/>
    <x v="5"/>
    <s v="intransitive"/>
    <s v="active"/>
    <s v="negative"/>
    <n v="1"/>
    <n v="0"/>
    <s v="n/a"/>
    <n v="0"/>
    <s v="zero_uncertain"/>
    <n v="0"/>
    <s v="n/a"/>
    <s v="n/a"/>
    <n v="0"/>
    <n v="0"/>
    <s v="n/a"/>
    <s v="main"/>
    <n v="0"/>
    <x v="0"/>
    <s v="n/a"/>
    <s v="n/a"/>
    <n v="0"/>
    <s v="none"/>
    <n v="0"/>
    <s v="ds"/>
    <s v="ds"/>
    <s v="topic-drop"/>
    <s v="no_overt_NP"/>
    <m/>
    <m/>
    <n v="0"/>
    <m/>
    <x v="0"/>
  </r>
  <r>
    <s v="Heike 2.103"/>
    <s v="案の如く五節果てにしかば (an no gotoku gosechi hate ni shikaba)"/>
    <s v="As he had expected, after the conclusion of the festival,"/>
    <s v="果てにしかば"/>
    <s v="indicative"/>
    <x v="1"/>
    <x v="1"/>
    <s v="intransitive"/>
    <s v="active"/>
    <s v="positive"/>
    <n v="1"/>
    <n v="1"/>
    <s v="SUB"/>
    <n v="1"/>
    <s v="overt"/>
    <n v="3"/>
    <s v="n/a"/>
    <s v="n/a"/>
    <n v="0"/>
    <n v="0"/>
    <s v="n/a"/>
    <s v="subordinate"/>
    <n v="0"/>
    <x v="0"/>
    <s v="n/a"/>
    <s v="n/a"/>
    <n v="0"/>
    <s v="temporal"/>
    <s v="main"/>
    <s v="ds"/>
    <s v="ds"/>
    <s v="topic-shift"/>
    <s v="contains_new"/>
    <m/>
    <m/>
    <n v="1"/>
    <m/>
    <x v="0"/>
  </r>
  <r>
    <s v="Heike 2.104"/>
    <s v="殿上人一同に訴へ申されけるは (tenjōbito ichidō ni uttaemōsarekeru wa)"/>
    <s v="all the courtiers and officials together appealed,"/>
    <s v="訴へ申されける"/>
    <s v="indicative"/>
    <x v="1"/>
    <x v="1"/>
    <s v="transitive"/>
    <s v="active"/>
    <s v="positive"/>
    <n v="1"/>
    <n v="1"/>
    <s v="SUB"/>
    <n v="1"/>
    <s v="overt"/>
    <n v="3"/>
    <s v="zero_other"/>
    <s v="n/a"/>
    <n v="0"/>
    <n v="0"/>
    <s v="SUB"/>
    <s v="subordinate"/>
    <n v="1"/>
    <x v="0"/>
    <s v="sub"/>
    <s v="honorific_aux+lexical_humble_verb"/>
    <n v="0"/>
    <s v="none"/>
    <s v="subordinate"/>
    <s v="ds"/>
    <s v="ds"/>
    <s v="topic-drop"/>
    <s v="contains_new"/>
    <s v="nominalisation"/>
    <m/>
    <n v="1"/>
    <m/>
    <x v="0"/>
  </r>
  <r>
    <s v="Heike 2.105"/>
    <s v="それ雄剣を帯して (sore yūken o tai shitei)"/>
    <s v="that wearing a sword"/>
    <s v="帯して "/>
    <s v="indicative"/>
    <x v="2"/>
    <x v="3"/>
    <s v="transitive"/>
    <s v="active"/>
    <s v="positive"/>
    <n v="1"/>
    <n v="1"/>
    <s v="OBJ"/>
    <n v="0"/>
    <s v="zero_recoverable"/>
    <n v="3"/>
    <s v="overt"/>
    <s v="n/a"/>
    <n v="0"/>
    <n v="0"/>
    <s v="n/a"/>
    <s v="te"/>
    <n v="0"/>
    <x v="0"/>
    <s v="n/a"/>
    <s v="n/a"/>
    <n v="0"/>
    <s v="none"/>
    <s v="subordinate"/>
    <s v="ds"/>
    <s v="ss"/>
    <s v="topic-drop"/>
    <s v="contains_new"/>
    <m/>
    <m/>
    <n v="1"/>
    <m/>
    <x v="0"/>
  </r>
  <r>
    <s v="Heike 2.106"/>
    <s v="公宴に列し  kōen ni res shi"/>
    <s v=" coming to a Court entertainment "/>
    <s v="列し"/>
    <s v="indicative"/>
    <x v="3"/>
    <x v="3"/>
    <s v="intransitive"/>
    <s v="active"/>
    <s v="positive"/>
    <n v="1"/>
    <n v="1"/>
    <s v="IO"/>
    <n v="0"/>
    <s v="zero_recoverable"/>
    <n v="3"/>
    <s v="none"/>
    <s v="overt"/>
    <n v="0"/>
    <n v="0"/>
    <s v="n/a"/>
    <s v="te"/>
    <n v="0"/>
    <x v="0"/>
    <s v="n/a"/>
    <s v="n/a"/>
    <n v="0"/>
    <s v="none"/>
    <s v="te"/>
    <s v="ss"/>
    <s v="ss"/>
    <s v="topic-drop"/>
    <s v="contains_new"/>
    <m/>
    <m/>
    <n v="1"/>
    <m/>
    <x v="0"/>
  </r>
  <r>
    <s v="Heike 2.107"/>
    <s v="兵仗を賜はりて  hyōjō o tamawari te "/>
    <s v="and bearing arms "/>
    <s v="賜はりて"/>
    <s v="indicative"/>
    <x v="2"/>
    <x v="1"/>
    <s v="transitive"/>
    <s v="active"/>
    <s v="positive"/>
    <n v="1"/>
    <n v="1"/>
    <s v="OBJ"/>
    <n v="0"/>
    <s v="zero_exalt"/>
    <n v="3"/>
    <s v="overt"/>
    <s v="n/a"/>
    <n v="0"/>
    <n v="0"/>
    <s v="n/a"/>
    <s v="te"/>
    <n v="0"/>
    <x v="1"/>
    <s v="sub"/>
    <s v="lexical_humble_verb"/>
    <n v="0"/>
    <s v="none"/>
    <s v="te"/>
    <s v="ss"/>
    <s v="ss"/>
    <s v="topic-drop"/>
    <s v="contains_new"/>
    <m/>
    <m/>
    <n v="1"/>
    <m/>
    <x v="0"/>
  </r>
  <r>
    <s v="Heike 2.108"/>
    <s v="宮中を出入りするは kyūchū o ideiri suru wa "/>
    <s v="when passing in and out of the Palace"/>
    <s v="出入りする"/>
    <s v="indicative"/>
    <x v="3"/>
    <x v="1"/>
    <s v="transitive"/>
    <s v="active"/>
    <s v="positive"/>
    <n v="1"/>
    <n v="1"/>
    <s v="OBJ"/>
    <n v="0"/>
    <s v="zero_recoverable"/>
    <n v="3"/>
    <s v="overt"/>
    <s v="n/a"/>
    <n v="0"/>
    <n v="0"/>
    <s v="SUB"/>
    <s v="subordinate"/>
    <n v="0"/>
    <x v="0"/>
    <s v="n/a"/>
    <s v="n/a"/>
    <n v="0"/>
    <s v="none"/>
    <s v="te"/>
    <s v="ss"/>
    <s v="ds"/>
    <s v="topic-drop"/>
    <s v="contains_new"/>
    <s v="nominalisation"/>
    <m/>
    <n v="1"/>
    <m/>
    <x v="0"/>
  </r>
  <r>
    <s v="Heike 2.109"/>
    <s v="皆格式の礼を守る mina kakushiki no rei o mamoru"/>
    <s v=" is according to ancient precedent,"/>
    <s v="守る"/>
    <s v="indicative"/>
    <x v="2"/>
    <x v="1"/>
    <s v="transitive"/>
    <s v="active"/>
    <s v="positive"/>
    <n v="1"/>
    <n v="2"/>
    <s v="S+O"/>
    <n v="0"/>
    <s v="overt"/>
    <n v="3"/>
    <s v="overt"/>
    <s v="n/a"/>
    <n v="0"/>
    <n v="1"/>
    <s v="REL"/>
    <s v="relative"/>
    <n v="0"/>
    <x v="0"/>
    <s v="n/a"/>
    <s v="n/a"/>
    <n v="0"/>
    <s v="none"/>
    <s v="subordinate"/>
    <s v="ds"/>
    <s v="ds"/>
    <s v="topic-drop"/>
    <s v="contains_new"/>
    <m/>
    <m/>
    <n v="2"/>
    <m/>
    <x v="0"/>
  </r>
  <r>
    <s v="Heike 2.110"/>
    <s v="綸命由ある  rinmei yoshi aru "/>
    <m/>
    <s v="ある"/>
    <s v="indicative"/>
    <x v="0"/>
    <x v="7"/>
    <s v="intransitive"/>
    <s v="active"/>
    <s v="positive"/>
    <n v="1"/>
    <n v="1"/>
    <s v="SUB"/>
    <n v="0"/>
    <s v="overt"/>
    <n v="3"/>
    <s v="n/a"/>
    <s v="n/a"/>
    <n v="0"/>
    <n v="1"/>
    <s v="REL"/>
    <s v="relative"/>
    <n v="0"/>
    <x v="0"/>
    <s v="n/a"/>
    <s v="n/a"/>
    <n v="0"/>
    <s v="none"/>
    <s v="relative"/>
    <s v="ds"/>
    <s v="n/a"/>
    <s v="topic-drop"/>
    <s v="contains_new"/>
    <m/>
    <m/>
    <n v="1"/>
    <m/>
    <x v="0"/>
  </r>
  <r>
    <s v="Heike 2.111"/>
    <s v="先規なり senki nari"/>
    <m/>
    <s v="なり"/>
    <s v="indicative"/>
    <x v="0"/>
    <x v="0"/>
    <s v="intransitive"/>
    <s v="active"/>
    <s v="positive"/>
    <n v="1"/>
    <n v="0"/>
    <s v="n/a"/>
    <n v="0"/>
    <s v="none"/>
    <n v="0"/>
    <s v="n/a"/>
    <s v="n/a"/>
    <n v="0"/>
    <n v="0"/>
    <s v="n/a"/>
    <s v="none"/>
    <n v="0"/>
    <x v="0"/>
    <s v="n/a"/>
    <s v="n/a"/>
    <n v="0"/>
    <s v="none"/>
    <s v="relative"/>
    <s v="n/a"/>
    <s v="ds"/>
    <s v="topic-drop"/>
    <s v="no_overt_NP"/>
    <m/>
    <m/>
    <n v="0"/>
    <m/>
    <x v="0"/>
  </r>
  <r>
    <s v="Heike 2.112"/>
    <s v="然るを忠盛朝臣或いは相伝の郎従と号して (shikaru o Tadamori ason arui wa sōden no rōjū to gō shite)"/>
    <s v="but Ason Tadamori, calling a certain common soldier his hereditary retainer,"/>
    <s v="号して"/>
    <s v="indicative"/>
    <x v="2"/>
    <x v="1"/>
    <s v="transitive"/>
    <s v="active"/>
    <s v="positive"/>
    <n v="1"/>
    <n v="2"/>
    <s v="S+O"/>
    <n v="1"/>
    <s v="overt"/>
    <n v="3"/>
    <s v="overt"/>
    <s v="n/a"/>
    <n v="0"/>
    <n v="0"/>
    <s v="n/a"/>
    <s v="te"/>
    <n v="0"/>
    <x v="0"/>
    <s v="n/a"/>
    <s v="n/a"/>
    <n v="0"/>
    <s v="concessive"/>
    <s v="none"/>
    <s v="ds"/>
    <s v="ss"/>
    <s v="topic-shift"/>
    <s v="contains_new"/>
    <m/>
    <m/>
    <n v="2"/>
    <m/>
    <x v="0"/>
  </r>
  <r>
    <s v="Heike 2.113"/>
    <s v="布衣の兵を殿上の小庭に召し置き (hoi no hyō o tenjō no koniwa ni meshioki)"/>
    <s v=" and placing him in the small courtyard of the Palace,"/>
    <s v="召し置き"/>
    <s v="indicative"/>
    <x v="2"/>
    <x v="1"/>
    <s v="transitive"/>
    <s v="active"/>
    <s v="positive"/>
    <n v="1"/>
    <n v="2"/>
    <s v="O+IO"/>
    <n v="0"/>
    <s v="zero_exalt"/>
    <n v="3"/>
    <s v="overt"/>
    <s v="overt"/>
    <n v="0"/>
    <n v="0"/>
    <s v="n/a"/>
    <s v="inf"/>
    <n v="0"/>
    <x v="1"/>
    <s v="sub"/>
    <s v="lexical_honorific_verb"/>
    <n v="0"/>
    <s v="none"/>
    <s v="te"/>
    <s v="ss"/>
    <s v="ss"/>
    <s v="topic-drop"/>
    <s v="contains_new"/>
    <m/>
    <m/>
    <n v="2"/>
    <m/>
    <x v="0"/>
  </r>
  <r>
    <s v="Heike 2.114"/>
    <s v="或いは腰の刀を横へ差いて (arui wa koshi no katana o yokoe saite)"/>
    <s v="wearing a sword at his side,"/>
    <s v="差いて"/>
    <s v="indicative"/>
    <x v="1"/>
    <x v="1"/>
    <s v="transitive"/>
    <s v="active"/>
    <s v="positive"/>
    <n v="1"/>
    <n v="3"/>
    <s v="S+O+IO"/>
    <n v="2"/>
    <s v="overt"/>
    <n v="3"/>
    <s v="overt"/>
    <s v="overt"/>
    <n v="0"/>
    <n v="0"/>
    <s v="n/a"/>
    <s v="te"/>
    <n v="0"/>
    <x v="0"/>
    <s v="n/a"/>
    <s v="n/a"/>
    <n v="0"/>
    <s v="none"/>
    <s v="inf"/>
    <s v="ss"/>
    <s v="ss"/>
    <s v="topic-drop"/>
    <s v="contains_new"/>
    <m/>
    <m/>
    <n v="3"/>
    <m/>
    <x v="0"/>
  </r>
  <r>
    <s v="Heike 2.115"/>
    <s v="節会の座に列なる setsue no za ni tsuranaru"/>
    <s v="and coming to the festival seat "/>
    <s v="列なる"/>
    <s v="indicative"/>
    <x v="1"/>
    <x v="1"/>
    <s v="intransitive"/>
    <s v="active"/>
    <s v="positive"/>
    <n v="1"/>
    <n v="1"/>
    <s v="IO"/>
    <n v="0"/>
    <s v="zero_recoverable"/>
    <n v="3"/>
    <s v="none"/>
    <s v="overt"/>
    <n v="0"/>
    <n v="1"/>
    <s v="REL"/>
    <s v="relative"/>
    <n v="0"/>
    <x v="0"/>
    <s v="n/a"/>
    <s v="n/a"/>
    <n v="0"/>
    <s v="none"/>
    <s v="te"/>
    <s v="ss"/>
    <s v="n/a"/>
    <s v="topic-drop"/>
    <s v="contains_new"/>
    <m/>
    <m/>
    <n v="1"/>
    <m/>
    <x v="0"/>
  </r>
  <r>
    <s v="Heike 2.116"/>
    <s v="[両条稀代]未だ聞かざる (ryōjō kidai imada kikazaru)"/>
    <s v="both acts are unheard-of,"/>
    <s v="聞かざる"/>
    <s v="indicative"/>
    <x v="2"/>
    <x v="1"/>
    <s v="transitive"/>
    <s v="active"/>
    <s v="negative"/>
    <n v="1"/>
    <n v="0"/>
    <s v="n/a"/>
    <n v="1"/>
    <s v="zero_other"/>
    <n v="3"/>
    <s v="n/a"/>
    <s v="n/a"/>
    <n v="1"/>
    <n v="0"/>
    <s v="REL"/>
    <s v="relative"/>
    <n v="0"/>
    <x v="0"/>
    <s v="n/a"/>
    <s v="n/a"/>
    <n v="0"/>
    <s v="none"/>
    <s v="relative"/>
    <s v="n/a"/>
    <s v="ds"/>
    <s v="topic-drop"/>
    <s v="contains_new"/>
    <m/>
    <m/>
    <n v="0"/>
    <m/>
    <x v="0"/>
  </r>
  <r>
    <s v="Heike 2.117"/>
    <s v="狼藉なり rōzaku nari"/>
    <s v="disorderliness"/>
    <s v="狼藉なり"/>
    <s v="indicative"/>
    <x v="0"/>
    <x v="0"/>
    <s v="intransitive"/>
    <s v="active"/>
    <s v="positive"/>
    <n v="1"/>
    <n v="1"/>
    <s v="SUB"/>
    <n v="0"/>
    <s v="overt"/>
    <n v="3"/>
    <s v="n/a"/>
    <s v="n/a"/>
    <n v="0"/>
    <n v="0"/>
    <s v="n/a"/>
    <s v="main"/>
    <n v="0"/>
    <x v="0"/>
    <s v="n/a"/>
    <s v="n/a"/>
    <n v="0"/>
    <s v="none"/>
    <s v="relative"/>
    <s v="ds"/>
    <s v="ds"/>
    <s v="topic-drop"/>
    <s v="contains_new"/>
    <m/>
    <m/>
    <n v="1"/>
    <m/>
    <x v="0"/>
  </r>
  <r>
    <s v="Heike 2.118"/>
    <s v="事既に重畳せり (koto sudeni chōjō seri)"/>
    <s v="indeed, one crime piled on another,"/>
    <s v="重畳せり"/>
    <s v="indicative"/>
    <x v="1"/>
    <x v="3"/>
    <s v="intransitive"/>
    <s v="active"/>
    <s v="positive"/>
    <n v="1"/>
    <n v="1"/>
    <s v="SUB"/>
    <n v="1"/>
    <s v="overt"/>
    <n v="3"/>
    <s v="n/a"/>
    <s v="n/a"/>
    <n v="0"/>
    <n v="0"/>
    <s v="n/a"/>
    <s v="inf"/>
    <n v="0"/>
    <x v="0"/>
    <s v="n/a"/>
    <s v="n/a"/>
    <n v="0"/>
    <s v="none"/>
    <s v="main"/>
    <s v="ds"/>
    <s v="ss"/>
    <s v="topic-drop"/>
    <s v="all given"/>
    <m/>
    <m/>
    <n v="1"/>
    <m/>
    <x v="0"/>
  </r>
  <r>
    <s v="Heike 2.119"/>
    <s v="罪科尤も遁れ難し (tsumitoga mottomo nogaregatashi)"/>
    <s v="a charge he would find difficult to escape."/>
    <s v="遁れ難し"/>
    <s v="dynamic"/>
    <x v="0"/>
    <x v="1"/>
    <s v="transitive"/>
    <s v="active"/>
    <s v="positive"/>
    <n v="1"/>
    <n v="1"/>
    <s v="SUB"/>
    <n v="0"/>
    <s v="overt"/>
    <n v="3"/>
    <s v="overt"/>
    <s v="n/a"/>
    <n v="0"/>
    <n v="0"/>
    <s v="n/a"/>
    <s v="main"/>
    <n v="0"/>
    <x v="0"/>
    <s v="n/a"/>
    <s v="n/a"/>
    <n v="0"/>
    <s v="none"/>
    <s v="inf"/>
    <s v="ss"/>
    <s v="ds"/>
    <s v="topic-drop"/>
    <s v="contains_new"/>
    <m/>
    <m/>
    <n v="1"/>
    <m/>
    <x v="0"/>
  </r>
  <r>
    <s v="Heike 2.120"/>
    <s v="早く殿上の御札を削りて (hayaku tenjō no mifuda o kezurite)"/>
    <s v="they petitioned that his name be erased from the list of Courtiers"/>
    <s v="削りて "/>
    <s v="indicative"/>
    <x v="2"/>
    <x v="1"/>
    <s v="transitive"/>
    <s v="active"/>
    <s v="positive"/>
    <n v="1"/>
    <n v="1"/>
    <s v="OBJ"/>
    <n v="0"/>
    <s v="zero_other"/>
    <n v="3"/>
    <s v="overt"/>
    <s v="n/a"/>
    <n v="0"/>
    <n v="0"/>
    <s v="n/a"/>
    <s v="te"/>
    <n v="0"/>
    <x v="0"/>
    <s v="n/a"/>
    <s v="n/a"/>
    <n v="0"/>
    <s v="none"/>
    <s v="main"/>
    <s v="ds"/>
    <s v="ss"/>
    <s v="topic-drop"/>
    <s v="contains_new"/>
    <m/>
    <m/>
    <n v="1"/>
    <m/>
    <x v="0"/>
  </r>
  <r>
    <s v="Heike 2.121"/>
    <s v="欠官停任せらるべき (kekkan teinin seraru beki yoshi)"/>
    <s v=" and he be deprived of rank and office,"/>
    <s v="停任せらるべき"/>
    <s v="deontic"/>
    <x v="2"/>
    <x v="3"/>
    <s v="intransitive"/>
    <s v="passive"/>
    <s v="positive"/>
    <n v="1"/>
    <n v="0"/>
    <s v="n/a"/>
    <n v="0"/>
    <s v="zero_recoverable"/>
    <n v="3"/>
    <s v="n/a"/>
    <s v="n/a"/>
    <n v="0"/>
    <n v="1"/>
    <s v="REL"/>
    <s v="relative"/>
    <n v="0"/>
    <x v="0"/>
    <s v="n/a"/>
    <s v="n/a"/>
    <n v="0"/>
    <s v="none"/>
    <s v="te"/>
    <s v="ss"/>
    <s v="ds"/>
    <s v="topic-drop"/>
    <s v="no_overt_NP"/>
    <m/>
    <m/>
    <n v="0"/>
    <m/>
    <x v="0"/>
  </r>
  <r>
    <s v="Heike 2.122"/>
    <s v="由諸卿一同に訴へ申されければ (yoshi shokyō ichidō ni uttaemōsarekereba)"/>
    <s v="and all the Court Nobles together petitioned,"/>
    <s v="訴へ申されければ"/>
    <s v="indicative"/>
    <x v="2"/>
    <x v="1"/>
    <s v="transitive"/>
    <s v="active"/>
    <s v="positive"/>
    <n v="1"/>
    <n v="2"/>
    <s v="S+O"/>
    <n v="1"/>
    <s v="overt"/>
    <n v="3"/>
    <s v="overt"/>
    <s v="n/a"/>
    <n v="0"/>
    <n v="0"/>
    <s v="n/a"/>
    <s v="subordinate"/>
    <n v="1"/>
    <x v="0"/>
    <s v="sub"/>
    <s v="honorific_aux+lexical_honorific_verb"/>
    <n v="0"/>
    <s v="temporal"/>
    <s v="relative"/>
    <s v="ds"/>
    <s v="ds"/>
    <s v="topic-drop"/>
    <s v="contains_new"/>
    <m/>
    <m/>
    <n v="2"/>
    <m/>
    <x v="0"/>
  </r>
  <r>
    <s v="Heike 2.123"/>
    <s v="上皇大きに驚かせ給ひて (Jōkō ōki ni odorokase tamai te)"/>
    <s v="His Majesty the Mikado, greatly surprised,"/>
    <s v="驚かせ給ひて"/>
    <s v="indicative"/>
    <x v="2"/>
    <x v="1"/>
    <s v="intransitive"/>
    <s v="active"/>
    <s v="positive"/>
    <n v="1"/>
    <n v="1"/>
    <s v="SUB"/>
    <n v="0"/>
    <s v="overt"/>
    <n v="3"/>
    <s v="n/a"/>
    <s v="n/a"/>
    <n v="0"/>
    <n v="0"/>
    <s v="n/a"/>
    <s v="te"/>
    <n v="1"/>
    <x v="0"/>
    <s v="sub"/>
    <s v="honorific_aux+lexical_honorific_verb"/>
    <n v="0"/>
    <s v="none"/>
    <s v="subordinate"/>
    <s v="ds"/>
    <s v="ss"/>
    <s v="topic-drop"/>
    <s v="contains_new"/>
    <m/>
    <m/>
    <n v="1"/>
    <m/>
    <x v="0"/>
  </r>
  <r>
    <s v="Heike 2.124"/>
    <s v="忠盛を召して (Tadamori o meshite)"/>
    <s v="ordered Tadamori into his Presence,"/>
    <s v="召して"/>
    <s v="indicative"/>
    <x v="2"/>
    <x v="1"/>
    <s v="intransitive"/>
    <s v="active"/>
    <s v="positive"/>
    <n v="1"/>
    <n v="1"/>
    <s v="OBJ"/>
    <n v="0"/>
    <s v="zero_exalt"/>
    <n v="3"/>
    <s v="overt"/>
    <s v="n/a"/>
    <n v="0"/>
    <n v="0"/>
    <s v="n/a"/>
    <s v="te"/>
    <n v="0"/>
    <x v="1"/>
    <s v="sub"/>
    <s v="lexical_honorific_verb"/>
    <n v="0"/>
    <s v="none"/>
    <s v="te"/>
    <s v="ss"/>
    <s v="ds"/>
    <s v="topic-drop"/>
    <s v="contains_new"/>
    <m/>
    <m/>
    <n v="1"/>
    <m/>
    <x v="0"/>
  </r>
  <r>
    <s v="Heike 2.125"/>
    <s v="御尋ねあり o-tazune ari"/>
    <s v=" to make examination into the affair"/>
    <s v="御尋ねあり"/>
    <s v="indicative"/>
    <x v="2"/>
    <x v="1"/>
    <s v="intransitive"/>
    <s v="active"/>
    <s v="positive"/>
    <n v="1"/>
    <n v="1"/>
    <s v="SUB"/>
    <n v="0"/>
    <s v="overt"/>
    <n v="3"/>
    <s v="n/a"/>
    <s v="n/a"/>
    <n v="0"/>
    <n v="0"/>
    <s v="n/a"/>
    <s v="main"/>
    <n v="1"/>
    <x v="0"/>
    <s v="sub"/>
    <s v="honorific prefix"/>
    <n v="1"/>
    <s v="none"/>
    <s v="te"/>
    <s v="ds"/>
    <s v="ds"/>
    <s v="topic-drop"/>
    <s v="contains_new"/>
    <m/>
    <m/>
    <n v="1"/>
    <m/>
    <x v="0"/>
  </r>
  <r>
    <s v="Heike 2.126"/>
    <s v="陳じ申されけるは (chinji mōsarekeru wa)"/>
    <s v="in his reply he stated that,"/>
    <s v="申されける"/>
    <s v="indicative"/>
    <x v="2"/>
    <x v="1"/>
    <s v="transitive"/>
    <s v="active"/>
    <s v="positive"/>
    <n v="1"/>
    <n v="0"/>
    <s v="n/a"/>
    <n v="0"/>
    <s v="zero_exalt"/>
    <n v="3"/>
    <s v="zero_other"/>
    <s v="n/a"/>
    <n v="0"/>
    <n v="0"/>
    <s v="SUB"/>
    <s v="subordinate"/>
    <n v="0"/>
    <x v="1"/>
    <s v="sub"/>
    <s v="honorific_aux+lexical_humble_verb"/>
    <n v="0"/>
    <s v="none"/>
    <s v="main"/>
    <s v="ds"/>
    <s v="ss"/>
    <s v="topic-drop"/>
    <s v="no_overt_NP"/>
    <s v="nominalisation"/>
    <m/>
    <n v="0"/>
    <m/>
    <x v="0"/>
  </r>
  <r>
    <s v="Heike 2.127"/>
    <s v="まづ郎従小庭に伺候の由全く覚悟仕らず (mazu rōjū koniwa ni shikō no yoshi mattaku kakugo tsukamatsurazu)"/>
    <s v="as to the presence of his retainer in the Palace, he certainly knew nothing about it,"/>
    <s v="覚悟仕らず"/>
    <s v="indicative"/>
    <x v="2"/>
    <x v="3"/>
    <s v="transitive"/>
    <s v="active"/>
    <s v="negative"/>
    <n v="1"/>
    <n v="1"/>
    <s v="OBJ"/>
    <n v="2"/>
    <s v="zero_exalt"/>
    <n v="3"/>
    <s v="overt"/>
    <s v="n/a"/>
    <n v="0"/>
    <n v="0"/>
    <s v="n/a"/>
    <s v="subordinate"/>
    <n v="0"/>
    <x v="1"/>
    <s v="sub"/>
    <s v="lexical_humble_verb"/>
    <n v="0"/>
    <s v="none"/>
    <s v="subordinate"/>
    <s v="ss"/>
    <s v="ds"/>
    <s v="topic-drop"/>
    <s v="contains_new"/>
    <m/>
    <m/>
    <n v="1"/>
    <m/>
    <x v="0"/>
  </r>
  <r>
    <s v="Heike 2.128"/>
    <s v="但し近日人々相巧まるる (tadashi kinjitsu hitobito ai-takuramaruru)"/>
    <s v=" [...]  the designs that people were plotting,"/>
    <s v="巧まるる"/>
    <s v="indicative"/>
    <x v="2"/>
    <x v="1"/>
    <s v="transitive"/>
    <s v="active"/>
    <s v="positive"/>
    <n v="1"/>
    <n v="1"/>
    <s v="SUB"/>
    <n v="1"/>
    <s v="overt"/>
    <n v="3"/>
    <s v="zero_other"/>
    <s v="n/a"/>
    <n v="0"/>
    <n v="0"/>
    <s v="REL"/>
    <s v="relative"/>
    <n v="1"/>
    <x v="0"/>
    <s v="sub"/>
    <s v="honorific_aux"/>
    <n v="0"/>
    <s v="none"/>
    <s v="subordinate"/>
    <s v="ds"/>
    <s v="ds"/>
    <s v="topic-drop"/>
    <s v="contains_new"/>
    <m/>
    <m/>
    <n v="1"/>
    <m/>
    <x v="0"/>
  </r>
  <r>
    <s v="Heike 2.129"/>
    <s v="旨子細あるかの間 mune shisai aru ka no aida "/>
    <s v="[…] had lately heard of"/>
    <s v="ある"/>
    <s v="indicative"/>
    <x v="0"/>
    <x v="7"/>
    <s v="intransitive"/>
    <s v="active"/>
    <s v="positive"/>
    <n v="1"/>
    <n v="1"/>
    <s v="SUB"/>
    <n v="1"/>
    <s v="overt"/>
    <n v="3"/>
    <s v="n/a"/>
    <s v="n/a"/>
    <n v="0"/>
    <n v="0"/>
    <s v="n/a"/>
    <s v="subordinate"/>
    <n v="0"/>
    <x v="0"/>
    <s v="n/a"/>
    <s v="n/a"/>
    <n v="0"/>
    <s v="temporal"/>
    <s v="relative"/>
    <s v="ds"/>
    <s v="ss"/>
    <s v="topic-drop"/>
    <s v="contains_new"/>
    <m/>
    <m/>
    <n v="1"/>
    <m/>
    <x v="0"/>
  </r>
  <r>
    <s v="Heike 2.130"/>
    <s v="年来の家人事を伝へ聞くかによつて (nenrai no kenin goto o tsutae kiku ka ni yotte)"/>
    <s v=" if his retainers"/>
    <s v="伝へ聞く"/>
    <s v="indicative"/>
    <x v="6"/>
    <x v="12"/>
    <s v="transitive"/>
    <s v="active"/>
    <s v="positive"/>
    <n v="1"/>
    <n v="2"/>
    <s v="S+O"/>
    <n v="1"/>
    <s v="overt"/>
    <n v="3"/>
    <s v="overt"/>
    <s v="n/a"/>
    <n v="0"/>
    <n v="0"/>
    <s v="n/a"/>
    <s v="subordinate"/>
    <n v="0"/>
    <x v="0"/>
    <s v="n/a"/>
    <s v="n/a"/>
    <n v="0"/>
    <s v="sequential"/>
    <s v="subordinate"/>
    <s v="ss"/>
    <s v="ss"/>
    <s v="topic-drop"/>
    <s v="contains_new"/>
    <m/>
    <m/>
    <n v="2"/>
    <m/>
    <x v="0"/>
  </r>
  <r>
    <s v="Heike 2.131"/>
    <s v="その恥を助けんが為に (sono haji o tasuken ga tame ni)"/>
    <s v="and in order to help him against such dishonour,  intending to prevent dishonour,"/>
    <s v="助けん"/>
    <s v="dynamic"/>
    <x v="1"/>
    <x v="1"/>
    <s v="transitive"/>
    <s v="active"/>
    <s v="positive"/>
    <n v="1"/>
    <n v="1"/>
    <s v="OBJ"/>
    <n v="0"/>
    <s v="zero_recoverable"/>
    <n v="3"/>
    <s v="overt"/>
    <s v="n/a"/>
    <n v="0"/>
    <n v="0"/>
    <s v="n/a"/>
    <s v="subordinate"/>
    <n v="0"/>
    <x v="0"/>
    <s v="n/a"/>
    <s v="n/a"/>
    <n v="0"/>
    <s v="purpose"/>
    <s v="subordinate"/>
    <s v="ss"/>
    <s v="ss"/>
    <s v="topic-drop"/>
    <s v="contains_new"/>
    <m/>
    <m/>
    <n v="1"/>
    <m/>
    <x v="0"/>
  </r>
  <r>
    <s v="Heike 2.132"/>
    <s v="忠盛には知らせずして Tadamori ni wa shirasazu shite"/>
    <s v=" without informing him,  "/>
    <s v="知らせず"/>
    <s v="indicative"/>
    <x v="1"/>
    <x v="1"/>
    <s v="ditransitive"/>
    <s v="active"/>
    <s v="negative"/>
    <n v="1"/>
    <n v="2"/>
    <s v="IO"/>
    <n v="1"/>
    <s v="zero_recoverable"/>
    <n v="3"/>
    <s v="zero_recoverable"/>
    <s v="overt"/>
    <n v="0"/>
    <n v="0"/>
    <s v="n/a"/>
    <s v="te"/>
    <n v="0"/>
    <x v="0"/>
    <s v="n/a"/>
    <s v="n/a"/>
    <n v="0"/>
    <s v="sequential"/>
    <s v="subordinate"/>
    <s v="ss"/>
    <n v="0"/>
    <s v="topic-continued"/>
    <s v="contains_new"/>
    <m/>
    <m/>
    <n v="2"/>
    <m/>
    <x v="0"/>
  </r>
  <r>
    <s v="Heike 2.133"/>
    <s v="密かに参候の条 (hisoka ni sankō no jō)"/>
    <s v="his retainers had come hither secretly"/>
    <s v="N/A (nominal clause)"/>
    <s v="indicative"/>
    <x v="1"/>
    <x v="10"/>
    <m/>
    <m/>
    <m/>
    <m/>
    <m/>
    <m/>
    <m/>
    <m/>
    <m/>
    <m/>
    <m/>
    <m/>
    <m/>
    <m/>
    <m/>
    <m/>
    <x v="2"/>
    <s v="n/a"/>
    <s v="n/a"/>
    <m/>
    <m/>
    <s v="te"/>
    <m/>
    <s v="ds"/>
    <m/>
    <m/>
    <s v="not sure if I should treat this as a nominal or verbal predicate or whether there is predication at all"/>
    <m/>
    <m/>
    <m/>
    <x v="0"/>
  </r>
  <r>
    <s v="Heike 2.134"/>
    <s v="力及ばざる chikara oyobazaru"/>
    <s v="his retainers had come hither secretly"/>
    <s v="及ばざる"/>
    <s v="indicative"/>
    <x v="1"/>
    <x v="1"/>
    <s v="intransitive"/>
    <s v="active"/>
    <s v="negative"/>
    <n v="1"/>
    <n v="1"/>
    <s v="SUB"/>
    <n v="0"/>
    <s v="overt"/>
    <n v="3"/>
    <s v="n/a"/>
    <s v="n/a"/>
    <n v="0"/>
    <n v="1"/>
    <s v="REL"/>
    <s v="relative"/>
    <n v="0"/>
    <x v="0"/>
    <s v="n/a"/>
    <s v="n/a"/>
    <n v="0"/>
    <s v="none"/>
    <n v="0"/>
    <s v="ds"/>
    <s v="ds"/>
    <s v="topic-drop"/>
    <s v="contains_new"/>
    <m/>
    <m/>
    <n v="1"/>
    <m/>
    <x v="0"/>
  </r>
  <r>
    <s v="Heike 2.135"/>
    <s v="次第なり"/>
    <s v="shidai nari"/>
    <s v="なり"/>
    <s v="indicative"/>
    <x v="0"/>
    <x v="0"/>
    <s v="intransitive"/>
    <s v="active"/>
    <s v="positive"/>
    <n v="1"/>
    <n v="0"/>
    <s v="n/a"/>
    <n v="0"/>
    <s v="zero_recoverable"/>
    <n v="3"/>
    <s v="n/a"/>
    <s v="n/a"/>
    <n v="0"/>
    <n v="0"/>
    <s v="n/a"/>
    <s v="main"/>
    <n v="0"/>
    <x v="0"/>
    <s v="n/a"/>
    <s v="n/a"/>
    <n v="0"/>
    <s v="none"/>
    <s v="relative"/>
    <s v="ds"/>
    <s v="ds"/>
    <s v="topic-drop"/>
    <s v="no_overt_NP"/>
    <m/>
    <m/>
    <n v="0"/>
    <m/>
    <x v="0"/>
  </r>
  <r>
    <s v="Heike 2.136"/>
    <s v="もしその咎あるべくば (moshi sono toga arubekuba)"/>
    <s v="&quot;if there be any blame, "/>
    <s v="ある"/>
    <s v="indicative"/>
    <x v="0"/>
    <x v="7"/>
    <s v="intransitive"/>
    <s v="active"/>
    <s v="positive"/>
    <n v="1"/>
    <n v="1"/>
    <s v="SUB"/>
    <n v="0"/>
    <s v="overt"/>
    <n v="3"/>
    <s v="n/a"/>
    <s v="n/a"/>
    <n v="0"/>
    <n v="0"/>
    <s v="n/a"/>
    <s v="subordinate"/>
    <n v="0"/>
    <x v="0"/>
    <s v="n/a"/>
    <s v="n/a"/>
    <n v="0"/>
    <s v="conditional"/>
    <s v="main"/>
    <s v="ds"/>
    <s v="ds"/>
    <s v="topic-shift"/>
    <s v="contains_new"/>
    <m/>
    <m/>
    <n v="1"/>
    <m/>
    <x v="0"/>
  </r>
  <r>
    <s v="Heike 2.137"/>
    <s v="かの身を召し進ずべきか  ka no mi o meshi shinzu beki ka"/>
    <s v="do I not yield my body herewith?&quot;"/>
    <s v="召し進ずべき"/>
    <s v="deontic"/>
    <x v="2"/>
    <x v="3"/>
    <m/>
    <s v="active"/>
    <s v="positive"/>
    <n v="1"/>
    <n v="1"/>
    <s v="OBJ"/>
    <n v="0"/>
    <s v="zero_exalt"/>
    <n v="1"/>
    <s v="overt"/>
    <s v="n/a"/>
    <n v="0"/>
    <n v="0"/>
    <s v="n/a"/>
    <s v="main"/>
    <n v="0"/>
    <x v="1"/>
    <s v="sub"/>
    <s v="lexical_honorific_verb"/>
    <n v="0"/>
    <s v="none"/>
    <s v="subordinate"/>
    <s v="ds"/>
    <s v="ss"/>
    <s v="topic-drop"/>
    <s v="contains_new"/>
    <m/>
    <m/>
    <n v="1"/>
    <m/>
    <x v="0"/>
  </r>
  <r>
    <s v="Heike 2.138"/>
    <s v="次に刀の事は主殿司に預け置き候ひ畢んぬ (tsugi ni katana no koto wa tonomotsukasa ni azukeoki soroiowannu)"/>
    <s v="as for the sword, I deposited it in the Tonomotsukasa,"/>
    <s v="預け置き / 候ひ畢んぬ"/>
    <s v="indicative"/>
    <x v="2"/>
    <x v="12"/>
    <s v="transitive"/>
    <s v="active"/>
    <s v="positive"/>
    <n v="1"/>
    <n v="2"/>
    <s v="O+IO"/>
    <n v="0"/>
    <s v="zero_recoverable"/>
    <n v="1"/>
    <s v="overt"/>
    <s v="overt"/>
    <n v="0"/>
    <n v="0"/>
    <s v="n/a"/>
    <s v="main"/>
    <n v="0"/>
    <x v="0"/>
    <s v="n/a"/>
    <s v="polite_aux"/>
    <n v="0"/>
    <s v="none"/>
    <s v="main"/>
    <s v="ss"/>
    <s v="ds"/>
    <s v="topic-shift"/>
    <s v="contains_new"/>
    <m/>
    <m/>
    <n v="2"/>
    <m/>
    <x v="0"/>
  </r>
  <r>
    <s v="Heike 2.139"/>
    <s v="召し出だされ (meshi idasare)"/>
    <s v="if it be brought out from thence,"/>
    <s v="召し出だされ "/>
    <s v="indicative"/>
    <x v="2"/>
    <x v="1"/>
    <s v="intransitive"/>
    <s v="passive"/>
    <s v="positive"/>
    <n v="1"/>
    <n v="0"/>
    <s v="n/a"/>
    <n v="0"/>
    <s v="zero_exalt"/>
    <n v="3"/>
    <s v="zero_recoverable"/>
    <s v="zero_recoverable"/>
    <n v="0"/>
    <n v="0"/>
    <s v="n/a"/>
    <s v="main"/>
    <n v="0"/>
    <x v="1"/>
    <s v="sub"/>
    <s v="lexical_honorific_verb"/>
    <n v="0"/>
    <s v="none"/>
    <s v="main"/>
    <s v="ds"/>
    <s v="ss"/>
    <s v="topic-drop"/>
    <s v="no_overt_NP"/>
    <m/>
    <m/>
    <n v="0"/>
    <m/>
    <x v="0"/>
  </r>
  <r>
    <s v="Heike 2.140"/>
    <s v="刀の実否に付きて咎の左右あるべきか  katana no jippi ni tsukite toga no sayū aru beki ka"/>
    <s v=" it may be seen if it be a real sword or not,"/>
    <s v="あるべき"/>
    <s v="deontic"/>
    <x v="0"/>
    <x v="7"/>
    <s v="intransitive"/>
    <s v="active"/>
    <s v="positive"/>
    <n v="1"/>
    <n v="1"/>
    <s v="SUB"/>
    <n v="1"/>
    <s v="overt"/>
    <n v="3"/>
    <s v="n/a"/>
    <s v="n/a"/>
    <n v="0"/>
    <n v="0"/>
    <s v="n/a"/>
    <s v="main"/>
    <n v="0"/>
    <x v="0"/>
    <s v="n/a"/>
    <s v="n/a"/>
    <n v="0"/>
    <s v="none"/>
    <s v="main"/>
    <s v="ss"/>
    <s v="ds"/>
    <s v="topic-drop"/>
    <s v="contains_new"/>
    <m/>
    <m/>
    <n v="1"/>
    <m/>
    <x v="0"/>
  </r>
  <r>
    <s v="Heike 2.141"/>
    <s v="この儀尤も然るべしとて (kono gi motto mo shikarubeshi tote)"/>
    <s v="&quot;This seems quite reasonable,&quot;"/>
    <s v="然るべし"/>
    <s v="deontic"/>
    <x v="0"/>
    <x v="5"/>
    <s v="intransitive"/>
    <s v="active"/>
    <s v="positive"/>
    <n v="1"/>
    <n v="1"/>
    <s v="SUB"/>
    <n v="0"/>
    <s v="overt"/>
    <n v="3"/>
    <s v="n/a"/>
    <s v="n/a"/>
    <n v="0"/>
    <n v="0"/>
    <s v="n/a"/>
    <s v="subordinate"/>
    <n v="0"/>
    <x v="0"/>
    <s v="n/a"/>
    <s v="n/a"/>
    <n v="0"/>
    <s v="causal"/>
    <s v="main"/>
    <s v="ds"/>
    <s v="ds"/>
    <s v="topic-drop"/>
    <s v="contains_new"/>
    <m/>
    <m/>
    <n v="1"/>
    <m/>
    <x v="0"/>
  </r>
  <r>
    <s v="Heike 2.142"/>
    <s v="かの刀を召し出でて (kano katana o meshi-idete)"/>
    <s v="and they hastened to bring forth the sword,"/>
    <s v="召し出でて"/>
    <s v="indicative"/>
    <x v="2"/>
    <x v="1"/>
    <s v="transitive"/>
    <s v="active"/>
    <s v="positive"/>
    <n v="1"/>
    <n v="1"/>
    <s v="OBJ"/>
    <n v="1"/>
    <s v="zero_exalt"/>
    <n v="3"/>
    <s v="overt"/>
    <s v="n/a"/>
    <n v="0"/>
    <n v="0"/>
    <s v="n/a"/>
    <s v="te"/>
    <n v="0"/>
    <x v="1"/>
    <s v="sub"/>
    <s v="lexical_honorific_verb"/>
    <n v="0"/>
    <s v="sequential"/>
    <s v="subordinate"/>
    <s v="ds"/>
    <s v="ss"/>
    <s v="topic-continued"/>
    <s v="all given"/>
    <m/>
    <m/>
    <n v="1"/>
    <m/>
    <x v="0"/>
  </r>
  <r>
    <s v="Heike 2.143"/>
    <s v="叡覧あるに (eiran aru ni)"/>
    <s v="and exhibit it before His Majesty,"/>
    <s v="叡覧ある"/>
    <s v="indicative"/>
    <x v="2"/>
    <x v="3"/>
    <s v="transitive"/>
    <s v="active"/>
    <s v="positive"/>
    <n v="1"/>
    <n v="0"/>
    <s v="n/a"/>
    <n v="0"/>
    <s v="zero_exalt"/>
    <n v="3"/>
    <s v="zero_recoverable"/>
    <s v="n/a"/>
    <n v="0"/>
    <n v="0"/>
    <s v="n/a"/>
    <s v="subordinate"/>
    <n v="0"/>
    <x v="1"/>
    <s v="sub"/>
    <s v="lexical_honorific_verb"/>
    <n v="0"/>
    <s v="temporal"/>
    <s v="te"/>
    <s v="ss"/>
    <s v="ds"/>
    <s v="topic-drop"/>
    <s v="no_overt_NP"/>
    <m/>
    <m/>
    <n v="0"/>
    <m/>
    <x v="0"/>
  </r>
  <r>
    <s v="Heike 2.144"/>
    <s v="上は鞘巻の黒う塗つたりけるが (ue wa sayamaki no kuro u nuttari keru ga)"/>
    <s v="its outside was that of a dirk in a black lacquer sheath,"/>
    <s v="塗つたりける"/>
    <s v="indicative"/>
    <x v="0"/>
    <x v="1"/>
    <s v="intransitive"/>
    <s v="resultative"/>
    <s v="positive"/>
    <n v="1"/>
    <n v="1"/>
    <s v="SUB"/>
    <n v="0"/>
    <s v="overt"/>
    <n v="3"/>
    <s v="n/a"/>
    <s v="n/a"/>
    <n v="0"/>
    <n v="0"/>
    <s v="n/a"/>
    <s v="subordinate"/>
    <n v="0"/>
    <x v="0"/>
    <s v="n/a"/>
    <s v="n/a"/>
    <n v="0"/>
    <s v="concessive"/>
    <s v="subordinate"/>
    <s v="ds"/>
    <s v="ds"/>
    <s v="topic-drop"/>
    <s v="contains_new"/>
    <m/>
    <m/>
    <n v="1"/>
    <m/>
    <x v="0"/>
  </r>
  <r>
    <s v="Heike 2.145"/>
    <s v="中は木刀に銀薄をぞ押したりける (naka wa bokutō ni gin-haku o zo oshitari keru)"/>
    <s v="but within was only a wooden blade covered with silver."/>
    <s v="押したりける"/>
    <s v="indicative"/>
    <x v="0"/>
    <x v="1"/>
    <s v="transitive"/>
    <s v="resultative"/>
    <s v="positive"/>
    <n v="1"/>
    <n v="3"/>
    <s v="S+O+IO"/>
    <n v="0"/>
    <s v="overt"/>
    <n v="3"/>
    <s v="overt"/>
    <s v="overt"/>
    <n v="0"/>
    <n v="0"/>
    <s v="n/a"/>
    <s v="main"/>
    <n v="0"/>
    <x v="0"/>
    <s v="n/a"/>
    <s v="n/a"/>
    <n v="0"/>
    <s v="none"/>
    <s v="subordinate"/>
    <s v="ds"/>
    <s v="ds"/>
    <s v="topic-drop"/>
    <s v="contains_new"/>
    <m/>
    <m/>
    <n v="3"/>
    <m/>
    <x v="0"/>
  </r>
  <r>
    <s v="Heike 2.146"/>
    <s v="当座の恥辱を遁れんが為に (tōza no chijoku o nogaren ga tame ni)"/>
    <s v=" to avoid dishonour at the moment,"/>
    <s v="遁れん "/>
    <s v="dynamic"/>
    <x v="1"/>
    <x v="1"/>
    <s v="transitive"/>
    <s v="active"/>
    <s v="positive"/>
    <n v="1"/>
    <n v="1"/>
    <s v="OBJ"/>
    <n v="0"/>
    <s v="zero_recoverable"/>
    <n v="3"/>
    <s v="overt"/>
    <s v="n/a"/>
    <n v="0"/>
    <n v="0"/>
    <s v="n/a"/>
    <s v="subordinate"/>
    <n v="0"/>
    <x v="0"/>
    <s v="n/a"/>
    <s v="n/a"/>
    <n v="0"/>
    <s v="purpose"/>
    <s v="main"/>
    <s v="ds"/>
    <s v="ss"/>
    <s v="topic-drop"/>
    <s v="contains_new"/>
    <m/>
    <m/>
    <n v="1"/>
    <m/>
    <x v="0"/>
  </r>
  <r>
    <s v="Heike 2.147"/>
    <s v="刀を帯する katana o taisuru "/>
    <s v="Although he had displayed "/>
    <s v="帯する"/>
    <s v="indicative"/>
    <x v="1"/>
    <x v="3"/>
    <s v="transitive"/>
    <s v="active"/>
    <s v="positive"/>
    <n v="1"/>
    <n v="1"/>
    <s v="OBJ"/>
    <n v="0"/>
    <s v="zero_recoverable"/>
    <n v="3"/>
    <s v="overt"/>
    <s v="n/a"/>
    <n v="0"/>
    <n v="1"/>
    <s v="REL"/>
    <s v="relative"/>
    <n v="0"/>
    <x v="0"/>
    <s v="n/a"/>
    <s v="n/a"/>
    <n v="0"/>
    <s v="none"/>
    <s v="subordinate"/>
    <s v="ss"/>
    <s v="ss"/>
    <s v="topic-drop"/>
    <s v="all given"/>
    <m/>
    <m/>
    <n v="1"/>
    <m/>
    <x v="0"/>
  </r>
  <r>
    <s v="Heike 2.148"/>
    <s v="由顕すといへども yoshi arawasu to iedomo"/>
    <s v="the appearance of a sword"/>
    <s v="顕す"/>
    <s v="indicative"/>
    <x v="1"/>
    <x v="1"/>
    <s v="transitive"/>
    <s v="active"/>
    <s v="positive"/>
    <n v="1"/>
    <n v="1"/>
    <s v="OBJ"/>
    <n v="0"/>
    <s v="zero_recoverable"/>
    <n v="3"/>
    <s v="overt"/>
    <s v="n/a"/>
    <n v="0"/>
    <n v="0"/>
    <s v="n/a"/>
    <s v="subordinate"/>
    <n v="0"/>
    <x v="0"/>
    <s v="n/a"/>
    <s v="n/a"/>
    <n v="0"/>
    <s v="concessive"/>
    <s v="relative"/>
    <s v="ss"/>
    <s v="ss"/>
    <s v="topic-drop"/>
    <s v="contains_new"/>
    <m/>
    <m/>
    <n v="1"/>
    <m/>
    <x v="0"/>
  </r>
  <r>
    <s v="Heike 2.149"/>
    <s v="後日の訴訟を存じて (gojitsu no soshō o zonjite)"/>
    <s v="his substitution of a wooden blade as a precaution against an after accusation was exceedingly praiseworthy."/>
    <s v="存じて"/>
    <s v="indicative"/>
    <x v="6"/>
    <x v="3"/>
    <s v="transitive"/>
    <s v="active"/>
    <s v="positive"/>
    <n v="1"/>
    <n v="1"/>
    <s v="OBJ"/>
    <n v="0"/>
    <s v="zero_exalt"/>
    <n v="3"/>
    <s v="overt"/>
    <s v="n/a"/>
    <n v="0"/>
    <n v="0"/>
    <s v="n/a"/>
    <s v="te"/>
    <n v="0"/>
    <x v="1"/>
    <s v="sub"/>
    <s v="lexical_humble_verb"/>
    <n v="0"/>
    <s v="none"/>
    <s v="subordinate"/>
    <s v="ss"/>
    <s v="ss"/>
    <s v="topic-drop"/>
    <s v="contains_new"/>
    <m/>
    <m/>
    <n v="1"/>
    <m/>
    <x v="0"/>
  </r>
  <r>
    <s v="Heike 2.150"/>
    <s v="木刀を帯したる"/>
    <s v=" bokutō o tachitaru "/>
    <s v="帯したる"/>
    <s v="indicative"/>
    <x v="2"/>
    <x v="3"/>
    <s v="transitive"/>
    <s v="active"/>
    <s v="positive"/>
    <n v="1"/>
    <n v="1"/>
    <s v="OBJ"/>
    <n v="0"/>
    <s v="zero_recoverable"/>
    <n v="3"/>
    <s v="overt"/>
    <s v="n/a"/>
    <n v="0"/>
    <n v="1"/>
    <s v="REL"/>
    <s v="relative"/>
    <n v="0"/>
    <x v="0"/>
    <s v="n/a"/>
    <s v="n/a"/>
    <n v="0"/>
    <s v="none"/>
    <s v="te"/>
    <s v="ss"/>
    <s v="ds"/>
    <s v="topic-drop"/>
    <s v="contains_new"/>
    <m/>
    <m/>
    <n v="1"/>
    <m/>
    <x v="0"/>
  </r>
  <r>
    <s v="Heike 2.151"/>
    <s v="用意のほどこそ神妙なれ yōi no hodo koso shinmyō nare"/>
    <m/>
    <s v="なれ"/>
    <s v="indicative"/>
    <x v="0"/>
    <x v="0"/>
    <s v="intransitive"/>
    <s v="active"/>
    <s v="positive"/>
    <n v="1"/>
    <n v="1"/>
    <s v="SUB"/>
    <n v="0"/>
    <s v="overt"/>
    <n v="3"/>
    <s v="n/a"/>
    <s v="n/a"/>
    <n v="0"/>
    <n v="0"/>
    <s v="n/a"/>
    <s v="main"/>
    <n v="0"/>
    <x v="0"/>
    <s v="n/a"/>
    <s v="n/a"/>
    <n v="0"/>
    <s v="none"/>
    <s v="relative"/>
    <s v="ds"/>
    <s v="ds"/>
    <s v="topic-drop"/>
    <s v="contains_new"/>
    <m/>
    <m/>
    <n v="1"/>
    <m/>
    <x v="0"/>
  </r>
  <r>
    <s v="Heike 2.152"/>
    <s v="弓箭に携らん (yumiya ni tazusaran)"/>
    <s v="Such prudence is most commendable in a warrior."/>
    <s v="携らん"/>
    <s v="dynamic"/>
    <x v="2"/>
    <x v="1"/>
    <s v="intransitive"/>
    <s v="active"/>
    <s v="positive"/>
    <n v="1"/>
    <n v="1"/>
    <s v="IO"/>
    <n v="0"/>
    <s v="zero_recoverable"/>
    <n v="3"/>
    <s v="n/a"/>
    <s v="overt"/>
    <n v="1"/>
    <n v="0"/>
    <s v="REL"/>
    <s v="relative"/>
    <n v="0"/>
    <x v="0"/>
    <s v="n/a"/>
    <s v="n/a"/>
    <n v="0"/>
    <s v="none"/>
    <s v="main"/>
    <s v="ds"/>
    <s v="ds"/>
    <s v="topic-shift"/>
    <s v="contains_new"/>
    <m/>
    <m/>
    <n v="1"/>
    <m/>
    <x v="0"/>
  </r>
  <r>
    <s v="Heike 2.153"/>
    <s v="ほどの者の謀は尤もかうこそあらまほしけれ hodo no mono no hakarigoto wa motto mo kō koso aramahoshikere"/>
    <m/>
    <s v="あらまほしけれ"/>
    <s v="desiderative"/>
    <x v="4"/>
    <x v="5"/>
    <s v="intransitive"/>
    <s v="active"/>
    <s v="positive"/>
    <n v="1"/>
    <n v="1"/>
    <s v="SUB"/>
    <n v="1"/>
    <s v="overt"/>
    <n v="3"/>
    <s v="n/a"/>
    <s v="n/a"/>
    <n v="0"/>
    <n v="0"/>
    <s v="n/a"/>
    <s v="main"/>
    <n v="0"/>
    <x v="0"/>
    <s v="n/a"/>
    <s v="n/a"/>
    <n v="0"/>
    <s v="none"/>
    <s v="relative"/>
    <s v="ds"/>
    <s v="ds"/>
    <s v="topic-shift"/>
    <s v="contains_new"/>
    <m/>
    <m/>
    <n v="1"/>
    <m/>
    <x v="0"/>
  </r>
  <r>
    <s v="Heike 2.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x v="0"/>
    <x v="0"/>
    <s v="intransitive"/>
    <s v="active"/>
    <s v="positive"/>
    <n v="1"/>
    <n v="1"/>
    <s v="SUB"/>
    <n v="3"/>
    <s v="overt"/>
    <n v="3"/>
    <s v="n/a"/>
    <s v="n/a"/>
    <n v="0"/>
    <n v="0"/>
    <s v="n/a"/>
    <s v="main"/>
    <n v="0"/>
    <x v="0"/>
    <s v="n/a"/>
    <s v="n/a"/>
    <n v="0"/>
    <s v="none"/>
    <s v="main"/>
    <s v="ds"/>
    <s v="ds"/>
    <s v="topic-shift"/>
    <s v="contains_new"/>
    <m/>
    <m/>
    <n v="1"/>
    <m/>
    <x v="0"/>
  </r>
  <r>
    <s v="Heike 2.155"/>
    <s v="忠盛が咎にはあらずとて (Tadamori ga toga ni wa arazu tote)"/>
    <s v="and no fault was found in Tadamori."/>
    <s v="あらず"/>
    <s v="indicative"/>
    <x v="0"/>
    <x v="0"/>
    <s v="intransitive"/>
    <s v="active"/>
    <s v="negative"/>
    <n v="1"/>
    <n v="1"/>
    <s v="SUB"/>
    <n v="0"/>
    <s v="overt"/>
    <n v="3"/>
    <s v="n/a"/>
    <s v="n/a"/>
    <n v="0"/>
    <n v="0"/>
    <s v="n/a"/>
    <s v="subordinate"/>
    <n v="0"/>
    <x v="0"/>
    <s v="n/a"/>
    <s v="n/a"/>
    <n v="0"/>
    <s v="causal"/>
    <s v="main"/>
    <s v="ds"/>
    <s v="ss"/>
    <s v="topic-shift"/>
    <s v="contains_new"/>
    <m/>
    <m/>
    <n v="1"/>
    <m/>
    <x v="0"/>
  </r>
  <r>
    <s v="Heike 2.156"/>
    <s v="却つて叡感に預かりし上は (kaette eikan ni azukarishi ue wa)"/>
    <s v="and on the contrary, his conduct was greatly admired,"/>
    <s v="預かりし"/>
    <s v="indicative"/>
    <x v="2"/>
    <x v="1"/>
    <s v="intransitive"/>
    <s v="active"/>
    <s v="positive"/>
    <n v="1"/>
    <n v="1"/>
    <s v="IO"/>
    <n v="1"/>
    <s v="zero_recoverable"/>
    <n v="3"/>
    <s v="n/a"/>
    <s v="overt"/>
    <n v="0"/>
    <n v="0"/>
    <s v="REL"/>
    <s v="subordinate"/>
    <n v="0"/>
    <x v="0"/>
    <s v="n/a"/>
    <s v="n/a"/>
    <n v="1"/>
    <s v="conjunctive"/>
    <s v="subordinate"/>
    <s v="ss"/>
    <s v="ds"/>
    <s v="topic-drop"/>
    <s v="contains_new"/>
    <m/>
    <m/>
    <n v="1"/>
    <m/>
    <x v="0"/>
  </r>
  <r>
    <s v="Heike 2.157"/>
    <s v="敢へて罪科の沙汰はなかりけり aete tsumikado no sata wa nakarikeri"/>
    <s v="and he was pronounced guiltless."/>
    <s v="なかりけり"/>
    <s v="indicative"/>
    <x v="7"/>
    <x v="1"/>
    <s v="intransitive"/>
    <s v="active"/>
    <s v="negative"/>
    <n v="1"/>
    <n v="1"/>
    <s v="SUB"/>
    <n v="1"/>
    <s v="overt"/>
    <n v="3"/>
    <s v="n/a"/>
    <s v="n/a"/>
    <n v="0"/>
    <n v="0"/>
    <s v="n/a"/>
    <s v="main"/>
    <n v="0"/>
    <x v="0"/>
    <s v="n/a"/>
    <s v="n/a"/>
    <n v="0"/>
    <s v="main"/>
    <s v="subordinate"/>
    <s v="ds"/>
    <n v="0"/>
    <s v="topic-drop"/>
    <s v="contains_new"/>
    <m/>
    <m/>
    <n v="1"/>
    <m/>
    <x v="1"/>
  </r>
  <r>
    <s v="Total"/>
    <m/>
    <m/>
    <m/>
    <m/>
    <x v="8"/>
    <x v="6"/>
    <m/>
    <m/>
    <m/>
    <n v="154"/>
    <n v="150"/>
    <m/>
    <n v="72"/>
    <n v="0"/>
    <n v="426"/>
    <n v="0"/>
    <n v="0"/>
    <n v="7"/>
    <n v="17"/>
    <n v="0"/>
    <n v="0"/>
    <n v="19"/>
    <x v="3"/>
    <n v="0"/>
    <n v="0"/>
    <n v="6"/>
    <m/>
    <m/>
    <m/>
    <m/>
    <m/>
    <m/>
    <m/>
    <m/>
    <n v="0.97402597402597402"/>
    <m/>
    <x v="2"/>
  </r>
  <r>
    <m/>
    <m/>
    <m/>
    <m/>
    <m/>
    <x v="8"/>
    <x v="6"/>
    <m/>
    <m/>
    <m/>
    <m/>
    <m/>
    <m/>
    <m/>
    <m/>
    <m/>
    <m/>
    <m/>
    <m/>
    <m/>
    <m/>
    <m/>
    <m/>
    <x v="2"/>
    <m/>
    <m/>
    <m/>
    <m/>
    <m/>
    <m/>
    <m/>
    <m/>
    <m/>
    <m/>
    <m/>
    <m/>
    <m/>
    <x v="2"/>
  </r>
  <r>
    <m/>
    <m/>
    <m/>
    <m/>
    <m/>
    <x v="8"/>
    <x v="13"/>
    <s v="intransitive / transitive / ditransitive / copular/stative / unknown"/>
    <s v="active / passive"/>
    <s v="positive / negative / negative_existential / negative_potential / unknown"/>
    <m/>
    <m/>
    <s v="S, DO, IO, O (Speech), S+O, O+IO, S+IO, S+O+IO"/>
    <m/>
    <s v="overt; zero_exalt; zero_recoverable; zero_other – omitted, recoverability uncertain; not_applicable."/>
    <m/>
    <s v="same"/>
    <s v="same"/>
    <m/>
    <m/>
    <m/>
    <m/>
    <m/>
    <x v="2"/>
    <s v="None, sub, obj, io, addressee, multiple, unknown"/>
    <s v="lexical_honorific_verb"/>
    <m/>
    <s v="none; conjunctive; temporal; causal; concessive; conditional; quotative; other."/>
    <m/>
    <s v="SS; DS; unknown"/>
    <m/>
    <s v="topic-introduced – overt topic marking a (re)introduced aboutness centre"/>
    <s v="no_overt_NP; "/>
    <m/>
    <m/>
    <m/>
    <m/>
    <x v="2"/>
  </r>
  <r>
    <s v="RD2"/>
    <b v="1"/>
    <s v="ACT-ARG/~Ø-Verbal"/>
    <m/>
    <m/>
    <x v="8"/>
    <x v="6"/>
    <m/>
    <m/>
    <m/>
    <m/>
    <m/>
    <m/>
    <m/>
    <m/>
    <m/>
    <m/>
    <m/>
    <m/>
    <m/>
    <m/>
    <m/>
    <m/>
    <x v="2"/>
    <m/>
    <m/>
    <m/>
    <m/>
    <m/>
    <m/>
    <m/>
    <m/>
    <m/>
    <m/>
    <m/>
    <m/>
    <m/>
    <x v="2"/>
  </r>
  <r>
    <s v="RD2+"/>
    <n v="1.1818181818181801"/>
    <s v="(ACT-ARG+V-ARG-Ø-ARG)/~Ø-Verbal"/>
    <m/>
    <m/>
    <x v="8"/>
    <x v="6"/>
    <m/>
    <m/>
    <m/>
    <m/>
    <m/>
    <m/>
    <m/>
    <m/>
    <m/>
    <m/>
    <m/>
    <m/>
    <m/>
    <m/>
    <m/>
    <m/>
    <x v="2"/>
    <m/>
    <s v="lexical_humble_verb"/>
    <m/>
    <m/>
    <m/>
    <m/>
    <m/>
    <s v="topic-continued – same topic as previous clause, even if zero/pronoun"/>
    <s v="all_given; "/>
    <m/>
    <m/>
    <m/>
    <m/>
    <x v="2"/>
  </r>
  <r>
    <s v="RD2++"/>
    <n v="1.0194805194805201"/>
    <s v="(ACT-ARG+GAP-ACT-ARG)/~Ø-Verbal"/>
    <m/>
    <m/>
    <x v="8"/>
    <x v="6"/>
    <m/>
    <m/>
    <m/>
    <m/>
    <m/>
    <m/>
    <m/>
    <m/>
    <m/>
    <m/>
    <m/>
    <m/>
    <m/>
    <m/>
    <m/>
    <m/>
    <x v="2"/>
    <m/>
    <m/>
    <m/>
    <m/>
    <m/>
    <m/>
    <m/>
    <m/>
    <m/>
    <m/>
    <m/>
    <m/>
    <m/>
    <x v="2"/>
  </r>
  <r>
    <s v="RD2+++"/>
    <n v="1.22727272727273"/>
    <s v="(ACT-ARG+V-ARG-Ø-ARG+GAP-ACT-ARG)/~Ø-Verbal"/>
    <m/>
    <m/>
    <x v="8"/>
    <x v="6"/>
    <m/>
    <m/>
    <m/>
    <m/>
    <m/>
    <m/>
    <m/>
    <m/>
    <m/>
    <m/>
    <m/>
    <m/>
    <m/>
    <m/>
    <m/>
    <m/>
    <x v="2"/>
    <m/>
    <s v="honorific_aux"/>
    <m/>
    <m/>
    <m/>
    <m/>
    <m/>
    <s v="topic-shift – new entity becomes the discourse centre"/>
    <s v="contains_new – at least one overt NP is discourse-new; "/>
    <m/>
    <m/>
    <m/>
    <m/>
    <x v="2"/>
  </r>
  <r>
    <s v="RD2-"/>
    <n v="0.207792207792208"/>
    <s v="V-ARG-Ø-ARG/~Ø-Verbal"/>
    <m/>
    <m/>
    <x v="8"/>
    <x v="6"/>
    <m/>
    <m/>
    <m/>
    <m/>
    <m/>
    <m/>
    <m/>
    <m/>
    <m/>
    <m/>
    <m/>
    <m/>
    <m/>
    <m/>
    <m/>
    <m/>
    <x v="2"/>
    <m/>
    <m/>
    <m/>
    <m/>
    <m/>
    <m/>
    <m/>
    <m/>
    <m/>
    <m/>
    <m/>
    <m/>
    <m/>
    <x v="2"/>
  </r>
  <r>
    <m/>
    <m/>
    <m/>
    <m/>
    <m/>
    <x v="8"/>
    <x v="6"/>
    <m/>
    <m/>
    <m/>
    <m/>
    <m/>
    <m/>
    <m/>
    <m/>
    <m/>
    <m/>
    <m/>
    <m/>
    <m/>
    <m/>
    <m/>
    <m/>
    <x v="2"/>
    <m/>
    <s v="humble_aux"/>
    <m/>
    <m/>
    <m/>
    <m/>
    <m/>
    <s v="topic-drop – discourse topic still relevant, but not expressed here"/>
    <s v="unknown "/>
    <m/>
    <m/>
    <m/>
    <m/>
    <x v="2"/>
  </r>
  <r>
    <m/>
    <m/>
    <m/>
    <m/>
    <m/>
    <x v="8"/>
    <x v="6"/>
    <m/>
    <m/>
    <m/>
    <m/>
    <m/>
    <m/>
    <m/>
    <m/>
    <m/>
    <m/>
    <m/>
    <m/>
    <m/>
    <m/>
    <m/>
    <m/>
    <x v="2"/>
    <m/>
    <m/>
    <m/>
    <m/>
    <m/>
    <m/>
    <m/>
    <m/>
    <m/>
    <m/>
    <m/>
    <m/>
    <m/>
    <x v="2"/>
  </r>
  <r>
    <m/>
    <m/>
    <m/>
    <m/>
    <m/>
    <x v="8"/>
    <x v="6"/>
    <m/>
    <m/>
    <m/>
    <m/>
    <m/>
    <m/>
    <m/>
    <m/>
    <m/>
    <m/>
    <m/>
    <m/>
    <m/>
    <m/>
    <m/>
    <m/>
    <x v="2"/>
    <m/>
    <s v="polite_aux"/>
    <m/>
    <m/>
    <m/>
    <m/>
    <m/>
    <s v="no-topic – no clear topic in the clause"/>
    <m/>
    <m/>
    <m/>
    <m/>
    <m/>
    <x v="2"/>
  </r>
  <r>
    <m/>
    <m/>
    <m/>
    <m/>
    <m/>
    <x v="8"/>
    <x v="6"/>
    <m/>
    <m/>
    <m/>
    <m/>
    <m/>
    <m/>
    <m/>
    <m/>
    <m/>
    <m/>
    <m/>
    <m/>
    <m/>
    <m/>
    <m/>
    <m/>
    <x v="2"/>
    <m/>
    <m/>
    <m/>
    <m/>
    <m/>
    <m/>
    <m/>
    <m/>
    <m/>
    <m/>
    <m/>
    <m/>
    <m/>
    <x v="2"/>
  </r>
  <r>
    <m/>
    <m/>
    <m/>
    <m/>
    <m/>
    <x v="8"/>
    <x v="6"/>
    <m/>
    <m/>
    <m/>
    <m/>
    <m/>
    <m/>
    <m/>
    <m/>
    <m/>
    <m/>
    <m/>
    <m/>
    <m/>
    <m/>
    <m/>
    <m/>
    <x v="2"/>
    <m/>
    <s v="honorific_copula"/>
    <m/>
    <m/>
    <m/>
    <m/>
    <m/>
    <s v="unknown"/>
    <m/>
    <m/>
    <m/>
    <m/>
    <m/>
    <x v="2"/>
  </r>
  <r>
    <m/>
    <m/>
    <m/>
    <m/>
    <m/>
    <x v="8"/>
    <x v="6"/>
    <m/>
    <m/>
    <m/>
    <m/>
    <m/>
    <m/>
    <m/>
    <m/>
    <m/>
    <m/>
    <m/>
    <m/>
    <m/>
    <m/>
    <m/>
    <m/>
    <x v="2"/>
    <m/>
    <m/>
    <m/>
    <m/>
    <m/>
    <m/>
    <m/>
    <m/>
    <m/>
    <m/>
    <m/>
    <m/>
    <m/>
    <x v="2"/>
  </r>
  <r>
    <m/>
    <m/>
    <m/>
    <m/>
    <m/>
    <x v="8"/>
    <x v="6"/>
    <m/>
    <m/>
    <m/>
    <m/>
    <m/>
    <m/>
    <m/>
    <m/>
    <m/>
    <m/>
    <m/>
    <m/>
    <m/>
    <m/>
    <m/>
    <m/>
    <x v="2"/>
    <m/>
    <s v="nominal_prefix"/>
    <m/>
    <m/>
    <m/>
    <m/>
    <m/>
    <m/>
    <m/>
    <m/>
    <m/>
    <m/>
    <m/>
    <x v="2"/>
  </r>
  <r>
    <m/>
    <m/>
    <m/>
    <m/>
    <m/>
    <x v="8"/>
    <x v="6"/>
    <m/>
    <m/>
    <m/>
    <m/>
    <m/>
    <m/>
    <m/>
    <m/>
    <m/>
    <m/>
    <m/>
    <m/>
    <m/>
    <m/>
    <m/>
    <m/>
    <x v="2"/>
    <m/>
    <m/>
    <m/>
    <m/>
    <m/>
    <m/>
    <m/>
    <m/>
    <m/>
    <m/>
    <m/>
    <m/>
    <m/>
    <x v="2"/>
  </r>
  <r>
    <m/>
    <m/>
    <m/>
    <m/>
    <m/>
    <x v="8"/>
    <x v="6"/>
    <m/>
    <m/>
    <m/>
    <m/>
    <m/>
    <m/>
    <m/>
    <m/>
    <m/>
    <m/>
    <m/>
    <m/>
    <m/>
    <m/>
    <m/>
    <m/>
    <x v="2"/>
    <m/>
    <s v="honorific_title"/>
    <m/>
    <m/>
    <m/>
    <m/>
    <m/>
    <m/>
    <m/>
    <m/>
    <m/>
    <m/>
    <m/>
    <x v="2"/>
  </r>
  <r>
    <m/>
    <m/>
    <m/>
    <m/>
    <m/>
    <x v="8"/>
    <x v="6"/>
    <m/>
    <m/>
    <m/>
    <m/>
    <m/>
    <m/>
    <m/>
    <m/>
    <m/>
    <m/>
    <m/>
    <m/>
    <m/>
    <m/>
    <m/>
    <m/>
    <x v="2"/>
    <m/>
    <m/>
    <m/>
    <m/>
    <m/>
    <m/>
    <m/>
    <m/>
    <m/>
    <m/>
    <m/>
    <m/>
    <m/>
    <x v="2"/>
  </r>
  <r>
    <m/>
    <m/>
    <m/>
    <m/>
    <m/>
    <x v="8"/>
    <x v="6"/>
    <m/>
    <m/>
    <m/>
    <m/>
    <m/>
    <m/>
    <m/>
    <m/>
    <m/>
    <m/>
    <m/>
    <m/>
    <m/>
    <m/>
    <m/>
    <m/>
    <x v="2"/>
    <m/>
    <s v="other"/>
    <m/>
    <m/>
    <m/>
    <m/>
    <m/>
    <m/>
    <m/>
    <m/>
    <m/>
    <m/>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s v="Heike 2.1"/>
    <s v="忠盛朝臣未だ備前守たりし時 (Tadamori ason imada Bizen no kami tarishi toki)"/>
    <s v="Now Tadamori, while holding the office of Bizen no Kami,"/>
    <s v="たりし"/>
    <s v="indicative"/>
    <s v="stative"/>
    <x v="0"/>
    <x v="0"/>
    <s v="active"/>
    <s v="positive"/>
    <n v="1"/>
    <n v="1"/>
    <x v="0"/>
    <n v="0"/>
    <x v="0"/>
    <n v="3"/>
    <x v="0"/>
    <s v="n/a"/>
    <n v="0"/>
    <n v="1"/>
    <s v="REL"/>
    <x v="0"/>
    <n v="0"/>
    <n v="0"/>
    <s v="n/a"/>
    <s v="n/a"/>
    <n v="0"/>
    <x v="0"/>
    <m/>
    <s v="new"/>
    <s v="ss"/>
    <s v="topic-introduced"/>
    <s v="contains_new"/>
    <m/>
    <m/>
    <n v="1"/>
    <x v="0"/>
    <s v="Yes"/>
  </r>
  <r>
    <s v="Heike 2.2"/>
    <s v="鳥羽院の御願得長寿院を造進して (Toba-in no ogan Tokuchōju-in o zōshin shite)"/>
    <s v="by the request of the retired Emperor Toba,"/>
    <s v="造進して"/>
    <s v="indicative"/>
    <s v="other"/>
    <x v="1"/>
    <x v="1"/>
    <s v="active"/>
    <s v="positive"/>
    <n v="1"/>
    <n v="1"/>
    <x v="1"/>
    <n v="1"/>
    <x v="1"/>
    <n v="3"/>
    <x v="1"/>
    <s v="n/a"/>
    <n v="0"/>
    <n v="0"/>
    <s v="n/a"/>
    <x v="1"/>
    <n v="0"/>
    <n v="0"/>
    <s v="obj"/>
    <s v="nominal_prefix"/>
    <n v="1"/>
    <x v="1"/>
    <s v="relative"/>
    <s v="ss"/>
    <s v="ss"/>
    <s v="topic-drop"/>
    <s v="contains_new"/>
    <s v="stranded subject Tadamori"/>
    <m/>
    <n v="1"/>
    <x v="0"/>
    <s v="Yes"/>
  </r>
  <r>
    <s v="Heike 2.3"/>
    <s v="三十三間の御堂を建て (sanjūsangen no midō o tatete)"/>
    <s v=" had built the temple Toku-cho-juin and the Sa-ju-san-gen-do, or hall 33 ken long,"/>
    <s v="建て"/>
    <s v="indicative"/>
    <s v="other"/>
    <x v="1"/>
    <x v="1"/>
    <s v="active"/>
    <s v="positive"/>
    <n v="1"/>
    <n v="1"/>
    <x v="1"/>
    <n v="0"/>
    <x v="1"/>
    <n v="3"/>
    <x v="1"/>
    <s v="n/a"/>
    <n v="0"/>
    <n v="0"/>
    <s v="n/a"/>
    <x v="1"/>
    <n v="0"/>
    <n v="0"/>
    <s v="obj"/>
    <s v="nominal_prefix"/>
    <n v="1"/>
    <x v="1"/>
    <s v="te"/>
    <s v="ss"/>
    <s v="ss"/>
    <s v="topic-drop"/>
    <s v="contains_new"/>
    <m/>
    <m/>
    <n v="1"/>
    <x v="0"/>
    <s v="Yes"/>
  </r>
  <r>
    <s v="Heike 2.4"/>
    <s v="一千一体の御仏を据ゑ奉らる (issen ittai no mihotoke o sue-tatematsuraru)"/>
    <s v="within which were one thousand and one Buddhas;"/>
    <s v="据ゑ奉らる"/>
    <s v="indicative"/>
    <s v="action"/>
    <x v="1"/>
    <x v="1"/>
    <s v="active"/>
    <s v="positive"/>
    <n v="1"/>
    <n v="1"/>
    <x v="1"/>
    <n v="0"/>
    <x v="2"/>
    <n v="3"/>
    <x v="1"/>
    <s v="n/a"/>
    <n v="0"/>
    <n v="1"/>
    <s v="REL"/>
    <x v="0"/>
    <n v="1"/>
    <n v="1"/>
    <s v="sub"/>
    <s v="honorific_aux"/>
    <n v="1"/>
    <x v="2"/>
    <s v="te"/>
    <s v="ss"/>
    <s v="ds"/>
    <s v="topic-drop"/>
    <s v="contains_new"/>
    <s v="complex verbal form"/>
    <m/>
    <n v="1"/>
    <x v="0"/>
    <s v="Yes"/>
  </r>
  <r>
    <s v="Heike 2.5"/>
    <s v="供養は天承元年三月十三日なり (kuyō wa Tenshō gannen sangatsu jūsan-nichi nari)"/>
    <s v="its first festival being on the thirteenth day of the third month of the first year of Tensho."/>
    <s v="なり"/>
    <s v="indicative"/>
    <s v="stative"/>
    <x v="0"/>
    <x v="0"/>
    <s v="active"/>
    <s v="positive"/>
    <n v="1"/>
    <n v="1"/>
    <x v="0"/>
    <n v="0"/>
    <x v="0"/>
    <n v="3"/>
    <x v="0"/>
    <s v="n/a"/>
    <n v="0"/>
    <n v="0"/>
    <s v="n/a"/>
    <x v="2"/>
    <n v="0"/>
    <n v="0"/>
    <s v="n/a"/>
    <s v="n/a"/>
    <n v="0"/>
    <x v="2"/>
    <s v="relative"/>
    <s v="ds"/>
    <s v="ds"/>
    <s v="topic-introduced"/>
    <s v="contains_new"/>
    <m/>
    <m/>
    <n v="1"/>
    <x v="0"/>
    <s v="Yes"/>
  </r>
  <r>
    <s v="Heike 2.6"/>
    <s v="勧賞には欠国を賜ふべき由 (kanshō ni wa kakukuni o tamau beki yoshi)"/>
    <s v="As a reward he was to be granted a fief,"/>
    <s v="賜ふべき"/>
    <s v="deontic"/>
    <s v="action"/>
    <x v="1"/>
    <x v="1"/>
    <s v="active"/>
    <s v="positive"/>
    <n v="1"/>
    <n v="1"/>
    <x v="1"/>
    <n v="1"/>
    <x v="2"/>
    <n v="3"/>
    <x v="1"/>
    <s v="n/a"/>
    <n v="0"/>
    <n v="1"/>
    <s v="n/a"/>
    <x v="3"/>
    <n v="0"/>
    <n v="1"/>
    <s v="sub"/>
    <s v="lexical_honorific_verb"/>
    <n v="0"/>
    <x v="3"/>
    <s v="main"/>
    <s v="ds"/>
    <s v="ds"/>
    <s v="topic-shift"/>
    <s v="contains_new"/>
    <m/>
    <m/>
    <n v="1"/>
    <x v="0"/>
    <s v="Yes"/>
  </r>
  <r>
    <s v="Heike 2.7"/>
    <s v="仰せ下されける (ōse-kudasa rekeru)"/>
    <s v="he was honoured by receiving the territory of the province of Tamba,"/>
    <s v="仰せ下されける"/>
    <s v="indicative"/>
    <s v="action"/>
    <x v="2"/>
    <x v="0"/>
    <s v="passive"/>
    <s v="positive"/>
    <n v="1"/>
    <n v="0"/>
    <x v="2"/>
    <n v="0"/>
    <x v="2"/>
    <n v="3"/>
    <x v="2"/>
    <s v="not_applicable"/>
    <n v="1"/>
    <n v="0"/>
    <s v="REL"/>
    <x v="0"/>
    <n v="0"/>
    <n v="1"/>
    <s v="io"/>
    <s v="lexical honorific+honorific aux"/>
    <n v="0"/>
    <x v="2"/>
    <s v="subordinate"/>
    <s v="ds"/>
    <s v="ss"/>
    <s v="topic-drop"/>
    <s v="no_overt_NP"/>
    <m/>
    <m/>
    <n v="0"/>
    <x v="0"/>
    <s v="Yes"/>
  </r>
  <r>
    <s v="Heike 2.8"/>
    <s v="折節但馬国の空きたりけるをぞ (orifushi Tamba no kuni no aki tarikeru o zo)"/>
    <s v="which then happened to be unappropriated."/>
    <s v="空きたりける"/>
    <s v="indicative"/>
    <s v="stative"/>
    <x v="1"/>
    <x v="0"/>
    <s v="resultative"/>
    <s v="positive"/>
    <n v="1"/>
    <n v="1"/>
    <x v="0"/>
    <n v="1"/>
    <x v="0"/>
    <n v="3"/>
    <x v="0"/>
    <s v="n/a"/>
    <n v="0"/>
    <n v="0"/>
    <s v="OBJ"/>
    <x v="4"/>
    <n v="0"/>
    <n v="0"/>
    <s v="n/a"/>
    <s v="n/a"/>
    <n v="0"/>
    <x v="2"/>
    <s v="relative"/>
    <s v="ss"/>
    <s v="ds"/>
    <s v="topic-drop"/>
    <s v="contains_new"/>
    <s v="internally headed"/>
    <m/>
    <n v="1"/>
    <x v="0"/>
    <s v="Yes"/>
  </r>
  <r>
    <s v="Heike 2.9"/>
    <s v="賜はりける (tamawari keru)"/>
    <s v="As a reward he was honoured by receiving the territory of the province of Tamba, which then happened to be unappropriated."/>
    <s v="賜はりける"/>
    <s v="indicative"/>
    <s v="action"/>
    <x v="1"/>
    <x v="1"/>
    <s v="active"/>
    <s v="positive"/>
    <n v="1"/>
    <n v="1"/>
    <x v="1"/>
    <n v="0"/>
    <x v="2"/>
    <n v="3"/>
    <x v="3"/>
    <s v="zero_recoverable"/>
    <n v="0"/>
    <n v="0"/>
    <s v="n/a"/>
    <x v="2"/>
    <n v="0"/>
    <n v="1"/>
    <s v="sub"/>
    <s v="lexical_humble_verb"/>
    <n v="0"/>
    <x v="2"/>
    <s v="nominalised"/>
    <s v="ds"/>
    <s v="ds"/>
    <s v="topic-drop"/>
    <s v="no_overt_NP"/>
    <m/>
    <m/>
    <n v="1"/>
    <x v="0"/>
    <s v="Yes"/>
  </r>
  <r>
    <s v="Heike 2.10"/>
    <s v="上皇御感のあまりに内の昇殿を許さる (jōkō go-kan no amari ni uchi no shōden o yurusaru)"/>
    <s v="Moreover the Emperor of his bounty graciously permitted him to attend the Court;"/>
    <s v="許さる"/>
    <s v="indicative"/>
    <s v="action"/>
    <x v="1"/>
    <x v="1"/>
    <s v="active"/>
    <s v="positive"/>
    <n v="1"/>
    <n v="2"/>
    <x v="3"/>
    <n v="1"/>
    <x v="0"/>
    <n v="3"/>
    <x v="1"/>
    <s v="zero_recoverable"/>
    <n v="1"/>
    <n v="0"/>
    <s v="REL"/>
    <x v="0"/>
    <n v="1"/>
    <n v="0"/>
    <s v="sub"/>
    <s v="honorific_aux"/>
    <n v="1"/>
    <x v="2"/>
    <s v="main"/>
    <s v="ds"/>
    <s v="ds"/>
    <s v="topic-drop"/>
    <s v="contains_new"/>
    <s v="it's unlcear whether -re- in -yurusareru is passive or honorific"/>
    <m/>
    <n v="2"/>
    <x v="0"/>
    <s v="Yes"/>
  </r>
  <r>
    <s v="Heike 2.11"/>
    <s v="忠盛三十六にて初めて昇殿す (Tadamori sanjūroku nite hajimete shōden su)"/>
    <s v="which Tadamori did for the first time at the age of thirty six."/>
    <s v="昇殿す"/>
    <s v="indicative"/>
    <s v="motion"/>
    <x v="3"/>
    <x v="0"/>
    <s v="active"/>
    <s v="positive"/>
    <n v="1"/>
    <n v="1"/>
    <x v="0"/>
    <n v="2"/>
    <x v="0"/>
    <n v="3"/>
    <x v="1"/>
    <s v="n/a"/>
    <n v="0"/>
    <n v="0"/>
    <s v="n/a"/>
    <x v="2"/>
    <n v="0"/>
    <n v="0"/>
    <s v="n/a"/>
    <s v="n/a"/>
    <n v="0"/>
    <x v="2"/>
    <s v="relative"/>
    <s v="ds"/>
    <s v="ds"/>
    <s v="topic-continued"/>
    <s v="contains_new"/>
    <m/>
    <m/>
    <n v="1"/>
    <x v="1"/>
    <s v="Yes"/>
  </r>
  <r>
    <s v="Heike 2.12"/>
    <s v="雲の上人これを嫉み憤り (kumo no uebito kore o sonemi ikidori)"/>
    <s v="the higher Courtiers were furious with jealousy"/>
    <s v="嫉み憤り"/>
    <s v="indicative"/>
    <s v="psych-state"/>
    <x v="4"/>
    <x v="1"/>
    <s v="active"/>
    <s v="positive"/>
    <n v="1"/>
    <n v="2"/>
    <x v="3"/>
    <n v="0"/>
    <x v="0"/>
    <n v="3"/>
    <x v="1"/>
    <s v="n/a"/>
    <n v="0"/>
    <n v="0"/>
    <s v="n/a"/>
    <x v="5"/>
    <n v="0"/>
    <n v="0"/>
    <s v="n/a"/>
    <s v="n/a"/>
    <n v="0"/>
    <x v="2"/>
    <s v="main"/>
    <s v="ds"/>
    <s v="ss"/>
    <s v="topic-introduced"/>
    <s v="contains_new"/>
    <m/>
    <m/>
    <n v="2"/>
    <x v="0"/>
    <s v="Yes"/>
  </r>
  <r>
    <s v="Heike 2.13"/>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s v="other"/>
    <x v="3"/>
    <x v="1"/>
    <s v="active"/>
    <s v="positive"/>
    <n v="1"/>
    <n v="1"/>
    <x v="1"/>
    <n v="1"/>
    <x v="1"/>
    <n v="3"/>
    <x v="1"/>
    <s v="n/a"/>
    <n v="0"/>
    <n v="0"/>
    <s v="n/a"/>
    <x v="6"/>
    <n v="0"/>
    <n v="0"/>
    <s v="n/a"/>
    <s v="n/a"/>
    <n v="0"/>
    <x v="4"/>
    <s v="inf"/>
    <s v="ss"/>
    <s v="ds"/>
    <s v="topic-continued"/>
    <s v="contains_new"/>
    <m/>
    <m/>
    <n v="1"/>
    <x v="1"/>
    <s v="Yes"/>
  </r>
  <r>
    <s v="Heike 2.14"/>
    <s v="とぞ議せられける (to zo giserarikeru)"/>
    <s v="they plotted"/>
    <s v="議せられける"/>
    <s v="indicative"/>
    <s v="communication"/>
    <x v="3"/>
    <x v="0"/>
    <s v="passive"/>
    <s v="positive"/>
    <n v="1"/>
    <n v="1"/>
    <x v="4"/>
    <n v="0"/>
    <x v="0"/>
    <s v="n/a"/>
    <x v="0"/>
    <s v="n/a"/>
    <n v="0"/>
    <n v="0"/>
    <s v="n/a"/>
    <x v="2"/>
    <n v="0"/>
    <n v="0"/>
    <s v="n/a"/>
    <s v="n/a"/>
    <n v="0"/>
    <x v="2"/>
    <s v="complement"/>
    <s v="ds"/>
    <s v="ds"/>
    <s v="topic-drop"/>
    <s v="all given"/>
    <m/>
    <m/>
    <n v="1"/>
    <x v="1"/>
    <s v="Yes"/>
  </r>
  <r>
    <s v="Heike 2.15"/>
    <s v="忠盛この由を伝へ聞きて (Tadamori kono yoshi o tsutae kikite)"/>
    <s v="Tadamori, on hearing of this"/>
    <s v="伝へ聞きて"/>
    <s v="indicative"/>
    <s v="perception"/>
    <x v="4"/>
    <x v="1"/>
    <s v="active"/>
    <s v="positive"/>
    <n v="1"/>
    <n v="2"/>
    <x v="1"/>
    <n v="0"/>
    <x v="0"/>
    <n v="3"/>
    <x v="1"/>
    <s v="n/a"/>
    <n v="0"/>
    <n v="0"/>
    <s v="n/a"/>
    <x v="1"/>
    <n v="0"/>
    <n v="0"/>
    <s v="n/a"/>
    <s v="n/a"/>
    <n v="0"/>
    <x v="1"/>
    <s v="main"/>
    <s v="ds"/>
    <s v="ds"/>
    <s v="topic-shift"/>
    <s v="all given"/>
    <m/>
    <m/>
    <n v="2"/>
    <x v="0"/>
    <s v="Yes"/>
  </r>
  <r>
    <s v="Heike 2.16"/>
    <s v="我右弼の身にあらず (ware ubitsu no mi ni a-razu)"/>
    <s v="I am not a civil official"/>
    <s v="あらず"/>
    <s v="indicative"/>
    <s v="other"/>
    <x v="0"/>
    <x v="0"/>
    <s v="active"/>
    <s v="negative"/>
    <n v="1"/>
    <n v="1"/>
    <x v="0"/>
    <n v="0"/>
    <x v="0"/>
    <n v="1"/>
    <x v="0"/>
    <s v="n/a"/>
    <n v="0"/>
    <n v="0"/>
    <s v="n/a"/>
    <x v="3"/>
    <n v="0"/>
    <n v="0"/>
    <s v="n/a"/>
    <s v="n/a"/>
    <n v="0"/>
    <x v="1"/>
    <s v="te"/>
    <s v="ds"/>
    <s v="ss"/>
    <s v="topic-shift"/>
    <s v="contains_new"/>
    <m/>
    <m/>
    <n v="1"/>
    <x v="0"/>
    <s v="Yes"/>
  </r>
  <r>
    <s v="Heike 2.17"/>
    <s v="武勇の家に生れて (buyū no ie ni umarete)"/>
    <s v="being born of a line of warriors"/>
    <s v="生れて"/>
    <s v="indicative"/>
    <s v="other"/>
    <x v="1"/>
    <x v="0"/>
    <s v="active"/>
    <s v="positive"/>
    <n v="1"/>
    <n v="1"/>
    <x v="0"/>
    <n v="1"/>
    <x v="1"/>
    <n v="1"/>
    <x v="0"/>
    <s v="n/a"/>
    <n v="0"/>
    <n v="0"/>
    <s v="n/a"/>
    <x v="1"/>
    <n v="0"/>
    <n v="0"/>
    <s v="n/a"/>
    <s v="n/a"/>
    <n v="0"/>
    <x v="1"/>
    <s v="subordinate"/>
    <s v="ss"/>
    <s v="ss"/>
    <s v="topic-drop"/>
    <s v="contains_new"/>
    <m/>
    <m/>
    <n v="1"/>
    <x v="0"/>
    <s v="Yes"/>
  </r>
  <r>
    <s v="Heike 2.18"/>
    <s v="今不慮の恥に遇はん (ima furyo no haji ni awan)"/>
    <s v="for myself and my house at this unexpected shame"/>
    <s v="遇はん"/>
    <s v="epistemic"/>
    <s v="other"/>
    <x v="1"/>
    <x v="0"/>
    <s v="active"/>
    <s v="positive"/>
    <n v="1"/>
    <n v="1"/>
    <x v="5"/>
    <n v="1"/>
    <x v="1"/>
    <s v="n/a"/>
    <x v="0"/>
    <s v="overt"/>
    <n v="0"/>
    <n v="1"/>
    <s v="n/a"/>
    <x v="0"/>
    <n v="0"/>
    <n v="0"/>
    <s v="n/a"/>
    <s v="n/a"/>
    <n v="0"/>
    <x v="2"/>
    <s v="te"/>
    <s v="ss"/>
    <s v="ds"/>
    <s v="topic-drop"/>
    <s v="contains_new"/>
    <m/>
    <m/>
    <n v="1"/>
    <x v="0"/>
    <s v="Yes"/>
  </r>
  <r>
    <s v="Heike 2.19"/>
    <s v="事家の為身の為心憂かるべし (koto ie no tame mi no tame kokoroukarubeshi)"/>
    <s v="I am troubled in my heart"/>
    <s v="憂かるべし"/>
    <s v="epistemic"/>
    <s v="psych-state"/>
    <x v="5"/>
    <x v="0"/>
    <s v="active"/>
    <s v="positive"/>
    <n v="1"/>
    <n v="1"/>
    <x v="0"/>
    <n v="1"/>
    <x v="0"/>
    <n v="3"/>
    <x v="0"/>
    <s v="n/a"/>
    <n v="0"/>
    <n v="0"/>
    <s v="n/a"/>
    <x v="2"/>
    <n v="0"/>
    <n v="0"/>
    <s v="n/a"/>
    <s v="n/a"/>
    <n v="0"/>
    <x v="2"/>
    <s v="relative"/>
    <s v="ds"/>
    <n v="0"/>
    <s v="topic-drop"/>
    <s v="contains_new"/>
    <m/>
    <m/>
    <n v="1"/>
    <x v="0"/>
    <s v="Yes"/>
  </r>
  <r>
    <s v="Heike 2.20"/>
    <s v="詮ずるところ (senzuru tokoro)"/>
    <s v="finally, as for what is to be done"/>
    <s v="詮ずる"/>
    <s v="indicative"/>
    <s v="other"/>
    <x v="6"/>
    <x v="2"/>
    <m/>
    <m/>
    <m/>
    <m/>
    <x v="6"/>
    <m/>
    <x v="3"/>
    <m/>
    <x v="4"/>
    <m/>
    <m/>
    <m/>
    <m/>
    <x v="7"/>
    <m/>
    <m/>
    <m/>
    <m/>
    <m/>
    <x v="5"/>
    <s v="main"/>
    <m/>
    <s v="ss"/>
    <m/>
    <m/>
    <m/>
    <m/>
    <m/>
    <x v="0"/>
    <s v="Yes"/>
  </r>
  <r>
    <s v="Heike 2.21"/>
    <s v="身を全うして (mi o mattō shite)"/>
    <s v="with all your might"/>
    <s v="全うして"/>
    <s v="indicative"/>
    <s v="other"/>
    <x v="3"/>
    <x v="1"/>
    <s v="active"/>
    <s v="positive"/>
    <n v="1"/>
    <n v="1"/>
    <x v="1"/>
    <n v="0"/>
    <x v="1"/>
    <n v="1"/>
    <x v="1"/>
    <s v="n/a"/>
    <n v="0"/>
    <n v="0"/>
    <s v="n/a"/>
    <x v="1"/>
    <n v="0"/>
    <n v="0"/>
    <s v="n/a"/>
    <s v="n/a"/>
    <n v="0"/>
    <x v="1"/>
    <n v="0"/>
    <s v="ss"/>
    <s v="ss"/>
    <s v="topic-drop"/>
    <s v="contains_new"/>
    <m/>
    <m/>
    <n v="1"/>
    <x v="1"/>
    <s v="Yes"/>
  </r>
  <r>
    <s v="Heike 2.22"/>
    <s v="君に仕へ奉れ"/>
    <s v=" kimi ni tsukae tatematsure"/>
    <s v="仕へ奉れ"/>
    <s v="imperative"/>
    <s v="action"/>
    <x v="1"/>
    <x v="0"/>
    <s v="active"/>
    <s v="positive"/>
    <n v="1"/>
    <n v="1"/>
    <x v="5"/>
    <n v="0"/>
    <x v="2"/>
    <n v="1"/>
    <x v="0"/>
    <s v="overt"/>
    <n v="0"/>
    <n v="0"/>
    <s v="n/a"/>
    <x v="6"/>
    <n v="1"/>
    <n v="1"/>
    <s v="sub"/>
    <s v="lexical_humble_verb"/>
    <n v="0"/>
    <x v="2"/>
    <s v="te"/>
    <s v="ss"/>
    <s v="ds"/>
    <s v="topic-drop"/>
    <s v="contains_new"/>
    <m/>
    <m/>
    <n v="1"/>
    <x v="0"/>
    <s v="Yes"/>
  </r>
  <r>
    <s v="Heike 2.23"/>
    <s v="といふ本文あり (to iu honbun ari)"/>
    <s v="so goes the original passage"/>
    <s v="あり"/>
    <s v="indicative"/>
    <s v="stative"/>
    <x v="7"/>
    <x v="0"/>
    <s v="active"/>
    <s v="positive"/>
    <n v="1"/>
    <n v="1"/>
    <x v="0"/>
    <n v="1"/>
    <x v="0"/>
    <n v="3"/>
    <x v="0"/>
    <s v="n/a"/>
    <n v="0"/>
    <n v="0"/>
    <s v="n/a"/>
    <x v="2"/>
    <n v="0"/>
    <n v="0"/>
    <s v="n/a"/>
    <s v="n/a"/>
    <n v="0"/>
    <x v="2"/>
    <s v="complement"/>
    <s v="ds"/>
    <s v="ss"/>
    <s v="topic-drop"/>
    <s v="contains_new"/>
    <s v="frame predicate"/>
    <m/>
    <n v="1"/>
    <x v="0"/>
    <s v="Yes"/>
  </r>
  <r>
    <s v="Heike 2.24"/>
    <s v="参内の初めより大なる鞘巻を用意し (sannai no hajime yori ō-naru sayamaki o yōi shi)"/>
    <s v="Before entering the Court he provided himself with a long dirk"/>
    <s v="用意し"/>
    <s v="indicative"/>
    <s v="other"/>
    <x v="3"/>
    <x v="1"/>
    <s v="active"/>
    <s v="positive"/>
    <n v="1"/>
    <n v="1"/>
    <x v="1"/>
    <n v="1"/>
    <x v="1"/>
    <n v="3"/>
    <x v="1"/>
    <s v="n/a"/>
    <n v="0"/>
    <n v="0"/>
    <s v="n/a"/>
    <x v="5"/>
    <n v="0"/>
    <n v="0"/>
    <s v="n/a"/>
    <s v="n/a"/>
    <n v="0"/>
    <x v="2"/>
    <s v="main"/>
    <s v="ss"/>
    <s v="ss"/>
    <s v="topic-drop"/>
    <s v="contains_new"/>
    <m/>
    <m/>
    <n v="1"/>
    <x v="1"/>
    <s v="Yes"/>
  </r>
  <r>
    <s v="Heike 2.25"/>
    <s v="束帯の下にしどけなげに差し (sokutai no shita ni shidokenage ni sashi)"/>
    <s v="which he girt on under his long court dress"/>
    <s v="差し"/>
    <s v="indicative"/>
    <s v="other"/>
    <x v="1"/>
    <x v="1"/>
    <s v="active"/>
    <s v="positive"/>
    <n v="1"/>
    <n v="1"/>
    <x v="5"/>
    <n v="1"/>
    <x v="1"/>
    <n v="3"/>
    <x v="3"/>
    <s v="overt"/>
    <n v="0"/>
    <n v="0"/>
    <s v="n/a"/>
    <x v="5"/>
    <n v="0"/>
    <n v="0"/>
    <s v="n/a"/>
    <s v="n/a"/>
    <n v="0"/>
    <x v="2"/>
    <s v="inf"/>
    <s v="ss"/>
    <s v="ss"/>
    <s v="topic-drop"/>
    <s v="contains_new"/>
    <m/>
    <m/>
    <n v="1"/>
    <x v="0"/>
    <s v="Yes"/>
  </r>
  <r>
    <s v="Heike 2.26"/>
    <s v="火の仄暗き方に向かつて (hi no hokuraki kata ni mukatte)"/>
    <s v="and turning aside to a dimly lit place"/>
    <s v="向かつて"/>
    <s v="indicative"/>
    <s v="other"/>
    <x v="1"/>
    <x v="0"/>
    <s v="active"/>
    <s v="positive"/>
    <n v="1"/>
    <n v="1"/>
    <x v="5"/>
    <n v="1"/>
    <x v="1"/>
    <n v="3"/>
    <x v="0"/>
    <s v="overt"/>
    <n v="0"/>
    <n v="0"/>
    <s v="n/a"/>
    <x v="1"/>
    <n v="0"/>
    <n v="0"/>
    <s v="n/a"/>
    <s v="n/a"/>
    <n v="0"/>
    <x v="1"/>
    <s v="inf"/>
    <s v="ss"/>
    <s v="ss"/>
    <s v="topic-drop"/>
    <s v="contains_new"/>
    <m/>
    <m/>
    <n v="1"/>
    <x v="0"/>
    <s v="Yes"/>
  </r>
  <r>
    <s v="Heike 2.27"/>
    <s v="やはらこの刀を抜き出でて (yahara kono katana o nuki-idete)"/>
    <s v="slowly drew the blade"/>
    <s v="抜き出でて"/>
    <s v="indicative"/>
    <s v="motion"/>
    <x v="4"/>
    <x v="1"/>
    <s v="active"/>
    <s v="positive"/>
    <n v="1"/>
    <n v="1"/>
    <x v="1"/>
    <n v="0"/>
    <x v="1"/>
    <n v="3"/>
    <x v="1"/>
    <s v="n/a"/>
    <n v="0"/>
    <n v="0"/>
    <s v="n/a"/>
    <x v="1"/>
    <n v="0"/>
    <n v="0"/>
    <s v="n/a"/>
    <s v="n/a"/>
    <n v="0"/>
    <x v="1"/>
    <s v="te"/>
    <s v="ss"/>
    <s v="ss"/>
    <s v="topic-drop"/>
    <s v="all given"/>
    <s v="&quot;kono katana&quot; refers to the &quot;sayamaki&quot;, so all given"/>
    <m/>
    <n v="1"/>
    <x v="0"/>
    <s v="Yes"/>
  </r>
  <r>
    <s v="Heike 2.28"/>
    <s v="鬢に引き当てられたりけるが (kami ni hiki-ate raretarikeru ga)"/>
    <s v="and passed it through the hair of his head"/>
    <s v="引き当てられたりける"/>
    <s v="indicative"/>
    <s v="motion"/>
    <x v="1"/>
    <x v="1"/>
    <s v="active"/>
    <s v="positive"/>
    <n v="1"/>
    <n v="1"/>
    <x v="5"/>
    <n v="0"/>
    <x v="2"/>
    <n v="3"/>
    <x v="3"/>
    <s v="overt"/>
    <n v="0"/>
    <n v="0"/>
    <s v="n/a"/>
    <x v="3"/>
    <n v="0"/>
    <n v="1"/>
    <s v="sub"/>
    <s v="honorific_aux"/>
    <n v="0"/>
    <x v="6"/>
    <s v="te"/>
    <s v="ss"/>
    <s v="ds"/>
    <s v="topic-drop"/>
    <s v="contains_new"/>
    <s v="should the -to part be considered a clausal subject?"/>
    <m/>
    <n v="1"/>
    <x v="0"/>
    <s v="Yes"/>
  </r>
  <r>
    <s v="Heike 2.29"/>
    <s v="余所よりは氷などのやうにぞ見えたりける (yoso yori wa kōri nado no yō ni zo mieta rikeru)"/>
    <s v="so that it gleamed afar off with an icy sheen"/>
    <s v="見えたりける"/>
    <s v="indicative"/>
    <s v="perception"/>
    <x v="1"/>
    <x v="0"/>
    <s v="resultative"/>
    <s v="positive"/>
    <n v="1"/>
    <n v="0"/>
    <x v="2"/>
    <n v="2"/>
    <x v="1"/>
    <n v="3"/>
    <x v="0"/>
    <s v="n/a"/>
    <n v="0"/>
    <n v="0"/>
    <s v="n/a"/>
    <x v="0"/>
    <n v="0"/>
    <n v="0"/>
    <s v="n/a"/>
    <s v="n/a"/>
    <n v="0"/>
    <x v="2"/>
    <s v="subordinate"/>
    <s v="ds"/>
    <s v="ss"/>
    <s v="topic-drop"/>
    <s v="no_overt_NP"/>
    <m/>
    <m/>
    <n v="0"/>
    <x v="0"/>
    <s v="Yes"/>
  </r>
  <r>
    <s v="Heike 2.30"/>
    <s v="諸人目を澄ましけり (morobito me o sumashikeri)"/>
    <s v="causing all to stare open-eyed"/>
    <s v="澄ましけり"/>
    <s v="indicative"/>
    <s v="other"/>
    <x v="1"/>
    <x v="1"/>
    <s v="active"/>
    <s v="positive"/>
    <n v="1"/>
    <n v="2"/>
    <x v="7"/>
    <n v="0"/>
    <x v="1"/>
    <n v="3"/>
    <x v="1"/>
    <s v="overt"/>
    <n v="0"/>
    <n v="0"/>
    <s v="n/a"/>
    <x v="2"/>
    <n v="0"/>
    <n v="0"/>
    <s v="n/a"/>
    <s v="n/a"/>
    <n v="0"/>
    <x v="2"/>
    <s v="relative"/>
    <s v="ss"/>
    <s v="ds"/>
    <s v="topic-drop"/>
    <s v="contains_new"/>
    <m/>
    <m/>
    <n v="2"/>
    <x v="0"/>
    <s v="Yes"/>
  </r>
  <r>
    <s v="Heike 2.31"/>
    <s v="また忠盛の郎等元は一門たりし( mata Tadamori no rōtō moto wa ichimon tarishi) "/>
    <s v="Moreover a retainer of Tadamori ... "/>
    <s v="たりし"/>
    <s v="indicative"/>
    <s v="other"/>
    <x v="0"/>
    <x v="0"/>
    <s v="active"/>
    <s v="positive"/>
    <n v="1"/>
    <n v="1"/>
    <x v="0"/>
    <n v="1"/>
    <x v="0"/>
    <n v="3"/>
    <x v="0"/>
    <s v="n/a"/>
    <n v="0"/>
    <n v="0"/>
    <s v="REL"/>
    <x v="0"/>
    <n v="0"/>
    <n v="0"/>
    <s v="n/a"/>
    <s v="n/a"/>
    <n v="0"/>
    <x v="6"/>
    <s v="main"/>
    <s v="ds"/>
    <s v="ss"/>
    <s v="topic-introduced"/>
    <s v="contains_new"/>
    <m/>
    <m/>
    <n v="1"/>
    <x v="0"/>
    <s v="Yes"/>
  </r>
  <r>
    <s v="Heike 2.32"/>
    <s v="木工助平貞光が孫新四郎太夫家房が子に左兵衛尉家貞といふ者あり (Moku no suke Sadamitsu ga mago Shinshirō Tayū Iefusa ga ko ni Sahyōe no jō Iesada to iu mono ari)"/>
    <s v="there was one named Sahyoe-no-jo Iesada"/>
    <s v="あり"/>
    <s v="indicative"/>
    <s v="other"/>
    <x v="7"/>
    <x v="0"/>
    <s v="active"/>
    <s v="positive"/>
    <n v="1"/>
    <n v="1"/>
    <x v="0"/>
    <n v="2"/>
    <x v="0"/>
    <n v="3"/>
    <x v="0"/>
    <s v="n/a"/>
    <n v="0"/>
    <n v="0"/>
    <s v="n/a"/>
    <x v="2"/>
    <n v="0"/>
    <n v="0"/>
    <s v="n/a"/>
    <s v="n/a"/>
    <n v="0"/>
    <x v="2"/>
    <s v="relative"/>
    <s v="ss"/>
    <s v="ss"/>
    <s v="topic-introduced"/>
    <s v="contains_new"/>
    <s v="frame predicate"/>
    <m/>
    <n v="1"/>
    <x v="0"/>
    <s v="Yes"/>
  </r>
  <r>
    <s v="Heike 2.33"/>
    <s v="薄青の狩衣の下に萌黄威の腹巻を着 (usuao no kariginu no shita ni moegi-odoshi no haramaki o ki)"/>
    <s v="wearing a body armour laced with bright green under a light green &quot;kariginu&quot;"/>
    <s v="着"/>
    <s v="indicative"/>
    <s v="other"/>
    <x v="1"/>
    <x v="1"/>
    <s v="active"/>
    <s v="positive"/>
    <n v="1"/>
    <n v="1"/>
    <x v="1"/>
    <n v="1"/>
    <x v="1"/>
    <n v="3"/>
    <x v="1"/>
    <s v="n/a"/>
    <n v="0"/>
    <n v="0"/>
    <s v="n/a"/>
    <x v="5"/>
    <n v="0"/>
    <n v="0"/>
    <s v="n/a"/>
    <s v="n/a"/>
    <n v="0"/>
    <x v="2"/>
    <s v="main"/>
    <s v="ss"/>
    <s v="ss"/>
    <s v="topic-drop"/>
    <s v="contains_new"/>
    <m/>
    <m/>
    <n v="1"/>
    <x v="0"/>
    <s v="Yes"/>
  </r>
  <r>
    <s v="Heike 2.34"/>
    <s v="柄弦袋付けたる ezurubukuro tsuketaru "/>
    <s v="with a bowstring bag attached"/>
    <s v="付けたる"/>
    <s v="indicative"/>
    <s v="other"/>
    <x v="1"/>
    <x v="1"/>
    <s v="active"/>
    <s v="positive"/>
    <n v="1"/>
    <n v="1"/>
    <x v="1"/>
    <n v="0"/>
    <x v="1"/>
    <n v="3"/>
    <x v="1"/>
    <s v="n/a"/>
    <n v="1"/>
    <n v="0"/>
    <s v="REL"/>
    <x v="0"/>
    <n v="0"/>
    <n v="0"/>
    <s v="n/a"/>
    <s v="n/a"/>
    <n v="0"/>
    <x v="2"/>
    <s v="inf"/>
    <s v="ss"/>
    <s v="ss"/>
    <s v="topic-drop"/>
    <s v="contains_new"/>
    <m/>
    <m/>
    <n v="1"/>
    <x v="0"/>
    <s v="Yes"/>
  </r>
  <r>
    <s v="Heike 2.35"/>
    <s v="太刀脇挟んで (tachi wakihasande)"/>
    <s v="and carrying under his arm a &quot;tachi&quot; "/>
    <s v="挟んで"/>
    <s v="indicative"/>
    <s v="other"/>
    <x v="1"/>
    <x v="1"/>
    <s v="active"/>
    <s v="positive"/>
    <n v="1"/>
    <n v="2"/>
    <x v="7"/>
    <n v="0"/>
    <x v="1"/>
    <n v="3"/>
    <x v="1"/>
    <s v="overt"/>
    <n v="0"/>
    <n v="0"/>
    <s v="n/a"/>
    <x v="1"/>
    <n v="0"/>
    <n v="0"/>
    <s v="n/a"/>
    <s v="n/a"/>
    <n v="0"/>
    <x v="2"/>
    <s v="relative"/>
    <s v="ss"/>
    <s v="ss"/>
    <s v="topic-drop"/>
    <s v="contains_new"/>
    <m/>
    <m/>
    <n v="2"/>
    <x v="0"/>
    <s v="Yes"/>
  </r>
  <r>
    <s v="Heike 2.36"/>
    <s v="殿上の小庭に畏つてぞ候ひける (tenjō no koniwa ni kashikomatte zo soroikyeru)"/>
    <s v="was waiting in the &quot;koniwa,&quot; the small court by the Seiryoden"/>
    <s v="畏つて候ひける"/>
    <s v="indicative"/>
    <s v="other"/>
    <x v="2"/>
    <x v="0"/>
    <s v="active"/>
    <s v="positive"/>
    <n v="1"/>
    <n v="0"/>
    <x v="2"/>
    <n v="1"/>
    <x v="1"/>
    <n v="3"/>
    <x v="0"/>
    <s v="n/a"/>
    <n v="0"/>
    <n v="0"/>
    <s v="n/a"/>
    <x v="2"/>
    <n v="0"/>
    <n v="1"/>
    <s v="sub"/>
    <s v="lexical_humble_verb"/>
    <n v="0"/>
    <x v="2"/>
    <s v="te"/>
    <s v="ss"/>
    <s v="ds"/>
    <s v="topic-drop"/>
    <s v="no_overt_NP"/>
    <m/>
    <m/>
    <n v="0"/>
    <x v="0"/>
    <s v="Yes"/>
  </r>
  <r>
    <s v="Heike 2.37"/>
    <s v="貫首以下怪しみをなして (kanshu ika ayashimi o nashite)"/>
    <s v="Now the Kurando-no-to and others, thinking it strange,"/>
    <s v="なして"/>
    <s v="indicative"/>
    <s v="other"/>
    <x v="8"/>
    <x v="1"/>
    <s v="active"/>
    <s v="negative"/>
    <n v="1"/>
    <n v="2"/>
    <x v="3"/>
    <n v="0"/>
    <x v="0"/>
    <n v="3"/>
    <x v="1"/>
    <s v="n/a"/>
    <n v="0"/>
    <n v="0"/>
    <s v="n/a"/>
    <x v="1"/>
    <n v="0"/>
    <n v="0"/>
    <s v="n/a"/>
    <s v="n/a"/>
    <n v="0"/>
    <x v="1"/>
    <s v="main"/>
    <s v="ds"/>
    <s v="ss"/>
    <s v="topic-shift"/>
    <s v="contains_new"/>
    <m/>
    <m/>
    <n v="2"/>
    <x v="0"/>
    <s v="Yes"/>
  </r>
  <r>
    <s v="Heike 2.38"/>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s v="other"/>
    <x v="1"/>
    <x v="0"/>
    <s v="active"/>
    <s v="positive"/>
    <n v="1"/>
    <n v="1"/>
    <x v="0"/>
    <n v="1"/>
    <x v="0"/>
    <n v="3"/>
    <x v="0"/>
    <s v="n/a"/>
    <n v="0"/>
    <n v="0"/>
    <s v="SUB"/>
    <x v="4"/>
    <n v="1"/>
    <n v="0"/>
    <s v="sub"/>
    <s v="lexical_humble_verb"/>
    <n v="0"/>
    <x v="2"/>
    <s v="te"/>
    <s v="ss"/>
    <s v="ss"/>
    <s v="topic-shift"/>
    <s v="contains_new"/>
    <s v="internally headed"/>
    <m/>
    <n v="1"/>
    <x v="0"/>
    <s v="Yes"/>
  </r>
  <r>
    <s v="Heike 2.39"/>
    <s v="は何者ぞ  wa nani mono zo"/>
    <s v="and wondering who he was."/>
    <s v="何者ぞ  "/>
    <s v="indicative"/>
    <s v="other"/>
    <x v="0"/>
    <x v="0"/>
    <s v="active"/>
    <s v="positive"/>
    <n v="1"/>
    <n v="1"/>
    <x v="0"/>
    <n v="0"/>
    <x v="0"/>
    <n v="3"/>
    <x v="0"/>
    <s v="n/a"/>
    <n v="0"/>
    <n v="0"/>
    <s v="n/a"/>
    <x v="2"/>
    <n v="0"/>
    <n v="0"/>
    <s v="n/a"/>
    <s v="n/a"/>
    <n v="0"/>
    <x v="2"/>
    <s v="nominalised"/>
    <s v="ss"/>
    <s v="ss"/>
    <s v="topic-continued"/>
    <s v="all given"/>
    <m/>
    <m/>
    <n v="1"/>
    <x v="0"/>
    <s v="Yes"/>
  </r>
  <r>
    <s v="Heike 2.40"/>
    <s v="狼藉なり (rōzaku nari)"/>
    <s v="&quot;[He is] disorderly&quot;"/>
    <s v="なり"/>
    <s v="indicative"/>
    <s v="stative"/>
    <x v="0"/>
    <x v="0"/>
    <s v="active"/>
    <s v="positive"/>
    <n v="1"/>
    <n v="0"/>
    <x v="2"/>
    <n v="0"/>
    <x v="4"/>
    <n v="3"/>
    <x v="0"/>
    <s v="n/a"/>
    <n v="0"/>
    <n v="0"/>
    <s v="n/a"/>
    <x v="2"/>
    <n v="0"/>
    <n v="0"/>
    <s v="n/a"/>
    <s v="n/a"/>
    <n v="0"/>
    <x v="2"/>
    <s v="main"/>
    <s v="ss"/>
    <s v="ss"/>
    <s v="topic-drop"/>
    <s v="no_overt_NP"/>
    <m/>
    <m/>
    <n v="0"/>
    <x v="0"/>
    <s v="Yes"/>
  </r>
  <r>
    <s v="Heike 2.41"/>
    <s v="疾う疾う罷り出でよと (tōtō makari ideyo to)"/>
    <s v="&quot;Depart quickly&quot;"/>
    <s v="罷り出でよ"/>
    <s v="imperative"/>
    <s v="motion"/>
    <x v="1"/>
    <x v="0"/>
    <s v="active"/>
    <s v="positive"/>
    <n v="1"/>
    <n v="0"/>
    <x v="2"/>
    <n v="0"/>
    <x v="1"/>
    <n v="2"/>
    <x v="0"/>
    <s v="n/a"/>
    <n v="0"/>
    <n v="0"/>
    <s v="n/a"/>
    <x v="6"/>
    <n v="0"/>
    <n v="1"/>
    <s v="sub"/>
    <s v="lexical_humble_verb"/>
    <n v="0"/>
    <x v="4"/>
    <s v="main"/>
    <s v="ss"/>
    <s v="ss"/>
    <s v="topic-drop"/>
    <s v="no_overt_NP"/>
    <s v="embedded"/>
    <m/>
    <n v="0"/>
    <x v="0"/>
    <s v="Yes"/>
  </r>
  <r>
    <s v="Heike 2.42"/>
    <s v="六位を以て云はせられたりければ (to roku-i o motte iwaseraretarikereba)"/>
    <s v="an official of the sixth rank ordered him to depart quickly."/>
    <s v="云はせられたりければ"/>
    <s v="indicative"/>
    <s v="stative"/>
    <x v="1"/>
    <x v="0"/>
    <s v="causative-passive-resultative"/>
    <s v="positive"/>
    <n v="1"/>
    <n v="2"/>
    <x v="8"/>
    <n v="1"/>
    <x v="1"/>
    <n v="3"/>
    <x v="1"/>
    <s v="n/a"/>
    <n v="0"/>
    <n v="0"/>
    <s v="n/a"/>
    <x v="3"/>
    <n v="1"/>
    <n v="0"/>
    <s v="n/a"/>
    <s v="honorific_aux"/>
    <n v="0"/>
    <x v="2"/>
    <s v="complement"/>
    <s v="ss"/>
    <s v="ss"/>
    <s v="topic-drop"/>
    <s v="contains_new"/>
    <m/>
    <m/>
    <n v="2"/>
    <x v="0"/>
    <s v="Yes"/>
  </r>
  <r>
    <s v="Heike 2.43"/>
    <s v="家貞畏つて申しけるは (Iesada kashikomatte mōshikeru wa)"/>
    <s v="But Iesada thus replied:"/>
    <s v="申しける"/>
    <s v="indicative"/>
    <s v="action"/>
    <x v="1"/>
    <x v="1"/>
    <s v="active"/>
    <s v="positive"/>
    <n v="1"/>
    <n v="1"/>
    <x v="0"/>
    <n v="0"/>
    <x v="0"/>
    <n v="3"/>
    <x v="5"/>
    <s v="n/a"/>
    <n v="1"/>
    <n v="0"/>
    <s v="SUB"/>
    <x v="3"/>
    <n v="1"/>
    <n v="0"/>
    <s v="sub"/>
    <s v="lexical_humble_verb"/>
    <n v="0"/>
    <x v="2"/>
    <s v="subordinate"/>
    <s v="ss"/>
    <s v="ds"/>
    <s v="topic-continued"/>
    <s v="all given"/>
    <s v="internally headed"/>
    <m/>
    <n v="1"/>
    <x v="0"/>
    <s v="Yes"/>
  </r>
  <r>
    <s v="Heike 2.44"/>
    <s v="相伝の主備前守殿今夜闇討にせられ給ふべき (sōden no aruji Bizen no kami-dono kon'ya yamiuchi ni serare-tamō beki) "/>
    <s v="tonight they will try to kill my Lord Bizen-no-kami dono&quot;"/>
    <s v="闇討にせられ給ふ"/>
    <s v="indicative"/>
    <s v="other"/>
    <x v="3"/>
    <x v="0"/>
    <s v="passive"/>
    <s v="positive"/>
    <n v="1"/>
    <n v="1"/>
    <x v="0"/>
    <n v="1"/>
    <x v="0"/>
    <n v="3"/>
    <x v="0"/>
    <s v="n/a"/>
    <n v="0"/>
    <n v="1"/>
    <s v="REL"/>
    <x v="0"/>
    <n v="1"/>
    <n v="0"/>
    <s v="sub"/>
    <s v="lexical_honorific_verb"/>
    <n v="0"/>
    <x v="2"/>
    <s v="subordinate"/>
    <s v="ds"/>
    <s v="ss"/>
    <s v="topic-shift"/>
    <s v="contains_new"/>
    <m/>
    <m/>
    <n v="1"/>
    <x v="1"/>
    <s v="Yes"/>
  </r>
  <r>
    <s v="Heike 2.45"/>
    <s v="由伝へ承つて(yoshi tsutae uketamawatte) "/>
    <s v="Because I have heard that"/>
    <s v="伝へ承つて"/>
    <s v="indicative"/>
    <s v="communication"/>
    <x v="1"/>
    <x v="1"/>
    <s v="active"/>
    <s v="positive"/>
    <n v="1"/>
    <n v="1"/>
    <x v="1"/>
    <n v="0"/>
    <x v="1"/>
    <n v="1"/>
    <x v="1"/>
    <s v="n/a"/>
    <n v="0"/>
    <n v="0"/>
    <s v="n/a"/>
    <x v="1"/>
    <n v="0"/>
    <n v="1"/>
    <s v="sub"/>
    <s v="honorific_aux"/>
    <n v="0"/>
    <x v="1"/>
    <s v="relative"/>
    <s v="ss"/>
    <s v="ds"/>
    <s v="topic-drop"/>
    <s v="contains_new"/>
    <m/>
    <m/>
    <n v="1"/>
    <x v="0"/>
    <s v="Yes"/>
  </r>
  <r>
    <s v="Heike 2.46"/>
    <s v="それならん  (sore naran )"/>
    <s v="&quot;whether it is so&quot;"/>
    <s v="ならん "/>
    <s v="epistemic"/>
    <s v="other"/>
    <x v="1"/>
    <x v="0"/>
    <s v="active"/>
    <s v="positive"/>
    <n v="1"/>
    <n v="1"/>
    <x v="0"/>
    <n v="0"/>
    <x v="0"/>
    <n v="3"/>
    <x v="0"/>
    <s v="n/a"/>
    <n v="0"/>
    <n v="1"/>
    <s v="REL"/>
    <x v="0"/>
    <n v="0"/>
    <n v="0"/>
    <s v="n/a"/>
    <s v="n/a"/>
    <n v="0"/>
    <x v="2"/>
    <s v="te"/>
    <s v="ds"/>
    <s v="ds"/>
    <s v="topic-continued"/>
    <s v="all given"/>
    <m/>
    <m/>
    <n v="1"/>
    <x v="0"/>
    <s v="Yes"/>
  </r>
  <r>
    <s v="Heike 2.47"/>
    <s v="やうを見んとて (yō o min to te)"/>
    <s v="and in order to see "/>
    <s v="見ん"/>
    <s v="dynamic"/>
    <s v="perception"/>
    <x v="1"/>
    <x v="1"/>
    <s v="active"/>
    <s v="positive"/>
    <n v="1"/>
    <n v="1"/>
    <x v="1"/>
    <n v="0"/>
    <x v="1"/>
    <n v="1"/>
    <x v="1"/>
    <s v="n/a"/>
    <n v="0"/>
    <n v="0"/>
    <s v="REL"/>
    <x v="3"/>
    <n v="0"/>
    <n v="0"/>
    <s v="n/a"/>
    <s v="n/a"/>
    <n v="0"/>
    <x v="7"/>
    <s v="relative"/>
    <s v="ds"/>
    <s v="ss"/>
    <s v="topic-drop"/>
    <s v="contains_new"/>
    <m/>
    <m/>
    <n v="1"/>
    <x v="0"/>
    <s v="Yes"/>
  </r>
  <r>
    <s v="Heike 2.48"/>
    <s v="かくて候ふなり (kakute soro fu nari)"/>
    <s v="&quot;have come and am thus waiting&quot;"/>
    <s v="候ふなり"/>
    <s v="indicative"/>
    <s v="stative"/>
    <x v="2"/>
    <x v="0"/>
    <s v="active"/>
    <s v="positive"/>
    <n v="1"/>
    <n v="0"/>
    <x v="2"/>
    <n v="1"/>
    <x v="2"/>
    <n v="1"/>
    <x v="0"/>
    <s v="n/a"/>
    <n v="0"/>
    <n v="0"/>
    <s v="n/a"/>
    <x v="2"/>
    <n v="0"/>
    <n v="1"/>
    <s v="sub"/>
    <s v="lexical_humble_verb"/>
    <n v="0"/>
    <x v="2"/>
    <s v="subordinate"/>
    <s v="ss"/>
    <s v="ss"/>
    <s v="topic-drop"/>
    <s v="no_overt_NP"/>
    <m/>
    <m/>
    <n v="0"/>
    <x v="0"/>
    <s v="Yes"/>
  </r>
  <r>
    <s v="Heike 2.49"/>
    <s v="えこそ出でまじう候へ (e koso idema jiu soro e)"/>
    <s v="&quot;I cannot possibly go out&quot;"/>
    <s v="出でまじう候へ"/>
    <s v="dynamic"/>
    <s v="motion"/>
    <x v="1"/>
    <x v="0"/>
    <s v="active"/>
    <s v="negative"/>
    <n v="1"/>
    <n v="0"/>
    <x v="2"/>
    <n v="0"/>
    <x v="2"/>
    <n v="1"/>
    <x v="0"/>
    <s v="n/a"/>
    <n v="0"/>
    <n v="0"/>
    <s v="n/a"/>
    <x v="2"/>
    <n v="0"/>
    <n v="1"/>
    <s v="sub"/>
    <s v="polite_aux"/>
    <n v="0"/>
    <x v="2"/>
    <s v="main"/>
    <s v="ss"/>
    <s v="ds"/>
    <s v="topic-drop"/>
    <s v="no_overt_NP"/>
    <m/>
    <m/>
    <n v="0"/>
    <x v="0"/>
    <s v="Yes"/>
  </r>
  <r>
    <s v="Heike 2.50"/>
    <s v="これらを由なしとや (korera o yoshi nashi to ya)"/>
    <s v=" there was nothing more to be done;"/>
    <s v="なし"/>
    <s v="indicative"/>
    <s v="stative"/>
    <x v="7"/>
    <x v="0"/>
    <s v="active"/>
    <s v="negative"/>
    <n v="1"/>
    <n v="1"/>
    <x v="0"/>
    <n v="1"/>
    <x v="0"/>
    <n v="3"/>
    <x v="0"/>
    <s v="n/a"/>
    <n v="0"/>
    <n v="0"/>
    <s v="n/a"/>
    <x v="6"/>
    <n v="0"/>
    <n v="0"/>
    <s v="n/a"/>
    <s v="n/a"/>
    <n v="0"/>
    <x v="4"/>
    <s v="main"/>
    <s v="ds"/>
    <m/>
    <s v="topic-continued"/>
    <s v="contains_new"/>
    <m/>
    <m/>
    <n v="1"/>
    <x v="0"/>
    <s v="Yes"/>
  </r>
  <r>
    <m/>
    <s v="思はれけん (omowareken)"/>
    <s v="And they saw that"/>
    <s v="思はれけん"/>
    <s v="epistemic"/>
    <s v="psych-state"/>
    <x v="1"/>
    <x v="1"/>
    <s v="active"/>
    <s v="positive"/>
    <n v="1"/>
    <n v="1"/>
    <x v="9"/>
    <n v="0"/>
    <x v="2"/>
    <n v="3"/>
    <x v="1"/>
    <s v="n/a"/>
    <n v="0"/>
    <n v="0"/>
    <s v="n/a"/>
    <x v="2"/>
    <n v="0"/>
    <n v="1"/>
    <s v="sub"/>
    <s v="honorific_aux"/>
    <n v="0"/>
    <x v="8"/>
    <m/>
    <s v="ds"/>
    <m/>
    <s v="topic-drop"/>
    <s v="contains_new"/>
    <m/>
    <m/>
    <n v="1"/>
    <x v="0"/>
    <s v="Yes"/>
  </r>
  <r>
    <s v="Heike 2.51"/>
    <s v="その夜の闇討なかりけり (sono yo no yamiuchi nakarikeri)"/>
    <s v="and thus the attempt did not take place."/>
    <s v="なかりけり"/>
    <s v="indicative"/>
    <s v="aux/modal"/>
    <x v="1"/>
    <x v="0"/>
    <s v="active"/>
    <s v="negative"/>
    <n v="1"/>
    <n v="1"/>
    <x v="0"/>
    <n v="0"/>
    <x v="0"/>
    <s v="inanimate"/>
    <x v="0"/>
    <s v="n/a"/>
    <n v="0"/>
    <n v="0"/>
    <s v="n/a"/>
    <x v="2"/>
    <n v="0"/>
    <n v="0"/>
    <s v="n/a"/>
    <s v="n/a"/>
    <n v="0"/>
    <x v="2"/>
    <s v="main"/>
    <s v="ss"/>
    <s v="ds"/>
    <s v="topic-shift"/>
    <s v="contains_new"/>
    <m/>
    <m/>
    <n v="1"/>
    <x v="0"/>
    <s v="Yes"/>
  </r>
  <r>
    <s v="Heike 2.52"/>
    <s v="忠盛また御前の召しに舞はれけるに (Tadamori mata gozen no meshi ni mawarekeru ni)"/>
    <s v="But when Tadamori danced in the August presence of the Mikado at his Imperial wish,"/>
    <s v="舞はれける"/>
    <s v="indicative"/>
    <s v="action"/>
    <x v="1"/>
    <x v="0"/>
    <s v="active"/>
    <s v="positive"/>
    <n v="1"/>
    <n v="1"/>
    <x v="0"/>
    <n v="1"/>
    <x v="0"/>
    <n v="3"/>
    <x v="0"/>
    <s v="n/a"/>
    <n v="0"/>
    <n v="0"/>
    <s v="REL"/>
    <x v="3"/>
    <n v="1"/>
    <n v="0"/>
    <s v="sub"/>
    <s v="honorific_aux"/>
    <n v="0"/>
    <x v="0"/>
    <s v="main"/>
    <s v="ds"/>
    <s v="ds"/>
    <s v="topic-shift"/>
    <s v="contains_new"/>
    <m/>
    <m/>
    <n v="1"/>
    <x v="0"/>
    <s v="Yes"/>
  </r>
  <r>
    <s v="Heike 2.53"/>
    <s v="人々拍子を変へて (hitobito hyōshi o kaete)"/>
    <s v="the others mocked at him, changing the words of the music"/>
    <s v="変へて"/>
    <s v="indicative"/>
    <s v="other"/>
    <x v="1"/>
    <x v="1"/>
    <s v="active"/>
    <s v="positive"/>
    <n v="1"/>
    <n v="2"/>
    <x v="3"/>
    <n v="0"/>
    <x v="0"/>
    <n v="3"/>
    <x v="1"/>
    <s v="n/a"/>
    <n v="0"/>
    <n v="0"/>
    <s v="n/a"/>
    <x v="1"/>
    <n v="0"/>
    <n v="0"/>
    <s v="n/a"/>
    <s v="n/a"/>
    <n v="0"/>
    <x v="1"/>
    <s v="subordinate"/>
    <s v="ds"/>
    <s v="ds"/>
    <s v="topic-shift"/>
    <s v="contains_new"/>
    <m/>
    <m/>
    <n v="2"/>
    <x v="0"/>
    <s v="Yes"/>
  </r>
  <r>
    <s v="Heike 2.54"/>
    <s v="伊勢へいじはすがめなりけりとぞ (Ise heiji wa sugame narikeri)"/>
    <s v="&quot;the winepot of Ise has turned into a vinegar jar&quot;"/>
    <s v="なりけり"/>
    <s v="indicative"/>
    <s v="stative"/>
    <x v="0"/>
    <x v="0"/>
    <s v="active"/>
    <s v="positive"/>
    <n v="1"/>
    <n v="1"/>
    <x v="0"/>
    <n v="0"/>
    <x v="0"/>
    <n v="3"/>
    <x v="0"/>
    <s v="n/a"/>
    <n v="0"/>
    <n v="0"/>
    <s v="n/a"/>
    <x v="6"/>
    <n v="0"/>
    <n v="0"/>
    <s v="n/a"/>
    <s v="n/a"/>
    <n v="0"/>
    <x v="4"/>
    <s v="te"/>
    <s v="ds"/>
    <s v="ss"/>
    <s v="topic-introduced"/>
    <s v="contains_new"/>
    <m/>
    <m/>
    <n v="1"/>
    <x v="0"/>
    <s v="Yes"/>
  </r>
  <r>
    <s v="Heike 2.55"/>
    <s v="囃されける (to zo hayasarekeru)"/>
    <s v="they sang in mockery"/>
    <s v="囃されける"/>
    <s v="indicative"/>
    <s v="action"/>
    <x v="1"/>
    <x v="1"/>
    <s v="active"/>
    <s v="positive"/>
    <n v="1"/>
    <n v="1"/>
    <x v="9"/>
    <n v="0"/>
    <x v="2"/>
    <n v="3"/>
    <x v="1"/>
    <s v="n/a"/>
    <n v="0"/>
    <n v="0"/>
    <s v="kakari-musubi"/>
    <x v="2"/>
    <n v="0"/>
    <n v="1"/>
    <s v="sub"/>
    <s v="honorific_aux"/>
    <n v="0"/>
    <x v="8"/>
    <s v="complement"/>
    <s v="ss"/>
    <s v="ss"/>
    <s v="topic-drop"/>
    <s v="contains_new"/>
    <m/>
    <m/>
    <n v="1"/>
    <x v="0"/>
    <s v="Yes"/>
  </r>
  <r>
    <s v="Heike 2.56"/>
    <s v="かけまくも忝くこの人々は柏原天皇の御末とは申しながら (kakemakumo katabokaku kono hitobito wa Kashiwabara Tennō no o-sue to wa mōshinagara)"/>
    <s v="In thus mentioning the vessels of his province they punned on his title..."/>
    <s v="申しながら"/>
    <s v="indicative"/>
    <s v="communication"/>
    <x v="1"/>
    <x v="1"/>
    <s v="active"/>
    <s v="positive"/>
    <n v="1"/>
    <n v="2"/>
    <x v="10"/>
    <n v="1"/>
    <x v="0"/>
    <n v="3"/>
    <x v="1"/>
    <s v="n/a"/>
    <n v="0"/>
    <n v="0"/>
    <s v="n/a"/>
    <x v="3"/>
    <n v="1"/>
    <n v="0"/>
    <s v="sub"/>
    <s v="lexical_humble_verb"/>
    <n v="0"/>
    <x v="0"/>
    <s v="main"/>
    <s v="ss"/>
    <s v="ds"/>
    <s v="topic-shift"/>
    <s v="contains_new"/>
    <m/>
    <m/>
    <n v="2"/>
    <x v="0"/>
    <s v="Yes"/>
  </r>
  <r>
    <s v="Heike 2.57"/>
    <s v="中比は都の住まひも疎々しく (chūbi wa miyako no sumai mo utoutoshiku)"/>
    <s v="and since lately his family had lived away from the capital,"/>
    <s v="疎々しく"/>
    <s v="indicative"/>
    <s v="psych-state"/>
    <x v="5"/>
    <x v="0"/>
    <s v="active"/>
    <s v="positive"/>
    <n v="1"/>
    <n v="1"/>
    <x v="0"/>
    <n v="1"/>
    <x v="0"/>
    <n v="3"/>
    <x v="0"/>
    <s v="n/a"/>
    <n v="0"/>
    <n v="0"/>
    <s v="n/a"/>
    <x v="2"/>
    <n v="0"/>
    <n v="0"/>
    <s v="n/a"/>
    <s v="n/a"/>
    <n v="0"/>
    <x v="2"/>
    <s v="subordinate"/>
    <s v="ds"/>
    <s v="ss"/>
    <s v="topic-shift"/>
    <s v="contains_new"/>
    <m/>
    <m/>
    <n v="1"/>
    <x v="0"/>
    <s v="Yes"/>
  </r>
  <r>
    <s v="Heike 2.58"/>
    <s v="地下にのみ振舞ひなつて ( jige ni nomi furumai natte)"/>
    <s v=" behaving as mere provincial folk"/>
    <s v="振舞ひなつて"/>
    <s v="indicative"/>
    <s v="other"/>
    <x v="4"/>
    <x v="0"/>
    <s v="active"/>
    <s v="positive"/>
    <n v="1"/>
    <n v="1"/>
    <x v="5"/>
    <n v="0"/>
    <x v="1"/>
    <n v="3"/>
    <x v="0"/>
    <s v="overt"/>
    <n v="0"/>
    <n v="0"/>
    <s v="n/a"/>
    <x v="1"/>
    <n v="0"/>
    <n v="0"/>
    <s v="n/a"/>
    <s v="n/a"/>
    <n v="0"/>
    <x v="1"/>
    <s v="main"/>
    <s v="ss"/>
    <s v="ss"/>
    <s v="topic-drop"/>
    <s v="contains_new"/>
    <m/>
    <m/>
    <n v="1"/>
    <x v="0"/>
    <s v="Yes"/>
  </r>
  <r>
    <s v="Heike 2.59"/>
    <s v="伊勢国に住国深かりしかば  (Ise no kuni ni sumikoku fukakarishikaba)"/>
    <s v="and as they lived deep in Ise province, they likened him to the vessels of that province"/>
    <s v="深かりしかば"/>
    <s v="indicative"/>
    <s v="psych-state"/>
    <x v="5"/>
    <x v="0"/>
    <s v="active"/>
    <s v="positive"/>
    <n v="1"/>
    <n v="1"/>
    <x v="0"/>
    <n v="1"/>
    <x v="1"/>
    <n v="3"/>
    <x v="0"/>
    <s v="n/a"/>
    <n v="0"/>
    <n v="0"/>
    <s v="n/a"/>
    <x v="3"/>
    <n v="0"/>
    <n v="0"/>
    <s v="n/a"/>
    <s v="n/a"/>
    <n v="0"/>
    <x v="3"/>
    <s v="te"/>
    <s v="ss"/>
    <s v="ds"/>
    <s v="topic-drop"/>
    <s v="contains_new"/>
    <m/>
    <m/>
    <n v="1"/>
    <x v="0"/>
    <s v="Yes"/>
  </r>
  <r>
    <s v="Heike 2.60"/>
    <s v="その国の器に言寄せて"/>
    <s v="sono kuni no utsuwa ni kotoyosete)"/>
    <s v="言寄せて"/>
    <s v="indicative"/>
    <s v="communication"/>
    <x v="1"/>
    <x v="3"/>
    <s v="active"/>
    <s v="positive"/>
    <n v="1"/>
    <n v="1"/>
    <x v="5"/>
    <n v="0"/>
    <x v="5"/>
    <n v="3"/>
    <x v="6"/>
    <s v="overt"/>
    <n v="0"/>
    <n v="0"/>
    <s v="n/a"/>
    <x v="1"/>
    <n v="0"/>
    <n v="0"/>
    <s v="n/a"/>
    <s v="n/a"/>
    <n v="0"/>
    <x v="1"/>
    <s v="subordinate"/>
    <s v="ds"/>
    <s v="ss"/>
    <s v="topic-drop"/>
    <s v="contains_new"/>
    <m/>
    <m/>
    <n v="1"/>
    <x v="0"/>
    <s v="Yes"/>
  </r>
  <r>
    <s v="Heike 2.61"/>
    <s v="伊勢平氏とぞ囃されける (Ise Heishi to zo hayasarekeru)"/>
    <s v="so they mocked him as 'Ise Heishi'"/>
    <s v="囃されける"/>
    <s v="indicative"/>
    <s v="action"/>
    <x v="1"/>
    <x v="0"/>
    <s v="passive"/>
    <s v="positive"/>
    <n v="1"/>
    <n v="1"/>
    <x v="9"/>
    <n v="0"/>
    <x v="1"/>
    <n v="3"/>
    <x v="0"/>
    <s v="overt"/>
    <n v="0"/>
    <n v="0"/>
    <s v="kakari-musubi"/>
    <x v="2"/>
    <n v="0"/>
    <n v="0"/>
    <s v="n/a"/>
    <s v="n/a"/>
    <n v="0"/>
    <x v="2"/>
    <s v="te"/>
    <s v="ss"/>
    <s v="ds"/>
    <s v="topic-drop"/>
    <s v="contains_new"/>
    <m/>
    <m/>
    <n v="1"/>
    <x v="0"/>
    <s v="Yes"/>
  </r>
  <r>
    <s v="Heike 2.62"/>
    <s v="その上忠盛目の眇まれたりける故にこそ (sono ue Tadamori me no sugamaretari keru yue ni koso)"/>
    <s v="moreover, because Tadamori's eyes were squinted, "/>
    <s v="眇まれたりける"/>
    <s v="indicative"/>
    <s v="action"/>
    <x v="1"/>
    <x v="0"/>
    <s v="active"/>
    <s v="positive"/>
    <n v="1"/>
    <n v="1"/>
    <x v="0"/>
    <n v="1"/>
    <x v="0"/>
    <n v="3"/>
    <x v="0"/>
    <s v="n/a"/>
    <n v="0"/>
    <n v="1"/>
    <s v="REL"/>
    <x v="3"/>
    <n v="0"/>
    <n v="0"/>
    <s v="n/a"/>
    <s v="n/a"/>
    <n v="0"/>
    <x v="3"/>
    <s v="main"/>
    <s v="ds"/>
    <s v="ss"/>
    <s v="topic-continued"/>
    <s v="contains_new"/>
    <m/>
    <m/>
    <n v="1"/>
    <x v="0"/>
    <s v="Yes"/>
  </r>
  <r>
    <s v="Heike 2.63"/>
    <s v="かやうには囃されけるなれ  (kayō ni wa hayasarekeru nare)"/>
    <s v="he was mocked in such a way"/>
    <s v="囃されけるなれ"/>
    <s v="indicative"/>
    <s v="other"/>
    <x v="1"/>
    <x v="0"/>
    <s v="passive"/>
    <s v="positive"/>
    <n v="1"/>
    <n v="0"/>
    <x v="2"/>
    <n v="0"/>
    <x v="1"/>
    <n v="3"/>
    <x v="0"/>
    <s v="n/a"/>
    <n v="0"/>
    <n v="0"/>
    <s v="kakari-musubi"/>
    <x v="2"/>
    <n v="0"/>
    <n v="0"/>
    <s v="n/a"/>
    <s v="n/a"/>
    <n v="0"/>
    <x v="2"/>
    <s v="subordinate"/>
    <s v="ss"/>
    <s v="ss"/>
    <s v="topic-drop"/>
    <s v="no_overt_NP"/>
    <m/>
    <m/>
    <n v="0"/>
    <x v="0"/>
    <s v="Yes"/>
  </r>
  <r>
    <s v="Heike 2.64"/>
    <s v="忠盛何とすべきやうもなくして (Tadamori nan to subeki yō mo nakushite)"/>
    <s v="Tadamori, having no way of dealing with the situation,"/>
    <s v="なくして"/>
    <s v="indicative"/>
    <s v="other"/>
    <x v="1"/>
    <x v="1"/>
    <s v="active"/>
    <s v="negative"/>
    <n v="1"/>
    <n v="2"/>
    <x v="3"/>
    <n v="0"/>
    <x v="0"/>
    <n v="3"/>
    <x v="1"/>
    <s v="n/a"/>
    <n v="0"/>
    <n v="0"/>
    <s v="n/a"/>
    <x v="1"/>
    <n v="0"/>
    <n v="0"/>
    <s v="n/a"/>
    <s v="n/a"/>
    <n v="0"/>
    <x v="1"/>
    <s v="main"/>
    <s v="ss"/>
    <s v="ds"/>
    <s v="topic-continued"/>
    <s v="contains_new"/>
    <m/>
    <m/>
    <n v="2"/>
    <x v="0"/>
    <s v="Yes"/>
  </r>
  <r>
    <s v="Heike 2.65"/>
    <s v="御遊も未だ終らざる前に (gyoyū mo mada owarazaru mae ni)"/>
    <s v="before the entertainment had ended,"/>
    <s v="終らざる"/>
    <s v="indicative"/>
    <s v="other"/>
    <x v="1"/>
    <x v="0"/>
    <s v="active"/>
    <s v="negative"/>
    <n v="1"/>
    <n v="1"/>
    <x v="0"/>
    <n v="1"/>
    <x v="0"/>
    <n v="3"/>
    <x v="0"/>
    <s v="n/a"/>
    <n v="0"/>
    <n v="1"/>
    <s v="REL"/>
    <x v="3"/>
    <n v="0"/>
    <n v="0"/>
    <s v="n/a"/>
    <s v="n/a"/>
    <n v="0"/>
    <x v="0"/>
    <s v="te"/>
    <s v="ds"/>
    <s v="ds"/>
    <s v="topic-drop"/>
    <s v="contains_new"/>
    <m/>
    <m/>
    <n v="1"/>
    <x v="0"/>
    <s v="Yes"/>
  </r>
  <r>
    <s v="Heike 2.66"/>
    <s v="密かに罷り出でらるとて (hisokani makari ideraru tote)"/>
    <s v="he secretly left the Presence,"/>
    <s v="罷り出でらる"/>
    <s v="indicative"/>
    <s v="motion"/>
    <x v="1"/>
    <x v="0"/>
    <s v="active"/>
    <s v="positive"/>
    <n v="1"/>
    <n v="0"/>
    <x v="2"/>
    <n v="1"/>
    <x v="2"/>
    <n v="3"/>
    <x v="0"/>
    <s v="n/a"/>
    <n v="0"/>
    <n v="0"/>
    <s v="REL"/>
    <x v="3"/>
    <n v="0"/>
    <n v="1"/>
    <s v="sub"/>
    <s v="honorific_aux+lexical_honorific_verb"/>
    <n v="0"/>
    <x v="0"/>
    <s v="subordinate"/>
    <s v="ds"/>
    <s v="ss"/>
    <s v="topic-drop"/>
    <s v="no_overt_NP"/>
    <m/>
    <m/>
    <n v="0"/>
    <x v="0"/>
    <s v="Yes"/>
  </r>
  <r>
    <s v="Heike 2.67"/>
    <s v="紫宸殿の御後にして (Shishinden no o-ato ni shite)"/>
    <s v="and going behind the Shishinden,"/>
    <s v="後にして"/>
    <s v="indicative"/>
    <s v="other"/>
    <x v="9"/>
    <x v="0"/>
    <s v="active"/>
    <s v="positive"/>
    <n v="1"/>
    <n v="0"/>
    <x v="2"/>
    <n v="1"/>
    <x v="1"/>
    <n v="3"/>
    <x v="0"/>
    <s v="n/a"/>
    <n v="0"/>
    <n v="0"/>
    <s v="n/a"/>
    <x v="1"/>
    <n v="0"/>
    <n v="0"/>
    <s v="n/a"/>
    <s v="n/a"/>
    <n v="0"/>
    <x v="1"/>
    <s v="subordinate"/>
    <s v="ss"/>
    <s v="ds"/>
    <s v="topic-drop"/>
    <s v="no_overt_NP"/>
    <m/>
    <m/>
    <n v="0"/>
    <x v="1"/>
    <s v="Yes"/>
  </r>
  <r>
    <s v="Heike 2.68"/>
    <s v="かたへの殿上人の見られける (kata e no tenjōbito no mirarekeru)"/>
    <s v=" the court nobles could see him,"/>
    <s v="見られける"/>
    <s v="indicative"/>
    <s v="action"/>
    <x v="1"/>
    <x v="1"/>
    <s v="active"/>
    <s v="positive"/>
    <n v="1"/>
    <n v="1"/>
    <x v="0"/>
    <n v="0"/>
    <x v="0"/>
    <n v="3"/>
    <x v="3"/>
    <s v="n/a"/>
    <n v="0"/>
    <n v="1"/>
    <s v="REL"/>
    <x v="0"/>
    <n v="1"/>
    <n v="0"/>
    <s v="sub"/>
    <s v="honorific_aux"/>
    <n v="0"/>
    <x v="2"/>
    <s v="te"/>
    <s v="ds"/>
    <s v="ss"/>
    <s v="topic-introduced"/>
    <s v="contains_new"/>
    <m/>
    <m/>
    <n v="1"/>
    <x v="0"/>
    <s v="Yes"/>
  </r>
  <r>
    <s v="Heike 2.69"/>
    <s v="所にて主殿司を召して (tokoro nite tonomotsukasa o meshite azukeokite zo iderarekeru)"/>
    <s v="in a place where… he summoned the Tonomotsukasa, "/>
    <s v="召して "/>
    <s v="indicative"/>
    <s v="action"/>
    <x v="1"/>
    <x v="1"/>
    <s v="active"/>
    <s v="positive"/>
    <n v="1"/>
    <n v="1"/>
    <x v="1"/>
    <n v="1"/>
    <x v="2"/>
    <n v="3"/>
    <x v="1"/>
    <s v="n/a"/>
    <n v="0"/>
    <n v="0"/>
    <s v="n/a"/>
    <x v="1"/>
    <n v="0"/>
    <n v="1"/>
    <s v="sub"/>
    <s v="lexical_honorific_verb"/>
    <n v="0"/>
    <x v="1"/>
    <s v="relative"/>
    <s v="ss"/>
    <s v="ss"/>
    <s v="topic-drop"/>
    <s v="contains_new"/>
    <m/>
    <m/>
    <n v="1"/>
    <x v="0"/>
    <s v="Yes"/>
  </r>
  <r>
    <s v="Heike 2.70"/>
    <s v="預け置きてぞ"/>
    <s v=" entrusted [his sword]"/>
    <s v="預け置きて"/>
    <s v="indicative"/>
    <s v="other"/>
    <x v="1"/>
    <x v="1"/>
    <s v="active"/>
    <s v="positive"/>
    <n v="1"/>
    <n v="0"/>
    <x v="2"/>
    <n v="0"/>
    <x v="1"/>
    <n v="3"/>
    <x v="3"/>
    <s v="n/a"/>
    <n v="0"/>
    <n v="0"/>
    <s v="n/a"/>
    <x v="1"/>
    <n v="0"/>
    <n v="0"/>
    <s v="n/a"/>
    <s v="n/a"/>
    <n v="0"/>
    <x v="2"/>
    <s v="te"/>
    <s v="ss"/>
    <s v="ss"/>
    <s v="topic-drop"/>
    <s v="no_overt_NP"/>
    <m/>
    <m/>
    <n v="0"/>
    <x v="0"/>
    <s v="Yes"/>
  </r>
  <r>
    <s v="Heike 2.71"/>
    <s v="出でられける"/>
    <s v="and left,"/>
    <s v="出でられける"/>
    <s v="indicative"/>
    <s v="motion"/>
    <x v="1"/>
    <x v="0"/>
    <s v="active"/>
    <s v="positive"/>
    <n v="1"/>
    <n v="0"/>
    <x v="2"/>
    <n v="0"/>
    <x v="2"/>
    <n v="3"/>
    <x v="0"/>
    <s v="n/a"/>
    <n v="0"/>
    <n v="0"/>
    <s v="n/a"/>
    <x v="2"/>
    <n v="0"/>
    <n v="1"/>
    <s v="sub"/>
    <s v="honorific_aux"/>
    <n v="0"/>
    <x v="2"/>
    <s v="te"/>
    <s v="ss"/>
    <s v="ds"/>
    <s v="topic-drop"/>
    <s v="no_overt_NP"/>
    <m/>
    <m/>
    <n v="0"/>
    <x v="0"/>
    <s v="Yes"/>
  </r>
  <r>
    <s v="Heike 2.72"/>
    <s v="家貞待ち受け奉りて (Iesada machi-uke tatemawari-te)"/>
    <s v="Iesada, who was waiting for his lord,"/>
    <s v="待ち受け奉りて"/>
    <s v="indicative"/>
    <s v="action"/>
    <x v="2"/>
    <x v="1"/>
    <s v="active"/>
    <s v="positive"/>
    <n v="1"/>
    <n v="1"/>
    <x v="0"/>
    <n v="0"/>
    <x v="0"/>
    <n v="3"/>
    <x v="3"/>
    <s v="n/a"/>
    <n v="0"/>
    <n v="0"/>
    <s v="n/a"/>
    <x v="1"/>
    <n v="1"/>
    <n v="0"/>
    <s v="sub"/>
    <s v="lexical_humble_verb"/>
    <n v="0"/>
    <x v="1"/>
    <s v="main"/>
    <s v="ds"/>
    <s v="ss"/>
    <s v="topic-shift"/>
    <s v="contains_new"/>
    <m/>
    <m/>
    <n v="1"/>
    <x v="0"/>
    <s v="Yes"/>
  </r>
  <r>
    <s v="Heike 2.73"/>
    <s v="さていかが候ひつると (sate ikaga soroitsuru to)"/>
    <s v="&quot;What has happened?&quot; he asked."/>
    <s v="候ひつる"/>
    <s v="indicative"/>
    <s v="other"/>
    <x v="1"/>
    <x v="0"/>
    <s v="active"/>
    <s v="positive"/>
    <n v="1"/>
    <n v="0"/>
    <x v="2"/>
    <n v="1"/>
    <x v="4"/>
    <n v="3"/>
    <x v="0"/>
    <s v="n/a"/>
    <n v="0"/>
    <n v="0"/>
    <s v="REL"/>
    <x v="6"/>
    <n v="0"/>
    <n v="0"/>
    <s v="n/a"/>
    <s v="polite_aux"/>
    <n v="0"/>
    <x v="4"/>
    <s v="te"/>
    <s v="ss"/>
    <s v="ss"/>
    <s v="topic-drop"/>
    <s v="no_overt_NP"/>
    <m/>
    <m/>
    <n v="0"/>
    <x v="0"/>
    <s v="Yes"/>
  </r>
  <r>
    <s v="Heike 2.74"/>
    <s v="申されければ (mōsarekeru ba)"/>
    <s v="he was asked,"/>
    <s v="申されける"/>
    <s v="indicative"/>
    <s v="action"/>
    <x v="1"/>
    <x v="0"/>
    <s v="passive"/>
    <s v="positive"/>
    <n v="1"/>
    <n v="1"/>
    <x v="9"/>
    <n v="0"/>
    <x v="2"/>
    <n v="3"/>
    <x v="1"/>
    <s v="n/a"/>
    <n v="0"/>
    <n v="0"/>
    <s v="n/a"/>
    <x v="2"/>
    <n v="0"/>
    <n v="1"/>
    <s v="sub"/>
    <s v="honorific_aux+lexical_humble_verb"/>
    <n v="0"/>
    <x v="0"/>
    <s v="complement"/>
    <s v="ss"/>
    <s v="ss"/>
    <s v="topic-drop"/>
    <s v="contains_new"/>
    <m/>
    <m/>
    <n v="1"/>
    <x v="0"/>
    <s v="Yes"/>
  </r>
  <r>
    <s v="Heike 2.75"/>
    <s v="かくとも云はまほしう"/>
    <s v="to tell him"/>
    <s v="云はまほしう"/>
    <s v="desiderative"/>
    <s v="other"/>
    <x v="1"/>
    <x v="0"/>
    <s v="active"/>
    <s v="positive"/>
    <n v="1"/>
    <n v="0"/>
    <x v="2"/>
    <n v="1"/>
    <x v="4"/>
    <n v="3"/>
    <x v="2"/>
    <s v="not_applicable"/>
    <n v="0"/>
    <n v="0"/>
    <s v="n/a"/>
    <x v="2"/>
    <n v="0"/>
    <n v="0"/>
    <s v="n/a"/>
    <s v="n/a"/>
    <n v="0"/>
    <x v="2"/>
    <s v="main"/>
    <s v="ss"/>
    <s v="ss"/>
    <s v="topic-drop"/>
    <s v="no_overt_NP"/>
    <m/>
    <m/>
    <n v="0"/>
    <x v="0"/>
    <s v="Yes"/>
  </r>
  <r>
    <s v="Heike 2.76"/>
    <s v="思はれけれども (kakutomo iwamahoshū omowarekeredomo)"/>
    <s v="although he greatly wished,"/>
    <s v="思はれけれども"/>
    <s v="indicative"/>
    <s v="psych-state"/>
    <x v="1"/>
    <x v="1"/>
    <s v="active"/>
    <s v="positive"/>
    <n v="1"/>
    <n v="1"/>
    <x v="9"/>
    <n v="1"/>
    <x v="4"/>
    <n v="3"/>
    <x v="1"/>
    <s v="n/a"/>
    <n v="0"/>
    <n v="0"/>
    <s v="n/a"/>
    <x v="2"/>
    <n v="0"/>
    <n v="0"/>
    <s v="n/a"/>
    <s v="n/a"/>
    <n v="0"/>
    <x v="9"/>
    <s v="main"/>
    <s v="ss"/>
    <s v="ss"/>
    <s v="topic-drop"/>
    <s v="contains_new"/>
    <s v="Psych predicate; かくとも as adjunct."/>
    <m/>
    <n v="1"/>
    <x v="0"/>
    <s v="Yes"/>
  </r>
  <r>
    <s v="Heike 2.77"/>
    <s v="云ひつるほどならば (iitsuru hodo naraba)"/>
    <s v="seeing that, if he told him,"/>
    <s v="云ひつる"/>
    <s v="indicative"/>
    <s v="other"/>
    <x v="1"/>
    <x v="1"/>
    <s v="active"/>
    <s v="positive"/>
    <n v="1"/>
    <n v="0"/>
    <x v="2"/>
    <n v="0"/>
    <x v="4"/>
    <n v="3"/>
    <x v="3"/>
    <s v="n/a"/>
    <n v="0"/>
    <n v="1"/>
    <s v="REL"/>
    <x v="3"/>
    <n v="0"/>
    <n v="0"/>
    <s v="n/a"/>
    <s v="n/a"/>
    <n v="0"/>
    <x v="10"/>
    <s v="main"/>
    <s v="ss"/>
    <s v="ds"/>
    <s v="topic-drop"/>
    <s v="no_overt_NP"/>
    <m/>
    <m/>
    <n v="0"/>
    <x v="0"/>
    <s v="Yes"/>
  </r>
  <r>
    <s v="Heike 2.78"/>
    <s v="やがて殿上までも斬り上らんずる  yagate tenjō made mo kiriagaranzuru "/>
    <s v="who would even do violence in the Palace itself,"/>
    <s v="斬り上らんずる"/>
    <s v="dynamic"/>
    <s v="other"/>
    <x v="1"/>
    <x v="0"/>
    <s v="active"/>
    <s v="positive"/>
    <n v="1"/>
    <n v="0"/>
    <x v="2"/>
    <n v="2"/>
    <x v="1"/>
    <n v="3"/>
    <x v="0"/>
    <s v="n/a"/>
    <n v="1"/>
    <n v="0"/>
    <s v="REL"/>
    <x v="0"/>
    <n v="0"/>
    <n v="0"/>
    <s v="n/a"/>
    <s v="n/a"/>
    <n v="0"/>
    <x v="2"/>
    <s v="subordinate"/>
    <s v="ds"/>
    <s v="ss"/>
    <s v="topic-drop"/>
    <s v="no_overt_NP"/>
    <m/>
    <m/>
    <n v="0"/>
    <x v="0"/>
    <s v="Yes"/>
  </r>
  <r>
    <s v="Heike 2.79"/>
    <s v="者の面魂にてある間 mono no omodamashii nite aru aida"/>
    <s v="he appeared as one "/>
    <s v="にてある"/>
    <s v="indicative"/>
    <s v="other"/>
    <x v="0"/>
    <x v="0"/>
    <s v="active"/>
    <s v="positive"/>
    <n v="1"/>
    <n v="0"/>
    <x v="2"/>
    <n v="0"/>
    <x v="1"/>
    <n v="3"/>
    <x v="0"/>
    <s v="n/a"/>
    <n v="0"/>
    <n v="0"/>
    <s v="REL"/>
    <x v="3"/>
    <n v="0"/>
    <n v="0"/>
    <s v="n/a"/>
    <s v="n/a"/>
    <n v="0"/>
    <x v="0"/>
    <s v="relative"/>
    <s v="ss"/>
    <s v="ds"/>
    <s v="topic-drop"/>
    <s v="no_overt_NP"/>
    <m/>
    <m/>
    <n v="0"/>
    <x v="0"/>
    <s v="Yes"/>
  </r>
  <r>
    <s v="Heike 2.80"/>
    <s v="別の事なし (betsu no koto nashi)"/>
    <s v="nothing out of the ordinary had taken place."/>
    <s v="なし"/>
    <s v="indicative"/>
    <s v="other"/>
    <x v="7"/>
    <x v="0"/>
    <s v="active"/>
    <s v="negative"/>
    <n v="1"/>
    <n v="1"/>
    <x v="0"/>
    <n v="0"/>
    <x v="0"/>
    <n v="3"/>
    <x v="0"/>
    <s v="n/a"/>
    <n v="0"/>
    <n v="0"/>
    <s v="n/a"/>
    <x v="2"/>
    <n v="0"/>
    <n v="0"/>
    <s v="n/a"/>
    <s v="n/a"/>
    <n v="0"/>
    <x v="2"/>
    <s v="subordinate"/>
    <s v="ds"/>
    <s v="ds"/>
    <s v="topic-drop"/>
    <s v="contains_new"/>
    <s v="Subject = 別の事."/>
    <m/>
    <n v="1"/>
    <x v="0"/>
    <s v="Yes"/>
  </r>
  <r>
    <s v="Heike 2.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s v="other"/>
    <x v="4"/>
    <x v="1"/>
    <s v="active"/>
    <s v="positive"/>
    <n v="1"/>
    <n v="1"/>
    <x v="1"/>
    <n v="2"/>
    <x v="2"/>
    <n v="3"/>
    <x v="1"/>
    <s v="n/a"/>
    <n v="0"/>
    <n v="0"/>
    <s v="REL"/>
    <x v="3"/>
    <n v="0"/>
    <n v="1"/>
    <s v="sub"/>
    <s v="honorific_aux"/>
    <n v="0"/>
    <x v="9"/>
    <s v="main"/>
    <s v="ds"/>
    <s v="ds"/>
    <s v="topic-shift"/>
    <s v="contains_new"/>
    <s v="Passive/respect; subject omitted; object 面白き事を overt."/>
    <m/>
    <n v="1"/>
    <x v="0"/>
    <s v="Yes"/>
  </r>
  <r>
    <s v="Heike 2.82"/>
    <s v="中比太宰権帥季仲卿といふ人ありけり (chūbi Dazai gon no so Sukechika kyō to iu hito arikeri)"/>
    <s v="but there was a certain Dazai Gon-no-sotsu Suenaka no Kyo,"/>
    <s v="ありけり"/>
    <s v="indicative"/>
    <s v="stative"/>
    <x v="7"/>
    <x v="0"/>
    <s v="active"/>
    <s v="positive"/>
    <n v="1"/>
    <n v="1"/>
    <x v="0"/>
    <n v="1"/>
    <x v="0"/>
    <n v="3"/>
    <x v="0"/>
    <s v="n/a"/>
    <n v="0"/>
    <n v="0"/>
    <s v="n/a"/>
    <x v="2"/>
    <n v="0"/>
    <n v="0"/>
    <s v="n/a"/>
    <s v="n/a"/>
    <n v="0"/>
    <x v="2"/>
    <s v="subordinate"/>
    <s v="ds"/>
    <s v="ds"/>
    <s v="topic-introduced"/>
    <s v="contains_new"/>
    <s v="frame predicate"/>
    <m/>
    <n v="1"/>
    <x v="0"/>
    <s v="Yes"/>
  </r>
  <r>
    <s v="Heike 2.83"/>
    <s v="あまりに色の黒かりければ (amari ni iro no kurokarikereba)"/>
    <s v="who was of so dark a complexion that"/>
    <s v="黒かりければ"/>
    <s v="indicative"/>
    <s v="other"/>
    <x v="5"/>
    <x v="0"/>
    <s v="active"/>
    <s v="positive"/>
    <n v="1"/>
    <n v="1"/>
    <x v="0"/>
    <n v="1"/>
    <x v="0"/>
    <n v="3"/>
    <x v="0"/>
    <s v="not_applicable"/>
    <n v="0"/>
    <n v="0"/>
    <s v="n/a"/>
    <x v="3"/>
    <n v="0"/>
    <n v="0"/>
    <s v="n/a"/>
    <s v="n/a"/>
    <n v="0"/>
    <x v="3"/>
    <s v="main"/>
    <s v="ds"/>
    <s v="ds"/>
    <s v="topic-drop"/>
    <s v="contains_new"/>
    <s v="Adjectival predicate; subject = 色."/>
    <m/>
    <n v="1"/>
    <x v="0"/>
    <s v="Yes"/>
  </r>
  <r>
    <s v="Heike 2.84"/>
    <s v="見る人黒帥とぞ申しける (miru hito kurosotsu to zo mōshikeru)"/>
    <s v="people called him 'kuro-sotsu',"/>
    <s v="申しける"/>
    <s v="indicative"/>
    <s v="action"/>
    <x v="1"/>
    <x v="1"/>
    <s v="active"/>
    <s v="positive"/>
    <n v="1"/>
    <n v="2"/>
    <x v="3"/>
    <n v="0"/>
    <x v="0"/>
    <n v="3"/>
    <x v="1"/>
    <s v="n/a"/>
    <n v="0"/>
    <n v="0"/>
    <s v="n/a"/>
    <x v="2"/>
    <n v="1"/>
    <n v="0"/>
    <s v="n/a"/>
    <s v="lexical_humble_verb"/>
    <n v="0"/>
    <x v="2"/>
    <s v="subordinate"/>
    <s v="ds"/>
    <s v="ss"/>
    <s v="topic-drop"/>
    <s v="contains_new"/>
    <s v="申す humble; subject overt; counted as EXALT INSIG."/>
    <m/>
    <n v="2"/>
    <x v="0"/>
    <s v="Yes"/>
  </r>
  <r>
    <s v="Heike 2.85"/>
    <s v="その人未だ蔵人頭たりし時 (sono hito imada kurōdo no tō tarishi toki)"/>
    <s v="and while he was still Kurando-no-to, "/>
    <s v="たりし"/>
    <s v="indicative"/>
    <s v="stative"/>
    <x v="0"/>
    <x v="0"/>
    <s v="active"/>
    <s v="positive"/>
    <n v="1"/>
    <n v="1"/>
    <x v="0"/>
    <n v="0"/>
    <x v="0"/>
    <n v="3"/>
    <x v="0"/>
    <s v="n/a"/>
    <n v="0"/>
    <n v="0"/>
    <s v="REL"/>
    <x v="3"/>
    <n v="0"/>
    <n v="0"/>
    <s v="n/a"/>
    <s v="honorific_aux"/>
    <n v="0"/>
    <x v="0"/>
    <s v="main"/>
    <s v="ss"/>
    <s v="ss"/>
    <s v="topic-continued"/>
    <s v="no_overt_NP"/>
    <m/>
    <m/>
    <n v="1"/>
    <x v="0"/>
    <s v="Yes"/>
  </r>
  <r>
    <s v="Heike 2.86"/>
    <s v="五節に舞はれけるに gosechi ni mawarekeru ni"/>
    <s v="when he danced at the Go-sechie,"/>
    <s v="舞はれける"/>
    <s v="indicative"/>
    <s v="action"/>
    <x v="1"/>
    <x v="0"/>
    <s v="active"/>
    <s v="positive"/>
    <n v="1"/>
    <n v="0"/>
    <x v="2"/>
    <n v="0"/>
    <x v="2"/>
    <n v="3"/>
    <x v="0"/>
    <s v="n/a"/>
    <n v="0"/>
    <n v="0"/>
    <s v="REL"/>
    <x v="3"/>
    <n v="0"/>
    <n v="1"/>
    <s v="sub"/>
    <s v="lexical_honorific_verb"/>
    <n v="0"/>
    <x v="0"/>
    <s v="subordinate"/>
    <s v="ss"/>
    <s v="ds"/>
    <s v="topic-drop"/>
    <s v="no_overt_NP"/>
    <m/>
    <m/>
    <n v="0"/>
    <x v="0"/>
    <s v="Yes"/>
  </r>
  <r>
    <s v="Heike 2.87"/>
    <s v="人々拍子を変へて (hitobito hyōshi o kaete)"/>
    <s v="they changed the rhythm of the music"/>
    <s v="変へて"/>
    <s v="indicative"/>
    <s v="other"/>
    <x v="1"/>
    <x v="1"/>
    <s v="active"/>
    <s v="positive"/>
    <n v="1"/>
    <n v="2"/>
    <x v="3"/>
    <n v="0"/>
    <x v="0"/>
    <n v="3"/>
    <x v="1"/>
    <s v="n/a"/>
    <n v="0"/>
    <n v="0"/>
    <s v="n/a"/>
    <x v="1"/>
    <n v="0"/>
    <n v="0"/>
    <s v="n/a"/>
    <s v="n/a"/>
    <n v="0"/>
    <x v="1"/>
    <s v="subordinate"/>
    <s v="ds"/>
    <s v="ss"/>
    <s v="topic-drop"/>
    <s v="contains_new"/>
    <m/>
    <m/>
    <n v="2"/>
    <x v="0"/>
    <s v="Yes"/>
  </r>
  <r>
    <s v="Heike 2.88"/>
    <s v="あなくろくろ黒き頭かな (ana kuro kuro kuroki atama kana)"/>
    <s v="&quot;Oh what a black, black head!&quot;"/>
    <s v="N/A (exclamatory nominal clause)"/>
    <s v="indicative"/>
    <s v="other"/>
    <x v="10"/>
    <x v="0"/>
    <m/>
    <m/>
    <n v="0"/>
    <n v="1"/>
    <x v="0"/>
    <n v="0"/>
    <x v="0"/>
    <n v="3"/>
    <x v="0"/>
    <s v="n/a"/>
    <n v="0"/>
    <n v="0"/>
    <s v="n/a"/>
    <x v="2"/>
    <n v="0"/>
    <n v="0"/>
    <s v="n/a"/>
    <s v="n/a"/>
    <n v="0"/>
    <x v="2"/>
    <s v="te"/>
    <s v="ss"/>
    <s v="ds"/>
    <s v="topic-drop"/>
    <s v="contains_new"/>
    <m/>
    <m/>
    <m/>
    <x v="0"/>
    <s v="Yes"/>
  </r>
  <r>
    <s v="Heike 2.89"/>
    <s v="いかなる人の漆塗りけんとぞ (ikanaru hito no urushinuriken to zo )"/>
    <s v="&quot;someone must have painted him with lacquer&quot;"/>
    <s v="漆塗りけん"/>
    <s v="epistemic"/>
    <s v="other"/>
    <x v="1"/>
    <x v="1"/>
    <s v="active"/>
    <s v="positive"/>
    <n v="1"/>
    <n v="2"/>
    <x v="3"/>
    <n v="0"/>
    <x v="0"/>
    <n v="3"/>
    <x v="1"/>
    <s v="n/a"/>
    <n v="0"/>
    <n v="0"/>
    <s v="n/a"/>
    <x v="6"/>
    <n v="0"/>
    <n v="0"/>
    <s v="n/a"/>
    <s v="n/a"/>
    <n v="0"/>
    <x v="4"/>
    <s v="main"/>
    <s v="ds"/>
    <s v="ds"/>
    <s v="topic-drop"/>
    <s v="contains_new"/>
    <m/>
    <m/>
    <n v="2"/>
    <x v="0"/>
    <s v="Yes"/>
  </r>
  <r>
    <s v="Heike 2.90"/>
    <s v="囃されける (hayasarekeru)"/>
    <s v="they sang in mockery."/>
    <s v="囃されける"/>
    <s v="indicative"/>
    <s v="communication"/>
    <x v="1"/>
    <x v="1"/>
    <s v="active"/>
    <s v="positive"/>
    <n v="1"/>
    <n v="1"/>
    <x v="9"/>
    <n v="0"/>
    <x v="2"/>
    <n v="3"/>
    <x v="1"/>
    <s v="n/a"/>
    <n v="0"/>
    <n v="0"/>
    <s v="n/a"/>
    <x v="2"/>
    <n v="0"/>
    <n v="1"/>
    <s v="sub"/>
    <s v="honorific_aux"/>
    <n v="0"/>
    <x v="2"/>
    <s v="complement"/>
    <s v="ds"/>
    <s v="ds"/>
    <s v="topic-drop"/>
    <s v="no_overt_NP"/>
    <m/>
    <m/>
    <n v="1"/>
    <x v="0"/>
    <s v="Yes"/>
  </r>
  <r>
    <s v="Heike 2.91"/>
    <s v="また花山院前太政大臣忠雅公未だ十歳と申しし時 (mata Kazanin no saki no Daijōdaijin Tadamasa kō imada jissai to mōshi shi toki)"/>
    <s v="Also, when Prince Tadamasa of the Kazan-in, the former Prime Minister, was only ten years old,"/>
    <s v="申しし"/>
    <s v="indicative"/>
    <s v="action"/>
    <x v="1"/>
    <x v="0"/>
    <s v="active"/>
    <s v="positive"/>
    <n v="1"/>
    <n v="1"/>
    <x v="0"/>
    <n v="1"/>
    <x v="0"/>
    <n v="3"/>
    <x v="0"/>
    <s v="n/a"/>
    <n v="0"/>
    <n v="0"/>
    <s v="n/a"/>
    <x v="3"/>
    <n v="1"/>
    <n v="0"/>
    <s v="sub"/>
    <s v="lexical_humble_verb"/>
    <n v="0"/>
    <x v="0"/>
    <s v="main"/>
    <s v="ds"/>
    <s v="ss"/>
    <s v="topic-introduced"/>
    <s v="contains_new"/>
    <m/>
    <m/>
    <n v="1"/>
    <x v="0"/>
    <s v="Yes"/>
  </r>
  <r>
    <s v="Heike 2.92"/>
    <s v="父中納言忠宗卿に後れ給ひて (chichi Chūnagon Tadamune kyō ni okure tamai te)"/>
    <s v="having lost his father, Chunagon Tadamune,"/>
    <s v="後れ給ひて"/>
    <s v="indicative"/>
    <s v="action"/>
    <x v="1"/>
    <x v="0"/>
    <s v="active"/>
    <s v="positive"/>
    <n v="1"/>
    <n v="1"/>
    <x v="5"/>
    <n v="0"/>
    <x v="2"/>
    <n v="3"/>
    <x v="0"/>
    <s v="overt"/>
    <n v="0"/>
    <n v="0"/>
    <s v="n/a"/>
    <x v="1"/>
    <n v="0"/>
    <n v="1"/>
    <s v="sub"/>
    <s v="lexical_honorific_verb"/>
    <n v="0"/>
    <x v="1"/>
    <s v="subordinate"/>
    <s v="ss"/>
    <s v="ss"/>
    <s v="topic-introduced"/>
    <s v="contains_new"/>
    <m/>
    <m/>
    <n v="1"/>
    <x v="0"/>
    <s v="Yes"/>
  </r>
  <r>
    <s v="Heike 2.93"/>
    <s v="孤子にておはせしを (koji nite ohaseshi o)"/>
    <s v="and being left an orphan,"/>
    <s v="おはせし"/>
    <s v="indicative"/>
    <s v="action"/>
    <x v="7"/>
    <x v="0"/>
    <s v="active"/>
    <s v="positive"/>
    <n v="1"/>
    <n v="0"/>
    <x v="2"/>
    <n v="0"/>
    <x v="2"/>
    <n v="3"/>
    <x v="0"/>
    <s v="n/a"/>
    <n v="0"/>
    <n v="0"/>
    <s v="REL"/>
    <x v="3"/>
    <n v="0"/>
    <n v="1"/>
    <s v="sub"/>
    <s v="lexical_honorific_verb"/>
    <n v="0"/>
    <x v="9"/>
    <s v="te"/>
    <s v="ss"/>
    <s v="ds"/>
    <s v="topic-drop"/>
    <s v="contains_new"/>
    <m/>
    <m/>
    <n v="0"/>
    <x v="0"/>
    <s v="Yes"/>
  </r>
  <r>
    <s v="Heike 2.94"/>
    <s v="故中御門藤中納言家成卿未だ播磨守にておはしけるが ko-Nakamikado Fuji Chūnagon Ienari kyō imada Harima no kami nite ohasikeru ga"/>
    <s v=" by Fuji Chūnagon Ienari, then Harima no Kami,"/>
    <s v="おはしける"/>
    <s v="indicative"/>
    <s v="stative"/>
    <x v="0"/>
    <x v="0"/>
    <s v="active"/>
    <s v="positive"/>
    <n v="1"/>
    <n v="1"/>
    <x v="0"/>
    <n v="1"/>
    <x v="0"/>
    <n v="3"/>
    <x v="0"/>
    <s v="n/a"/>
    <n v="0"/>
    <n v="0"/>
    <s v="REL"/>
    <x v="3"/>
    <n v="1"/>
    <n v="0"/>
    <s v="sub"/>
    <s v="lexical_honorific_verb"/>
    <n v="0"/>
    <x v="9"/>
    <s v="subordinate"/>
    <s v="ds"/>
    <s v="ss"/>
    <s v="topic-introduced"/>
    <s v="contains_new"/>
    <m/>
    <m/>
    <n v="1"/>
    <x v="0"/>
    <s v="Yes"/>
  </r>
  <r>
    <s v="Heike 2.95"/>
    <s v="聟に取りて muko ni torite "/>
    <s v="he was taken as son-in-law"/>
    <s v="取りて"/>
    <s v="indicative"/>
    <s v="action"/>
    <x v="1"/>
    <x v="1"/>
    <s v="active"/>
    <s v="positive"/>
    <n v="1"/>
    <n v="1"/>
    <x v="5"/>
    <n v="0"/>
    <x v="1"/>
    <n v="3"/>
    <x v="3"/>
    <s v="overt"/>
    <n v="0"/>
    <n v="0"/>
    <s v="n/a"/>
    <x v="1"/>
    <n v="0"/>
    <n v="0"/>
    <s v="n/a"/>
    <s v="n/a"/>
    <n v="0"/>
    <x v="2"/>
    <s v="subordinate"/>
    <s v="ss"/>
    <s v="ss"/>
    <s v="topic-drop"/>
    <s v="contains_new"/>
    <m/>
    <m/>
    <n v="1"/>
    <x v="0"/>
    <s v="Yes"/>
  </r>
  <r>
    <s v="Heike 2.96"/>
    <s v="華やかにもてなされければ  hanayaka ni motenasarekereba"/>
    <s v="and splendidly welcomed,"/>
    <s v="もてなされければ"/>
    <s v="indicative"/>
    <s v="action"/>
    <x v="1"/>
    <x v="0"/>
    <s v="passive"/>
    <s v="positive"/>
    <n v="1"/>
    <n v="0"/>
    <x v="2"/>
    <n v="0"/>
    <x v="1"/>
    <n v="3"/>
    <x v="0"/>
    <s v="zero_recoverable"/>
    <n v="0"/>
    <n v="0"/>
    <s v="n/a"/>
    <x v="3"/>
    <n v="0"/>
    <n v="0"/>
    <s v="n/a"/>
    <s v="n/a"/>
    <n v="0"/>
    <x v="3"/>
    <s v="te"/>
    <s v="ss"/>
    <s v="ds"/>
    <s v="topic-drop"/>
    <s v="contains_new"/>
    <s v="verbal sequence"/>
    <m/>
    <n v="0"/>
    <x v="0"/>
    <s v="Yes"/>
  </r>
  <r>
    <s v="Heike 2.97"/>
    <s v="これも五節には播磨の米は木賊か椋の葉か人の綺羅を磨くはとぞ (kore mo gosechi ni wa Harima no kome wa tokusa ka mukuno ha ka hito no kira o migaku wa to zo)"/>
    <s v="at that Go-sechie with the refrain ‘The rice of Harima...’"/>
    <s v="磨く"/>
    <s v="indicative"/>
    <s v="action"/>
    <x v="1"/>
    <x v="1"/>
    <s v="active"/>
    <s v="positive"/>
    <n v="1"/>
    <n v="2"/>
    <x v="3"/>
    <n v="1"/>
    <x v="0"/>
    <n v="3"/>
    <x v="1"/>
    <s v="n/a"/>
    <n v="0"/>
    <n v="0"/>
    <s v="REL"/>
    <x v="6"/>
    <n v="0"/>
    <n v="0"/>
    <s v="n/a"/>
    <s v="honorific_aux"/>
    <n v="0"/>
    <x v="2"/>
    <s v="subordinate"/>
    <s v="ds"/>
    <s v="ds"/>
    <s v="topic-drop"/>
    <s v="contains_new"/>
    <m/>
    <m/>
    <n v="2"/>
    <x v="0"/>
    <s v="Yes"/>
  </r>
  <r>
    <s v="Heike 2.98"/>
    <s v="囃されける hayasarekeru"/>
    <s v=" they also japed at him"/>
    <s v="囃されける"/>
    <s v="indicative"/>
    <s v="action"/>
    <x v="1"/>
    <x v="0"/>
    <s v="passive"/>
    <s v="positive"/>
    <n v="1"/>
    <n v="0"/>
    <x v="2"/>
    <n v="1"/>
    <x v="1"/>
    <n v="3"/>
    <x v="0"/>
    <s v="n/a"/>
    <n v="0"/>
    <n v="0"/>
    <s v="kakari-musubi"/>
    <x v="2"/>
    <n v="0"/>
    <n v="0"/>
    <s v="n/a"/>
    <s v="n/a"/>
    <n v="0"/>
    <x v="4"/>
    <s v="complement"/>
    <s v="ds"/>
    <s v="ds"/>
    <s v="topic-drop"/>
    <s v="no_overt_NP"/>
    <m/>
    <m/>
    <n v="0"/>
    <x v="0"/>
    <s v="Yes"/>
  </r>
  <r>
    <s v="Heike 2.99"/>
    <s v="上古にはかやうにありしかども (jōko ni wa kayō ni arishikadomo )"/>
    <s v="Long ago such things had happened, "/>
    <s v="ありし / 出で来ず"/>
    <s v="indicative"/>
    <s v="action"/>
    <x v="7"/>
    <x v="0"/>
    <s v="active"/>
    <s v="positive"/>
    <n v="1"/>
    <n v="0"/>
    <x v="2"/>
    <n v="2"/>
    <x v="5"/>
    <n v="0"/>
    <x v="0"/>
    <s v="n/a"/>
    <n v="0"/>
    <n v="0"/>
    <s v="n/a"/>
    <x v="3"/>
    <n v="0"/>
    <n v="0"/>
    <s v="n/a"/>
    <s v="n/a"/>
    <n v="0"/>
    <x v="9"/>
    <s v="main"/>
    <s v="ds"/>
    <s v="ds"/>
    <s v="topic-shift"/>
    <s v="contains_new"/>
    <m/>
    <m/>
    <n v="0"/>
    <x v="0"/>
    <s v="Yes"/>
  </r>
  <r>
    <s v="Heike 2.100"/>
    <s v="事出で来ず koto idekozu"/>
    <s v="but nothing had come of them,"/>
    <s v="出で来ず"/>
    <s v="indicative"/>
    <s v="stative"/>
    <x v="11"/>
    <x v="0"/>
    <s v="active"/>
    <s v="negative"/>
    <n v="1"/>
    <n v="1"/>
    <x v="0"/>
    <n v="0"/>
    <x v="0"/>
    <n v="3"/>
    <x v="0"/>
    <s v="n/a"/>
    <n v="0"/>
    <n v="0"/>
    <s v="n/a"/>
    <x v="3"/>
    <n v="0"/>
    <n v="0"/>
    <s v="n/a"/>
    <s v="n/a"/>
    <n v="0"/>
    <x v="2"/>
    <s v="subordinate"/>
    <s v="ds"/>
    <n v="0"/>
    <s v="topic-drop"/>
    <s v="contains_new"/>
    <m/>
    <m/>
    <n v="1"/>
    <x v="0"/>
    <s v="Yes"/>
  </r>
  <r>
    <s v="Heike 2.101"/>
    <s v="末代いかがあらんずらん (matsudai ikaga aranzuran obotsukanashi)"/>
    <s v="and people said that what was to be done"/>
    <s v="あらんずらん"/>
    <s v="epistemic"/>
    <s v="stative"/>
    <x v="11"/>
    <x v="2"/>
    <m/>
    <m/>
    <m/>
    <m/>
    <x v="6"/>
    <m/>
    <x v="3"/>
    <m/>
    <x v="4"/>
    <m/>
    <m/>
    <m/>
    <m/>
    <x v="7"/>
    <m/>
    <m/>
    <s v="n/a"/>
    <s v="n/a"/>
    <m/>
    <x v="5"/>
    <s v="subordinate"/>
    <m/>
    <s v="ds"/>
    <m/>
    <m/>
    <m/>
    <m/>
    <m/>
    <x v="0"/>
    <s v="Yes"/>
  </r>
  <r>
    <s v="Heike 2.102"/>
    <s v="覚束なし"/>
    <s v="was doubtful"/>
    <s v="覚束なし"/>
    <s v="indicative"/>
    <s v="psych-state"/>
    <x v="5"/>
    <x v="0"/>
    <s v="active"/>
    <s v="negative"/>
    <n v="1"/>
    <n v="0"/>
    <x v="2"/>
    <n v="0"/>
    <x v="5"/>
    <n v="0"/>
    <x v="0"/>
    <s v="n/a"/>
    <n v="0"/>
    <n v="0"/>
    <s v="n/a"/>
    <x v="2"/>
    <n v="0"/>
    <n v="0"/>
    <s v="n/a"/>
    <s v="n/a"/>
    <n v="0"/>
    <x v="2"/>
    <n v="0"/>
    <s v="ds"/>
    <s v="ds"/>
    <s v="topic-drop"/>
    <s v="no_overt_NP"/>
    <m/>
    <m/>
    <n v="0"/>
    <x v="0"/>
    <s v="Yes"/>
  </r>
  <r>
    <s v="Heike 2.103"/>
    <s v="案の如く五節果てにしかば (an no gotoku gosechi hate ni shikaba)"/>
    <s v="As he had expected, after the conclusion of the festival,"/>
    <s v="果てにしかば"/>
    <s v="indicative"/>
    <s v="other"/>
    <x v="1"/>
    <x v="0"/>
    <s v="active"/>
    <s v="positive"/>
    <n v="1"/>
    <n v="1"/>
    <x v="0"/>
    <n v="1"/>
    <x v="0"/>
    <n v="3"/>
    <x v="0"/>
    <s v="n/a"/>
    <n v="0"/>
    <n v="0"/>
    <s v="n/a"/>
    <x v="3"/>
    <n v="0"/>
    <n v="0"/>
    <s v="n/a"/>
    <s v="n/a"/>
    <n v="0"/>
    <x v="0"/>
    <s v="main"/>
    <s v="ds"/>
    <s v="ds"/>
    <s v="topic-shift"/>
    <s v="contains_new"/>
    <m/>
    <m/>
    <n v="1"/>
    <x v="0"/>
    <s v="Yes"/>
  </r>
  <r>
    <s v="Heike 2.104"/>
    <s v="殿上人一同に訴へ申されけるは (tenjōbito ichidō ni uttaemōsarekeru wa)"/>
    <s v="all the courtiers and officials together appealed,"/>
    <s v="訴へ申されける"/>
    <s v="indicative"/>
    <s v="other"/>
    <x v="1"/>
    <x v="1"/>
    <s v="active"/>
    <s v="positive"/>
    <n v="1"/>
    <n v="1"/>
    <x v="0"/>
    <n v="1"/>
    <x v="0"/>
    <n v="3"/>
    <x v="5"/>
    <s v="n/a"/>
    <n v="0"/>
    <n v="0"/>
    <s v="SUB"/>
    <x v="3"/>
    <n v="1"/>
    <n v="0"/>
    <s v="sub"/>
    <s v="honorific_aux+lexical_humble_verb"/>
    <n v="0"/>
    <x v="2"/>
    <s v="subordinate"/>
    <s v="ds"/>
    <s v="ds"/>
    <s v="topic-drop"/>
    <s v="contains_new"/>
    <s v="nominalisation"/>
    <m/>
    <n v="1"/>
    <x v="0"/>
    <s v="Yes"/>
  </r>
  <r>
    <s v="Heike 2.105"/>
    <s v="それ雄剣を帯して (sore yūken o tai shitei)"/>
    <s v="that wearing a sword"/>
    <s v="帯して "/>
    <s v="indicative"/>
    <s v="action"/>
    <x v="3"/>
    <x v="1"/>
    <s v="active"/>
    <s v="positive"/>
    <n v="1"/>
    <n v="1"/>
    <x v="1"/>
    <n v="0"/>
    <x v="1"/>
    <n v="3"/>
    <x v="1"/>
    <s v="n/a"/>
    <n v="0"/>
    <n v="0"/>
    <s v="n/a"/>
    <x v="1"/>
    <n v="0"/>
    <n v="0"/>
    <s v="n/a"/>
    <s v="n/a"/>
    <n v="0"/>
    <x v="2"/>
    <s v="subordinate"/>
    <s v="ds"/>
    <s v="ss"/>
    <s v="topic-drop"/>
    <s v="contains_new"/>
    <m/>
    <m/>
    <n v="1"/>
    <x v="1"/>
    <s v="Yes"/>
  </r>
  <r>
    <s v="Heike 2.106"/>
    <s v="公宴に列し  kōen ni res shi"/>
    <s v=" coming to a Court entertainment "/>
    <s v="列し"/>
    <s v="indicative"/>
    <s v="motion"/>
    <x v="3"/>
    <x v="0"/>
    <s v="active"/>
    <s v="positive"/>
    <n v="1"/>
    <n v="1"/>
    <x v="5"/>
    <n v="0"/>
    <x v="1"/>
    <n v="3"/>
    <x v="7"/>
    <s v="overt"/>
    <n v="0"/>
    <n v="0"/>
    <s v="n/a"/>
    <x v="1"/>
    <n v="0"/>
    <n v="0"/>
    <s v="n/a"/>
    <s v="n/a"/>
    <n v="0"/>
    <x v="2"/>
    <s v="te"/>
    <s v="ss"/>
    <s v="ss"/>
    <s v="topic-drop"/>
    <s v="contains_new"/>
    <m/>
    <m/>
    <n v="1"/>
    <x v="1"/>
    <s v="Yes"/>
  </r>
  <r>
    <s v="Heike 2.107"/>
    <s v="兵仗を賜はりて  hyōjō o tamawari te "/>
    <s v="and bearing arms "/>
    <s v="賜はりて"/>
    <s v="indicative"/>
    <s v="action"/>
    <x v="1"/>
    <x v="1"/>
    <s v="active"/>
    <s v="positive"/>
    <n v="1"/>
    <n v="1"/>
    <x v="1"/>
    <n v="0"/>
    <x v="2"/>
    <n v="3"/>
    <x v="1"/>
    <s v="n/a"/>
    <n v="0"/>
    <n v="0"/>
    <s v="n/a"/>
    <x v="1"/>
    <n v="0"/>
    <n v="1"/>
    <s v="sub"/>
    <s v="lexical_humble_verb"/>
    <n v="0"/>
    <x v="2"/>
    <s v="te"/>
    <s v="ss"/>
    <s v="ss"/>
    <s v="topic-drop"/>
    <s v="contains_new"/>
    <m/>
    <m/>
    <n v="1"/>
    <x v="0"/>
    <s v="Yes"/>
  </r>
  <r>
    <s v="Heike 2.108"/>
    <s v="宮中を出入りするは kyūchū o ideiri suru wa "/>
    <s v="when passing in and out of the Palace"/>
    <s v="出入りする"/>
    <s v="indicative"/>
    <s v="motion"/>
    <x v="1"/>
    <x v="1"/>
    <s v="active"/>
    <s v="positive"/>
    <n v="1"/>
    <n v="1"/>
    <x v="1"/>
    <n v="0"/>
    <x v="1"/>
    <n v="3"/>
    <x v="1"/>
    <s v="n/a"/>
    <n v="0"/>
    <n v="0"/>
    <s v="SUB"/>
    <x v="3"/>
    <n v="0"/>
    <n v="0"/>
    <s v="n/a"/>
    <s v="n/a"/>
    <n v="0"/>
    <x v="2"/>
    <s v="te"/>
    <s v="ss"/>
    <s v="ds"/>
    <s v="topic-drop"/>
    <s v="contains_new"/>
    <s v="nominalisation"/>
    <m/>
    <n v="1"/>
    <x v="0"/>
    <s v="Yes"/>
  </r>
  <r>
    <s v="Heike 2.109"/>
    <s v="皆格式の礼を守る mina kakushiki no rei o mamoru"/>
    <s v=" is according to ancient precedent,"/>
    <s v="守る"/>
    <s v="indicative"/>
    <s v="action"/>
    <x v="1"/>
    <x v="1"/>
    <s v="active"/>
    <s v="positive"/>
    <n v="1"/>
    <n v="2"/>
    <x v="3"/>
    <n v="0"/>
    <x v="0"/>
    <n v="3"/>
    <x v="1"/>
    <s v="n/a"/>
    <n v="0"/>
    <n v="1"/>
    <s v="REL"/>
    <x v="0"/>
    <n v="0"/>
    <n v="0"/>
    <s v="n/a"/>
    <s v="n/a"/>
    <n v="0"/>
    <x v="2"/>
    <s v="subordinate"/>
    <s v="ds"/>
    <s v="ds"/>
    <s v="topic-drop"/>
    <s v="contains_new"/>
    <m/>
    <m/>
    <n v="2"/>
    <x v="0"/>
    <s v="Yes"/>
  </r>
  <r>
    <s v="Heike 2.110"/>
    <s v="綸命由ある  rinmei yoshi aru "/>
    <m/>
    <s v="ある"/>
    <s v="indicative"/>
    <s v="stative"/>
    <x v="7"/>
    <x v="0"/>
    <s v="active"/>
    <s v="positive"/>
    <n v="1"/>
    <n v="1"/>
    <x v="0"/>
    <n v="0"/>
    <x v="0"/>
    <n v="3"/>
    <x v="0"/>
    <s v="n/a"/>
    <n v="0"/>
    <n v="1"/>
    <s v="REL"/>
    <x v="0"/>
    <n v="0"/>
    <n v="0"/>
    <s v="n/a"/>
    <s v="n/a"/>
    <n v="0"/>
    <x v="2"/>
    <s v="relative"/>
    <s v="ds"/>
    <s v="n/a"/>
    <s v="topic-drop"/>
    <s v="contains_new"/>
    <m/>
    <m/>
    <n v="1"/>
    <x v="0"/>
    <s v="Yes"/>
  </r>
  <r>
    <s v="Heike 2.111"/>
    <s v="先規なり senki nari"/>
    <m/>
    <s v="なり"/>
    <s v="indicative"/>
    <s v="stative"/>
    <x v="0"/>
    <x v="0"/>
    <s v="active"/>
    <s v="positive"/>
    <n v="1"/>
    <n v="0"/>
    <x v="2"/>
    <n v="0"/>
    <x v="6"/>
    <n v="0"/>
    <x v="0"/>
    <s v="n/a"/>
    <n v="0"/>
    <n v="0"/>
    <s v="n/a"/>
    <x v="8"/>
    <n v="0"/>
    <n v="0"/>
    <s v="n/a"/>
    <s v="n/a"/>
    <n v="0"/>
    <x v="2"/>
    <s v="relative"/>
    <s v="n/a"/>
    <s v="ds"/>
    <s v="topic-drop"/>
    <s v="no_overt_NP"/>
    <m/>
    <m/>
    <n v="0"/>
    <x v="0"/>
    <s v="Yes"/>
  </r>
  <r>
    <s v="Heike 2.112"/>
    <s v="然るを忠盛朝臣或いは相伝の郎従と号して (shikaru o Tadamori ason arui wa sōden no rōjū to gō shite)"/>
    <s v="but Ason Tadamori, calling a certain common soldier his hereditary retainer,"/>
    <s v="号して"/>
    <s v="indicative"/>
    <s v="action"/>
    <x v="1"/>
    <x v="1"/>
    <s v="active"/>
    <s v="positive"/>
    <n v="1"/>
    <n v="2"/>
    <x v="3"/>
    <n v="1"/>
    <x v="0"/>
    <n v="3"/>
    <x v="1"/>
    <s v="n/a"/>
    <n v="0"/>
    <n v="0"/>
    <s v="n/a"/>
    <x v="1"/>
    <n v="0"/>
    <n v="0"/>
    <s v="n/a"/>
    <s v="n/a"/>
    <n v="0"/>
    <x v="9"/>
    <s v="none"/>
    <s v="ds"/>
    <s v="ss"/>
    <s v="topic-shift"/>
    <s v="contains_new"/>
    <m/>
    <m/>
    <n v="2"/>
    <x v="0"/>
    <s v="Yes"/>
  </r>
  <r>
    <s v="Heike 2.113"/>
    <s v="布衣の兵を殿上の小庭に召し置き (hoi no hyō o tenjō no koniwa ni meshioki)"/>
    <s v=" and placing him in the small courtyard of the Palace,"/>
    <s v="召し置き"/>
    <s v="indicative"/>
    <s v="action"/>
    <x v="1"/>
    <x v="1"/>
    <s v="active"/>
    <s v="positive"/>
    <n v="1"/>
    <n v="2"/>
    <x v="7"/>
    <n v="0"/>
    <x v="2"/>
    <n v="3"/>
    <x v="1"/>
    <s v="overt"/>
    <n v="0"/>
    <n v="0"/>
    <s v="n/a"/>
    <x v="5"/>
    <n v="0"/>
    <n v="1"/>
    <s v="sub"/>
    <s v="lexical_honorific_verb"/>
    <n v="0"/>
    <x v="2"/>
    <s v="te"/>
    <s v="ss"/>
    <s v="ss"/>
    <s v="topic-drop"/>
    <s v="contains_new"/>
    <m/>
    <m/>
    <n v="2"/>
    <x v="0"/>
    <s v="Yes"/>
  </r>
  <r>
    <s v="Heike 2.114"/>
    <s v="或いは腰の刀を横へ差いて (arui wa koshi no katana o yokoe saite)"/>
    <s v="wearing a sword at his side,"/>
    <s v="差いて"/>
    <s v="indicative"/>
    <s v="other"/>
    <x v="1"/>
    <x v="1"/>
    <s v="active"/>
    <s v="positive"/>
    <n v="1"/>
    <n v="3"/>
    <x v="11"/>
    <n v="2"/>
    <x v="0"/>
    <n v="3"/>
    <x v="1"/>
    <s v="overt"/>
    <n v="0"/>
    <n v="0"/>
    <s v="n/a"/>
    <x v="1"/>
    <n v="0"/>
    <n v="0"/>
    <s v="n/a"/>
    <s v="n/a"/>
    <n v="0"/>
    <x v="2"/>
    <s v="inf"/>
    <s v="ss"/>
    <s v="ss"/>
    <s v="topic-drop"/>
    <s v="contains_new"/>
    <m/>
    <m/>
    <n v="3"/>
    <x v="0"/>
    <s v="Yes"/>
  </r>
  <r>
    <s v="Heike 2.115"/>
    <s v="節会の座に列なる setsue no za ni tsuranaru"/>
    <s v="and coming to the festival seat "/>
    <s v="列なる"/>
    <s v="indicative"/>
    <s v="other"/>
    <x v="1"/>
    <x v="0"/>
    <s v="active"/>
    <s v="positive"/>
    <n v="1"/>
    <n v="1"/>
    <x v="5"/>
    <n v="0"/>
    <x v="1"/>
    <n v="3"/>
    <x v="7"/>
    <s v="overt"/>
    <n v="0"/>
    <n v="1"/>
    <s v="REL"/>
    <x v="0"/>
    <n v="0"/>
    <n v="0"/>
    <s v="n/a"/>
    <s v="n/a"/>
    <n v="0"/>
    <x v="2"/>
    <s v="te"/>
    <s v="ss"/>
    <s v="n/a"/>
    <s v="topic-drop"/>
    <s v="contains_new"/>
    <m/>
    <m/>
    <n v="1"/>
    <x v="0"/>
    <s v="Yes"/>
  </r>
  <r>
    <s v="Heike 2.116"/>
    <s v="[両条稀代]未だ聞かざる (ryōjō kidai imada kikazaru)"/>
    <s v="both acts are unheard-of,"/>
    <s v="聞かざる"/>
    <s v="indicative"/>
    <s v="action"/>
    <x v="1"/>
    <x v="1"/>
    <s v="active"/>
    <s v="negative"/>
    <n v="1"/>
    <n v="0"/>
    <x v="2"/>
    <n v="1"/>
    <x v="4"/>
    <n v="3"/>
    <x v="0"/>
    <s v="n/a"/>
    <n v="1"/>
    <n v="0"/>
    <s v="REL"/>
    <x v="0"/>
    <n v="0"/>
    <n v="0"/>
    <s v="n/a"/>
    <s v="n/a"/>
    <n v="0"/>
    <x v="2"/>
    <s v="relative"/>
    <s v="n/a"/>
    <s v="ds"/>
    <s v="topic-drop"/>
    <s v="contains_new"/>
    <m/>
    <m/>
    <n v="0"/>
    <x v="0"/>
    <s v="Yes"/>
  </r>
  <r>
    <s v="Heike 2.117"/>
    <s v="狼藉なり rōzaku nari"/>
    <s v="disorderliness"/>
    <s v="狼藉なり"/>
    <s v="indicative"/>
    <s v="stative"/>
    <x v="0"/>
    <x v="0"/>
    <s v="active"/>
    <s v="positive"/>
    <n v="1"/>
    <n v="1"/>
    <x v="0"/>
    <n v="0"/>
    <x v="0"/>
    <n v="3"/>
    <x v="0"/>
    <s v="n/a"/>
    <n v="0"/>
    <n v="0"/>
    <s v="n/a"/>
    <x v="2"/>
    <n v="0"/>
    <n v="0"/>
    <s v="n/a"/>
    <s v="n/a"/>
    <n v="0"/>
    <x v="2"/>
    <s v="relative"/>
    <s v="ds"/>
    <s v="ds"/>
    <s v="topic-drop"/>
    <s v="contains_new"/>
    <m/>
    <m/>
    <n v="1"/>
    <x v="0"/>
    <s v="Yes"/>
  </r>
  <r>
    <s v="Heike 2.118"/>
    <s v="事既に重畳せり (koto sudeni chōjō seri)"/>
    <s v="indeed, one crime piled on another,"/>
    <s v="重畳せり"/>
    <s v="indicative"/>
    <s v="other"/>
    <x v="3"/>
    <x v="0"/>
    <s v="active"/>
    <s v="positive"/>
    <n v="1"/>
    <n v="1"/>
    <x v="0"/>
    <n v="1"/>
    <x v="0"/>
    <n v="3"/>
    <x v="0"/>
    <s v="n/a"/>
    <n v="0"/>
    <n v="0"/>
    <s v="n/a"/>
    <x v="5"/>
    <n v="0"/>
    <n v="0"/>
    <s v="n/a"/>
    <s v="n/a"/>
    <n v="0"/>
    <x v="2"/>
    <s v="main"/>
    <s v="ds"/>
    <s v="ss"/>
    <s v="topic-drop"/>
    <s v="all given"/>
    <m/>
    <m/>
    <n v="1"/>
    <x v="1"/>
    <s v="Yes"/>
  </r>
  <r>
    <s v="Heike 2.119"/>
    <s v="罪科尤も遁れ難し (tsumitoga mottomo nogaregatashi)"/>
    <s v="a charge he would find difficult to escape."/>
    <s v="遁れ難し"/>
    <s v="dynamic"/>
    <s v="stative"/>
    <x v="1"/>
    <x v="1"/>
    <s v="active"/>
    <s v="positive"/>
    <n v="1"/>
    <n v="1"/>
    <x v="0"/>
    <n v="0"/>
    <x v="0"/>
    <n v="3"/>
    <x v="1"/>
    <s v="n/a"/>
    <n v="0"/>
    <n v="0"/>
    <s v="n/a"/>
    <x v="2"/>
    <n v="0"/>
    <n v="0"/>
    <s v="n/a"/>
    <s v="n/a"/>
    <n v="0"/>
    <x v="2"/>
    <s v="inf"/>
    <s v="ss"/>
    <s v="ds"/>
    <s v="topic-drop"/>
    <s v="contains_new"/>
    <m/>
    <m/>
    <n v="1"/>
    <x v="0"/>
    <s v="Yes"/>
  </r>
  <r>
    <s v="Heike 2.120"/>
    <s v="早く殿上の御札を削りて (hayaku tenjō no mifuda o kezurite)"/>
    <s v="they petitioned that his name be erased from the list of Courtiers"/>
    <s v="削りて "/>
    <s v="indicative"/>
    <s v="action"/>
    <x v="1"/>
    <x v="1"/>
    <s v="active"/>
    <s v="positive"/>
    <n v="1"/>
    <n v="1"/>
    <x v="1"/>
    <n v="0"/>
    <x v="4"/>
    <n v="3"/>
    <x v="1"/>
    <s v="n/a"/>
    <n v="0"/>
    <n v="0"/>
    <s v="n/a"/>
    <x v="1"/>
    <n v="0"/>
    <n v="0"/>
    <s v="n/a"/>
    <s v="n/a"/>
    <n v="0"/>
    <x v="2"/>
    <s v="main"/>
    <s v="ds"/>
    <s v="ss"/>
    <s v="topic-drop"/>
    <s v="contains_new"/>
    <m/>
    <m/>
    <n v="1"/>
    <x v="0"/>
    <s v="Yes"/>
  </r>
  <r>
    <s v="Heike 2.121"/>
    <s v="欠官停任せらるべき (kekkan teinin seraru beki yoshi)"/>
    <s v=" and he be deprived of rank and office,"/>
    <s v="停任せらるべき"/>
    <s v="deontic"/>
    <s v="action"/>
    <x v="3"/>
    <x v="0"/>
    <s v="passive"/>
    <s v="positive"/>
    <n v="1"/>
    <n v="0"/>
    <x v="2"/>
    <n v="0"/>
    <x v="1"/>
    <n v="3"/>
    <x v="0"/>
    <s v="n/a"/>
    <n v="0"/>
    <n v="1"/>
    <s v="REL"/>
    <x v="0"/>
    <n v="0"/>
    <n v="0"/>
    <s v="n/a"/>
    <s v="n/a"/>
    <n v="0"/>
    <x v="2"/>
    <s v="te"/>
    <s v="ss"/>
    <s v="ds"/>
    <s v="topic-drop"/>
    <s v="no_overt_NP"/>
    <m/>
    <m/>
    <n v="0"/>
    <x v="1"/>
    <s v="Yes"/>
  </r>
  <r>
    <s v="Heike 2.122"/>
    <s v="由諸卿一同に訴へ申されければ (yoshi shokyō ichidō ni uttaemōsarekereba)"/>
    <s v="and all the Court Nobles together petitioned,"/>
    <s v="訴へ申されければ"/>
    <s v="indicative"/>
    <s v="action"/>
    <x v="1"/>
    <x v="1"/>
    <s v="active"/>
    <s v="positive"/>
    <n v="1"/>
    <n v="2"/>
    <x v="3"/>
    <n v="1"/>
    <x v="0"/>
    <n v="3"/>
    <x v="1"/>
    <s v="n/a"/>
    <n v="0"/>
    <n v="0"/>
    <s v="n/a"/>
    <x v="3"/>
    <n v="1"/>
    <n v="0"/>
    <s v="sub"/>
    <s v="honorific_aux+lexical_honorific_verb"/>
    <n v="0"/>
    <x v="0"/>
    <s v="relative"/>
    <s v="ds"/>
    <s v="ds"/>
    <s v="topic-drop"/>
    <s v="contains_new"/>
    <m/>
    <m/>
    <n v="2"/>
    <x v="0"/>
    <s v="Yes"/>
  </r>
  <r>
    <s v="Heike 2.123"/>
    <s v="上皇大きに驚かせ給ひて (Jōkō ōki ni odorokase tamai te)"/>
    <s v="His Majesty the Mikado, greatly surprised,"/>
    <s v="驚かせ給ひて"/>
    <s v="indicative"/>
    <s v="action"/>
    <x v="1"/>
    <x v="0"/>
    <s v="active"/>
    <s v="positive"/>
    <n v="1"/>
    <n v="1"/>
    <x v="0"/>
    <n v="0"/>
    <x v="0"/>
    <n v="3"/>
    <x v="0"/>
    <s v="n/a"/>
    <n v="0"/>
    <n v="0"/>
    <s v="n/a"/>
    <x v="1"/>
    <n v="1"/>
    <n v="0"/>
    <s v="sub"/>
    <s v="honorific_aux+lexical_honorific_verb"/>
    <n v="0"/>
    <x v="2"/>
    <s v="subordinate"/>
    <s v="ds"/>
    <s v="ss"/>
    <s v="topic-drop"/>
    <s v="contains_new"/>
    <m/>
    <m/>
    <n v="1"/>
    <x v="0"/>
    <s v="Yes"/>
  </r>
  <r>
    <s v="Heike 2.124"/>
    <s v="忠盛を召して (Tadamori o meshite)"/>
    <s v="ordered Tadamori into his Presence,"/>
    <s v="召して"/>
    <s v="indicative"/>
    <s v="action"/>
    <x v="1"/>
    <x v="0"/>
    <s v="active"/>
    <s v="positive"/>
    <n v="1"/>
    <n v="1"/>
    <x v="1"/>
    <n v="0"/>
    <x v="2"/>
    <n v="3"/>
    <x v="1"/>
    <s v="n/a"/>
    <n v="0"/>
    <n v="0"/>
    <s v="n/a"/>
    <x v="1"/>
    <n v="0"/>
    <n v="1"/>
    <s v="sub"/>
    <s v="lexical_honorific_verb"/>
    <n v="0"/>
    <x v="2"/>
    <s v="te"/>
    <s v="ss"/>
    <s v="ds"/>
    <s v="topic-drop"/>
    <s v="contains_new"/>
    <m/>
    <m/>
    <n v="1"/>
    <x v="0"/>
    <s v="Yes"/>
  </r>
  <r>
    <s v="Heike 2.125"/>
    <s v="御尋ねあり o-tazune ari"/>
    <s v=" to make examination into the affair"/>
    <s v="御尋ねあり"/>
    <s v="indicative"/>
    <s v="action"/>
    <x v="1"/>
    <x v="0"/>
    <s v="active"/>
    <s v="positive"/>
    <n v="1"/>
    <n v="1"/>
    <x v="0"/>
    <n v="0"/>
    <x v="0"/>
    <n v="3"/>
    <x v="0"/>
    <s v="n/a"/>
    <n v="0"/>
    <n v="0"/>
    <s v="n/a"/>
    <x v="2"/>
    <n v="1"/>
    <n v="0"/>
    <s v="sub"/>
    <s v="honorific prefix"/>
    <n v="1"/>
    <x v="2"/>
    <s v="te"/>
    <s v="ds"/>
    <s v="ds"/>
    <s v="topic-drop"/>
    <s v="contains_new"/>
    <m/>
    <m/>
    <n v="1"/>
    <x v="0"/>
    <s v="Yes"/>
  </r>
  <r>
    <s v="Heike 2.126"/>
    <s v="陳じ申されけるは (chinji mōsarekeru wa)"/>
    <s v="in his reply he stated that,"/>
    <s v="申されける"/>
    <s v="indicative"/>
    <s v="action"/>
    <x v="1"/>
    <x v="1"/>
    <s v="active"/>
    <s v="positive"/>
    <n v="1"/>
    <n v="0"/>
    <x v="2"/>
    <n v="0"/>
    <x v="2"/>
    <n v="3"/>
    <x v="5"/>
    <s v="n/a"/>
    <n v="0"/>
    <n v="0"/>
    <s v="SUB"/>
    <x v="3"/>
    <n v="0"/>
    <n v="1"/>
    <s v="sub"/>
    <s v="honorific_aux+lexical_humble_verb"/>
    <n v="0"/>
    <x v="2"/>
    <s v="main"/>
    <s v="ds"/>
    <s v="ss"/>
    <s v="topic-drop"/>
    <s v="no_overt_NP"/>
    <s v="nominalisation"/>
    <m/>
    <n v="0"/>
    <x v="0"/>
    <s v="Yes"/>
  </r>
  <r>
    <s v="Heike 2.127"/>
    <s v="まづ郎従小庭に伺候の由全く覚悟仕らず (mazu rōjū koniwa ni shikō no yoshi mattaku kakugo tsukamatsurazu)"/>
    <s v="as to the presence of his retainer in the Palace, he certainly knew nothing about it,"/>
    <s v="覚悟仕らず"/>
    <s v="indicative"/>
    <s v="action"/>
    <x v="3"/>
    <x v="1"/>
    <s v="active"/>
    <s v="negative"/>
    <n v="1"/>
    <n v="1"/>
    <x v="1"/>
    <n v="2"/>
    <x v="2"/>
    <n v="3"/>
    <x v="1"/>
    <s v="n/a"/>
    <n v="0"/>
    <n v="0"/>
    <s v="n/a"/>
    <x v="3"/>
    <n v="0"/>
    <n v="1"/>
    <s v="sub"/>
    <s v="lexical_humble_verb"/>
    <n v="0"/>
    <x v="2"/>
    <s v="subordinate"/>
    <s v="ss"/>
    <s v="ds"/>
    <s v="topic-drop"/>
    <s v="contains_new"/>
    <m/>
    <m/>
    <n v="1"/>
    <x v="1"/>
    <s v="Yes"/>
  </r>
  <r>
    <s v="Heike 2.128"/>
    <s v="但し近日人々相巧まるる (tadashi kinjitsu hitobito ai-takuramaruru)"/>
    <s v=" [...]  the designs that people were plotting,"/>
    <s v="巧まるる"/>
    <s v="indicative"/>
    <s v="action"/>
    <x v="1"/>
    <x v="1"/>
    <s v="active"/>
    <s v="positive"/>
    <n v="1"/>
    <n v="1"/>
    <x v="0"/>
    <n v="1"/>
    <x v="0"/>
    <n v="3"/>
    <x v="5"/>
    <s v="n/a"/>
    <n v="0"/>
    <n v="0"/>
    <s v="REL"/>
    <x v="0"/>
    <n v="1"/>
    <n v="0"/>
    <s v="sub"/>
    <s v="honorific_aux"/>
    <n v="0"/>
    <x v="2"/>
    <s v="subordinate"/>
    <s v="ds"/>
    <s v="ds"/>
    <s v="topic-drop"/>
    <s v="contains_new"/>
    <m/>
    <m/>
    <n v="1"/>
    <x v="0"/>
    <s v="Yes"/>
  </r>
  <r>
    <s v="Heike 2.129"/>
    <s v="旨子細あるかの間 mune shisai aru ka no aida "/>
    <s v="[…] had lately heard of"/>
    <s v="ある"/>
    <s v="indicative"/>
    <s v="stative"/>
    <x v="7"/>
    <x v="0"/>
    <s v="active"/>
    <s v="positive"/>
    <n v="1"/>
    <n v="1"/>
    <x v="0"/>
    <n v="1"/>
    <x v="0"/>
    <n v="3"/>
    <x v="0"/>
    <s v="n/a"/>
    <n v="0"/>
    <n v="0"/>
    <s v="n/a"/>
    <x v="3"/>
    <n v="0"/>
    <n v="0"/>
    <s v="n/a"/>
    <s v="n/a"/>
    <n v="0"/>
    <x v="0"/>
    <s v="relative"/>
    <s v="ds"/>
    <s v="ss"/>
    <s v="topic-drop"/>
    <s v="contains_new"/>
    <m/>
    <m/>
    <n v="1"/>
    <x v="0"/>
    <s v="Yes"/>
  </r>
  <r>
    <s v="Heike 2.130"/>
    <s v="年来の家人事を伝へ聞くかによつて (nenrai no kenin goto o tsutae kiku ka ni yotte)"/>
    <s v=" if his retainers"/>
    <s v="伝へ聞く"/>
    <s v="indicative"/>
    <s v="perception"/>
    <x v="12"/>
    <x v="1"/>
    <s v="active"/>
    <s v="positive"/>
    <n v="1"/>
    <n v="2"/>
    <x v="3"/>
    <n v="1"/>
    <x v="0"/>
    <n v="3"/>
    <x v="1"/>
    <s v="n/a"/>
    <n v="0"/>
    <n v="0"/>
    <s v="n/a"/>
    <x v="3"/>
    <n v="0"/>
    <n v="0"/>
    <s v="n/a"/>
    <s v="n/a"/>
    <n v="0"/>
    <x v="1"/>
    <s v="subordinate"/>
    <s v="ss"/>
    <s v="ss"/>
    <s v="topic-drop"/>
    <s v="contains_new"/>
    <m/>
    <m/>
    <n v="2"/>
    <x v="0"/>
    <s v="Yes"/>
  </r>
  <r>
    <s v="Heike 2.131"/>
    <s v="その恥を助けんが為に (sono haji o tasuken ga tame ni)"/>
    <s v="and in order to help him against such dishonour,  intending to prevent dishonour,"/>
    <s v="助けん"/>
    <s v="dynamic"/>
    <s v="other"/>
    <x v="1"/>
    <x v="1"/>
    <s v="active"/>
    <s v="positive"/>
    <n v="1"/>
    <n v="1"/>
    <x v="1"/>
    <n v="0"/>
    <x v="1"/>
    <n v="3"/>
    <x v="1"/>
    <s v="n/a"/>
    <n v="0"/>
    <n v="0"/>
    <s v="n/a"/>
    <x v="3"/>
    <n v="0"/>
    <n v="0"/>
    <s v="n/a"/>
    <s v="n/a"/>
    <n v="0"/>
    <x v="7"/>
    <s v="subordinate"/>
    <s v="ss"/>
    <s v="ss"/>
    <s v="topic-drop"/>
    <s v="contains_new"/>
    <m/>
    <m/>
    <n v="1"/>
    <x v="0"/>
    <s v="Yes"/>
  </r>
  <r>
    <s v="Heike 2.132"/>
    <s v="忠盛には知らせずして Tadamori ni wa shirasazu shite"/>
    <s v=" without informing him,  "/>
    <s v="知らせず"/>
    <s v="indicative"/>
    <s v="other"/>
    <x v="1"/>
    <x v="3"/>
    <s v="active"/>
    <s v="negative"/>
    <n v="1"/>
    <n v="2"/>
    <x v="5"/>
    <n v="1"/>
    <x v="1"/>
    <n v="3"/>
    <x v="3"/>
    <s v="overt"/>
    <n v="0"/>
    <n v="0"/>
    <s v="n/a"/>
    <x v="1"/>
    <n v="0"/>
    <n v="0"/>
    <s v="n/a"/>
    <s v="n/a"/>
    <n v="0"/>
    <x v="1"/>
    <s v="subordinate"/>
    <s v="ss"/>
    <n v="0"/>
    <s v="topic-continued"/>
    <s v="contains_new"/>
    <m/>
    <m/>
    <n v="2"/>
    <x v="0"/>
    <s v="Yes"/>
  </r>
  <r>
    <s v="Heike 2.133"/>
    <s v="密かに参候の条 (hisoka ni sankō no jō)"/>
    <s v="his retainers had come hither secretly"/>
    <s v="N/A (nominal clause)"/>
    <s v="indicative"/>
    <s v="other"/>
    <x v="10"/>
    <x v="2"/>
    <m/>
    <m/>
    <m/>
    <m/>
    <x v="6"/>
    <m/>
    <x v="3"/>
    <m/>
    <x v="4"/>
    <m/>
    <m/>
    <m/>
    <m/>
    <x v="7"/>
    <m/>
    <m/>
    <s v="n/a"/>
    <s v="n/a"/>
    <m/>
    <x v="5"/>
    <s v="te"/>
    <m/>
    <s v="ds"/>
    <m/>
    <m/>
    <s v="not sure if I should treat this as a nominal or verbal predicate or whether there is predication at all"/>
    <m/>
    <m/>
    <x v="0"/>
    <s v="Yes"/>
  </r>
  <r>
    <s v="Heike 2.134"/>
    <s v="力及ばざる chikara oyobazaru"/>
    <s v="his retainers had come hither secretly"/>
    <s v="及ばざる"/>
    <s v="indicative"/>
    <s v="other"/>
    <x v="1"/>
    <x v="0"/>
    <s v="active"/>
    <s v="negative"/>
    <n v="1"/>
    <n v="1"/>
    <x v="0"/>
    <n v="0"/>
    <x v="0"/>
    <n v="3"/>
    <x v="0"/>
    <s v="n/a"/>
    <n v="0"/>
    <n v="1"/>
    <s v="REL"/>
    <x v="0"/>
    <n v="0"/>
    <n v="0"/>
    <s v="n/a"/>
    <s v="n/a"/>
    <n v="0"/>
    <x v="2"/>
    <n v="0"/>
    <s v="ds"/>
    <s v="ds"/>
    <s v="topic-drop"/>
    <s v="contains_new"/>
    <m/>
    <m/>
    <n v="1"/>
    <x v="0"/>
    <s v="Yes"/>
  </r>
  <r>
    <s v="Heike 2.135"/>
    <s v="次第なり"/>
    <s v="shidai nari"/>
    <s v="なり"/>
    <s v="indicative"/>
    <s v="stative"/>
    <x v="0"/>
    <x v="0"/>
    <s v="active"/>
    <s v="positive"/>
    <n v="1"/>
    <n v="0"/>
    <x v="2"/>
    <n v="0"/>
    <x v="1"/>
    <n v="3"/>
    <x v="0"/>
    <s v="n/a"/>
    <n v="0"/>
    <n v="0"/>
    <s v="n/a"/>
    <x v="2"/>
    <n v="0"/>
    <n v="0"/>
    <s v="n/a"/>
    <s v="n/a"/>
    <n v="0"/>
    <x v="2"/>
    <s v="relative"/>
    <s v="ds"/>
    <s v="ds"/>
    <s v="topic-drop"/>
    <s v="no_overt_NP"/>
    <m/>
    <m/>
    <n v="0"/>
    <x v="0"/>
    <s v="Yes"/>
  </r>
  <r>
    <s v="Heike 2.136"/>
    <s v="もしその咎あるべくば (moshi sono toga arubekuba)"/>
    <s v="&quot;if there be any blame, "/>
    <s v="ある"/>
    <s v="indicative"/>
    <s v="stative"/>
    <x v="7"/>
    <x v="0"/>
    <s v="active"/>
    <s v="positive"/>
    <n v="1"/>
    <n v="1"/>
    <x v="0"/>
    <n v="0"/>
    <x v="0"/>
    <n v="3"/>
    <x v="0"/>
    <s v="n/a"/>
    <n v="0"/>
    <n v="0"/>
    <s v="n/a"/>
    <x v="3"/>
    <n v="0"/>
    <n v="0"/>
    <s v="n/a"/>
    <s v="n/a"/>
    <n v="0"/>
    <x v="10"/>
    <s v="main"/>
    <s v="ds"/>
    <s v="ds"/>
    <s v="topic-shift"/>
    <s v="contains_new"/>
    <m/>
    <m/>
    <n v="1"/>
    <x v="0"/>
    <s v="Yes"/>
  </r>
  <r>
    <s v="Heike 2.137"/>
    <s v="かの身を召し進ずべきか  ka no mi o meshi shinzu beki ka"/>
    <s v="do I not yield my body herewith?&quot;"/>
    <s v="召し進ずべき"/>
    <s v="deontic"/>
    <s v="action"/>
    <x v="3"/>
    <x v="2"/>
    <s v="active"/>
    <s v="positive"/>
    <n v="1"/>
    <n v="1"/>
    <x v="1"/>
    <n v="0"/>
    <x v="2"/>
    <n v="1"/>
    <x v="1"/>
    <s v="n/a"/>
    <n v="0"/>
    <n v="0"/>
    <s v="n/a"/>
    <x v="2"/>
    <n v="0"/>
    <n v="1"/>
    <s v="sub"/>
    <s v="lexical_honorific_verb"/>
    <n v="0"/>
    <x v="2"/>
    <s v="subordinate"/>
    <s v="ds"/>
    <s v="ss"/>
    <s v="topic-drop"/>
    <s v="contains_new"/>
    <m/>
    <m/>
    <n v="1"/>
    <x v="1"/>
    <s v="Yes"/>
  </r>
  <r>
    <s v="Heike 2.138"/>
    <s v="次に刀の事は主殿司に預け置き候ひ畢んぬ (tsugi ni katana no koto wa tonomotsukasa ni azukeoki soroiowannu)"/>
    <s v="as for the sword, I deposited it in the Tonomotsukasa,"/>
    <s v="預け置き / 候ひ畢んぬ"/>
    <s v="indicative"/>
    <s v="action"/>
    <x v="12"/>
    <x v="1"/>
    <s v="active"/>
    <s v="positive"/>
    <n v="1"/>
    <n v="2"/>
    <x v="7"/>
    <n v="0"/>
    <x v="1"/>
    <n v="1"/>
    <x v="1"/>
    <s v="overt"/>
    <n v="0"/>
    <n v="0"/>
    <s v="n/a"/>
    <x v="2"/>
    <n v="0"/>
    <n v="0"/>
    <s v="n/a"/>
    <s v="polite_aux"/>
    <n v="0"/>
    <x v="2"/>
    <s v="main"/>
    <s v="ss"/>
    <s v="ds"/>
    <s v="topic-shift"/>
    <s v="contains_new"/>
    <m/>
    <m/>
    <n v="2"/>
    <x v="0"/>
    <s v="Yes"/>
  </r>
  <r>
    <s v="Heike 2.139"/>
    <s v="召し出だされ (meshi idasare)"/>
    <s v="if it be brought out from thence,"/>
    <s v="召し出だされ "/>
    <s v="indicative"/>
    <s v="action"/>
    <x v="1"/>
    <x v="0"/>
    <s v="passive"/>
    <s v="positive"/>
    <n v="1"/>
    <n v="0"/>
    <x v="2"/>
    <n v="0"/>
    <x v="2"/>
    <n v="3"/>
    <x v="3"/>
    <s v="zero_recoverable"/>
    <n v="0"/>
    <n v="0"/>
    <s v="n/a"/>
    <x v="2"/>
    <n v="0"/>
    <n v="1"/>
    <s v="sub"/>
    <s v="lexical_honorific_verb"/>
    <n v="0"/>
    <x v="2"/>
    <s v="main"/>
    <s v="ds"/>
    <s v="ss"/>
    <s v="topic-drop"/>
    <s v="no_overt_NP"/>
    <m/>
    <m/>
    <n v="0"/>
    <x v="0"/>
    <s v="Yes"/>
  </r>
  <r>
    <s v="Heike 2.140"/>
    <s v="刀の実否に付きて咎の左右あるべきか  katana no jippi ni tsukite toga no sayū aru beki ka"/>
    <s v=" it may be seen if it be a real sword or not,"/>
    <s v="あるべき"/>
    <s v="deontic"/>
    <s v="stative"/>
    <x v="7"/>
    <x v="0"/>
    <s v="active"/>
    <s v="positive"/>
    <n v="1"/>
    <n v="1"/>
    <x v="0"/>
    <n v="1"/>
    <x v="0"/>
    <n v="3"/>
    <x v="0"/>
    <s v="n/a"/>
    <n v="0"/>
    <n v="0"/>
    <s v="n/a"/>
    <x v="2"/>
    <n v="0"/>
    <n v="0"/>
    <s v="n/a"/>
    <s v="n/a"/>
    <n v="0"/>
    <x v="2"/>
    <s v="main"/>
    <s v="ss"/>
    <s v="ds"/>
    <s v="topic-drop"/>
    <s v="contains_new"/>
    <m/>
    <m/>
    <n v="1"/>
    <x v="0"/>
    <s v="Yes"/>
  </r>
  <r>
    <s v="Heike 2.141"/>
    <s v="この儀尤も然るべしとて (kono gi motto mo shikarubeshi tote)"/>
    <s v="&quot;This seems quite reasonable,&quot;"/>
    <s v="然るべし"/>
    <s v="deontic"/>
    <s v="stative"/>
    <x v="5"/>
    <x v="0"/>
    <s v="active"/>
    <s v="positive"/>
    <n v="1"/>
    <n v="1"/>
    <x v="0"/>
    <n v="0"/>
    <x v="0"/>
    <n v="3"/>
    <x v="0"/>
    <s v="n/a"/>
    <n v="0"/>
    <n v="0"/>
    <s v="n/a"/>
    <x v="3"/>
    <n v="0"/>
    <n v="0"/>
    <s v="n/a"/>
    <s v="n/a"/>
    <n v="0"/>
    <x v="3"/>
    <s v="main"/>
    <s v="ds"/>
    <s v="ds"/>
    <s v="topic-drop"/>
    <s v="contains_new"/>
    <m/>
    <m/>
    <n v="1"/>
    <x v="0"/>
    <s v="Yes"/>
  </r>
  <r>
    <s v="Heike 2.142"/>
    <s v="かの刀を召し出でて (kano katana o meshi-idete)"/>
    <s v="and they hastened to bring forth the sword,"/>
    <s v="召し出でて"/>
    <s v="indicative"/>
    <s v="action"/>
    <x v="1"/>
    <x v="1"/>
    <s v="active"/>
    <s v="positive"/>
    <n v="1"/>
    <n v="1"/>
    <x v="1"/>
    <n v="1"/>
    <x v="2"/>
    <n v="3"/>
    <x v="1"/>
    <s v="n/a"/>
    <n v="0"/>
    <n v="0"/>
    <s v="n/a"/>
    <x v="1"/>
    <n v="0"/>
    <n v="1"/>
    <s v="sub"/>
    <s v="lexical_honorific_verb"/>
    <n v="0"/>
    <x v="1"/>
    <s v="subordinate"/>
    <s v="ds"/>
    <s v="ss"/>
    <s v="topic-continued"/>
    <s v="all given"/>
    <m/>
    <m/>
    <n v="1"/>
    <x v="0"/>
    <s v="Yes"/>
  </r>
  <r>
    <s v="Heike 2.143"/>
    <s v="叡覧あるに (eiran aru ni)"/>
    <s v="and exhibit it before His Majesty,"/>
    <s v="叡覧ある"/>
    <s v="indicative"/>
    <s v="action"/>
    <x v="3"/>
    <x v="1"/>
    <s v="active"/>
    <s v="positive"/>
    <n v="1"/>
    <n v="0"/>
    <x v="2"/>
    <n v="0"/>
    <x v="2"/>
    <n v="3"/>
    <x v="3"/>
    <s v="n/a"/>
    <n v="0"/>
    <n v="0"/>
    <s v="n/a"/>
    <x v="3"/>
    <n v="0"/>
    <n v="1"/>
    <s v="sub"/>
    <s v="lexical_honorific_verb"/>
    <n v="0"/>
    <x v="0"/>
    <s v="te"/>
    <s v="ss"/>
    <s v="ds"/>
    <s v="topic-drop"/>
    <s v="no_overt_NP"/>
    <m/>
    <m/>
    <n v="0"/>
    <x v="1"/>
    <s v="Yes"/>
  </r>
  <r>
    <s v="Heike 2.144"/>
    <s v="上は鞘巻の黒う塗つたりけるが (ue wa sayamaki no kuro u nuttari keru ga)"/>
    <s v="its outside was that of a dirk in a black lacquer sheath,"/>
    <s v="塗つたりける"/>
    <s v="indicative"/>
    <s v="stative"/>
    <x v="1"/>
    <x v="0"/>
    <s v="resultative"/>
    <s v="positive"/>
    <n v="1"/>
    <n v="1"/>
    <x v="0"/>
    <n v="0"/>
    <x v="0"/>
    <n v="3"/>
    <x v="0"/>
    <s v="n/a"/>
    <n v="0"/>
    <n v="0"/>
    <s v="n/a"/>
    <x v="3"/>
    <n v="0"/>
    <n v="0"/>
    <s v="n/a"/>
    <s v="n/a"/>
    <n v="0"/>
    <x v="9"/>
    <s v="subordinate"/>
    <s v="ds"/>
    <s v="ds"/>
    <s v="topic-drop"/>
    <s v="contains_new"/>
    <m/>
    <m/>
    <n v="1"/>
    <x v="0"/>
    <s v="Yes"/>
  </r>
  <r>
    <s v="Heike 2.145"/>
    <s v="中は木刀に銀薄をぞ押したりける (naka wa bokutō ni gin-haku o zo oshitari keru)"/>
    <s v="but within was only a wooden blade covered with silver."/>
    <s v="押したりける"/>
    <s v="indicative"/>
    <s v="stative"/>
    <x v="1"/>
    <x v="1"/>
    <s v="resultative"/>
    <s v="positive"/>
    <n v="1"/>
    <n v="3"/>
    <x v="11"/>
    <n v="0"/>
    <x v="0"/>
    <n v="3"/>
    <x v="1"/>
    <s v="overt"/>
    <n v="0"/>
    <n v="0"/>
    <s v="n/a"/>
    <x v="2"/>
    <n v="0"/>
    <n v="0"/>
    <s v="n/a"/>
    <s v="n/a"/>
    <n v="0"/>
    <x v="2"/>
    <s v="subordinate"/>
    <s v="ds"/>
    <s v="ds"/>
    <s v="topic-drop"/>
    <s v="contains_new"/>
    <m/>
    <m/>
    <n v="3"/>
    <x v="0"/>
    <s v="Yes"/>
  </r>
  <r>
    <s v="Heike 2.146"/>
    <s v="当座の恥辱を遁れんが為に (tōza no chijoku o nogaren ga tame ni)"/>
    <s v=" to avoid dishonour at the moment,"/>
    <s v="遁れん "/>
    <s v="dynamic"/>
    <s v="other"/>
    <x v="1"/>
    <x v="1"/>
    <s v="active"/>
    <s v="positive"/>
    <n v="1"/>
    <n v="1"/>
    <x v="1"/>
    <n v="0"/>
    <x v="1"/>
    <n v="3"/>
    <x v="1"/>
    <s v="n/a"/>
    <n v="0"/>
    <n v="0"/>
    <s v="n/a"/>
    <x v="3"/>
    <n v="0"/>
    <n v="0"/>
    <s v="n/a"/>
    <s v="n/a"/>
    <n v="0"/>
    <x v="7"/>
    <s v="main"/>
    <s v="ds"/>
    <s v="ss"/>
    <s v="topic-drop"/>
    <s v="contains_new"/>
    <m/>
    <m/>
    <n v="1"/>
    <x v="0"/>
    <s v="Yes"/>
  </r>
  <r>
    <s v="Heike 2.147"/>
    <s v="刀を帯する katana o taisuru "/>
    <s v="Although he had displayed "/>
    <s v="帯する"/>
    <s v="indicative"/>
    <s v="other"/>
    <x v="3"/>
    <x v="1"/>
    <s v="active"/>
    <s v="positive"/>
    <n v="1"/>
    <n v="1"/>
    <x v="1"/>
    <n v="0"/>
    <x v="1"/>
    <n v="3"/>
    <x v="1"/>
    <s v="n/a"/>
    <n v="0"/>
    <n v="1"/>
    <s v="REL"/>
    <x v="0"/>
    <n v="0"/>
    <n v="0"/>
    <s v="n/a"/>
    <s v="n/a"/>
    <n v="0"/>
    <x v="2"/>
    <s v="subordinate"/>
    <s v="ss"/>
    <s v="ss"/>
    <s v="topic-drop"/>
    <s v="all given"/>
    <m/>
    <m/>
    <n v="1"/>
    <x v="1"/>
    <s v="Yes"/>
  </r>
  <r>
    <s v="Heike 2.148"/>
    <s v="由顕すといへども yoshi arawasu to iedomo"/>
    <s v="the appearance of a sword"/>
    <s v="顕す"/>
    <s v="indicative"/>
    <s v="other"/>
    <x v="1"/>
    <x v="1"/>
    <s v="active"/>
    <s v="positive"/>
    <n v="1"/>
    <n v="1"/>
    <x v="1"/>
    <n v="0"/>
    <x v="1"/>
    <n v="3"/>
    <x v="1"/>
    <s v="n/a"/>
    <n v="0"/>
    <n v="0"/>
    <s v="n/a"/>
    <x v="3"/>
    <n v="0"/>
    <n v="0"/>
    <s v="n/a"/>
    <s v="n/a"/>
    <n v="0"/>
    <x v="9"/>
    <s v="relative"/>
    <s v="ss"/>
    <s v="ss"/>
    <s v="topic-drop"/>
    <s v="contains_new"/>
    <m/>
    <m/>
    <n v="1"/>
    <x v="0"/>
    <s v="Yes"/>
  </r>
  <r>
    <s v="Heike 2.149"/>
    <s v="後日の訴訟を存じて (gojitsu no soshō o zonjite)"/>
    <s v="his substitution of a wooden blade as a precaution against an after accusation was exceedingly praiseworthy."/>
    <s v="存じて"/>
    <s v="indicative"/>
    <s v="perception"/>
    <x v="3"/>
    <x v="1"/>
    <s v="active"/>
    <s v="positive"/>
    <n v="1"/>
    <n v="1"/>
    <x v="1"/>
    <n v="0"/>
    <x v="2"/>
    <n v="3"/>
    <x v="1"/>
    <s v="n/a"/>
    <n v="0"/>
    <n v="0"/>
    <s v="n/a"/>
    <x v="1"/>
    <n v="0"/>
    <n v="1"/>
    <s v="sub"/>
    <s v="lexical_humble_verb"/>
    <n v="0"/>
    <x v="2"/>
    <s v="subordinate"/>
    <s v="ss"/>
    <s v="ss"/>
    <s v="topic-drop"/>
    <s v="contains_new"/>
    <m/>
    <m/>
    <n v="1"/>
    <x v="1"/>
    <s v="Yes"/>
  </r>
  <r>
    <s v="Heike 2.150"/>
    <s v="木刀を帯したる"/>
    <s v=" bokutō o tachitaru "/>
    <s v="帯したる"/>
    <s v="indicative"/>
    <s v="action"/>
    <x v="3"/>
    <x v="1"/>
    <s v="active"/>
    <s v="positive"/>
    <n v="1"/>
    <n v="1"/>
    <x v="1"/>
    <n v="0"/>
    <x v="1"/>
    <n v="3"/>
    <x v="1"/>
    <s v="n/a"/>
    <n v="0"/>
    <n v="1"/>
    <s v="REL"/>
    <x v="0"/>
    <n v="0"/>
    <n v="0"/>
    <s v="n/a"/>
    <s v="n/a"/>
    <n v="0"/>
    <x v="2"/>
    <s v="te"/>
    <s v="ss"/>
    <s v="ds"/>
    <s v="topic-drop"/>
    <s v="contains_new"/>
    <m/>
    <m/>
    <n v="1"/>
    <x v="1"/>
    <s v="Yes"/>
  </r>
  <r>
    <s v="Heike 2.151"/>
    <s v="用意のほどこそ神妙なれ yōi no hodo koso shinmyō nare"/>
    <m/>
    <s v="なれ"/>
    <s v="indicative"/>
    <s v="stative"/>
    <x v="0"/>
    <x v="0"/>
    <s v="active"/>
    <s v="positive"/>
    <n v="1"/>
    <n v="1"/>
    <x v="0"/>
    <n v="0"/>
    <x v="0"/>
    <n v="3"/>
    <x v="0"/>
    <s v="n/a"/>
    <n v="0"/>
    <n v="0"/>
    <s v="n/a"/>
    <x v="2"/>
    <n v="0"/>
    <n v="0"/>
    <s v="n/a"/>
    <s v="n/a"/>
    <n v="0"/>
    <x v="2"/>
    <s v="relative"/>
    <s v="ds"/>
    <s v="ds"/>
    <s v="topic-drop"/>
    <s v="contains_new"/>
    <m/>
    <m/>
    <n v="1"/>
    <x v="0"/>
    <s v="Yes"/>
  </r>
  <r>
    <s v="Heike 2.152"/>
    <s v="弓箭に携らん (yumiya ni tazusaran)"/>
    <s v="Such prudence is most commendable in a warrior."/>
    <s v="携らん"/>
    <s v="dynamic"/>
    <s v="action"/>
    <x v="1"/>
    <x v="0"/>
    <s v="active"/>
    <s v="positive"/>
    <n v="1"/>
    <n v="1"/>
    <x v="5"/>
    <n v="0"/>
    <x v="1"/>
    <n v="3"/>
    <x v="0"/>
    <s v="overt"/>
    <n v="1"/>
    <n v="0"/>
    <s v="REL"/>
    <x v="0"/>
    <n v="0"/>
    <n v="0"/>
    <s v="n/a"/>
    <s v="n/a"/>
    <n v="0"/>
    <x v="2"/>
    <s v="main"/>
    <s v="ds"/>
    <s v="ds"/>
    <s v="topic-shift"/>
    <s v="contains_new"/>
    <m/>
    <m/>
    <n v="1"/>
    <x v="0"/>
    <s v="Yes"/>
  </r>
  <r>
    <s v="Heike 2.153"/>
    <s v="ほどの者の謀は尤もかうこそあらまほしけれ hodo no mono no hakarigoto wa motto mo kō koso aramahoshikere"/>
    <m/>
    <s v="あらまほしけれ"/>
    <s v="desiderative"/>
    <s v="psych-state"/>
    <x v="5"/>
    <x v="0"/>
    <s v="active"/>
    <s v="positive"/>
    <n v="1"/>
    <n v="1"/>
    <x v="0"/>
    <n v="1"/>
    <x v="0"/>
    <n v="3"/>
    <x v="0"/>
    <s v="n/a"/>
    <n v="0"/>
    <n v="0"/>
    <s v="n/a"/>
    <x v="2"/>
    <n v="0"/>
    <n v="0"/>
    <s v="n/a"/>
    <s v="n/a"/>
    <n v="0"/>
    <x v="2"/>
    <s v="relative"/>
    <s v="ds"/>
    <s v="ds"/>
    <s v="topic-shift"/>
    <s v="contains_new"/>
    <m/>
    <m/>
    <n v="1"/>
    <x v="0"/>
    <s v="Yes"/>
  </r>
  <r>
    <s v="Heike 2.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s v="stative"/>
    <x v="0"/>
    <x v="0"/>
    <s v="active"/>
    <s v="positive"/>
    <n v="1"/>
    <n v="1"/>
    <x v="0"/>
    <n v="3"/>
    <x v="0"/>
    <n v="3"/>
    <x v="0"/>
    <s v="n/a"/>
    <n v="0"/>
    <n v="0"/>
    <s v="n/a"/>
    <x v="2"/>
    <n v="0"/>
    <n v="0"/>
    <s v="n/a"/>
    <s v="n/a"/>
    <n v="0"/>
    <x v="2"/>
    <s v="main"/>
    <s v="ds"/>
    <s v="ds"/>
    <s v="topic-shift"/>
    <s v="contains_new"/>
    <m/>
    <m/>
    <n v="1"/>
    <x v="0"/>
    <s v="Yes"/>
  </r>
  <r>
    <s v="Heike 2.155"/>
    <s v="忠盛が咎にはあらずとて (Tadamori ga toga ni wa arazu tote)"/>
    <s v="and no fault was found in Tadamori."/>
    <s v="あらず"/>
    <s v="indicative"/>
    <s v="stative"/>
    <x v="0"/>
    <x v="0"/>
    <s v="active"/>
    <s v="negative"/>
    <n v="1"/>
    <n v="1"/>
    <x v="0"/>
    <n v="0"/>
    <x v="0"/>
    <n v="3"/>
    <x v="0"/>
    <s v="n/a"/>
    <n v="0"/>
    <n v="0"/>
    <s v="n/a"/>
    <x v="3"/>
    <n v="0"/>
    <n v="0"/>
    <s v="n/a"/>
    <s v="n/a"/>
    <n v="0"/>
    <x v="3"/>
    <s v="main"/>
    <s v="ds"/>
    <s v="ss"/>
    <s v="topic-shift"/>
    <s v="contains_new"/>
    <m/>
    <m/>
    <n v="1"/>
    <x v="0"/>
    <s v="Yes"/>
  </r>
  <r>
    <s v="Heike 2.156"/>
    <s v="却つて叡感に預かりし上は (kaette eikan ni azukarishi ue wa)"/>
    <s v="and on the contrary, his conduct was greatly admired,"/>
    <s v="預かりし"/>
    <s v="indicative"/>
    <s v="action"/>
    <x v="1"/>
    <x v="0"/>
    <s v="active"/>
    <s v="positive"/>
    <n v="1"/>
    <n v="1"/>
    <x v="5"/>
    <n v="1"/>
    <x v="1"/>
    <n v="3"/>
    <x v="0"/>
    <s v="overt"/>
    <n v="0"/>
    <n v="0"/>
    <s v="REL"/>
    <x v="3"/>
    <n v="0"/>
    <n v="0"/>
    <s v="n/a"/>
    <s v="n/a"/>
    <n v="1"/>
    <x v="6"/>
    <s v="subordinate"/>
    <s v="ss"/>
    <s v="ds"/>
    <s v="topic-drop"/>
    <s v="contains_new"/>
    <m/>
    <m/>
    <n v="1"/>
    <x v="0"/>
    <s v="Yes"/>
  </r>
  <r>
    <s v="Heike 2.157"/>
    <s v="敢へて罪科の沙汰はなかりけり aete tsumikado no sata wa nakarikeri"/>
    <s v="and he was pronounced guiltless."/>
    <s v="なかりけり"/>
    <s v="indicative"/>
    <s v="aux/modal"/>
    <x v="1"/>
    <x v="0"/>
    <s v="active"/>
    <s v="negative"/>
    <n v="1"/>
    <n v="1"/>
    <x v="0"/>
    <n v="1"/>
    <x v="0"/>
    <n v="3"/>
    <x v="0"/>
    <s v="n/a"/>
    <n v="0"/>
    <n v="0"/>
    <s v="n/a"/>
    <x v="2"/>
    <n v="0"/>
    <n v="0"/>
    <s v="n/a"/>
    <s v="n/a"/>
    <n v="0"/>
    <x v="8"/>
    <s v="subordinate"/>
    <s v="ds"/>
    <n v="0"/>
    <s v="topic-drop"/>
    <s v="contains_new"/>
    <m/>
    <m/>
    <n v="1"/>
    <x v="0"/>
    <s v="No"/>
  </r>
  <r>
    <s v="Total"/>
    <m/>
    <m/>
    <m/>
    <m/>
    <m/>
    <x v="6"/>
    <x v="2"/>
    <m/>
    <m/>
    <n v="154"/>
    <n v="150"/>
    <x v="6"/>
    <n v="72"/>
    <x v="7"/>
    <n v="426"/>
    <x v="8"/>
    <n v="0"/>
    <n v="7"/>
    <n v="17"/>
    <n v="0"/>
    <x v="9"/>
    <n v="19"/>
    <n v="32"/>
    <n v="0"/>
    <n v="0"/>
    <n v="6"/>
    <x v="5"/>
    <m/>
    <m/>
    <m/>
    <m/>
    <m/>
    <m/>
    <m/>
    <n v="0.97402597402597402"/>
    <x v="2"/>
    <m/>
  </r>
  <r>
    <m/>
    <m/>
    <m/>
    <m/>
    <m/>
    <m/>
    <x v="6"/>
    <x v="2"/>
    <m/>
    <m/>
    <m/>
    <m/>
    <x v="6"/>
    <m/>
    <x v="3"/>
    <m/>
    <x v="4"/>
    <m/>
    <m/>
    <m/>
    <m/>
    <x v="7"/>
    <m/>
    <m/>
    <m/>
    <m/>
    <m/>
    <x v="5"/>
    <m/>
    <m/>
    <m/>
    <m/>
    <m/>
    <m/>
    <m/>
    <m/>
    <x v="2"/>
    <m/>
  </r>
  <r>
    <m/>
    <m/>
    <m/>
    <m/>
    <m/>
    <m/>
    <x v="13"/>
    <x v="4"/>
    <s v="active / passive"/>
    <s v="positive / negative / negative_existential / negative_potential / unknown"/>
    <m/>
    <m/>
    <x v="12"/>
    <m/>
    <x v="8"/>
    <m/>
    <x v="9"/>
    <s v="same"/>
    <m/>
    <m/>
    <m/>
    <x v="7"/>
    <m/>
    <m/>
    <s v="None, sub, obj, io, addressee, multiple, unknown"/>
    <s v="lexical_honorific_verb"/>
    <m/>
    <x v="11"/>
    <m/>
    <s v="SS; DS; unknown"/>
    <m/>
    <s v="topic-introduced – overt topic marking a (re)introduced aboutness centre"/>
    <s v="no_overt_NP; "/>
    <m/>
    <m/>
    <m/>
    <x v="2"/>
    <m/>
  </r>
  <r>
    <s v="RD2"/>
    <b v="1"/>
    <s v="ACT-ARG/~Ø-Verbal"/>
    <m/>
    <m/>
    <m/>
    <x v="6"/>
    <x v="2"/>
    <m/>
    <m/>
    <m/>
    <m/>
    <x v="6"/>
    <m/>
    <x v="3"/>
    <m/>
    <x v="4"/>
    <m/>
    <m/>
    <m/>
    <m/>
    <x v="7"/>
    <m/>
    <m/>
    <m/>
    <m/>
    <m/>
    <x v="5"/>
    <m/>
    <m/>
    <m/>
    <m/>
    <m/>
    <m/>
    <m/>
    <m/>
    <x v="2"/>
    <m/>
  </r>
  <r>
    <s v="RD2+"/>
    <n v="1.1818181818181801"/>
    <s v="(ACT-ARG+V-ARG-Ø-ARG)/~Ø-Verbal"/>
    <m/>
    <m/>
    <m/>
    <x v="6"/>
    <x v="2"/>
    <m/>
    <m/>
    <m/>
    <m/>
    <x v="6"/>
    <m/>
    <x v="3"/>
    <m/>
    <x v="4"/>
    <m/>
    <m/>
    <m/>
    <m/>
    <x v="7"/>
    <m/>
    <m/>
    <m/>
    <s v="lexical_humble_verb"/>
    <m/>
    <x v="5"/>
    <m/>
    <m/>
    <m/>
    <s v="topic-continued – same topic as previous clause, even if zero/pronoun"/>
    <s v="all_given; "/>
    <m/>
    <m/>
    <m/>
    <x v="2"/>
    <m/>
  </r>
  <r>
    <s v="RD2++"/>
    <n v="1.0194805194805201"/>
    <s v="(ACT-ARG+GAP-ACT-ARG)/~Ø-Verbal"/>
    <m/>
    <m/>
    <m/>
    <x v="6"/>
    <x v="2"/>
    <m/>
    <m/>
    <m/>
    <m/>
    <x v="6"/>
    <m/>
    <x v="3"/>
    <m/>
    <x v="4"/>
    <m/>
    <m/>
    <m/>
    <m/>
    <x v="7"/>
    <m/>
    <m/>
    <m/>
    <m/>
    <m/>
    <x v="5"/>
    <m/>
    <m/>
    <m/>
    <m/>
    <m/>
    <m/>
    <m/>
    <m/>
    <x v="2"/>
    <m/>
  </r>
  <r>
    <s v="RD2+++"/>
    <n v="1.22727272727273"/>
    <s v="(ACT-ARG+V-ARG-Ø-ARG+GAP-ACT-ARG)/~Ø-Verbal"/>
    <m/>
    <m/>
    <m/>
    <x v="6"/>
    <x v="2"/>
    <m/>
    <m/>
    <m/>
    <m/>
    <x v="6"/>
    <m/>
    <x v="3"/>
    <m/>
    <x v="4"/>
    <m/>
    <m/>
    <m/>
    <m/>
    <x v="7"/>
    <m/>
    <m/>
    <m/>
    <s v="honorific_aux"/>
    <m/>
    <x v="5"/>
    <m/>
    <m/>
    <m/>
    <s v="topic-shift – new entity becomes the discourse centre"/>
    <s v="contains_new – at least one overt NP is discourse-new; "/>
    <m/>
    <m/>
    <m/>
    <x v="2"/>
    <m/>
  </r>
  <r>
    <s v="RD2-"/>
    <n v="0.207792207792208"/>
    <s v="V-ARG-Ø-ARG/~Ø-Verbal"/>
    <m/>
    <m/>
    <m/>
    <x v="6"/>
    <x v="2"/>
    <m/>
    <m/>
    <m/>
    <m/>
    <x v="6"/>
    <m/>
    <x v="3"/>
    <m/>
    <x v="4"/>
    <m/>
    <m/>
    <m/>
    <m/>
    <x v="7"/>
    <m/>
    <m/>
    <m/>
    <m/>
    <m/>
    <x v="5"/>
    <m/>
    <m/>
    <m/>
    <m/>
    <m/>
    <m/>
    <m/>
    <m/>
    <x v="2"/>
    <m/>
  </r>
  <r>
    <m/>
    <m/>
    <m/>
    <m/>
    <m/>
    <m/>
    <x v="6"/>
    <x v="2"/>
    <m/>
    <m/>
    <m/>
    <m/>
    <x v="6"/>
    <m/>
    <x v="3"/>
    <m/>
    <x v="4"/>
    <m/>
    <m/>
    <m/>
    <m/>
    <x v="7"/>
    <m/>
    <m/>
    <m/>
    <s v="humble_aux"/>
    <m/>
    <x v="5"/>
    <m/>
    <m/>
    <m/>
    <s v="topic-drop – discourse topic still relevant, but not expressed here"/>
    <s v="unknown "/>
    <m/>
    <m/>
    <m/>
    <x v="2"/>
    <m/>
  </r>
  <r>
    <m/>
    <m/>
    <m/>
    <m/>
    <m/>
    <m/>
    <x v="6"/>
    <x v="2"/>
    <m/>
    <m/>
    <m/>
    <m/>
    <x v="6"/>
    <m/>
    <x v="3"/>
    <m/>
    <x v="4"/>
    <m/>
    <m/>
    <m/>
    <m/>
    <x v="7"/>
    <m/>
    <m/>
    <m/>
    <m/>
    <m/>
    <x v="5"/>
    <m/>
    <m/>
    <m/>
    <m/>
    <m/>
    <m/>
    <m/>
    <m/>
    <x v="2"/>
    <m/>
  </r>
  <r>
    <m/>
    <m/>
    <m/>
    <m/>
    <m/>
    <m/>
    <x v="6"/>
    <x v="2"/>
    <m/>
    <m/>
    <m/>
    <m/>
    <x v="6"/>
    <m/>
    <x v="3"/>
    <m/>
    <x v="4"/>
    <m/>
    <m/>
    <m/>
    <m/>
    <x v="7"/>
    <m/>
    <m/>
    <m/>
    <s v="polite_aux"/>
    <m/>
    <x v="5"/>
    <m/>
    <m/>
    <m/>
    <s v="no-topic – no clear topic in the clause"/>
    <m/>
    <m/>
    <m/>
    <m/>
    <x v="2"/>
    <m/>
  </r>
  <r>
    <m/>
    <m/>
    <m/>
    <m/>
    <m/>
    <m/>
    <x v="6"/>
    <x v="2"/>
    <m/>
    <m/>
    <m/>
    <m/>
    <x v="6"/>
    <m/>
    <x v="3"/>
    <m/>
    <x v="4"/>
    <m/>
    <m/>
    <m/>
    <m/>
    <x v="7"/>
    <m/>
    <m/>
    <m/>
    <m/>
    <m/>
    <x v="5"/>
    <m/>
    <m/>
    <m/>
    <m/>
    <m/>
    <m/>
    <m/>
    <m/>
    <x v="2"/>
    <m/>
  </r>
  <r>
    <m/>
    <m/>
    <m/>
    <m/>
    <m/>
    <m/>
    <x v="6"/>
    <x v="2"/>
    <m/>
    <m/>
    <m/>
    <m/>
    <x v="6"/>
    <m/>
    <x v="3"/>
    <m/>
    <x v="4"/>
    <m/>
    <m/>
    <m/>
    <m/>
    <x v="7"/>
    <m/>
    <m/>
    <m/>
    <s v="honorific_copula"/>
    <m/>
    <x v="5"/>
    <m/>
    <m/>
    <m/>
    <s v="unknown"/>
    <m/>
    <m/>
    <m/>
    <m/>
    <x v="2"/>
    <m/>
  </r>
  <r>
    <m/>
    <m/>
    <m/>
    <m/>
    <m/>
    <m/>
    <x v="6"/>
    <x v="2"/>
    <m/>
    <m/>
    <m/>
    <m/>
    <x v="6"/>
    <m/>
    <x v="3"/>
    <m/>
    <x v="4"/>
    <m/>
    <m/>
    <m/>
    <m/>
    <x v="7"/>
    <m/>
    <m/>
    <m/>
    <m/>
    <m/>
    <x v="5"/>
    <m/>
    <m/>
    <m/>
    <m/>
    <m/>
    <m/>
    <m/>
    <m/>
    <x v="2"/>
    <m/>
  </r>
  <r>
    <m/>
    <m/>
    <m/>
    <m/>
    <m/>
    <m/>
    <x v="6"/>
    <x v="2"/>
    <m/>
    <m/>
    <m/>
    <m/>
    <x v="6"/>
    <m/>
    <x v="3"/>
    <m/>
    <x v="4"/>
    <m/>
    <m/>
    <m/>
    <m/>
    <x v="7"/>
    <m/>
    <m/>
    <m/>
    <s v="nominal_prefix"/>
    <m/>
    <x v="5"/>
    <m/>
    <m/>
    <m/>
    <m/>
    <m/>
    <m/>
    <m/>
    <m/>
    <x v="2"/>
    <m/>
  </r>
  <r>
    <m/>
    <m/>
    <m/>
    <m/>
    <m/>
    <m/>
    <x v="6"/>
    <x v="2"/>
    <m/>
    <m/>
    <m/>
    <m/>
    <x v="6"/>
    <m/>
    <x v="3"/>
    <m/>
    <x v="4"/>
    <m/>
    <m/>
    <m/>
    <m/>
    <x v="7"/>
    <m/>
    <m/>
    <m/>
    <m/>
    <m/>
    <x v="5"/>
    <m/>
    <m/>
    <m/>
    <m/>
    <m/>
    <m/>
    <m/>
    <m/>
    <x v="2"/>
    <m/>
  </r>
  <r>
    <m/>
    <m/>
    <m/>
    <m/>
    <m/>
    <m/>
    <x v="6"/>
    <x v="2"/>
    <m/>
    <m/>
    <m/>
    <m/>
    <x v="6"/>
    <m/>
    <x v="3"/>
    <m/>
    <x v="4"/>
    <m/>
    <m/>
    <m/>
    <m/>
    <x v="7"/>
    <m/>
    <m/>
    <m/>
    <s v="honorific_title"/>
    <m/>
    <x v="5"/>
    <m/>
    <m/>
    <m/>
    <m/>
    <m/>
    <m/>
    <m/>
    <m/>
    <x v="2"/>
    <m/>
  </r>
  <r>
    <m/>
    <m/>
    <m/>
    <m/>
    <m/>
    <m/>
    <x v="6"/>
    <x v="2"/>
    <m/>
    <m/>
    <m/>
    <m/>
    <x v="6"/>
    <m/>
    <x v="3"/>
    <m/>
    <x v="4"/>
    <m/>
    <m/>
    <m/>
    <m/>
    <x v="7"/>
    <m/>
    <m/>
    <m/>
    <m/>
    <m/>
    <x v="5"/>
    <m/>
    <m/>
    <m/>
    <m/>
    <m/>
    <m/>
    <m/>
    <m/>
    <x v="2"/>
    <m/>
  </r>
  <r>
    <m/>
    <m/>
    <m/>
    <m/>
    <m/>
    <m/>
    <x v="6"/>
    <x v="2"/>
    <m/>
    <m/>
    <m/>
    <m/>
    <x v="6"/>
    <m/>
    <x v="3"/>
    <m/>
    <x v="4"/>
    <m/>
    <m/>
    <m/>
    <m/>
    <x v="7"/>
    <m/>
    <m/>
    <m/>
    <s v="other"/>
    <m/>
    <x v="5"/>
    <m/>
    <m/>
    <m/>
    <m/>
    <m/>
    <m/>
    <m/>
    <m/>
    <x v="2"/>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s v="Heike 2.1"/>
    <s v="忠盛朝臣未だ備前守たりし時 (Tadamori ason imada Bizen no kami tarishi toki)"/>
    <s v="Now Tadamori, while holding the office of Bizen no Kami,"/>
    <s v="たりし"/>
    <s v="indicative"/>
    <s v="stative"/>
    <s v="copula"/>
    <s v="intransitive"/>
    <s v="active"/>
    <s v="positive"/>
    <n v="1"/>
    <n v="1"/>
    <x v="0"/>
    <n v="0"/>
    <x v="0"/>
    <n v="3"/>
    <x v="0"/>
    <s v="n/a"/>
    <n v="0"/>
    <n v="1"/>
    <s v="REL"/>
    <s v="relative"/>
    <n v="0"/>
    <n v="0"/>
    <s v="n/a"/>
    <s v="n/a"/>
    <n v="0"/>
    <x v="0"/>
    <m/>
    <m/>
    <s v="new"/>
    <s v="ss"/>
    <s v="topic-introduced"/>
    <s v="contains_new"/>
    <m/>
    <m/>
    <n v="1"/>
    <s v="non-LVC"/>
    <s v="Yes"/>
    <n v="1"/>
    <s v="te"/>
    <n v="0"/>
    <n v="1"/>
    <x v="0"/>
  </r>
  <r>
    <s v="Heike 2.2"/>
    <s v="鳥羽院の御願得長寿院を造進して (Toba-in no ogan Tokuchōju-in o zōshin shite)"/>
    <s v="by the request of the retired Emperor Toba,"/>
    <s v="造進して"/>
    <s v="indicative"/>
    <s v="other"/>
    <s v="verb"/>
    <s v="transitive"/>
    <s v="active"/>
    <s v="positive"/>
    <n v="1"/>
    <n v="1"/>
    <x v="1"/>
    <n v="1"/>
    <x v="1"/>
    <n v="3"/>
    <x v="1"/>
    <s v="n/a"/>
    <n v="0"/>
    <n v="0"/>
    <s v="n/a"/>
    <s v="te"/>
    <n v="0"/>
    <n v="0"/>
    <s v="obj"/>
    <s v="nominal_prefix"/>
    <n v="1"/>
    <x v="1"/>
    <s v="relative"/>
    <s v="te_medial"/>
    <s v="ss"/>
    <s v="ss"/>
    <s v="topic-drop"/>
    <s v="contains_new"/>
    <s v="stranded subject Tadamori"/>
    <m/>
    <n v="1"/>
    <s v="non-LVC"/>
    <s v="Yes"/>
    <n v="1"/>
    <s v="te"/>
    <n v="1"/>
    <n v="2"/>
    <x v="1"/>
  </r>
  <r>
    <s v="Heike 2.3"/>
    <s v="三十三間の御堂を建て (sanjūsangen no midō o tatete)"/>
    <s v=" had built the temple Toku-cho-juin and the Sa-ju-san-gen-do, or hall 33 ken long,"/>
    <s v="建て"/>
    <s v="indicative"/>
    <s v="other"/>
    <s v="verb"/>
    <s v="transitive"/>
    <s v="active"/>
    <s v="positive"/>
    <n v="1"/>
    <n v="1"/>
    <x v="1"/>
    <n v="0"/>
    <x v="1"/>
    <n v="3"/>
    <x v="1"/>
    <s v="n/a"/>
    <n v="0"/>
    <n v="0"/>
    <s v="n/a"/>
    <s v="te"/>
    <n v="0"/>
    <n v="0"/>
    <s v="obj"/>
    <s v="nominal_prefix"/>
    <n v="1"/>
    <x v="1"/>
    <s v="te"/>
    <s v="te_medial"/>
    <s v="ss"/>
    <s v="ss"/>
    <s v="topic-drop"/>
    <s v="contains_new"/>
    <m/>
    <m/>
    <n v="1"/>
    <s v="non-LVC"/>
    <s v="Yes"/>
    <n v="1"/>
    <s v="relative"/>
    <n v="1"/>
    <m/>
    <x v="1"/>
  </r>
  <r>
    <s v="Heike 2.4"/>
    <s v="一千一体の御仏を据ゑ奉らる (issen ittai no mihotoke o sue-tatematsuraru)"/>
    <s v="within which were one thousand and one Buddhas;"/>
    <s v="据ゑ奉らる"/>
    <s v="indicative"/>
    <s v="action"/>
    <s v="verb"/>
    <s v="transitive"/>
    <s v="active"/>
    <s v="positive"/>
    <n v="1"/>
    <n v="1"/>
    <x v="1"/>
    <n v="0"/>
    <x v="2"/>
    <n v="3"/>
    <x v="1"/>
    <s v="n/a"/>
    <n v="0"/>
    <n v="1"/>
    <s v="REL"/>
    <s v="relative"/>
    <n v="1"/>
    <n v="1"/>
    <s v="sub"/>
    <s v="honorific_aux"/>
    <n v="1"/>
    <x v="2"/>
    <s v="te"/>
    <m/>
    <s v="ss"/>
    <s v="ds"/>
    <s v="topic-drop"/>
    <s v="contains_new"/>
    <s v="complex verbal form"/>
    <m/>
    <n v="1"/>
    <s v="non-LVC"/>
    <s v="Yes"/>
    <n v="1"/>
    <s v="main"/>
    <n v="0"/>
    <n v="3"/>
    <x v="1"/>
  </r>
  <r>
    <s v="Heike 2.5"/>
    <s v="供養は天承元年三月十三日なり (kuyō wa Tenshō gannen sangatsu jūsan-nichi nari)"/>
    <s v="its first festival being on the thirteenth day of the third month of the first year of Tensho."/>
    <s v="なり"/>
    <s v="indicative"/>
    <s v="stative"/>
    <s v="copula"/>
    <s v="intransitive"/>
    <s v="active"/>
    <s v="positive"/>
    <n v="1"/>
    <n v="1"/>
    <x v="0"/>
    <n v="0"/>
    <x v="0"/>
    <n v="3"/>
    <x v="0"/>
    <s v="n/a"/>
    <n v="0"/>
    <n v="0"/>
    <s v="n/a"/>
    <s v="main"/>
    <n v="0"/>
    <n v="0"/>
    <s v="n/a"/>
    <s v="n/a"/>
    <n v="0"/>
    <x v="2"/>
    <s v="relative"/>
    <m/>
    <s v="ds"/>
    <s v="ds"/>
    <s v="topic-introduced"/>
    <s v="contains_new"/>
    <m/>
    <m/>
    <n v="1"/>
    <s v="non-LVC"/>
    <s v="Yes"/>
    <n v="1"/>
    <s v="subordinate"/>
    <n v="1"/>
    <n v="1"/>
    <x v="1"/>
  </r>
  <r>
    <s v="Heike 2.6"/>
    <s v="勧賞には欠国を賜ふべき由 (kanshō ni wa kakukuni o tamau beki yoshi)"/>
    <s v="As a reward he was to be granted a fief,"/>
    <s v="賜ふべき"/>
    <s v="deontic"/>
    <s v="action"/>
    <s v="verb"/>
    <s v="transitive"/>
    <s v="active"/>
    <s v="positive"/>
    <n v="1"/>
    <n v="1"/>
    <x v="1"/>
    <n v="1"/>
    <x v="2"/>
    <n v="3"/>
    <x v="1"/>
    <s v="n/a"/>
    <n v="0"/>
    <n v="1"/>
    <s v="n/a"/>
    <s v="subordinate"/>
    <n v="0"/>
    <n v="1"/>
    <s v="sub"/>
    <s v="lexical_honorific_verb"/>
    <n v="0"/>
    <x v="3"/>
    <s v="main"/>
    <m/>
    <s v="ds"/>
    <s v="ds"/>
    <s v="topic-shift"/>
    <s v="contains_new"/>
    <m/>
    <m/>
    <n v="1"/>
    <s v="non-LVC"/>
    <s v="Yes"/>
    <n v="2"/>
    <m/>
    <n v="1"/>
    <m/>
    <x v="0"/>
  </r>
  <r>
    <s v="Heike 2.7"/>
    <s v="仰せ下されける (ōse-kudasa rekeru)"/>
    <s v="he was honoured by receiving the territory of the province of Tamba,"/>
    <s v="仰せ下されける"/>
    <s v="indicative"/>
    <s v="action"/>
    <s v="verb(complex)"/>
    <s v="intransitive"/>
    <s v="passive"/>
    <s v="positive"/>
    <n v="1"/>
    <n v="0"/>
    <x v="2"/>
    <n v="0"/>
    <x v="2"/>
    <n v="3"/>
    <x v="2"/>
    <s v="not_applicable"/>
    <n v="1"/>
    <n v="0"/>
    <s v="REL"/>
    <s v="relative"/>
    <n v="0"/>
    <n v="1"/>
    <s v="io"/>
    <s v="lexical honorific+honorific aux"/>
    <n v="0"/>
    <x v="2"/>
    <s v="subordinate"/>
    <m/>
    <s v="ds"/>
    <s v="ss"/>
    <s v="topic-drop"/>
    <s v="no_overt_NP"/>
    <m/>
    <m/>
    <n v="0"/>
    <s v="non-LVC"/>
    <s v="Yes"/>
    <n v="2"/>
    <m/>
    <n v="0"/>
    <m/>
    <x v="1"/>
  </r>
  <r>
    <s v="Heike 2.8"/>
    <s v="折節但馬国の空きたりけるをぞ (orifushi Tamba no kuni no aki tarikeru o zo)"/>
    <s v="which then happened to be unappropriated."/>
    <s v="空きたりける"/>
    <s v="indicative"/>
    <s v="stative"/>
    <s v="verb"/>
    <s v="intransitive"/>
    <s v="resultative"/>
    <s v="positive"/>
    <n v="1"/>
    <n v="1"/>
    <x v="0"/>
    <n v="1"/>
    <x v="0"/>
    <n v="3"/>
    <x v="0"/>
    <s v="n/a"/>
    <n v="0"/>
    <n v="0"/>
    <s v="OBJ"/>
    <s v="nominalised"/>
    <n v="0"/>
    <n v="0"/>
    <s v="n/a"/>
    <s v="n/a"/>
    <n v="0"/>
    <x v="2"/>
    <s v="relative"/>
    <m/>
    <s v="ss"/>
    <s v="ds"/>
    <s v="topic-drop"/>
    <s v="contains_new"/>
    <s v="internally headed"/>
    <m/>
    <n v="1"/>
    <s v="non-LVC"/>
    <s v="Yes"/>
    <n v="2"/>
    <m/>
    <n v="0"/>
    <n v="2"/>
    <x v="1"/>
  </r>
  <r>
    <s v="Heike 2.9"/>
    <s v="賜はりける (tamawari keru)"/>
    <s v="As a reward he was honoured by receiving the territory of the province of Tamba, which then happened to be unappropriated."/>
    <s v="賜はりける"/>
    <s v="indicative"/>
    <s v="action"/>
    <s v="verb"/>
    <s v="transitive"/>
    <s v="active"/>
    <s v="positive"/>
    <n v="1"/>
    <n v="1"/>
    <x v="1"/>
    <n v="0"/>
    <x v="2"/>
    <n v="3"/>
    <x v="3"/>
    <s v="zero_recoverable"/>
    <n v="0"/>
    <n v="0"/>
    <s v="n/a"/>
    <s v="main"/>
    <n v="0"/>
    <n v="1"/>
    <s v="sub"/>
    <s v="lexical_humble_verb"/>
    <n v="0"/>
    <x v="2"/>
    <s v="nominalised"/>
    <m/>
    <s v="ds"/>
    <s v="ds"/>
    <s v="topic-drop"/>
    <s v="no_overt_NP"/>
    <m/>
    <m/>
    <n v="1"/>
    <s v="non-LVC"/>
    <s v="Yes"/>
    <n v="2"/>
    <m/>
    <n v="1"/>
    <m/>
    <x v="1"/>
  </r>
  <r>
    <s v="Heike 2.10"/>
    <s v="上皇御感のあまりに内の昇殿を許さる (jōkō go-kan no amari ni uchi no shōden o yurusaru)"/>
    <s v="Moreover the Emperor of his bounty graciously permitted him to attend the Court;"/>
    <s v="許さる"/>
    <s v="indicative"/>
    <s v="action"/>
    <s v="verb"/>
    <s v="transitive"/>
    <s v="active"/>
    <s v="positive"/>
    <n v="1"/>
    <n v="2"/>
    <x v="3"/>
    <n v="1"/>
    <x v="0"/>
    <n v="3"/>
    <x v="1"/>
    <s v="zero_recoverable"/>
    <n v="1"/>
    <n v="0"/>
    <s v="REL"/>
    <s v="relative"/>
    <n v="1"/>
    <n v="0"/>
    <s v="sub"/>
    <s v="honorific_aux"/>
    <n v="1"/>
    <x v="2"/>
    <s v="main"/>
    <m/>
    <s v="ds"/>
    <s v="ds"/>
    <s v="topic-drop"/>
    <s v="contains_new"/>
    <s v="it's unlcear whether -re- in -yurusareru is passive or honorific"/>
    <m/>
    <n v="2"/>
    <s v="non-LVC"/>
    <s v="Yes"/>
    <n v="3"/>
    <s v="main"/>
    <n v="0"/>
    <n v="1"/>
    <x v="1"/>
  </r>
  <r>
    <s v="Heike 2.11"/>
    <s v="忠盛三十六にて初めて昇殿す (Tadamori sanjūroku nite hajimete shōden su)"/>
    <s v="which Tadamori did for the first time at the age of thirty six."/>
    <s v="昇殿す"/>
    <s v="indicative"/>
    <s v="motion"/>
    <s v="LVC"/>
    <s v="intransitive"/>
    <s v="active"/>
    <s v="positive"/>
    <n v="1"/>
    <n v="1"/>
    <x v="0"/>
    <n v="2"/>
    <x v="0"/>
    <n v="3"/>
    <x v="1"/>
    <s v="n/a"/>
    <n v="0"/>
    <n v="0"/>
    <s v="n/a"/>
    <s v="main"/>
    <n v="0"/>
    <n v="0"/>
    <s v="n/a"/>
    <s v="n/a"/>
    <n v="0"/>
    <x v="2"/>
    <s v="relative"/>
    <m/>
    <s v="ds"/>
    <s v="ds"/>
    <s v="topic-continued"/>
    <s v="contains_new"/>
    <m/>
    <m/>
    <n v="1"/>
    <s v="LVC"/>
    <s v="Yes"/>
    <n v="3"/>
    <s v="inf"/>
    <n v="1"/>
    <n v="1"/>
    <x v="0"/>
  </r>
  <r>
    <s v="Heike 2.12"/>
    <s v="雲の上人これを嫉み憤り (kumo no uebito kore o sonemi ikidori)"/>
    <s v="the higher Courtiers were furious with jealousy"/>
    <s v="嫉み憤り"/>
    <s v="indicative"/>
    <s v="psych-state"/>
    <s v="verb(compound)"/>
    <s v="transitive"/>
    <s v="active"/>
    <s v="positive"/>
    <n v="1"/>
    <n v="2"/>
    <x v="3"/>
    <n v="0"/>
    <x v="0"/>
    <n v="3"/>
    <x v="1"/>
    <s v="n/a"/>
    <n v="0"/>
    <n v="0"/>
    <s v="n/a"/>
    <s v="inf"/>
    <n v="0"/>
    <n v="0"/>
    <s v="n/a"/>
    <s v="n/a"/>
    <n v="0"/>
    <x v="2"/>
    <s v="main"/>
    <m/>
    <s v="ds"/>
    <s v="ss"/>
    <s v="topic-introduced"/>
    <s v="contains_new"/>
    <m/>
    <m/>
    <n v="2"/>
    <s v="non-LVC"/>
    <s v="Yes"/>
    <n v="4"/>
    <s v="complement"/>
    <n v="1"/>
    <n v="2"/>
    <x v="1"/>
  </r>
  <r>
    <s v="Heike 2.13"/>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s v="other"/>
    <s v="LVC"/>
    <s v="transitive"/>
    <s v="active"/>
    <s v="positive"/>
    <n v="1"/>
    <n v="1"/>
    <x v="1"/>
    <n v="1"/>
    <x v="1"/>
    <n v="3"/>
    <x v="1"/>
    <s v="n/a"/>
    <n v="0"/>
    <n v="0"/>
    <s v="n/a"/>
    <s v="complement"/>
    <n v="0"/>
    <n v="0"/>
    <s v="n/a"/>
    <s v="n/a"/>
    <n v="0"/>
    <x v="4"/>
    <s v="inf"/>
    <m/>
    <s v="ss"/>
    <s v="ds"/>
    <s v="topic-continued"/>
    <s v="contains_new"/>
    <m/>
    <m/>
    <n v="1"/>
    <s v="LVC"/>
    <s v="Yes"/>
    <n v="4"/>
    <m/>
    <n v="1"/>
    <n v="3"/>
    <x v="1"/>
  </r>
  <r>
    <s v="Heike 2.14"/>
    <s v="とぞ議せられける (to zo giserarikeru)"/>
    <s v="they plotted"/>
    <s v="議せられける"/>
    <s v="indicative"/>
    <s v="communication"/>
    <s v="LVC"/>
    <s v="intransitive"/>
    <s v="passive"/>
    <s v="positive"/>
    <n v="1"/>
    <n v="1"/>
    <x v="4"/>
    <n v="0"/>
    <x v="0"/>
    <s v="n/a"/>
    <x v="0"/>
    <s v="n/a"/>
    <n v="0"/>
    <n v="0"/>
    <s v="n/a"/>
    <s v="main"/>
    <n v="0"/>
    <n v="0"/>
    <s v="n/a"/>
    <s v="n/a"/>
    <n v="0"/>
    <x v="2"/>
    <s v="complement"/>
    <m/>
    <s v="ds"/>
    <s v="ds"/>
    <s v="topic-drop"/>
    <s v="all given"/>
    <m/>
    <m/>
    <n v="1"/>
    <s v="LVC"/>
    <s v="Yes"/>
    <n v="4"/>
    <s v="te"/>
    <n v="1"/>
    <n v="1"/>
    <x v="1"/>
  </r>
  <r>
    <s v="Heike 2.15"/>
    <s v="忠盛この由を伝へ聞きて (Tadamori kono yoshi o tsutae kikite)"/>
    <s v="Tadamori, on hearing of this"/>
    <s v="伝へ聞きて"/>
    <s v="indicative"/>
    <s v="perception"/>
    <s v="verb(compound)"/>
    <s v="transitive"/>
    <s v="active"/>
    <s v="positive"/>
    <n v="1"/>
    <n v="2"/>
    <x v="1"/>
    <n v="0"/>
    <x v="0"/>
    <n v="3"/>
    <x v="1"/>
    <s v="n/a"/>
    <n v="0"/>
    <n v="0"/>
    <s v="n/a"/>
    <s v="te"/>
    <n v="0"/>
    <n v="0"/>
    <s v="n/a"/>
    <s v="n/a"/>
    <n v="0"/>
    <x v="1"/>
    <s v="main"/>
    <s v="te_initial"/>
    <s v="ds"/>
    <s v="ds"/>
    <s v="topic-shift"/>
    <s v="all given"/>
    <m/>
    <m/>
    <n v="2"/>
    <s v="non-LVC"/>
    <s v="Yes"/>
    <n v="5"/>
    <m/>
    <n v="1"/>
    <n v="2"/>
    <x v="0"/>
  </r>
  <r>
    <s v="Heike 2.16"/>
    <s v="我右弼の身にあらず (ware ubitsu no mi ni a-razu)"/>
    <s v="I am not a civil official"/>
    <s v="あらず"/>
    <s v="indicative"/>
    <s v="other"/>
    <s v="copula"/>
    <s v="intransitive"/>
    <s v="active"/>
    <s v="negative"/>
    <n v="1"/>
    <n v="1"/>
    <x v="0"/>
    <n v="0"/>
    <x v="0"/>
    <n v="1"/>
    <x v="0"/>
    <s v="n/a"/>
    <n v="0"/>
    <n v="0"/>
    <s v="n/a"/>
    <s v="subordinate"/>
    <n v="0"/>
    <n v="0"/>
    <s v="n/a"/>
    <s v="n/a"/>
    <n v="0"/>
    <x v="1"/>
    <s v="te"/>
    <m/>
    <s v="ds"/>
    <s v="ss"/>
    <s v="topic-shift"/>
    <s v="contains_new"/>
    <m/>
    <m/>
    <n v="1"/>
    <s v="non-LVC"/>
    <s v="Yes"/>
    <n v="5"/>
    <s v="te"/>
    <n v="1"/>
    <n v="3"/>
    <x v="1"/>
  </r>
  <r>
    <s v="Heike 2.17"/>
    <s v="武勇の家に生れて (buyū no ie ni umarete)"/>
    <s v="being born of a line of warriors"/>
    <s v="生れて"/>
    <s v="indicative"/>
    <s v="other"/>
    <s v="verb"/>
    <s v="intransitive"/>
    <s v="active"/>
    <s v="positive"/>
    <n v="1"/>
    <n v="1"/>
    <x v="0"/>
    <n v="1"/>
    <x v="1"/>
    <n v="1"/>
    <x v="0"/>
    <s v="n/a"/>
    <n v="0"/>
    <n v="0"/>
    <s v="n/a"/>
    <s v="te"/>
    <n v="0"/>
    <n v="0"/>
    <s v="n/a"/>
    <s v="n/a"/>
    <n v="0"/>
    <x v="1"/>
    <s v="subordinate"/>
    <s v="te_medial"/>
    <s v="ss"/>
    <s v="ss"/>
    <s v="topic-drop"/>
    <s v="contains_new"/>
    <m/>
    <m/>
    <n v="1"/>
    <s v="non-LVC"/>
    <s v="Yes"/>
    <n v="5"/>
    <s v="relative"/>
    <n v="1"/>
    <m/>
    <x v="1"/>
  </r>
  <r>
    <s v="Heike 2.18"/>
    <s v="今不慮の恥に遇はん (ima furyo no haji ni awan)"/>
    <s v="for myself and my house at this unexpected shame"/>
    <s v="遇はん"/>
    <s v="epistemic"/>
    <s v="other"/>
    <s v="verb"/>
    <s v="intransitive"/>
    <s v="active"/>
    <s v="positive"/>
    <n v="1"/>
    <n v="1"/>
    <x v="5"/>
    <n v="1"/>
    <x v="1"/>
    <s v="n/a"/>
    <x v="0"/>
    <s v="overt"/>
    <n v="0"/>
    <n v="1"/>
    <s v="n/a"/>
    <s v="relative"/>
    <n v="0"/>
    <n v="0"/>
    <s v="n/a"/>
    <s v="n/a"/>
    <n v="0"/>
    <x v="2"/>
    <s v="te"/>
    <m/>
    <s v="ss"/>
    <s v="ds"/>
    <s v="topic-drop"/>
    <s v="contains_new"/>
    <m/>
    <m/>
    <n v="1"/>
    <s v="non-LVC"/>
    <s v="Yes"/>
    <n v="5"/>
    <s v="main"/>
    <n v="0"/>
    <n v="4"/>
    <x v="1"/>
  </r>
  <r>
    <s v="Heike 2.19"/>
    <s v="事家の為身の為心憂かるべし (koto ie no tame mi no tame kokoroukarubeshi)"/>
    <s v="I am troubled in my heart"/>
    <s v="憂かるべし"/>
    <s v="epistemic"/>
    <s v="psych-state"/>
    <s v="adjectival predicate"/>
    <s v="intransitive"/>
    <s v="active"/>
    <s v="positive"/>
    <n v="1"/>
    <n v="1"/>
    <x v="0"/>
    <n v="1"/>
    <x v="0"/>
    <n v="3"/>
    <x v="0"/>
    <s v="n/a"/>
    <n v="0"/>
    <n v="0"/>
    <s v="n/a"/>
    <s v="main"/>
    <n v="0"/>
    <n v="0"/>
    <s v="n/a"/>
    <s v="n/a"/>
    <n v="0"/>
    <x v="2"/>
    <s v="relative"/>
    <m/>
    <s v="ds"/>
    <n v="0"/>
    <s v="topic-drop"/>
    <s v="contains_new"/>
    <m/>
    <m/>
    <n v="1"/>
    <s v="non-LVC"/>
    <s v="Yes"/>
    <n v="5"/>
    <m/>
    <n v="1"/>
    <n v="1"/>
    <x v="1"/>
  </r>
  <r>
    <s v="Heike 2.20"/>
    <s v="詮ずるところ (senzuru tokoro)"/>
    <s v="finally, as for what is to be done"/>
    <s v="詮ずる"/>
    <s v="indicative"/>
    <s v="other"/>
    <m/>
    <m/>
    <m/>
    <m/>
    <m/>
    <m/>
    <x v="6"/>
    <m/>
    <x v="3"/>
    <m/>
    <x v="4"/>
    <m/>
    <m/>
    <m/>
    <m/>
    <m/>
    <m/>
    <m/>
    <m/>
    <m/>
    <m/>
    <x v="5"/>
    <s v="main"/>
    <m/>
    <m/>
    <s v="ss"/>
    <m/>
    <m/>
    <m/>
    <m/>
    <m/>
    <s v="non-LVC"/>
    <s v="Yes"/>
    <n v="6"/>
    <m/>
    <n v="1"/>
    <n v="2"/>
    <x v="1"/>
  </r>
  <r>
    <s v="Heike 2.21"/>
    <s v="身を全うして (mi o mattō shite)"/>
    <s v="with all your might"/>
    <s v="全うして"/>
    <s v="indicative"/>
    <s v="other"/>
    <s v="LVC"/>
    <s v="transitive"/>
    <s v="active"/>
    <s v="positive"/>
    <n v="1"/>
    <n v="1"/>
    <x v="1"/>
    <n v="0"/>
    <x v="1"/>
    <n v="1"/>
    <x v="1"/>
    <s v="n/a"/>
    <n v="0"/>
    <n v="0"/>
    <s v="n/a"/>
    <s v="te"/>
    <n v="0"/>
    <n v="0"/>
    <s v="n/a"/>
    <s v="n/a"/>
    <n v="0"/>
    <x v="1"/>
    <n v="0"/>
    <s v="te_medial"/>
    <s v="ss"/>
    <s v="ss"/>
    <s v="topic-drop"/>
    <s v="contains_new"/>
    <m/>
    <m/>
    <n v="1"/>
    <s v="LVC"/>
    <s v="Yes"/>
    <n v="6"/>
    <s v="complement"/>
    <n v="1"/>
    <n v="3"/>
    <x v="1"/>
  </r>
  <r>
    <s v="Heike 2.22"/>
    <s v="君に仕へ奉れ"/>
    <s v=" kimi ni tsukae tatematsure"/>
    <s v="仕へ奉れ"/>
    <s v="imperative"/>
    <s v="action"/>
    <s v="verb"/>
    <s v="intransitive"/>
    <s v="active"/>
    <s v="positive"/>
    <n v="1"/>
    <n v="1"/>
    <x v="5"/>
    <n v="0"/>
    <x v="2"/>
    <n v="1"/>
    <x v="0"/>
    <s v="overt"/>
    <n v="0"/>
    <n v="0"/>
    <s v="n/a"/>
    <s v="complement"/>
    <n v="1"/>
    <n v="1"/>
    <s v="sub"/>
    <s v="lexical_humble_verb"/>
    <n v="0"/>
    <x v="2"/>
    <s v="te"/>
    <m/>
    <s v="ss"/>
    <s v="ds"/>
    <s v="topic-drop"/>
    <s v="contains_new"/>
    <m/>
    <m/>
    <n v="1"/>
    <s v="non-LVC"/>
    <s v="Yes"/>
    <n v="6"/>
    <s v="main"/>
    <n v="1"/>
    <n v="4"/>
    <x v="1"/>
  </r>
  <r>
    <s v="Heike 2.23"/>
    <s v="といふ本文あり (to iu honbun ari)"/>
    <s v="so goes the original passage"/>
    <s v="あり"/>
    <s v="indicative"/>
    <s v="stative"/>
    <s v="existential verb"/>
    <s v="intransitive"/>
    <s v="active"/>
    <s v="positive"/>
    <n v="1"/>
    <n v="1"/>
    <x v="0"/>
    <n v="1"/>
    <x v="0"/>
    <n v="3"/>
    <x v="0"/>
    <s v="n/a"/>
    <n v="0"/>
    <n v="0"/>
    <s v="n/a"/>
    <s v="main"/>
    <n v="0"/>
    <n v="0"/>
    <s v="n/a"/>
    <s v="n/a"/>
    <n v="0"/>
    <x v="2"/>
    <s v="complement"/>
    <m/>
    <s v="ds"/>
    <s v="ss"/>
    <s v="topic-drop"/>
    <s v="contains_new"/>
    <s v="frame predicate"/>
    <m/>
    <n v="1"/>
    <s v="non-LVC"/>
    <s v="Yes"/>
    <n v="6"/>
    <s v="inf"/>
    <n v="1"/>
    <n v="1"/>
    <x v="1"/>
  </r>
  <r>
    <s v="Heike 2.24"/>
    <s v="参内の初めより大なる鞘巻を用意し (sannai no hajime yori ō-naru sayamaki o yōi shi)"/>
    <s v="Before entering the Court he provided himself with a long dirk"/>
    <s v="用意し"/>
    <s v="indicative"/>
    <s v="other"/>
    <s v="LVC"/>
    <s v="transitive"/>
    <s v="active"/>
    <s v="positive"/>
    <n v="1"/>
    <n v="1"/>
    <x v="1"/>
    <n v="1"/>
    <x v="1"/>
    <n v="3"/>
    <x v="1"/>
    <s v="n/a"/>
    <n v="0"/>
    <n v="0"/>
    <s v="n/a"/>
    <s v="inf"/>
    <n v="0"/>
    <n v="0"/>
    <s v="n/a"/>
    <s v="n/a"/>
    <n v="0"/>
    <x v="2"/>
    <s v="main"/>
    <m/>
    <s v="ss"/>
    <s v="ss"/>
    <s v="topic-drop"/>
    <s v="contains_new"/>
    <m/>
    <m/>
    <n v="1"/>
    <s v="LVC"/>
    <s v="Yes"/>
    <n v="7"/>
    <s v="inf"/>
    <n v="1"/>
    <n v="2"/>
    <x v="0"/>
  </r>
  <r>
    <s v="Heike 2.25"/>
    <s v="束帯の下にしどけなげに差し (sokutai no shita ni shidokenage ni sashi)"/>
    <s v="which he girt on under his long court dress"/>
    <s v="差し"/>
    <s v="indicative"/>
    <s v="other"/>
    <s v="verb"/>
    <s v="transitive"/>
    <s v="active"/>
    <s v="positive"/>
    <n v="1"/>
    <n v="1"/>
    <x v="5"/>
    <n v="1"/>
    <x v="1"/>
    <n v="3"/>
    <x v="3"/>
    <s v="overt"/>
    <n v="0"/>
    <n v="0"/>
    <s v="n/a"/>
    <s v="inf"/>
    <n v="0"/>
    <n v="0"/>
    <s v="n/a"/>
    <s v="n/a"/>
    <n v="0"/>
    <x v="2"/>
    <s v="inf"/>
    <m/>
    <s v="ss"/>
    <s v="ss"/>
    <s v="topic-drop"/>
    <s v="contains_new"/>
    <m/>
    <m/>
    <n v="1"/>
    <s v="non-LVC"/>
    <s v="Yes"/>
    <n v="7"/>
    <s v="te"/>
    <n v="1"/>
    <n v="3"/>
    <x v="1"/>
  </r>
  <r>
    <s v="Heike 2.26"/>
    <s v="火の仄暗き方に向かつて (hi no hokuraki kata ni mukatte)"/>
    <s v="and turning aside to a dimly lit place"/>
    <s v="向かつて"/>
    <s v="indicative"/>
    <s v="other"/>
    <s v="verb"/>
    <s v="intransitive"/>
    <s v="active"/>
    <s v="positive"/>
    <n v="1"/>
    <n v="1"/>
    <x v="5"/>
    <n v="1"/>
    <x v="1"/>
    <n v="3"/>
    <x v="0"/>
    <s v="overt"/>
    <n v="0"/>
    <n v="0"/>
    <s v="n/a"/>
    <s v="te"/>
    <n v="0"/>
    <n v="0"/>
    <s v="n/a"/>
    <s v="n/a"/>
    <n v="0"/>
    <x v="1"/>
    <s v="inf"/>
    <s v="te_medial"/>
    <s v="ss"/>
    <s v="ss"/>
    <s v="topic-drop"/>
    <s v="contains_new"/>
    <m/>
    <m/>
    <n v="1"/>
    <s v="non-LVC"/>
    <s v="Yes"/>
    <n v="7"/>
    <m/>
    <n v="1"/>
    <n v="4"/>
    <x v="1"/>
  </r>
  <r>
    <s v="Heike 2.27"/>
    <s v="やはらこの刀を抜き出でて (yahara kono katana o nuki-idete)"/>
    <s v="slowly drew the blade"/>
    <s v="抜き出でて"/>
    <s v="indicative"/>
    <s v="motion"/>
    <s v="verb(compound)"/>
    <s v="transitive"/>
    <s v="active"/>
    <s v="positive"/>
    <n v="1"/>
    <n v="1"/>
    <x v="1"/>
    <n v="0"/>
    <x v="1"/>
    <n v="3"/>
    <x v="1"/>
    <s v="n/a"/>
    <n v="0"/>
    <n v="0"/>
    <s v="n/a"/>
    <s v="te"/>
    <n v="0"/>
    <n v="0"/>
    <s v="n/a"/>
    <s v="n/a"/>
    <n v="0"/>
    <x v="1"/>
    <s v="te"/>
    <s v="te_medial"/>
    <s v="ss"/>
    <s v="ss"/>
    <s v="topic-drop"/>
    <s v="all given"/>
    <s v="&quot;kono katana&quot; refers to the &quot;sayamaki&quot;, so all given"/>
    <m/>
    <n v="1"/>
    <s v="non-LVC"/>
    <s v="Yes"/>
    <n v="7"/>
    <m/>
    <n v="1"/>
    <n v="5"/>
    <x v="1"/>
  </r>
  <r>
    <s v="Heike 2.28"/>
    <s v="鬢に引き当てられたりけるが (kami ni hiki-ate raretarikeru ga)"/>
    <s v="and passed it through the hair of his head"/>
    <s v="引き当てられたりける"/>
    <s v="indicative"/>
    <s v="motion"/>
    <s v="verb"/>
    <s v="transitive"/>
    <s v="active"/>
    <s v="positive"/>
    <n v="1"/>
    <n v="1"/>
    <x v="5"/>
    <n v="0"/>
    <x v="2"/>
    <n v="3"/>
    <x v="3"/>
    <s v="overt"/>
    <n v="0"/>
    <n v="0"/>
    <s v="n/a"/>
    <s v="subordinate"/>
    <n v="0"/>
    <n v="1"/>
    <s v="sub"/>
    <s v="honorific_aux"/>
    <n v="0"/>
    <x v="6"/>
    <s v="te"/>
    <m/>
    <s v="ss"/>
    <s v="ds"/>
    <s v="topic-drop"/>
    <s v="contains_new"/>
    <s v="should the -to part be considered a clausal subject?"/>
    <m/>
    <n v="1"/>
    <s v="non-LVC"/>
    <s v="Yes"/>
    <n v="7"/>
    <m/>
    <n v="1"/>
    <m/>
    <x v="1"/>
  </r>
  <r>
    <s v="Heike 2.29"/>
    <s v="余所よりは氷などのやうにぞ見えたりける (yoso yori wa kōri nado no yō ni zo mieta rikeru)"/>
    <s v="so that it gleamed afar off with an icy sheen"/>
    <s v="見えたりける"/>
    <s v="indicative"/>
    <s v="perception"/>
    <s v="verb"/>
    <s v="intransitive"/>
    <s v="resultative"/>
    <s v="positive"/>
    <n v="1"/>
    <n v="0"/>
    <x v="2"/>
    <n v="2"/>
    <x v="1"/>
    <n v="3"/>
    <x v="0"/>
    <s v="n/a"/>
    <n v="0"/>
    <n v="0"/>
    <s v="n/a"/>
    <s v="relative"/>
    <n v="0"/>
    <n v="0"/>
    <s v="n/a"/>
    <s v="n/a"/>
    <n v="0"/>
    <x v="2"/>
    <s v="subordinate"/>
    <m/>
    <s v="ds"/>
    <s v="ss"/>
    <s v="topic-drop"/>
    <s v="no_overt_NP"/>
    <m/>
    <m/>
    <n v="0"/>
    <s v="non-LVC"/>
    <s v="Yes"/>
    <n v="7"/>
    <m/>
    <n v="0"/>
    <n v="6"/>
    <x v="1"/>
  </r>
  <r>
    <s v="Heike 2.30"/>
    <s v="諸人目を澄ましけり (morobito me o sumashikeri)"/>
    <s v="causing all to stare open-eyed"/>
    <s v="澄ましけり"/>
    <s v="indicative"/>
    <s v="other"/>
    <s v="verb"/>
    <s v="transitive"/>
    <s v="active"/>
    <s v="positive"/>
    <n v="1"/>
    <n v="2"/>
    <x v="7"/>
    <n v="0"/>
    <x v="1"/>
    <n v="3"/>
    <x v="1"/>
    <s v="overt"/>
    <n v="0"/>
    <n v="0"/>
    <s v="n/a"/>
    <s v="main"/>
    <n v="0"/>
    <n v="0"/>
    <s v="n/a"/>
    <s v="n/a"/>
    <n v="0"/>
    <x v="2"/>
    <s v="relative"/>
    <m/>
    <s v="ss"/>
    <s v="ds"/>
    <s v="topic-drop"/>
    <s v="contains_new"/>
    <m/>
    <m/>
    <n v="2"/>
    <s v="non-LVC"/>
    <s v="Yes"/>
    <n v="7"/>
    <s v="relative"/>
    <n v="1"/>
    <m/>
    <x v="0"/>
  </r>
  <r>
    <s v="Heike 2.31"/>
    <s v="また忠盛の郎等元は一門たりし( mata Tadamori no rōtō moto wa ichimon tarishi) "/>
    <s v="Moreover a retainer of Tadamori ... "/>
    <s v="たりし"/>
    <s v="indicative"/>
    <s v="other"/>
    <s v="copula"/>
    <s v="intransitive"/>
    <s v="active"/>
    <s v="positive"/>
    <n v="1"/>
    <n v="1"/>
    <x v="0"/>
    <n v="1"/>
    <x v="0"/>
    <n v="3"/>
    <x v="0"/>
    <s v="n/a"/>
    <n v="0"/>
    <n v="0"/>
    <s v="REL"/>
    <s v="relative"/>
    <n v="0"/>
    <n v="0"/>
    <s v="n/a"/>
    <s v="n/a"/>
    <n v="0"/>
    <x v="6"/>
    <s v="main"/>
    <m/>
    <s v="ds"/>
    <s v="ss"/>
    <s v="topic-introduced"/>
    <s v="contains_new"/>
    <m/>
    <m/>
    <n v="1"/>
    <s v="non-LVC"/>
    <s v="Yes"/>
    <n v="8"/>
    <s v="main"/>
    <n v="0"/>
    <n v="1"/>
    <x v="1"/>
  </r>
  <r>
    <s v="Heike 2.32"/>
    <s v="木工助平貞光が孫新四郎太夫家房が子に左兵衛尉家貞といふ者あり (Moku no suke Sadamitsu ga mago Shinshirō Tayū Iefusa ga ko ni Sahyōe no jō Iesada to iu mono ari)"/>
    <s v="there was one named Sahyoe-no-jo Iesada"/>
    <s v="あり"/>
    <s v="indicative"/>
    <s v="other"/>
    <s v="existential verb"/>
    <s v="intransitive"/>
    <s v="active"/>
    <s v="positive"/>
    <n v="1"/>
    <n v="1"/>
    <x v="0"/>
    <n v="2"/>
    <x v="0"/>
    <n v="3"/>
    <x v="0"/>
    <s v="n/a"/>
    <n v="0"/>
    <n v="0"/>
    <s v="n/a"/>
    <s v="main"/>
    <n v="0"/>
    <n v="0"/>
    <s v="n/a"/>
    <s v="n/a"/>
    <n v="0"/>
    <x v="2"/>
    <s v="relative"/>
    <m/>
    <s v="ss"/>
    <s v="ss"/>
    <s v="topic-introduced"/>
    <s v="contains_new"/>
    <s v="frame predicate"/>
    <m/>
    <n v="1"/>
    <s v="non-LVC"/>
    <s v="Yes"/>
    <n v="8"/>
    <s v="inf"/>
    <n v="1"/>
    <n v="1"/>
    <x v="0"/>
  </r>
  <r>
    <s v="Heike 2.33"/>
    <s v="薄青の狩衣の下に萌黄威の腹巻を着 (usuao no kariginu no shita ni moegi-odoshi no haramaki o ki)"/>
    <s v="wearing a body armour laced with bright green under a light green &quot;kariginu&quot;"/>
    <s v="着"/>
    <s v="indicative"/>
    <s v="other"/>
    <s v="verb"/>
    <s v="transitive"/>
    <s v="active"/>
    <s v="positive"/>
    <n v="1"/>
    <n v="1"/>
    <x v="1"/>
    <n v="1"/>
    <x v="1"/>
    <n v="3"/>
    <x v="1"/>
    <s v="n/a"/>
    <n v="0"/>
    <n v="0"/>
    <s v="n/a"/>
    <s v="inf"/>
    <n v="0"/>
    <n v="0"/>
    <s v="n/a"/>
    <s v="n/a"/>
    <n v="0"/>
    <x v="2"/>
    <s v="main"/>
    <m/>
    <s v="ss"/>
    <s v="ss"/>
    <s v="topic-drop"/>
    <s v="contains_new"/>
    <m/>
    <m/>
    <n v="1"/>
    <s v="non-LVC"/>
    <s v="Yes"/>
    <n v="9"/>
    <s v="relative"/>
    <n v="1"/>
    <m/>
    <x v="1"/>
  </r>
  <r>
    <s v="Heike 2.34"/>
    <s v="柄弦袋付けたる ezurubukuro tsuketaru "/>
    <s v="with a bowstring bag attached"/>
    <s v="付けたる"/>
    <s v="indicative"/>
    <s v="other"/>
    <s v="verb"/>
    <s v="transitive"/>
    <s v="active"/>
    <s v="positive"/>
    <n v="1"/>
    <n v="1"/>
    <x v="1"/>
    <n v="0"/>
    <x v="1"/>
    <n v="3"/>
    <x v="1"/>
    <s v="n/a"/>
    <n v="1"/>
    <n v="0"/>
    <s v="REL"/>
    <s v="relative"/>
    <n v="0"/>
    <n v="0"/>
    <s v="n/a"/>
    <s v="n/a"/>
    <n v="0"/>
    <x v="2"/>
    <s v="inf"/>
    <m/>
    <s v="ss"/>
    <s v="ss"/>
    <s v="topic-drop"/>
    <s v="contains_new"/>
    <m/>
    <m/>
    <n v="1"/>
    <s v="non-LVC"/>
    <s v="Yes"/>
    <n v="9"/>
    <s v="te"/>
    <n v="0"/>
    <n v="2"/>
    <x v="1"/>
  </r>
  <r>
    <s v="Heike 2.35"/>
    <s v="太刀脇挟んで (tachi wakihasande)"/>
    <s v="and carrying under his arm a &quot;tachi&quot; "/>
    <s v="挟んで"/>
    <s v="indicative"/>
    <s v="other"/>
    <s v="verb"/>
    <s v="transitive"/>
    <s v="active"/>
    <s v="positive"/>
    <n v="1"/>
    <n v="2"/>
    <x v="7"/>
    <n v="0"/>
    <x v="1"/>
    <n v="3"/>
    <x v="1"/>
    <s v="overt"/>
    <n v="0"/>
    <n v="0"/>
    <s v="n/a"/>
    <s v="te"/>
    <n v="0"/>
    <n v="0"/>
    <s v="n/a"/>
    <s v="n/a"/>
    <n v="0"/>
    <x v="2"/>
    <s v="relative"/>
    <s v="te_medial"/>
    <s v="ss"/>
    <s v="ss"/>
    <s v="topic-drop"/>
    <s v="contains_new"/>
    <m/>
    <m/>
    <n v="2"/>
    <s v="non-LVC"/>
    <s v="Yes"/>
    <n v="9"/>
    <m/>
    <n v="1"/>
    <n v="3"/>
    <x v="1"/>
  </r>
  <r>
    <s v="Heike 2.36"/>
    <s v="殿上の小庭に畏つてぞ候ひける (tenjō no koniwa ni kashikomatte zo soroikyeru)"/>
    <s v="was waiting in the &quot;koniwa,&quot; the small court by the Seiryoden"/>
    <s v="畏つて候ひける"/>
    <s v="indicative"/>
    <s v="other"/>
    <s v="verb(complex)"/>
    <s v="intransitive"/>
    <s v="active"/>
    <s v="positive"/>
    <n v="1"/>
    <n v="0"/>
    <x v="2"/>
    <n v="1"/>
    <x v="1"/>
    <n v="3"/>
    <x v="0"/>
    <s v="n/a"/>
    <n v="0"/>
    <n v="0"/>
    <s v="n/a"/>
    <s v="main"/>
    <n v="0"/>
    <n v="1"/>
    <s v="sub"/>
    <s v="lexical_humble_verb"/>
    <n v="0"/>
    <x v="2"/>
    <s v="te"/>
    <m/>
    <s v="ss"/>
    <s v="ds"/>
    <s v="topic-drop"/>
    <s v="no_overt_NP"/>
    <m/>
    <m/>
    <n v="0"/>
    <s v="non-LVC"/>
    <s v="Yes"/>
    <n v="9"/>
    <m/>
    <n v="1"/>
    <n v="1"/>
    <x v="1"/>
  </r>
  <r>
    <s v="Heike 2.37"/>
    <s v="貫首以下怪しみをなして (kanshu ika ayashimi o nashite)"/>
    <s v="Now the Kurando-no-to and others, thinking it strange,"/>
    <s v="なして"/>
    <s v="indicative"/>
    <s v="other"/>
    <s v="LVC (inf)"/>
    <s v="transitive"/>
    <s v="active"/>
    <s v="negative"/>
    <n v="1"/>
    <n v="2"/>
    <x v="3"/>
    <n v="0"/>
    <x v="0"/>
    <n v="3"/>
    <x v="1"/>
    <s v="n/a"/>
    <n v="0"/>
    <n v="0"/>
    <s v="n/a"/>
    <s v="te"/>
    <n v="0"/>
    <n v="0"/>
    <s v="n/a"/>
    <s v="n/a"/>
    <n v="0"/>
    <x v="1"/>
    <s v="main"/>
    <s v="te_initial"/>
    <s v="ds"/>
    <s v="ss"/>
    <s v="topic-shift"/>
    <s v="contains_new"/>
    <m/>
    <m/>
    <n v="2"/>
    <s v="LVC"/>
    <s v="Yes"/>
    <n v="10"/>
    <s v="nominalised"/>
    <n v="1"/>
    <m/>
    <x v="1"/>
  </r>
  <r>
    <s v="Heike 2.38"/>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s v="other"/>
    <s v="verb"/>
    <s v="intransitive"/>
    <s v="active"/>
    <s v="positive"/>
    <n v="1"/>
    <n v="1"/>
    <x v="0"/>
    <n v="1"/>
    <x v="0"/>
    <n v="3"/>
    <x v="0"/>
    <s v="n/a"/>
    <n v="0"/>
    <n v="0"/>
    <s v="SUB"/>
    <s v="nominalised"/>
    <n v="1"/>
    <n v="0"/>
    <s v="sub"/>
    <s v="lexical_humble_verb"/>
    <n v="0"/>
    <x v="2"/>
    <s v="te"/>
    <m/>
    <s v="ss"/>
    <s v="ss"/>
    <s v="topic-shift"/>
    <s v="contains_new"/>
    <s v="internally headed"/>
    <m/>
    <n v="1"/>
    <s v="non-LVC"/>
    <s v="Yes"/>
    <n v="10"/>
    <m/>
    <n v="0"/>
    <n v="2"/>
    <x v="1"/>
  </r>
  <r>
    <s v="Heike 2.39"/>
    <s v="は何者ぞ  wa nani mono zo"/>
    <s v="and wondering who he was."/>
    <s v="何者ぞ  "/>
    <s v="indicative"/>
    <s v="other"/>
    <s v="copula"/>
    <s v="intransitive"/>
    <s v="active"/>
    <s v="positive"/>
    <n v="1"/>
    <n v="1"/>
    <x v="0"/>
    <n v="0"/>
    <x v="0"/>
    <n v="3"/>
    <x v="0"/>
    <s v="n/a"/>
    <n v="0"/>
    <n v="0"/>
    <s v="n/a"/>
    <s v="main"/>
    <n v="0"/>
    <n v="0"/>
    <s v="n/a"/>
    <s v="n/a"/>
    <n v="0"/>
    <x v="2"/>
    <s v="nominalised"/>
    <m/>
    <s v="ss"/>
    <s v="ss"/>
    <s v="topic-continued"/>
    <s v="all given"/>
    <m/>
    <m/>
    <n v="1"/>
    <s v="non-LVC"/>
    <s v="Yes"/>
    <n v="10"/>
    <m/>
    <n v="1"/>
    <n v="1"/>
    <x v="1"/>
  </r>
  <r>
    <s v="Heike 2.40"/>
    <s v="狼藉なり (rōzaku nari)"/>
    <s v="&quot;[He is] disorderly&quot;"/>
    <s v="なり"/>
    <s v="indicative"/>
    <s v="stative"/>
    <s v="copula"/>
    <s v="intransitive"/>
    <s v="active"/>
    <s v="positive"/>
    <n v="1"/>
    <n v="0"/>
    <x v="2"/>
    <n v="0"/>
    <x v="4"/>
    <n v="3"/>
    <x v="0"/>
    <s v="n/a"/>
    <n v="0"/>
    <n v="0"/>
    <s v="n/a"/>
    <s v="main"/>
    <n v="0"/>
    <n v="0"/>
    <s v="n/a"/>
    <s v="n/a"/>
    <n v="0"/>
    <x v="2"/>
    <s v="main"/>
    <m/>
    <s v="ss"/>
    <s v="ss"/>
    <s v="topic-drop"/>
    <s v="no_overt_NP"/>
    <m/>
    <m/>
    <n v="0"/>
    <s v="non-LVC"/>
    <s v="Yes"/>
    <n v="11"/>
    <s v="complement"/>
    <n v="1"/>
    <n v="1"/>
    <x v="0"/>
  </r>
  <r>
    <s v="Heike 2.41"/>
    <s v="疾う疾う罷り出でよと (tōtō makari ideyo to)"/>
    <s v="&quot;Depart quickly&quot;"/>
    <s v="罷り出でよ"/>
    <s v="imperative"/>
    <s v="motion"/>
    <s v="verb"/>
    <s v="intransitive"/>
    <s v="active"/>
    <s v="positive"/>
    <n v="1"/>
    <n v="0"/>
    <x v="2"/>
    <n v="0"/>
    <x v="1"/>
    <n v="2"/>
    <x v="0"/>
    <s v="n/a"/>
    <n v="0"/>
    <n v="0"/>
    <s v="n/a"/>
    <s v="complement"/>
    <n v="0"/>
    <n v="1"/>
    <s v="sub"/>
    <s v="lexical_humble_verb"/>
    <n v="0"/>
    <x v="4"/>
    <s v="main"/>
    <m/>
    <s v="ss"/>
    <s v="ss"/>
    <s v="topic-drop"/>
    <s v="no_overt_NP"/>
    <s v="embedded"/>
    <m/>
    <n v="0"/>
    <s v="non-LVC"/>
    <s v="Yes"/>
    <n v="12"/>
    <m/>
    <n v="1"/>
    <n v="2"/>
    <x v="0"/>
  </r>
  <r>
    <s v="Heike 2.42"/>
    <s v="六位を以て云はせられたりければ (to roku-i o motte iwaseraretarikereba)"/>
    <s v="an official of the sixth rank ordered him to depart quickly."/>
    <s v="云はせられたりければ"/>
    <s v="indicative"/>
    <s v="stative"/>
    <s v="verb"/>
    <s v="intransitive"/>
    <s v="causative-passive-resultative"/>
    <s v="positive"/>
    <n v="1"/>
    <n v="2"/>
    <x v="8"/>
    <n v="1"/>
    <x v="1"/>
    <n v="3"/>
    <x v="1"/>
    <s v="n/a"/>
    <n v="0"/>
    <n v="0"/>
    <s v="n/a"/>
    <s v="subordinate"/>
    <n v="1"/>
    <n v="0"/>
    <s v="n/a"/>
    <s v="honorific_aux"/>
    <n v="0"/>
    <x v="2"/>
    <s v="complement"/>
    <m/>
    <s v="ss"/>
    <s v="ss"/>
    <s v="topic-drop"/>
    <s v="contains_new"/>
    <m/>
    <m/>
    <n v="2"/>
    <s v="non-LVC"/>
    <s v="Yes"/>
    <n v="12"/>
    <m/>
    <n v="1"/>
    <n v="3"/>
    <x v="1"/>
  </r>
  <r>
    <s v="Heike 2.43"/>
    <s v="家貞畏つて申しけるは (Iesada kashikomatte mōshikeru wa)"/>
    <s v="But Iesada thus replied:"/>
    <s v="申しける"/>
    <s v="indicative"/>
    <s v="action"/>
    <s v="verb"/>
    <s v="transitive"/>
    <s v="active"/>
    <s v="positive"/>
    <n v="1"/>
    <n v="1"/>
    <x v="0"/>
    <n v="0"/>
    <x v="0"/>
    <n v="3"/>
    <x v="5"/>
    <s v="n/a"/>
    <n v="1"/>
    <n v="0"/>
    <s v="SUB"/>
    <s v="subordinate"/>
    <n v="1"/>
    <n v="0"/>
    <s v="sub"/>
    <s v="lexical_humble_verb"/>
    <n v="0"/>
    <x v="2"/>
    <s v="subordinate"/>
    <m/>
    <s v="ss"/>
    <s v="ds"/>
    <s v="topic-continued"/>
    <s v="all given"/>
    <s v="internally headed"/>
    <m/>
    <n v="1"/>
    <s v="non-LVC"/>
    <s v="Yes"/>
    <n v="12"/>
    <m/>
    <n v="1"/>
    <m/>
    <x v="1"/>
  </r>
  <r>
    <s v="Heike 2.44"/>
    <s v="相伝の主備前守殿今夜闇討にせられ給ふべき (sōden no aruji Bizen no kami-dono kon'ya yamiuchi ni serare-tamō beki) "/>
    <s v="tonight they will try to kill my Lord Bizen-no-kami dono&quot;"/>
    <s v="闇討にせられ給ふ"/>
    <s v="indicative"/>
    <s v="other"/>
    <s v="LVC"/>
    <s v="intransitive"/>
    <s v="passive"/>
    <s v="positive"/>
    <n v="1"/>
    <n v="1"/>
    <x v="0"/>
    <n v="1"/>
    <x v="0"/>
    <n v="3"/>
    <x v="0"/>
    <s v="n/a"/>
    <n v="0"/>
    <n v="1"/>
    <s v="REL"/>
    <s v="relative"/>
    <n v="1"/>
    <n v="0"/>
    <s v="sub"/>
    <s v="lexical_honorific_verb"/>
    <n v="0"/>
    <x v="2"/>
    <s v="subordinate"/>
    <m/>
    <s v="ds"/>
    <s v="ss"/>
    <s v="topic-shift"/>
    <s v="contains_new"/>
    <m/>
    <m/>
    <n v="1"/>
    <s v="LVC"/>
    <s v="Yes"/>
    <n v="12"/>
    <s v="te"/>
    <n v="0"/>
    <n v="4"/>
    <x v="1"/>
  </r>
  <r>
    <s v="Heike 2.45"/>
    <s v="由伝へ承つて(yoshi tsutae uketamawatte) "/>
    <s v="Because I have heard that"/>
    <s v="伝へ承つて"/>
    <s v="indicative"/>
    <s v="communication"/>
    <s v="verb"/>
    <s v="transitive"/>
    <s v="active"/>
    <s v="positive"/>
    <n v="1"/>
    <n v="1"/>
    <x v="1"/>
    <n v="0"/>
    <x v="1"/>
    <n v="1"/>
    <x v="1"/>
    <s v="n/a"/>
    <n v="0"/>
    <n v="0"/>
    <s v="n/a"/>
    <s v="te"/>
    <n v="0"/>
    <n v="1"/>
    <s v="sub"/>
    <s v="honorific_aux"/>
    <n v="0"/>
    <x v="1"/>
    <s v="relative"/>
    <s v="te_medial"/>
    <s v="ss"/>
    <s v="ds"/>
    <s v="topic-drop"/>
    <s v="contains_new"/>
    <m/>
    <m/>
    <n v="1"/>
    <s v="non-LVC"/>
    <s v="Yes"/>
    <n v="12"/>
    <m/>
    <n v="1"/>
    <m/>
    <x v="1"/>
  </r>
  <r>
    <s v="Heike 2.46"/>
    <s v="それならん  (sore naran )"/>
    <s v="&quot;whether it is so&quot;"/>
    <s v="ならん "/>
    <s v="epistemic"/>
    <s v="other"/>
    <s v="verb"/>
    <s v="intransitive"/>
    <s v="active"/>
    <s v="positive"/>
    <n v="1"/>
    <n v="1"/>
    <x v="0"/>
    <n v="0"/>
    <x v="0"/>
    <n v="3"/>
    <x v="0"/>
    <s v="n/a"/>
    <n v="0"/>
    <n v="1"/>
    <s v="REL"/>
    <s v="relative"/>
    <n v="0"/>
    <n v="0"/>
    <s v="n/a"/>
    <s v="n/a"/>
    <n v="0"/>
    <x v="2"/>
    <s v="te"/>
    <m/>
    <s v="ds"/>
    <s v="ds"/>
    <s v="topic-continued"/>
    <s v="all given"/>
    <m/>
    <m/>
    <n v="1"/>
    <s v="non-LVC"/>
    <s v="Yes"/>
    <n v="12"/>
    <m/>
    <n v="0"/>
    <n v="5"/>
    <x v="1"/>
  </r>
  <r>
    <s v="Heike 2.47"/>
    <s v="やうを見んとて (yō o min to te)"/>
    <s v="and in order to see "/>
    <s v="見ん"/>
    <s v="dynamic"/>
    <s v="perception"/>
    <s v="verb"/>
    <s v="transitive"/>
    <s v="active"/>
    <s v="positive"/>
    <n v="1"/>
    <n v="1"/>
    <x v="1"/>
    <n v="0"/>
    <x v="1"/>
    <n v="1"/>
    <x v="1"/>
    <s v="n/a"/>
    <n v="0"/>
    <n v="0"/>
    <s v="REL"/>
    <s v="subordinate"/>
    <n v="0"/>
    <n v="0"/>
    <s v="n/a"/>
    <s v="n/a"/>
    <n v="0"/>
    <x v="7"/>
    <s v="relative"/>
    <m/>
    <s v="ds"/>
    <s v="ss"/>
    <s v="topic-drop"/>
    <s v="contains_new"/>
    <m/>
    <m/>
    <n v="1"/>
    <s v="non-LVC"/>
    <s v="Yes"/>
    <n v="12"/>
    <m/>
    <n v="1"/>
    <n v="6"/>
    <x v="1"/>
  </r>
  <r>
    <s v="Heike 2.48"/>
    <s v="かくて候ふなり (kakute soro fu nari)"/>
    <s v="&quot;have come and am thus waiting&quot;"/>
    <s v="候ふなり"/>
    <s v="indicative"/>
    <s v="stative"/>
    <s v="verb(complex)"/>
    <s v="intransitive"/>
    <s v="active"/>
    <s v="positive"/>
    <n v="1"/>
    <n v="0"/>
    <x v="2"/>
    <n v="1"/>
    <x v="2"/>
    <n v="1"/>
    <x v="0"/>
    <s v="n/a"/>
    <n v="0"/>
    <n v="0"/>
    <s v="n/a"/>
    <s v="main"/>
    <n v="0"/>
    <n v="1"/>
    <s v="sub"/>
    <s v="lexical_humble_verb"/>
    <n v="0"/>
    <x v="2"/>
    <s v="subordinate"/>
    <m/>
    <s v="ss"/>
    <s v="ss"/>
    <s v="topic-drop"/>
    <s v="no_overt_NP"/>
    <m/>
    <m/>
    <n v="0"/>
    <s v="non-LVC"/>
    <s v="Yes"/>
    <n v="12"/>
    <s v="main"/>
    <n v="1"/>
    <n v="1"/>
    <x v="1"/>
  </r>
  <r>
    <s v="Heike 2.49"/>
    <s v="えこそ出でまじう候へ (e koso idema jiu soro e)"/>
    <s v="&quot;I cannot possibly go out&quot;"/>
    <s v="出でまじう候へ"/>
    <s v="dynamic"/>
    <s v="motion"/>
    <s v="verb"/>
    <s v="intransitive"/>
    <s v="active"/>
    <s v="negative"/>
    <n v="1"/>
    <n v="0"/>
    <x v="2"/>
    <n v="0"/>
    <x v="2"/>
    <n v="1"/>
    <x v="0"/>
    <s v="n/a"/>
    <n v="0"/>
    <n v="0"/>
    <s v="n/a"/>
    <s v="main"/>
    <n v="0"/>
    <n v="1"/>
    <s v="sub"/>
    <s v="polite_aux"/>
    <n v="0"/>
    <x v="2"/>
    <s v="main"/>
    <m/>
    <s v="ss"/>
    <s v="ds"/>
    <s v="topic-drop"/>
    <s v="no_overt_NP"/>
    <m/>
    <m/>
    <n v="0"/>
    <s v="non-LVC"/>
    <s v="Yes"/>
    <n v="13"/>
    <m/>
    <n v="1"/>
    <n v="1"/>
    <x v="0"/>
  </r>
  <r>
    <s v="Heike 2.50"/>
    <s v="これらを由なしとや (korera o yoshi nashi to ya)"/>
    <s v=" there was nothing more to be done;"/>
    <s v="なし"/>
    <s v="indicative"/>
    <s v="stative"/>
    <s v="existential verb"/>
    <s v="intransitive"/>
    <s v="active"/>
    <s v="negative"/>
    <n v="1"/>
    <n v="1"/>
    <x v="0"/>
    <n v="1"/>
    <x v="0"/>
    <n v="3"/>
    <x v="0"/>
    <s v="n/a"/>
    <n v="0"/>
    <n v="0"/>
    <s v="n/a"/>
    <s v="complement"/>
    <n v="0"/>
    <n v="0"/>
    <s v="n/a"/>
    <s v="n/a"/>
    <n v="0"/>
    <x v="4"/>
    <s v="main"/>
    <m/>
    <s v="ds"/>
    <m/>
    <s v="topic-continued"/>
    <s v="contains_new"/>
    <m/>
    <m/>
    <n v="1"/>
    <s v="non-LVC"/>
    <s v="Yes"/>
    <n v="14"/>
    <s v="main"/>
    <n v="1"/>
    <n v="2"/>
    <x v="1"/>
  </r>
  <r>
    <m/>
    <s v="思はれけん (omowareken)"/>
    <s v="And they saw that"/>
    <s v="思はれけん"/>
    <s v="epistemic"/>
    <s v="psych-state"/>
    <s v="verb"/>
    <s v="transitive"/>
    <s v="active"/>
    <s v="positive"/>
    <n v="1"/>
    <n v="1"/>
    <x v="9"/>
    <n v="0"/>
    <x v="2"/>
    <n v="3"/>
    <x v="1"/>
    <s v="n/a"/>
    <n v="0"/>
    <n v="0"/>
    <s v="n/a"/>
    <s v="main"/>
    <n v="0"/>
    <n v="1"/>
    <s v="sub"/>
    <s v="honorific_aux"/>
    <n v="0"/>
    <x v="8"/>
    <m/>
    <m/>
    <s v="ds"/>
    <m/>
    <s v="topic-drop"/>
    <s v="contains_new"/>
    <m/>
    <m/>
    <n v="1"/>
    <s v="non-LVC"/>
    <s v="Yes"/>
    <n v="14"/>
    <m/>
    <n v="1"/>
    <n v="1"/>
    <x v="1"/>
  </r>
  <r>
    <s v="Heike 2.51"/>
    <s v="その夜の闇討なかりけり (sono yo no yamiuchi nakarikeri)"/>
    <s v="and thus the attempt did not take place."/>
    <s v="なかりけり"/>
    <s v="indicative"/>
    <s v="aux/modal"/>
    <s v="verb"/>
    <s v="intransitive"/>
    <s v="active"/>
    <s v="negative"/>
    <n v="1"/>
    <n v="1"/>
    <x v="0"/>
    <n v="0"/>
    <x v="0"/>
    <s v="inanimate"/>
    <x v="0"/>
    <s v="n/a"/>
    <n v="0"/>
    <n v="0"/>
    <s v="n/a"/>
    <s v="main"/>
    <n v="0"/>
    <n v="0"/>
    <s v="n/a"/>
    <s v="n/a"/>
    <n v="0"/>
    <x v="2"/>
    <s v="main"/>
    <m/>
    <s v="ss"/>
    <s v="ds"/>
    <s v="topic-shift"/>
    <s v="contains_new"/>
    <m/>
    <m/>
    <n v="1"/>
    <s v="non-LVC"/>
    <s v="Yes"/>
    <n v="15"/>
    <s v="subordinate"/>
    <n v="1"/>
    <n v="1"/>
    <x v="0"/>
  </r>
  <r>
    <s v="Heike 2.52"/>
    <s v="忠盛また御前の召しに舞はれけるに (Tadamori mata gozen no meshi ni mawarekeru ni)"/>
    <s v="But when Tadamori danced in the August presence of the Mikado at his Imperial wish,"/>
    <s v="舞はれける"/>
    <s v="indicative"/>
    <s v="action"/>
    <s v="verb"/>
    <s v="intransitive"/>
    <s v="active"/>
    <s v="positive"/>
    <n v="1"/>
    <n v="1"/>
    <x v="0"/>
    <n v="1"/>
    <x v="0"/>
    <n v="3"/>
    <x v="0"/>
    <s v="n/a"/>
    <n v="0"/>
    <n v="0"/>
    <s v="REL"/>
    <s v="subordinate"/>
    <n v="1"/>
    <n v="0"/>
    <s v="sub"/>
    <s v="honorific_aux"/>
    <n v="0"/>
    <x v="0"/>
    <s v="main"/>
    <m/>
    <s v="ds"/>
    <s v="ds"/>
    <s v="topic-shift"/>
    <s v="contains_new"/>
    <m/>
    <m/>
    <n v="1"/>
    <s v="non-LVC"/>
    <s v="Yes"/>
    <n v="16"/>
    <s v="te"/>
    <n v="1"/>
    <n v="2"/>
    <x v="1"/>
  </r>
  <r>
    <s v="Heike 2.53"/>
    <s v="人々拍子を変へて (hitobito hyōshi o kaete)"/>
    <s v="the others mocked at him, changing the words of the music"/>
    <s v="変へて"/>
    <s v="indicative"/>
    <s v="other"/>
    <s v="verb"/>
    <s v="transitive"/>
    <s v="active"/>
    <s v="positive"/>
    <n v="1"/>
    <n v="2"/>
    <x v="3"/>
    <n v="0"/>
    <x v="0"/>
    <n v="3"/>
    <x v="1"/>
    <s v="n/a"/>
    <n v="0"/>
    <n v="0"/>
    <s v="n/a"/>
    <s v="te"/>
    <n v="0"/>
    <n v="0"/>
    <s v="n/a"/>
    <s v="n/a"/>
    <n v="0"/>
    <x v="1"/>
    <s v="subordinate"/>
    <s v="te_medial"/>
    <s v="ds"/>
    <s v="ds"/>
    <s v="topic-shift"/>
    <s v="contains_new"/>
    <m/>
    <m/>
    <n v="2"/>
    <s v="non-LVC"/>
    <s v="Yes"/>
    <n v="16"/>
    <s v="complement"/>
    <n v="1"/>
    <n v="3"/>
    <x v="1"/>
  </r>
  <r>
    <s v="Heike 2.54"/>
    <s v="伊勢へいじはすがめなりけりとぞ (Ise heiji wa sugame narikeri)"/>
    <s v="&quot;the winepot of Ise has turned into a vinegar jar&quot;"/>
    <s v="なりけり"/>
    <s v="indicative"/>
    <s v="stative"/>
    <s v="copula"/>
    <s v="intransitive"/>
    <s v="active"/>
    <s v="positive"/>
    <n v="1"/>
    <n v="1"/>
    <x v="0"/>
    <n v="0"/>
    <x v="0"/>
    <n v="3"/>
    <x v="0"/>
    <s v="n/a"/>
    <n v="0"/>
    <n v="0"/>
    <s v="n/a"/>
    <s v="complement"/>
    <n v="0"/>
    <n v="0"/>
    <s v="n/a"/>
    <s v="n/a"/>
    <n v="0"/>
    <x v="4"/>
    <s v="te"/>
    <m/>
    <s v="ds"/>
    <s v="ss"/>
    <s v="topic-introduced"/>
    <s v="contains_new"/>
    <m/>
    <m/>
    <n v="1"/>
    <s v="non-LVC"/>
    <s v="Yes"/>
    <n v="16"/>
    <s v="main"/>
    <n v="1"/>
    <n v="4"/>
    <x v="1"/>
  </r>
  <r>
    <s v="Heike 2.55"/>
    <s v="囃されける (to zo hayasarekeru)"/>
    <s v="they sang in mockery"/>
    <s v="囃されける"/>
    <s v="indicative"/>
    <s v="action"/>
    <s v="verb"/>
    <s v="transitive"/>
    <s v="active"/>
    <s v="positive"/>
    <n v="1"/>
    <n v="1"/>
    <x v="9"/>
    <n v="0"/>
    <x v="2"/>
    <n v="3"/>
    <x v="1"/>
    <s v="n/a"/>
    <n v="0"/>
    <n v="0"/>
    <s v="kakari-musubi"/>
    <s v="main"/>
    <n v="0"/>
    <n v="1"/>
    <s v="sub"/>
    <s v="honorific_aux"/>
    <n v="0"/>
    <x v="8"/>
    <s v="complement"/>
    <m/>
    <s v="ss"/>
    <s v="ss"/>
    <s v="topic-drop"/>
    <s v="contains_new"/>
    <m/>
    <m/>
    <n v="1"/>
    <s v="non-LVC"/>
    <s v="Yes"/>
    <n v="16"/>
    <s v="subordinate"/>
    <n v="1"/>
    <n v="1"/>
    <x v="1"/>
  </r>
  <r>
    <s v="Heike 2.56"/>
    <s v="かけまくも忝くこの人々は柏原天皇の御末とは申しながら (kakemakumo katabokaku kono hitobito wa Kashiwabara Tennō no o-sue to wa mōshinagara)"/>
    <s v="In thus mentioning the vessels of his province they punned on his title..."/>
    <s v="申しながら"/>
    <s v="indicative"/>
    <s v="communication"/>
    <s v="verb"/>
    <s v="transitive"/>
    <s v="active"/>
    <s v="positive"/>
    <n v="1"/>
    <n v="2"/>
    <x v="10"/>
    <n v="1"/>
    <x v="0"/>
    <n v="3"/>
    <x v="1"/>
    <s v="n/a"/>
    <n v="0"/>
    <n v="0"/>
    <s v="n/a"/>
    <s v="subordinate"/>
    <n v="1"/>
    <n v="0"/>
    <s v="sub"/>
    <s v="lexical_humble_verb"/>
    <n v="0"/>
    <x v="0"/>
    <s v="main"/>
    <m/>
    <s v="ss"/>
    <s v="ds"/>
    <s v="topic-shift"/>
    <s v="contains_new"/>
    <m/>
    <m/>
    <n v="2"/>
    <s v="non-LVC"/>
    <s v="Yes"/>
    <n v="17"/>
    <s v="main"/>
    <n v="1"/>
    <n v="2"/>
    <x v="0"/>
  </r>
  <r>
    <s v="Heike 2.57"/>
    <s v="中比は都の住まひも疎々しく (chūbi wa miyako no sumai mo utoutoshiku)"/>
    <s v="and since lately his family had lived away from the capital,"/>
    <s v="疎々しく"/>
    <s v="indicative"/>
    <s v="psych-state"/>
    <s v="adjectival predicate"/>
    <s v="intransitive"/>
    <s v="active"/>
    <s v="positive"/>
    <n v="1"/>
    <n v="1"/>
    <x v="0"/>
    <n v="1"/>
    <x v="0"/>
    <n v="3"/>
    <x v="0"/>
    <s v="n/a"/>
    <n v="0"/>
    <n v="0"/>
    <s v="n/a"/>
    <s v="main"/>
    <n v="0"/>
    <n v="0"/>
    <s v="n/a"/>
    <s v="n/a"/>
    <n v="0"/>
    <x v="2"/>
    <s v="subordinate"/>
    <m/>
    <s v="ds"/>
    <s v="ss"/>
    <s v="topic-shift"/>
    <s v="contains_new"/>
    <m/>
    <m/>
    <n v="1"/>
    <s v="non-LVC"/>
    <s v="Yes"/>
    <n v="17"/>
    <s v="te"/>
    <n v="1"/>
    <n v="1"/>
    <x v="1"/>
  </r>
  <r>
    <s v="Heike 2.58"/>
    <s v="地下にのみ振舞ひなつて ( jige ni nomi furumai natte)"/>
    <s v=" behaving as mere provincial folk"/>
    <s v="振舞ひなつて"/>
    <s v="indicative"/>
    <s v="other"/>
    <s v="verb(compound)"/>
    <s v="intransitive"/>
    <s v="active"/>
    <s v="positive"/>
    <n v="1"/>
    <n v="1"/>
    <x v="5"/>
    <n v="0"/>
    <x v="1"/>
    <n v="3"/>
    <x v="0"/>
    <s v="overt"/>
    <n v="0"/>
    <n v="0"/>
    <s v="n/a"/>
    <s v="te"/>
    <n v="0"/>
    <n v="0"/>
    <s v="n/a"/>
    <s v="n/a"/>
    <n v="0"/>
    <x v="1"/>
    <s v="main"/>
    <s v="te_medial"/>
    <s v="ss"/>
    <s v="ss"/>
    <s v="topic-drop"/>
    <s v="contains_new"/>
    <m/>
    <m/>
    <n v="1"/>
    <s v="non-LVC"/>
    <s v="Yes"/>
    <n v="18"/>
    <s v="subordinate"/>
    <n v="1"/>
    <n v="2"/>
    <x v="1"/>
  </r>
  <r>
    <s v="Heike 2.59"/>
    <s v="伊勢国に住国深かりしかば  (Ise no kuni ni sumikoku fukakarishikaba)"/>
    <s v="and as they lived deep in Ise province, they likened him to the vessels of that province"/>
    <s v="深かりしかば"/>
    <s v="indicative"/>
    <s v="psych-state"/>
    <s v="adjectival predicate"/>
    <s v="intransitive"/>
    <s v="active"/>
    <s v="positive"/>
    <n v="1"/>
    <n v="1"/>
    <x v="0"/>
    <n v="1"/>
    <x v="1"/>
    <n v="3"/>
    <x v="0"/>
    <s v="n/a"/>
    <n v="0"/>
    <n v="0"/>
    <s v="n/a"/>
    <s v="subordinate"/>
    <n v="0"/>
    <n v="0"/>
    <s v="n/a"/>
    <s v="n/a"/>
    <n v="0"/>
    <x v="3"/>
    <s v="te"/>
    <m/>
    <s v="ss"/>
    <s v="ds"/>
    <s v="topic-drop"/>
    <s v="contains_new"/>
    <m/>
    <m/>
    <n v="1"/>
    <s v="non-LVC"/>
    <s v="Yes"/>
    <n v="18"/>
    <s v="te"/>
    <n v="1"/>
    <n v="3"/>
    <x v="1"/>
  </r>
  <r>
    <s v="Heike 2.60"/>
    <s v="その国の器に言寄せて"/>
    <s v="sono kuni no utsuwa ni kotoyosete)"/>
    <s v="言寄せて"/>
    <s v="indicative"/>
    <s v="communication"/>
    <s v="verb"/>
    <s v="ditransitive"/>
    <s v="active"/>
    <s v="positive"/>
    <n v="1"/>
    <n v="1"/>
    <x v="5"/>
    <n v="0"/>
    <x v="5"/>
    <n v="3"/>
    <x v="6"/>
    <s v="overt"/>
    <n v="0"/>
    <n v="0"/>
    <s v="n/a"/>
    <s v="te"/>
    <n v="0"/>
    <n v="0"/>
    <s v="n/a"/>
    <s v="n/a"/>
    <n v="0"/>
    <x v="1"/>
    <s v="subordinate"/>
    <s v="te_medial"/>
    <s v="ds"/>
    <s v="ss"/>
    <s v="topic-drop"/>
    <s v="contains_new"/>
    <m/>
    <m/>
    <n v="1"/>
    <s v="non-LVC"/>
    <s v="Yes"/>
    <n v="18"/>
    <s v="main"/>
    <n v="1"/>
    <n v="4"/>
    <x v="1"/>
  </r>
  <r>
    <s v="Heike 2.61"/>
    <s v="伊勢平氏とぞ囃されける (Ise Heishi to zo hayasarekeru)"/>
    <s v="so they mocked him as 'Ise Heishi'"/>
    <s v="囃されける"/>
    <s v="indicative"/>
    <s v="action"/>
    <s v="verb"/>
    <s v="intransitive"/>
    <s v="passive"/>
    <s v="positive"/>
    <n v="1"/>
    <n v="1"/>
    <x v="9"/>
    <n v="0"/>
    <x v="1"/>
    <n v="3"/>
    <x v="0"/>
    <s v="overt"/>
    <n v="0"/>
    <n v="0"/>
    <s v="kakari-musubi"/>
    <s v="main"/>
    <n v="0"/>
    <n v="0"/>
    <s v="n/a"/>
    <s v="n/a"/>
    <n v="0"/>
    <x v="2"/>
    <s v="te"/>
    <m/>
    <s v="ss"/>
    <s v="ds"/>
    <s v="topic-drop"/>
    <s v="contains_new"/>
    <m/>
    <m/>
    <n v="1"/>
    <s v="non-LVC"/>
    <s v="Yes"/>
    <n v="18"/>
    <s v="subordinate"/>
    <n v="1"/>
    <n v="1"/>
    <x v="1"/>
  </r>
  <r>
    <s v="Heike 2.62"/>
    <s v="その上忠盛目の眇まれたりける故にこそ (sono ue Tadamori me no sugamaretari keru yue ni koso)"/>
    <s v="moreover, because Tadamori's eyes were squinted, "/>
    <s v="眇まれたりける"/>
    <s v="indicative"/>
    <s v="action"/>
    <s v="verb"/>
    <s v="intransitive"/>
    <s v="active"/>
    <s v="positive"/>
    <n v="1"/>
    <n v="1"/>
    <x v="0"/>
    <n v="1"/>
    <x v="0"/>
    <n v="3"/>
    <x v="0"/>
    <s v="n/a"/>
    <n v="0"/>
    <n v="1"/>
    <s v="REL"/>
    <s v="subordinate"/>
    <n v="0"/>
    <n v="0"/>
    <s v="n/a"/>
    <s v="n/a"/>
    <n v="0"/>
    <x v="3"/>
    <s v="main"/>
    <m/>
    <s v="ds"/>
    <s v="ss"/>
    <s v="topic-continued"/>
    <s v="contains_new"/>
    <m/>
    <m/>
    <n v="1"/>
    <s v="non-LVC"/>
    <s v="Yes"/>
    <n v="19"/>
    <m/>
    <n v="1"/>
    <n v="2"/>
    <x v="0"/>
  </r>
  <r>
    <s v="Heike 2.63"/>
    <s v="かやうには囃されけるなれ  (kayō ni wa hayasarekeru nare)"/>
    <s v="he was mocked in such a way"/>
    <s v="囃されけるなれ"/>
    <s v="indicative"/>
    <s v="other"/>
    <s v="verb"/>
    <s v="intransitive"/>
    <s v="passive"/>
    <s v="positive"/>
    <n v="1"/>
    <n v="0"/>
    <x v="2"/>
    <n v="0"/>
    <x v="1"/>
    <n v="3"/>
    <x v="0"/>
    <s v="n/a"/>
    <n v="0"/>
    <n v="0"/>
    <s v="kakari-musubi"/>
    <s v="main"/>
    <n v="0"/>
    <n v="0"/>
    <s v="n/a"/>
    <s v="n/a"/>
    <n v="0"/>
    <x v="2"/>
    <s v="subordinate"/>
    <m/>
    <s v="ss"/>
    <s v="ss"/>
    <s v="topic-drop"/>
    <s v="no_overt_NP"/>
    <m/>
    <m/>
    <n v="0"/>
    <s v="non-LVC"/>
    <s v="Yes"/>
    <n v="19"/>
    <m/>
    <n v="1"/>
    <n v="1"/>
    <x v="1"/>
  </r>
  <r>
    <s v="Heike 2.64"/>
    <s v="忠盛何とすべきやうもなくして (Tadamori nan to subeki yō mo nakushite)"/>
    <s v="Tadamori, having no way of dealing with the situation,"/>
    <s v="なくして"/>
    <s v="indicative"/>
    <s v="other"/>
    <s v="verb"/>
    <s v="transitive"/>
    <s v="active"/>
    <s v="negative"/>
    <n v="1"/>
    <n v="2"/>
    <x v="3"/>
    <n v="0"/>
    <x v="0"/>
    <n v="3"/>
    <x v="1"/>
    <s v="n/a"/>
    <n v="0"/>
    <n v="0"/>
    <s v="n/a"/>
    <s v="te"/>
    <n v="0"/>
    <n v="0"/>
    <s v="n/a"/>
    <s v="n/a"/>
    <n v="0"/>
    <x v="1"/>
    <s v="main"/>
    <s v="te_initial"/>
    <s v="ss"/>
    <s v="ds"/>
    <s v="topic-continued"/>
    <s v="contains_new"/>
    <m/>
    <m/>
    <n v="2"/>
    <s v="non-LVC"/>
    <s v="Yes"/>
    <n v="20"/>
    <s v="subordinate"/>
    <n v="1"/>
    <n v="2"/>
    <x v="0"/>
  </r>
  <r>
    <s v="Heike 2.65"/>
    <s v="御遊も未だ終らざる前に (gyoyū mo mada owarazaru mae ni)"/>
    <s v="before the entertainment had ended,"/>
    <s v="終らざる"/>
    <s v="indicative"/>
    <s v="other"/>
    <s v="verb"/>
    <s v="intransitive"/>
    <s v="active"/>
    <s v="negative"/>
    <n v="1"/>
    <n v="1"/>
    <x v="0"/>
    <n v="1"/>
    <x v="0"/>
    <n v="3"/>
    <x v="0"/>
    <s v="n/a"/>
    <n v="0"/>
    <n v="1"/>
    <s v="REL"/>
    <s v="subordinate"/>
    <n v="0"/>
    <n v="0"/>
    <s v="n/a"/>
    <s v="n/a"/>
    <n v="0"/>
    <x v="0"/>
    <s v="te"/>
    <m/>
    <s v="ds"/>
    <s v="ds"/>
    <s v="topic-drop"/>
    <s v="contains_new"/>
    <m/>
    <m/>
    <n v="1"/>
    <s v="non-LVC"/>
    <s v="Yes"/>
    <n v="20"/>
    <m/>
    <n v="1"/>
    <n v="3"/>
    <x v="1"/>
  </r>
  <r>
    <s v="Heike 2.66"/>
    <s v="密かに罷り出でらるとて (hisokani makari ideraru tote)"/>
    <s v="he secretly left the Presence,"/>
    <s v="罷り出でらる"/>
    <s v="indicative"/>
    <s v="motion"/>
    <s v="verb"/>
    <s v="intransitive"/>
    <s v="active"/>
    <s v="positive"/>
    <n v="1"/>
    <n v="0"/>
    <x v="2"/>
    <n v="1"/>
    <x v="2"/>
    <n v="3"/>
    <x v="0"/>
    <s v="n/a"/>
    <n v="0"/>
    <n v="0"/>
    <s v="REL"/>
    <s v="subordinate"/>
    <n v="0"/>
    <n v="1"/>
    <s v="sub"/>
    <s v="honorific_aux+lexical_honorific_verb"/>
    <n v="0"/>
    <x v="0"/>
    <s v="subordinate"/>
    <m/>
    <s v="ds"/>
    <s v="ss"/>
    <s v="topic-drop"/>
    <s v="no_overt_NP"/>
    <m/>
    <m/>
    <n v="0"/>
    <s v="non-LVC"/>
    <s v="Yes"/>
    <n v="20"/>
    <s v="te"/>
    <n v="1"/>
    <n v="4"/>
    <x v="1"/>
  </r>
  <r>
    <s v="Heike 2.67"/>
    <s v="紫宸殿の御後にして (Shishinden no o-ato ni shite)"/>
    <s v="and going behind the Shishinden,"/>
    <s v="後にして"/>
    <s v="indicative"/>
    <s v="other"/>
    <s v="LVC (j)"/>
    <s v="intransitive"/>
    <s v="active"/>
    <s v="positive"/>
    <n v="1"/>
    <n v="0"/>
    <x v="2"/>
    <n v="1"/>
    <x v="1"/>
    <n v="3"/>
    <x v="0"/>
    <s v="n/a"/>
    <n v="0"/>
    <n v="0"/>
    <s v="n/a"/>
    <s v="te"/>
    <n v="0"/>
    <n v="0"/>
    <s v="n/a"/>
    <s v="n/a"/>
    <n v="0"/>
    <x v="1"/>
    <s v="subordinate"/>
    <s v="te_medial"/>
    <s v="ss"/>
    <s v="ds"/>
    <s v="topic-drop"/>
    <s v="no_overt_NP"/>
    <m/>
    <m/>
    <n v="0"/>
    <s v="LVC"/>
    <s v="Yes"/>
    <n v="20"/>
    <m/>
    <n v="1"/>
    <m/>
    <x v="1"/>
  </r>
  <r>
    <s v="Heike 2.68"/>
    <s v="かたへの殿上人の見られける (kata e no tenjōbito no mirarekeru)"/>
    <s v=" the court nobles could see him,"/>
    <s v="見られける"/>
    <s v="indicative"/>
    <s v="action"/>
    <s v="verb"/>
    <s v="transitive"/>
    <s v="active"/>
    <s v="positive"/>
    <n v="1"/>
    <n v="1"/>
    <x v="0"/>
    <n v="0"/>
    <x v="0"/>
    <n v="3"/>
    <x v="3"/>
    <s v="n/a"/>
    <n v="0"/>
    <n v="1"/>
    <s v="REL"/>
    <s v="relative"/>
    <n v="1"/>
    <n v="0"/>
    <s v="sub"/>
    <s v="honorific_aux"/>
    <n v="0"/>
    <x v="2"/>
    <s v="te"/>
    <m/>
    <s v="ds"/>
    <s v="ss"/>
    <s v="topic-introduced"/>
    <s v="contains_new"/>
    <m/>
    <m/>
    <n v="1"/>
    <s v="non-LVC"/>
    <s v="Yes"/>
    <n v="20"/>
    <s v="te"/>
    <n v="0"/>
    <n v="5"/>
    <x v="1"/>
  </r>
  <r>
    <s v="Heike 2.69"/>
    <s v="所にて主殿司を召して (tokoro nite tonomotsukasa o meshite azukeokite zo iderarekeru)"/>
    <s v="in a place where… he summoned the Tonomotsukasa, "/>
    <s v="召して "/>
    <s v="indicative"/>
    <s v="action"/>
    <s v="verb"/>
    <s v="transitive"/>
    <s v="active"/>
    <s v="positive"/>
    <n v="1"/>
    <n v="1"/>
    <x v="1"/>
    <n v="1"/>
    <x v="2"/>
    <n v="3"/>
    <x v="1"/>
    <s v="n/a"/>
    <n v="0"/>
    <n v="0"/>
    <s v="n/a"/>
    <s v="te"/>
    <n v="0"/>
    <n v="1"/>
    <s v="sub"/>
    <s v="lexical_honorific_verb"/>
    <n v="0"/>
    <x v="1"/>
    <s v="relative"/>
    <s v="te_medial"/>
    <s v="ss"/>
    <s v="ss"/>
    <s v="topic-drop"/>
    <s v="contains_new"/>
    <m/>
    <m/>
    <n v="1"/>
    <s v="non-LVC"/>
    <s v="Yes"/>
    <n v="20"/>
    <m/>
    <n v="1"/>
    <n v="6"/>
    <x v="1"/>
  </r>
  <r>
    <s v="Heike 2.70"/>
    <s v="預け置きてぞ"/>
    <s v=" entrusted [his sword]"/>
    <s v="預け置きて"/>
    <s v="indicative"/>
    <s v="other"/>
    <s v="verb"/>
    <s v="transitive"/>
    <s v="active"/>
    <s v="positive"/>
    <n v="1"/>
    <n v="0"/>
    <x v="2"/>
    <n v="0"/>
    <x v="1"/>
    <n v="3"/>
    <x v="3"/>
    <s v="n/a"/>
    <n v="0"/>
    <n v="0"/>
    <s v="n/a"/>
    <s v="te"/>
    <n v="0"/>
    <n v="0"/>
    <s v="n/a"/>
    <s v="n/a"/>
    <n v="0"/>
    <x v="2"/>
    <s v="te"/>
    <s v="te_medial"/>
    <s v="ss"/>
    <s v="ss"/>
    <s v="topic-drop"/>
    <s v="no_overt_NP"/>
    <m/>
    <m/>
    <n v="0"/>
    <s v="non-LVC"/>
    <s v="Yes"/>
    <n v="20"/>
    <s v="main"/>
    <n v="1"/>
    <n v="7"/>
    <x v="1"/>
  </r>
  <r>
    <s v="Heike 2.71"/>
    <s v="出でられける"/>
    <s v="and left,"/>
    <s v="出でられける"/>
    <s v="indicative"/>
    <s v="motion"/>
    <s v="verb"/>
    <s v="intransitive"/>
    <s v="active"/>
    <s v="positive"/>
    <n v="1"/>
    <n v="0"/>
    <x v="2"/>
    <n v="0"/>
    <x v="2"/>
    <n v="3"/>
    <x v="0"/>
    <s v="n/a"/>
    <n v="0"/>
    <n v="0"/>
    <s v="n/a"/>
    <s v="main"/>
    <n v="0"/>
    <n v="1"/>
    <s v="sub"/>
    <s v="honorific_aux"/>
    <n v="0"/>
    <x v="2"/>
    <s v="te"/>
    <m/>
    <s v="ss"/>
    <s v="ds"/>
    <s v="topic-drop"/>
    <s v="no_overt_NP"/>
    <m/>
    <m/>
    <n v="0"/>
    <s v="non-LVC"/>
    <s v="Yes"/>
    <n v="20"/>
    <m/>
    <n v="1"/>
    <n v="1"/>
    <x v="1"/>
  </r>
  <r>
    <s v="Heike 2.72"/>
    <s v="家貞待ち受け奉りて (Iesada machi-uke tatemawari-te)"/>
    <s v="Iesada, who was waiting for his lord,"/>
    <s v="待ち受け奉りて"/>
    <s v="indicative"/>
    <s v="action"/>
    <s v="verb(complex)"/>
    <s v="transitive"/>
    <s v="active"/>
    <s v="positive"/>
    <n v="1"/>
    <n v="1"/>
    <x v="0"/>
    <n v="0"/>
    <x v="0"/>
    <n v="3"/>
    <x v="3"/>
    <s v="n/a"/>
    <n v="0"/>
    <n v="0"/>
    <s v="n/a"/>
    <s v="te"/>
    <n v="1"/>
    <n v="0"/>
    <s v="sub"/>
    <s v="lexical_humble_verb"/>
    <n v="0"/>
    <x v="1"/>
    <s v="main"/>
    <s v="te_initial"/>
    <s v="ds"/>
    <s v="ss"/>
    <s v="topic-shift"/>
    <s v="contains_new"/>
    <m/>
    <m/>
    <n v="1"/>
    <s v="non-LVC"/>
    <s v="Yes"/>
    <n v="21"/>
    <m/>
    <n v="1"/>
    <n v="2"/>
    <x v="0"/>
  </r>
  <r>
    <s v="Heike 2.73"/>
    <s v="さていかが候ひつると (sate ikaga soroitsuru to)"/>
    <s v="&quot;What has happened?&quot; he asked."/>
    <s v="候ひつる"/>
    <s v="indicative"/>
    <s v="other"/>
    <s v="verb"/>
    <s v="intransitive"/>
    <s v="active"/>
    <s v="positive"/>
    <n v="1"/>
    <n v="0"/>
    <x v="2"/>
    <n v="1"/>
    <x v="4"/>
    <n v="3"/>
    <x v="0"/>
    <s v="n/a"/>
    <n v="0"/>
    <n v="0"/>
    <s v="REL"/>
    <s v="complement"/>
    <n v="0"/>
    <n v="0"/>
    <s v="n/a"/>
    <s v="polite_aux"/>
    <n v="0"/>
    <x v="4"/>
    <s v="te"/>
    <m/>
    <s v="ss"/>
    <s v="ss"/>
    <s v="topic-drop"/>
    <s v="no_overt_NP"/>
    <m/>
    <m/>
    <n v="0"/>
    <s v="non-LVC"/>
    <s v="Yes"/>
    <n v="21"/>
    <m/>
    <n v="1"/>
    <n v="3"/>
    <x v="1"/>
  </r>
  <r>
    <s v="Heike 2.74"/>
    <s v="申されければ (mōsarekeru ba)"/>
    <s v="he was asked,"/>
    <s v="申されける"/>
    <s v="indicative"/>
    <s v="action"/>
    <s v="verb"/>
    <s v="intransitive"/>
    <s v="passive"/>
    <s v="positive"/>
    <n v="1"/>
    <n v="1"/>
    <x v="9"/>
    <n v="0"/>
    <x v="2"/>
    <n v="3"/>
    <x v="1"/>
    <s v="n/a"/>
    <n v="0"/>
    <n v="0"/>
    <s v="n/a"/>
    <s v="main"/>
    <n v="0"/>
    <n v="1"/>
    <s v="sub"/>
    <s v="honorific_aux+lexical_humble_verb"/>
    <n v="0"/>
    <x v="0"/>
    <s v="complement"/>
    <m/>
    <s v="ss"/>
    <s v="ss"/>
    <s v="topic-drop"/>
    <s v="contains_new"/>
    <m/>
    <m/>
    <n v="1"/>
    <s v="non-LVC"/>
    <s v="Yes"/>
    <n v="21"/>
    <m/>
    <n v="1"/>
    <n v="1"/>
    <x v="1"/>
  </r>
  <r>
    <s v="Heike 2.75"/>
    <s v="かくとも云はまほしう"/>
    <s v="to tell him"/>
    <s v="云はまほしう"/>
    <s v="desiderative"/>
    <s v="other"/>
    <s v="verb"/>
    <s v="intransitive"/>
    <s v="active"/>
    <s v="positive"/>
    <n v="1"/>
    <n v="0"/>
    <x v="2"/>
    <n v="1"/>
    <x v="4"/>
    <n v="3"/>
    <x v="2"/>
    <s v="not_applicable"/>
    <n v="0"/>
    <n v="0"/>
    <s v="n/a"/>
    <s v="main"/>
    <n v="0"/>
    <n v="0"/>
    <s v="n/a"/>
    <s v="n/a"/>
    <n v="0"/>
    <x v="2"/>
    <s v="main"/>
    <m/>
    <s v="ss"/>
    <s v="ss"/>
    <s v="topic-drop"/>
    <s v="no_overt_NP"/>
    <m/>
    <m/>
    <n v="0"/>
    <s v="non-LVC"/>
    <s v="Yes"/>
    <n v="22"/>
    <m/>
    <n v="1"/>
    <n v="1"/>
    <x v="1"/>
  </r>
  <r>
    <s v="Heike 2.76"/>
    <s v="思はれけれども (kakutomo iwamahoshū omowarekeredomo)"/>
    <s v="although he greatly wished,"/>
    <s v="思はれけれども"/>
    <s v="indicative"/>
    <s v="psych-state"/>
    <s v="verb"/>
    <s v="transitive"/>
    <s v="active"/>
    <s v="positive"/>
    <n v="1"/>
    <n v="1"/>
    <x v="9"/>
    <n v="1"/>
    <x v="4"/>
    <n v="3"/>
    <x v="1"/>
    <s v="n/a"/>
    <n v="0"/>
    <n v="0"/>
    <s v="n/a"/>
    <s v="main"/>
    <n v="0"/>
    <n v="0"/>
    <s v="n/a"/>
    <s v="n/a"/>
    <n v="0"/>
    <x v="9"/>
    <s v="main"/>
    <m/>
    <s v="ss"/>
    <s v="ss"/>
    <s v="topic-drop"/>
    <s v="contains_new"/>
    <s v="Psych predicate; かくとも as adjunct."/>
    <m/>
    <n v="1"/>
    <s v="non-LVC"/>
    <s v="Yes"/>
    <n v="23"/>
    <m/>
    <n v="1"/>
    <n v="1"/>
    <x v="1"/>
  </r>
  <r>
    <s v="Heike 2.77"/>
    <s v="云ひつるほどならば (iitsuru hodo naraba)"/>
    <s v="seeing that, if he told him,"/>
    <s v="云ひつる"/>
    <s v="indicative"/>
    <s v="other"/>
    <s v="verb"/>
    <s v="transitive"/>
    <s v="active"/>
    <s v="positive"/>
    <n v="1"/>
    <n v="0"/>
    <x v="2"/>
    <n v="0"/>
    <x v="4"/>
    <n v="3"/>
    <x v="3"/>
    <s v="n/a"/>
    <n v="0"/>
    <n v="1"/>
    <s v="REL"/>
    <s v="subordinate"/>
    <n v="0"/>
    <n v="0"/>
    <s v="n/a"/>
    <s v="n/a"/>
    <n v="0"/>
    <x v="10"/>
    <s v="main"/>
    <m/>
    <s v="ss"/>
    <s v="ds"/>
    <s v="topic-drop"/>
    <s v="no_overt_NP"/>
    <m/>
    <m/>
    <n v="0"/>
    <s v="non-LVC"/>
    <s v="Yes"/>
    <n v="24"/>
    <s v="relative"/>
    <n v="1"/>
    <m/>
    <x v="1"/>
  </r>
  <r>
    <s v="Heike 2.78"/>
    <s v="やがて殿上までも斬り上らんずる  yagate tenjō made mo kiriagaranzuru "/>
    <s v="who would even do violence in the Palace itself,"/>
    <s v="斬り上らんずる"/>
    <s v="dynamic"/>
    <s v="other"/>
    <s v="verb"/>
    <s v="intransitive"/>
    <s v="active"/>
    <s v="positive"/>
    <n v="1"/>
    <n v="0"/>
    <x v="2"/>
    <n v="2"/>
    <x v="1"/>
    <n v="3"/>
    <x v="0"/>
    <s v="n/a"/>
    <n v="1"/>
    <n v="0"/>
    <s v="REL"/>
    <s v="relative"/>
    <n v="0"/>
    <n v="0"/>
    <s v="n/a"/>
    <s v="n/a"/>
    <n v="0"/>
    <x v="2"/>
    <s v="subordinate"/>
    <m/>
    <s v="ds"/>
    <s v="ss"/>
    <s v="topic-drop"/>
    <s v="no_overt_NP"/>
    <m/>
    <m/>
    <n v="0"/>
    <s v="non-LVC"/>
    <s v="Yes"/>
    <n v="24"/>
    <s v="subordinate"/>
    <n v="0"/>
    <n v="2"/>
    <x v="1"/>
  </r>
  <r>
    <s v="Heike 2.79"/>
    <s v="者の面魂にてある間 mono no omodamashii nite aru aida"/>
    <s v="he appeared as one "/>
    <s v="にてある"/>
    <s v="indicative"/>
    <s v="other"/>
    <s v="copula"/>
    <s v="intransitive"/>
    <s v="active"/>
    <s v="positive"/>
    <n v="1"/>
    <n v="0"/>
    <x v="2"/>
    <n v="0"/>
    <x v="1"/>
    <n v="3"/>
    <x v="0"/>
    <s v="n/a"/>
    <n v="0"/>
    <n v="0"/>
    <s v="REL"/>
    <s v="subordinate"/>
    <n v="0"/>
    <n v="0"/>
    <s v="n/a"/>
    <s v="n/a"/>
    <n v="0"/>
    <x v="0"/>
    <s v="relative"/>
    <m/>
    <s v="ss"/>
    <s v="ds"/>
    <s v="topic-drop"/>
    <s v="no_overt_NP"/>
    <m/>
    <m/>
    <n v="0"/>
    <s v="non-LVC"/>
    <s v="Yes"/>
    <n v="24"/>
    <m/>
    <n v="1"/>
    <n v="3"/>
    <x v="1"/>
  </r>
  <r>
    <s v="Heike 2.80"/>
    <s v="別の事なし (betsu no koto nashi)"/>
    <s v="nothing out of the ordinary had taken place."/>
    <s v="なし"/>
    <s v="indicative"/>
    <s v="other"/>
    <s v="existential verb"/>
    <s v="intransitive"/>
    <s v="active"/>
    <s v="negative"/>
    <n v="1"/>
    <n v="1"/>
    <x v="0"/>
    <n v="0"/>
    <x v="0"/>
    <n v="3"/>
    <x v="0"/>
    <s v="n/a"/>
    <n v="0"/>
    <n v="0"/>
    <s v="n/a"/>
    <s v="main"/>
    <n v="0"/>
    <n v="0"/>
    <s v="n/a"/>
    <s v="n/a"/>
    <n v="0"/>
    <x v="2"/>
    <s v="subordinate"/>
    <m/>
    <s v="ds"/>
    <s v="ds"/>
    <s v="topic-drop"/>
    <s v="contains_new"/>
    <s v="Subject = 別の事."/>
    <m/>
    <n v="1"/>
    <s v="non-LVC"/>
    <s v="Yes"/>
    <n v="24"/>
    <s v="subordinate"/>
    <n v="1"/>
    <n v="1"/>
    <x v="1"/>
  </r>
  <r>
    <s v="Heike 2.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s v="other"/>
    <s v="verb(compound)"/>
    <s v="transitive"/>
    <s v="active"/>
    <s v="positive"/>
    <n v="1"/>
    <n v="1"/>
    <x v="1"/>
    <n v="2"/>
    <x v="2"/>
    <n v="3"/>
    <x v="1"/>
    <s v="n/a"/>
    <n v="0"/>
    <n v="0"/>
    <s v="REL"/>
    <s v="subordinate"/>
    <n v="0"/>
    <n v="1"/>
    <s v="sub"/>
    <s v="honorific_aux"/>
    <n v="0"/>
    <x v="9"/>
    <s v="main"/>
    <m/>
    <s v="ds"/>
    <s v="ds"/>
    <s v="topic-shift"/>
    <s v="contains_new"/>
    <s v="Passive/respect; subject omitted; object 面白き事を overt."/>
    <m/>
    <n v="1"/>
    <s v="non-LVC"/>
    <s v="Yes"/>
    <n v="25"/>
    <s v="main"/>
    <n v="1"/>
    <n v="2"/>
    <x v="0"/>
  </r>
  <r>
    <s v="Heike 2.82"/>
    <s v="中比太宰権帥季仲卿といふ人ありけり (chūbi Dazai gon no so Sukechika kyō to iu hito arikeri)"/>
    <s v="but there was a certain Dazai Gon-no-sotsu Suenaka no Kyo,"/>
    <s v="ありけり"/>
    <s v="indicative"/>
    <s v="stative"/>
    <s v="existential verb"/>
    <s v="intransitive"/>
    <s v="active"/>
    <s v="positive"/>
    <n v="1"/>
    <n v="1"/>
    <x v="0"/>
    <n v="1"/>
    <x v="0"/>
    <n v="3"/>
    <x v="0"/>
    <s v="n/a"/>
    <n v="0"/>
    <n v="0"/>
    <s v="n/a"/>
    <s v="main"/>
    <n v="0"/>
    <n v="0"/>
    <s v="n/a"/>
    <s v="n/a"/>
    <n v="0"/>
    <x v="2"/>
    <s v="subordinate"/>
    <m/>
    <s v="ds"/>
    <s v="ds"/>
    <s v="topic-introduced"/>
    <s v="contains_new"/>
    <s v="frame predicate"/>
    <m/>
    <n v="1"/>
    <s v="non-LVC"/>
    <s v="Yes"/>
    <n v="25"/>
    <s v="subordinate"/>
    <n v="1"/>
    <n v="1"/>
    <x v="1"/>
  </r>
  <r>
    <s v="Heike 2.83"/>
    <s v="あまりに色の黒かりければ (amari ni iro no kurokarikereba)"/>
    <s v="who was of so dark a complexion that"/>
    <s v="黒かりければ"/>
    <s v="indicative"/>
    <s v="other"/>
    <s v="adjectival predicate"/>
    <s v="intransitive"/>
    <s v="active"/>
    <s v="positive"/>
    <n v="1"/>
    <n v="1"/>
    <x v="0"/>
    <n v="1"/>
    <x v="0"/>
    <n v="3"/>
    <x v="0"/>
    <s v="not_applicable"/>
    <n v="0"/>
    <n v="0"/>
    <s v="n/a"/>
    <s v="subordinate"/>
    <n v="0"/>
    <n v="0"/>
    <s v="n/a"/>
    <s v="n/a"/>
    <n v="0"/>
    <x v="3"/>
    <s v="main"/>
    <m/>
    <s v="ds"/>
    <s v="ds"/>
    <s v="topic-drop"/>
    <s v="contains_new"/>
    <s v="Adjectival predicate; subject = 色."/>
    <m/>
    <n v="1"/>
    <s v="non-LVC"/>
    <s v="Yes"/>
    <n v="26"/>
    <s v="main"/>
    <n v="1"/>
    <n v="2"/>
    <x v="1"/>
  </r>
  <r>
    <s v="Heike 2.84"/>
    <s v="見る人黒帥とぞ申しける (miru hito kurosotsu to zo mōshikeru)"/>
    <s v="people called him 'kuro-sotsu',"/>
    <s v="申しける"/>
    <s v="indicative"/>
    <s v="action"/>
    <s v="verb"/>
    <s v="transitive"/>
    <s v="active"/>
    <s v="positive"/>
    <n v="1"/>
    <n v="2"/>
    <x v="3"/>
    <n v="0"/>
    <x v="0"/>
    <n v="3"/>
    <x v="1"/>
    <s v="n/a"/>
    <n v="0"/>
    <n v="0"/>
    <s v="n/a"/>
    <s v="main"/>
    <n v="1"/>
    <n v="0"/>
    <s v="n/a"/>
    <s v="lexical_humble_verb"/>
    <n v="0"/>
    <x v="2"/>
    <s v="subordinate"/>
    <m/>
    <s v="ds"/>
    <s v="ss"/>
    <s v="topic-drop"/>
    <s v="contains_new"/>
    <s v="申す humble; subject overt; counted as EXALT INSIG."/>
    <m/>
    <n v="2"/>
    <s v="non-LVC"/>
    <s v="Yes"/>
    <n v="26"/>
    <m/>
    <n v="1"/>
    <n v="1"/>
    <x v="1"/>
  </r>
  <r>
    <s v="Heike 2.85"/>
    <s v="その人未だ蔵人頭たりし時 (sono hito imada kurōdo no tō tarishi toki)"/>
    <s v="and while he was still Kurando-no-to, "/>
    <s v="たりし"/>
    <s v="indicative"/>
    <s v="stative"/>
    <s v="copula"/>
    <s v="intransitive"/>
    <s v="active"/>
    <s v="positive"/>
    <n v="1"/>
    <n v="1"/>
    <x v="0"/>
    <n v="0"/>
    <x v="0"/>
    <n v="3"/>
    <x v="0"/>
    <s v="n/a"/>
    <n v="0"/>
    <n v="0"/>
    <s v="REL"/>
    <s v="subordinate"/>
    <n v="0"/>
    <n v="0"/>
    <s v="n/a"/>
    <s v="honorific_aux"/>
    <n v="0"/>
    <x v="0"/>
    <s v="main"/>
    <m/>
    <s v="ss"/>
    <s v="ss"/>
    <s v="topic-continued"/>
    <s v="no_overt_NP"/>
    <m/>
    <m/>
    <n v="1"/>
    <s v="non-LVC"/>
    <s v="Yes"/>
    <n v="27"/>
    <s v="subordinate"/>
    <n v="1"/>
    <n v="2"/>
    <x v="1"/>
  </r>
  <r>
    <s v="Heike 2.86"/>
    <s v="五節に舞はれけるに gosechi ni mawarekeru ni"/>
    <s v="when he danced at the Go-sechie,"/>
    <s v="舞はれける"/>
    <s v="indicative"/>
    <s v="action"/>
    <s v="verb"/>
    <s v="intransitive"/>
    <s v="active"/>
    <s v="positive"/>
    <n v="1"/>
    <n v="0"/>
    <x v="2"/>
    <n v="0"/>
    <x v="2"/>
    <n v="3"/>
    <x v="0"/>
    <s v="n/a"/>
    <n v="0"/>
    <n v="0"/>
    <s v="REL"/>
    <s v="subordinate"/>
    <n v="0"/>
    <n v="1"/>
    <s v="sub"/>
    <s v="lexical_honorific_verb"/>
    <n v="0"/>
    <x v="0"/>
    <s v="subordinate"/>
    <m/>
    <s v="ss"/>
    <s v="ds"/>
    <s v="topic-drop"/>
    <s v="no_overt_NP"/>
    <m/>
    <m/>
    <n v="0"/>
    <s v="non-LVC"/>
    <s v="Yes"/>
    <n v="27"/>
    <m/>
    <n v="1"/>
    <n v="3"/>
    <x v="1"/>
  </r>
  <r>
    <s v="Heike 2.87"/>
    <s v="人々拍子を変へて (hitobito hyōshi o kaete)"/>
    <s v="they changed the rhythm of the music"/>
    <s v="変へて"/>
    <s v="indicative"/>
    <s v="other"/>
    <s v="verb"/>
    <s v="transitive"/>
    <s v="active"/>
    <s v="positive"/>
    <n v="1"/>
    <n v="2"/>
    <x v="3"/>
    <n v="0"/>
    <x v="0"/>
    <n v="3"/>
    <x v="1"/>
    <s v="n/a"/>
    <n v="0"/>
    <n v="0"/>
    <s v="n/a"/>
    <s v="te"/>
    <n v="0"/>
    <n v="0"/>
    <s v="n/a"/>
    <s v="n/a"/>
    <n v="0"/>
    <x v="1"/>
    <s v="subordinate"/>
    <s v="te_medial"/>
    <s v="ds"/>
    <s v="ss"/>
    <s v="topic-drop"/>
    <s v="contains_new"/>
    <m/>
    <m/>
    <n v="2"/>
    <s v="non-LVC"/>
    <s v="Yes"/>
    <n v="27"/>
    <s v="main"/>
    <n v="1"/>
    <n v="4"/>
    <x v="1"/>
  </r>
  <r>
    <s v="Heike 2.88"/>
    <s v="あなくろくろ黒き頭かな (ana kuro kuro kuroki atama kana)"/>
    <s v="&quot;Oh what a black, black head!&quot;"/>
    <s v="N/A (exclamatory nominal clause)"/>
    <s v="indicative"/>
    <s v="other"/>
    <s v="none"/>
    <s v="intransitive"/>
    <m/>
    <m/>
    <n v="0"/>
    <n v="1"/>
    <x v="0"/>
    <n v="0"/>
    <x v="0"/>
    <n v="3"/>
    <x v="0"/>
    <s v="n/a"/>
    <n v="0"/>
    <n v="0"/>
    <s v="n/a"/>
    <s v="main"/>
    <n v="0"/>
    <n v="0"/>
    <s v="n/a"/>
    <s v="n/a"/>
    <n v="0"/>
    <x v="2"/>
    <s v="te"/>
    <m/>
    <s v="ss"/>
    <s v="ds"/>
    <s v="topic-drop"/>
    <s v="contains_new"/>
    <m/>
    <m/>
    <m/>
    <s v="non-LVC"/>
    <s v="Yes"/>
    <n v="27"/>
    <s v="complement"/>
    <n v="1"/>
    <n v="1"/>
    <x v="1"/>
  </r>
  <r>
    <s v="Heike 2.89"/>
    <s v="いかなる人の漆塗りけんとぞ (ikanaru hito no urushinuriken to zo )"/>
    <s v="&quot;someone must have painted him with lacquer&quot;"/>
    <s v="漆塗りけん"/>
    <s v="epistemic"/>
    <s v="other"/>
    <s v="verb"/>
    <s v="transitive"/>
    <s v="active"/>
    <s v="positive"/>
    <n v="1"/>
    <n v="2"/>
    <x v="3"/>
    <n v="0"/>
    <x v="0"/>
    <n v="3"/>
    <x v="1"/>
    <s v="n/a"/>
    <n v="0"/>
    <n v="0"/>
    <s v="n/a"/>
    <s v="complement"/>
    <n v="0"/>
    <n v="0"/>
    <s v="n/a"/>
    <s v="n/a"/>
    <n v="0"/>
    <x v="4"/>
    <s v="main"/>
    <m/>
    <s v="ds"/>
    <s v="ds"/>
    <s v="topic-drop"/>
    <s v="contains_new"/>
    <m/>
    <m/>
    <n v="2"/>
    <s v="non-LVC"/>
    <s v="Yes"/>
    <n v="28"/>
    <m/>
    <n v="1"/>
    <n v="2"/>
    <x v="0"/>
  </r>
  <r>
    <s v="Heike 2.90"/>
    <s v="囃されける (hayasarekeru)"/>
    <s v="they sang in mockery."/>
    <s v="囃されける"/>
    <s v="indicative"/>
    <s v="communication"/>
    <s v="verb"/>
    <s v="transitive"/>
    <s v="active"/>
    <s v="positive"/>
    <n v="1"/>
    <n v="1"/>
    <x v="9"/>
    <n v="0"/>
    <x v="2"/>
    <n v="3"/>
    <x v="1"/>
    <s v="n/a"/>
    <n v="0"/>
    <n v="0"/>
    <s v="n/a"/>
    <s v="main"/>
    <n v="0"/>
    <n v="1"/>
    <s v="sub"/>
    <s v="honorific_aux"/>
    <n v="0"/>
    <x v="2"/>
    <s v="complement"/>
    <m/>
    <s v="ds"/>
    <s v="ds"/>
    <s v="topic-drop"/>
    <s v="no_overt_NP"/>
    <m/>
    <m/>
    <n v="1"/>
    <s v="non-LVC"/>
    <s v="Yes"/>
    <n v="28"/>
    <m/>
    <n v="1"/>
    <n v="1"/>
    <x v="1"/>
  </r>
  <r>
    <s v="Heike 2.91"/>
    <s v="また花山院前太政大臣忠雅公未だ十歳と申しし時 (mata Kazanin no saki no Daijōdaijin Tadamasa kō imada jissai to mōshi shi toki)"/>
    <s v="Also, when Prince Tadamasa of the Kazan-in, the former Prime Minister, was only ten years old,"/>
    <s v="申しし"/>
    <s v="indicative"/>
    <s v="action"/>
    <s v="verb"/>
    <s v="intransitive"/>
    <s v="active"/>
    <s v="positive"/>
    <n v="1"/>
    <n v="1"/>
    <x v="0"/>
    <n v="1"/>
    <x v="0"/>
    <n v="3"/>
    <x v="0"/>
    <s v="n/a"/>
    <n v="0"/>
    <n v="0"/>
    <s v="n/a"/>
    <s v="subordinate"/>
    <n v="1"/>
    <n v="0"/>
    <s v="sub"/>
    <s v="lexical_humble_verb"/>
    <n v="0"/>
    <x v="0"/>
    <s v="main"/>
    <m/>
    <s v="ds"/>
    <s v="ss"/>
    <s v="topic-introduced"/>
    <s v="contains_new"/>
    <m/>
    <m/>
    <n v="1"/>
    <s v="non-LVC"/>
    <s v="Yes"/>
    <n v="29"/>
    <s v="te"/>
    <n v="1"/>
    <n v="2"/>
    <x v="0"/>
  </r>
  <r>
    <s v="Heike 2.92"/>
    <s v="父中納言忠宗卿に後れ給ひて (chichi Chūnagon Tadamune kyō ni okure tamai te)"/>
    <s v="having lost his father, Chunagon Tadamune,"/>
    <s v="後れ給ひて"/>
    <s v="indicative"/>
    <s v="action"/>
    <s v="verb"/>
    <s v="intransitive"/>
    <s v="active"/>
    <s v="positive"/>
    <n v="1"/>
    <n v="1"/>
    <x v="5"/>
    <n v="0"/>
    <x v="2"/>
    <n v="3"/>
    <x v="0"/>
    <s v="overt"/>
    <n v="0"/>
    <n v="0"/>
    <s v="n/a"/>
    <s v="te"/>
    <n v="0"/>
    <n v="1"/>
    <s v="sub"/>
    <s v="lexical_honorific_verb"/>
    <n v="0"/>
    <x v="1"/>
    <s v="subordinate"/>
    <s v="te_medial"/>
    <s v="ss"/>
    <s v="ss"/>
    <s v="topic-introduced"/>
    <s v="contains_new"/>
    <m/>
    <m/>
    <n v="1"/>
    <s v="non-LVC"/>
    <s v="Yes"/>
    <n v="29"/>
    <s v="subordinate"/>
    <n v="1"/>
    <n v="3"/>
    <x v="1"/>
  </r>
  <r>
    <s v="Heike 2.93"/>
    <s v="孤子にておはせしを (koji nite ohaseshi o)"/>
    <s v="and being left an orphan,"/>
    <s v="おはせし"/>
    <s v="indicative"/>
    <s v="action"/>
    <s v="existential verb"/>
    <s v="intransitive"/>
    <s v="active"/>
    <s v="positive"/>
    <n v="1"/>
    <n v="0"/>
    <x v="2"/>
    <n v="0"/>
    <x v="2"/>
    <n v="3"/>
    <x v="0"/>
    <s v="n/a"/>
    <n v="0"/>
    <n v="0"/>
    <s v="REL"/>
    <s v="subordinate"/>
    <n v="0"/>
    <n v="1"/>
    <s v="sub"/>
    <s v="lexical_honorific_verb"/>
    <n v="0"/>
    <x v="9"/>
    <s v="te"/>
    <m/>
    <s v="ss"/>
    <s v="ds"/>
    <s v="topic-drop"/>
    <s v="contains_new"/>
    <m/>
    <m/>
    <n v="0"/>
    <s v="non-LVC"/>
    <s v="Yes"/>
    <n v="29"/>
    <s v="subordinate"/>
    <n v="1"/>
    <n v="4"/>
    <x v="1"/>
  </r>
  <r>
    <s v="Heike 2.94"/>
    <s v="故中御門藤中納言家成卿未だ播磨守にておはしけるが ko-Nakamikado Fuji Chūnagon Ienari kyō imada Harima no kami nite ohasikeru ga"/>
    <s v=" by Fuji Chūnagon Ienari, then Harima no Kami,"/>
    <s v="おはしける"/>
    <s v="indicative"/>
    <s v="stative"/>
    <s v="copula"/>
    <s v="intransitive"/>
    <s v="active"/>
    <s v="positive"/>
    <n v="1"/>
    <n v="1"/>
    <x v="0"/>
    <n v="1"/>
    <x v="0"/>
    <n v="3"/>
    <x v="0"/>
    <s v="n/a"/>
    <n v="0"/>
    <n v="0"/>
    <s v="REL"/>
    <s v="subordinate"/>
    <n v="1"/>
    <n v="0"/>
    <s v="sub"/>
    <s v="lexical_honorific_verb"/>
    <n v="0"/>
    <x v="9"/>
    <s v="subordinate"/>
    <m/>
    <s v="ds"/>
    <s v="ss"/>
    <s v="topic-introduced"/>
    <s v="contains_new"/>
    <m/>
    <m/>
    <n v="1"/>
    <s v="non-LVC"/>
    <s v="Yes"/>
    <n v="29"/>
    <s v="te"/>
    <n v="1"/>
    <n v="5"/>
    <x v="1"/>
  </r>
  <r>
    <s v="Heike 2.95"/>
    <s v="聟に取りて muko ni torite "/>
    <s v="he was taken as son-in-law"/>
    <s v="取りて"/>
    <s v="indicative"/>
    <s v="action"/>
    <s v="verb"/>
    <s v="transitive"/>
    <s v="active"/>
    <s v="positive"/>
    <n v="1"/>
    <n v="1"/>
    <x v="5"/>
    <n v="0"/>
    <x v="1"/>
    <n v="3"/>
    <x v="3"/>
    <s v="overt"/>
    <n v="0"/>
    <n v="0"/>
    <s v="n/a"/>
    <s v="te"/>
    <n v="0"/>
    <n v="0"/>
    <s v="n/a"/>
    <s v="n/a"/>
    <n v="0"/>
    <x v="2"/>
    <s v="subordinate"/>
    <s v="te_medial"/>
    <s v="ss"/>
    <s v="ss"/>
    <s v="topic-drop"/>
    <s v="contains_new"/>
    <m/>
    <m/>
    <n v="1"/>
    <s v="non-LVC"/>
    <s v="Yes"/>
    <n v="29"/>
    <s v="subordinate"/>
    <n v="1"/>
    <n v="6"/>
    <x v="1"/>
  </r>
  <r>
    <s v="Heike 2.96"/>
    <s v="華やかにもてなされければ  hanayaka ni motenasarekereba"/>
    <s v="and splendidly welcomed,"/>
    <s v="もてなされければ"/>
    <s v="indicative"/>
    <s v="action"/>
    <s v="verb"/>
    <s v="intransitive"/>
    <s v="passive"/>
    <s v="positive"/>
    <n v="1"/>
    <n v="0"/>
    <x v="2"/>
    <n v="0"/>
    <x v="1"/>
    <n v="3"/>
    <x v="0"/>
    <s v="zero_recoverable"/>
    <n v="0"/>
    <n v="0"/>
    <s v="n/a"/>
    <s v="subordinate"/>
    <n v="0"/>
    <n v="0"/>
    <s v="n/a"/>
    <s v="n/a"/>
    <n v="0"/>
    <x v="3"/>
    <s v="te"/>
    <m/>
    <s v="ss"/>
    <s v="ds"/>
    <s v="topic-drop"/>
    <s v="contains_new"/>
    <s v="verbal sequence"/>
    <m/>
    <n v="0"/>
    <s v="non-LVC"/>
    <s v="Yes"/>
    <n v="29"/>
    <s v="complement"/>
    <n v="1"/>
    <n v="7"/>
    <x v="1"/>
  </r>
  <r>
    <s v="Heike 2.97"/>
    <s v="これも五節には播磨の米は木賊か椋の葉か人の綺羅を磨くはとぞ (kore mo gosechi ni wa Harima no kome wa tokusa ka mukuno ha ka hito no kira o migaku wa to zo)"/>
    <s v="at that Go-sechie with the refrain ‘The rice of Harima...’"/>
    <s v="磨く"/>
    <s v="indicative"/>
    <s v="action"/>
    <s v="verb"/>
    <s v="transitive"/>
    <s v="active"/>
    <s v="positive"/>
    <n v="1"/>
    <n v="2"/>
    <x v="3"/>
    <n v="1"/>
    <x v="0"/>
    <n v="3"/>
    <x v="1"/>
    <s v="n/a"/>
    <n v="0"/>
    <n v="0"/>
    <s v="REL"/>
    <s v="complement"/>
    <n v="0"/>
    <n v="0"/>
    <s v="n/a"/>
    <s v="honorific_aux"/>
    <n v="0"/>
    <x v="2"/>
    <s v="subordinate"/>
    <m/>
    <s v="ds"/>
    <s v="ds"/>
    <s v="topic-drop"/>
    <s v="contains_new"/>
    <m/>
    <m/>
    <n v="2"/>
    <s v="non-LVC"/>
    <s v="Yes"/>
    <n v="29"/>
    <m/>
    <n v="1"/>
    <n v="8"/>
    <x v="1"/>
  </r>
  <r>
    <s v="Heike 2.98"/>
    <s v="囃されける hayasarekeru"/>
    <s v=" they also japed at him"/>
    <s v="囃されける"/>
    <s v="indicative"/>
    <s v="action"/>
    <s v="verb"/>
    <s v="intransitive"/>
    <s v="passive"/>
    <s v="positive"/>
    <n v="1"/>
    <n v="0"/>
    <x v="2"/>
    <n v="1"/>
    <x v="1"/>
    <n v="3"/>
    <x v="0"/>
    <s v="n/a"/>
    <n v="0"/>
    <n v="0"/>
    <s v="kakari-musubi"/>
    <s v="main"/>
    <n v="0"/>
    <n v="0"/>
    <s v="n/a"/>
    <s v="n/a"/>
    <n v="0"/>
    <x v="4"/>
    <s v="complement"/>
    <m/>
    <s v="ds"/>
    <s v="ds"/>
    <s v="topic-drop"/>
    <s v="no_overt_NP"/>
    <m/>
    <m/>
    <n v="0"/>
    <s v="non-LVC"/>
    <s v="Yes"/>
    <n v="29"/>
    <m/>
    <n v="1"/>
    <n v="1"/>
    <x v="1"/>
  </r>
  <r>
    <s v="Heike 2.99"/>
    <s v="上古にはかやうにありしかども (jōko ni wa kayō ni arishikadomo )"/>
    <s v="Long ago such things had happened, "/>
    <s v="ありし / 出で来ず"/>
    <s v="indicative"/>
    <s v="action"/>
    <s v="existential verb"/>
    <s v="intransitive"/>
    <s v="active"/>
    <s v="positive"/>
    <n v="1"/>
    <n v="0"/>
    <x v="2"/>
    <n v="2"/>
    <x v="5"/>
    <n v="0"/>
    <x v="0"/>
    <s v="n/a"/>
    <n v="0"/>
    <n v="0"/>
    <s v="n/a"/>
    <s v="subordinate"/>
    <n v="0"/>
    <n v="0"/>
    <s v="n/a"/>
    <s v="n/a"/>
    <n v="0"/>
    <x v="9"/>
    <s v="main"/>
    <m/>
    <s v="ds"/>
    <s v="ds"/>
    <s v="topic-shift"/>
    <s v="contains_new"/>
    <m/>
    <m/>
    <n v="0"/>
    <s v="non-LVC"/>
    <s v="Yes"/>
    <n v="30"/>
    <s v="subordinate"/>
    <n v="1"/>
    <n v="2"/>
    <x v="0"/>
  </r>
  <r>
    <s v="Heike 2.100"/>
    <s v="事出で来ず koto idekozu"/>
    <s v="but nothing had come of them,"/>
    <s v="出で来ず"/>
    <s v="indicative"/>
    <s v="stative"/>
    <s v="idiom"/>
    <s v="intransitive"/>
    <s v="active"/>
    <s v="negative"/>
    <n v="1"/>
    <n v="1"/>
    <x v="0"/>
    <n v="0"/>
    <x v="0"/>
    <n v="3"/>
    <x v="0"/>
    <s v="n/a"/>
    <n v="0"/>
    <n v="0"/>
    <s v="n/a"/>
    <s v="subordinate"/>
    <n v="0"/>
    <n v="0"/>
    <s v="n/a"/>
    <s v="n/a"/>
    <n v="0"/>
    <x v="2"/>
    <s v="subordinate"/>
    <m/>
    <s v="ds"/>
    <n v="0"/>
    <s v="topic-drop"/>
    <s v="contains_new"/>
    <m/>
    <m/>
    <n v="1"/>
    <s v="non-LVC"/>
    <s v="Yes"/>
    <n v="30"/>
    <m/>
    <n v="1"/>
    <n v="3"/>
    <x v="1"/>
  </r>
  <r>
    <s v="Heike 2.101"/>
    <s v="末代いかがあらんずらん (matsudai ikaga aranzuran obotsukanashi)"/>
    <s v="and people said that what was to be done"/>
    <s v="あらんずらん"/>
    <s v="epistemic"/>
    <s v="stative"/>
    <s v="idiom"/>
    <m/>
    <m/>
    <m/>
    <m/>
    <m/>
    <x v="6"/>
    <m/>
    <x v="3"/>
    <m/>
    <x v="4"/>
    <m/>
    <m/>
    <m/>
    <m/>
    <m/>
    <m/>
    <m/>
    <s v="n/a"/>
    <s v="n/a"/>
    <m/>
    <x v="5"/>
    <s v="subordinate"/>
    <m/>
    <m/>
    <s v="ds"/>
    <m/>
    <m/>
    <m/>
    <m/>
    <m/>
    <s v="non-LVC"/>
    <s v="Yes"/>
    <n v="30"/>
    <m/>
    <n v="1"/>
    <n v="4"/>
    <x v="1"/>
  </r>
  <r>
    <s v="Heike 2.102"/>
    <s v="覚束なし"/>
    <s v="was doubtful"/>
    <s v="覚束なし"/>
    <s v="indicative"/>
    <s v="psych-state"/>
    <s v="adjectival predicate"/>
    <s v="intransitive"/>
    <s v="active"/>
    <s v="negative"/>
    <n v="1"/>
    <n v="0"/>
    <x v="2"/>
    <n v="0"/>
    <x v="5"/>
    <n v="0"/>
    <x v="0"/>
    <s v="n/a"/>
    <n v="0"/>
    <n v="0"/>
    <s v="n/a"/>
    <s v="main"/>
    <n v="0"/>
    <n v="0"/>
    <s v="n/a"/>
    <s v="n/a"/>
    <n v="0"/>
    <x v="2"/>
    <n v="0"/>
    <m/>
    <s v="ds"/>
    <s v="ds"/>
    <s v="topic-drop"/>
    <s v="no_overt_NP"/>
    <m/>
    <m/>
    <n v="0"/>
    <s v="non-LVC"/>
    <s v="Yes"/>
    <n v="30"/>
    <m/>
    <n v="1"/>
    <n v="1"/>
    <x v="1"/>
  </r>
  <r>
    <s v="Heike 2.103"/>
    <s v="案の如く五節果てにしかば (an no gotoku gosechi hate ni shikaba)"/>
    <s v="As he had expected, after the conclusion of the festival,"/>
    <s v="果てにしかば"/>
    <s v="indicative"/>
    <s v="other"/>
    <s v="verb"/>
    <s v="intransitive"/>
    <s v="active"/>
    <s v="positive"/>
    <n v="1"/>
    <n v="1"/>
    <x v="0"/>
    <n v="1"/>
    <x v="0"/>
    <n v="3"/>
    <x v="0"/>
    <s v="n/a"/>
    <n v="0"/>
    <n v="0"/>
    <s v="n/a"/>
    <s v="subordinate"/>
    <n v="0"/>
    <n v="0"/>
    <s v="n/a"/>
    <s v="n/a"/>
    <n v="0"/>
    <x v="0"/>
    <s v="main"/>
    <m/>
    <s v="ds"/>
    <s v="ds"/>
    <s v="topic-shift"/>
    <s v="contains_new"/>
    <m/>
    <m/>
    <n v="1"/>
    <s v="non-LVC"/>
    <s v="Yes"/>
    <n v="31"/>
    <s v="subordinate"/>
    <n v="1"/>
    <n v="2"/>
    <x v="0"/>
  </r>
  <r>
    <s v="Heike 2.104"/>
    <s v="殿上人一同に訴へ申されけるは (tenjōbito ichidō ni uttaemōsarekeru wa)"/>
    <s v="all the courtiers and officials together appealed,"/>
    <s v="訴へ申されける"/>
    <s v="indicative"/>
    <s v="other"/>
    <s v="verb"/>
    <s v="transitive"/>
    <s v="active"/>
    <s v="positive"/>
    <n v="1"/>
    <n v="1"/>
    <x v="0"/>
    <n v="1"/>
    <x v="0"/>
    <n v="3"/>
    <x v="5"/>
    <s v="n/a"/>
    <n v="0"/>
    <n v="0"/>
    <s v="SUB"/>
    <s v="subordinate"/>
    <n v="1"/>
    <n v="0"/>
    <s v="sub"/>
    <s v="honorific_aux+lexical_humble_verb"/>
    <n v="0"/>
    <x v="2"/>
    <s v="subordinate"/>
    <m/>
    <s v="ds"/>
    <s v="ds"/>
    <s v="topic-drop"/>
    <s v="contains_new"/>
    <s v="nominalisation"/>
    <m/>
    <n v="1"/>
    <s v="non-LVC"/>
    <s v="Yes"/>
    <n v="31"/>
    <s v="te"/>
    <n v="1"/>
    <n v="3"/>
    <x v="1"/>
  </r>
  <r>
    <s v="Heike 2.105"/>
    <s v="それ雄剣を帯して (sore yūken o tai shitei)"/>
    <s v="that wearing a sword"/>
    <s v="帯して "/>
    <s v="indicative"/>
    <s v="action"/>
    <s v="LVC"/>
    <s v="transitive"/>
    <s v="active"/>
    <s v="positive"/>
    <n v="1"/>
    <n v="1"/>
    <x v="1"/>
    <n v="0"/>
    <x v="1"/>
    <n v="3"/>
    <x v="1"/>
    <s v="n/a"/>
    <n v="0"/>
    <n v="0"/>
    <s v="n/a"/>
    <s v="te"/>
    <n v="0"/>
    <n v="0"/>
    <s v="n/a"/>
    <s v="n/a"/>
    <n v="0"/>
    <x v="2"/>
    <s v="subordinate"/>
    <s v="te_medial"/>
    <s v="ds"/>
    <s v="ss"/>
    <s v="topic-drop"/>
    <s v="contains_new"/>
    <m/>
    <m/>
    <n v="1"/>
    <s v="LVC"/>
    <s v="Yes"/>
    <n v="31"/>
    <s v="te"/>
    <n v="1"/>
    <n v="4"/>
    <x v="1"/>
  </r>
  <r>
    <s v="Heike 2.106"/>
    <s v="公宴に列し  kōen ni res shi"/>
    <s v=" coming to a Court entertainment "/>
    <s v="列し"/>
    <s v="indicative"/>
    <s v="motion"/>
    <s v="LVC"/>
    <s v="intransitive"/>
    <s v="active"/>
    <s v="positive"/>
    <n v="1"/>
    <n v="1"/>
    <x v="5"/>
    <n v="0"/>
    <x v="1"/>
    <n v="3"/>
    <x v="7"/>
    <s v="overt"/>
    <n v="0"/>
    <n v="0"/>
    <s v="n/a"/>
    <s v="te"/>
    <n v="0"/>
    <n v="0"/>
    <s v="n/a"/>
    <s v="n/a"/>
    <n v="0"/>
    <x v="2"/>
    <s v="te"/>
    <s v="te_medial"/>
    <s v="ss"/>
    <s v="ss"/>
    <s v="topic-drop"/>
    <s v="contains_new"/>
    <m/>
    <m/>
    <n v="1"/>
    <s v="LVC"/>
    <s v="Yes"/>
    <n v="31"/>
    <s v="te"/>
    <n v="1"/>
    <n v="5"/>
    <x v="1"/>
  </r>
  <r>
    <s v="Heike 2.107"/>
    <s v="兵仗を賜はりて  hyōjō o tamawari te "/>
    <s v="and bearing arms "/>
    <s v="賜はりて"/>
    <s v="indicative"/>
    <s v="action"/>
    <s v="verb"/>
    <s v="transitive"/>
    <s v="active"/>
    <s v="positive"/>
    <n v="1"/>
    <n v="1"/>
    <x v="1"/>
    <n v="0"/>
    <x v="2"/>
    <n v="3"/>
    <x v="1"/>
    <s v="n/a"/>
    <n v="0"/>
    <n v="0"/>
    <s v="n/a"/>
    <s v="te"/>
    <n v="0"/>
    <n v="1"/>
    <s v="sub"/>
    <s v="lexical_humble_verb"/>
    <n v="0"/>
    <x v="2"/>
    <s v="te"/>
    <s v="te_medial"/>
    <s v="ss"/>
    <s v="ss"/>
    <s v="topic-drop"/>
    <s v="contains_new"/>
    <m/>
    <m/>
    <n v="1"/>
    <s v="non-LVC"/>
    <s v="Yes"/>
    <n v="31"/>
    <s v="subordinate"/>
    <n v="1"/>
    <n v="6"/>
    <x v="1"/>
  </r>
  <r>
    <s v="Heike 2.108"/>
    <s v="宮中を出入りするは kyūchū o ideiri suru wa "/>
    <s v="when passing in and out of the Palace"/>
    <s v="出入りする"/>
    <s v="indicative"/>
    <s v="motion"/>
    <s v="verb"/>
    <s v="transitive"/>
    <s v="active"/>
    <s v="positive"/>
    <n v="1"/>
    <n v="1"/>
    <x v="1"/>
    <n v="0"/>
    <x v="1"/>
    <n v="3"/>
    <x v="1"/>
    <s v="n/a"/>
    <n v="0"/>
    <n v="0"/>
    <s v="SUB"/>
    <s v="subordinate"/>
    <n v="0"/>
    <n v="0"/>
    <s v="n/a"/>
    <s v="n/a"/>
    <n v="0"/>
    <x v="2"/>
    <s v="te"/>
    <m/>
    <s v="ss"/>
    <s v="ds"/>
    <s v="topic-drop"/>
    <s v="contains_new"/>
    <s v="nominalisation"/>
    <m/>
    <n v="1"/>
    <s v="non-LVC"/>
    <s v="Yes"/>
    <n v="31"/>
    <s v="relative"/>
    <n v="1"/>
    <m/>
    <x v="1"/>
  </r>
  <r>
    <s v="Heike 2.109"/>
    <s v="皆格式の礼を守る mina kakushiki no rei o mamoru"/>
    <s v=" is according to ancient precedent,"/>
    <s v="守る"/>
    <s v="indicative"/>
    <s v="action"/>
    <s v="verb"/>
    <s v="transitive"/>
    <s v="active"/>
    <s v="positive"/>
    <n v="1"/>
    <n v="2"/>
    <x v="3"/>
    <n v="0"/>
    <x v="0"/>
    <n v="3"/>
    <x v="1"/>
    <s v="n/a"/>
    <n v="0"/>
    <n v="1"/>
    <s v="REL"/>
    <s v="relative"/>
    <n v="0"/>
    <n v="0"/>
    <s v="n/a"/>
    <s v="n/a"/>
    <n v="0"/>
    <x v="2"/>
    <s v="subordinate"/>
    <m/>
    <s v="ds"/>
    <s v="ds"/>
    <s v="topic-drop"/>
    <s v="contains_new"/>
    <m/>
    <m/>
    <n v="2"/>
    <s v="non-LVC"/>
    <s v="Yes"/>
    <n v="31"/>
    <s v="relative"/>
    <n v="0"/>
    <m/>
    <x v="1"/>
  </r>
  <r>
    <s v="Heike 2.110"/>
    <s v="綸命由ある  rinmei yoshi aru "/>
    <m/>
    <s v="ある"/>
    <s v="indicative"/>
    <s v="stative"/>
    <s v="existential verb"/>
    <s v="intransitive"/>
    <s v="active"/>
    <s v="positive"/>
    <n v="1"/>
    <n v="1"/>
    <x v="0"/>
    <n v="0"/>
    <x v="0"/>
    <n v="3"/>
    <x v="0"/>
    <s v="n/a"/>
    <n v="0"/>
    <n v="1"/>
    <s v="REL"/>
    <s v="relative"/>
    <n v="0"/>
    <n v="0"/>
    <s v="n/a"/>
    <s v="n/a"/>
    <n v="0"/>
    <x v="2"/>
    <s v="relative"/>
    <m/>
    <s v="ds"/>
    <s v="n/a"/>
    <s v="topic-drop"/>
    <s v="contains_new"/>
    <m/>
    <m/>
    <n v="1"/>
    <s v="non-LVC"/>
    <s v="Yes"/>
    <n v="31"/>
    <m/>
    <n v="0"/>
    <n v="7"/>
    <x v="1"/>
  </r>
  <r>
    <s v="Heike 2.111"/>
    <s v="先規なり senki nari"/>
    <m/>
    <s v="なり"/>
    <s v="indicative"/>
    <s v="stative"/>
    <s v="copula"/>
    <s v="intransitive"/>
    <s v="active"/>
    <s v="positive"/>
    <n v="1"/>
    <n v="0"/>
    <x v="2"/>
    <n v="0"/>
    <x v="6"/>
    <n v="0"/>
    <x v="0"/>
    <s v="n/a"/>
    <n v="0"/>
    <n v="0"/>
    <s v="n/a"/>
    <s v="none"/>
    <n v="0"/>
    <n v="0"/>
    <s v="n/a"/>
    <s v="n/a"/>
    <n v="0"/>
    <x v="2"/>
    <s v="relative"/>
    <m/>
    <s v="n/a"/>
    <s v="ds"/>
    <s v="topic-drop"/>
    <s v="no_overt_NP"/>
    <m/>
    <m/>
    <n v="0"/>
    <s v="non-LVC"/>
    <s v="Yes"/>
    <n v="31"/>
    <m/>
    <n v="1"/>
    <n v="8"/>
    <x v="1"/>
  </r>
  <r>
    <s v="Heike 2.112"/>
    <s v="然るを忠盛朝臣或いは相伝の郎従と号して (shikaru o Tadamori ason arui wa sōden no rōjū to gō shite)"/>
    <s v="but Ason Tadamori, calling a certain common soldier his hereditary retainer,"/>
    <s v="号して"/>
    <s v="indicative"/>
    <s v="action"/>
    <s v="verb"/>
    <s v="transitive"/>
    <s v="active"/>
    <s v="positive"/>
    <n v="1"/>
    <n v="2"/>
    <x v="3"/>
    <n v="1"/>
    <x v="0"/>
    <n v="3"/>
    <x v="1"/>
    <s v="n/a"/>
    <n v="0"/>
    <n v="0"/>
    <s v="n/a"/>
    <s v="te"/>
    <n v="0"/>
    <n v="0"/>
    <s v="n/a"/>
    <s v="n/a"/>
    <n v="0"/>
    <x v="9"/>
    <s v="none"/>
    <s v="te_medial"/>
    <s v="ds"/>
    <s v="ss"/>
    <s v="topic-shift"/>
    <s v="contains_new"/>
    <m/>
    <m/>
    <n v="2"/>
    <s v="non-LVC"/>
    <s v="Yes"/>
    <n v="31"/>
    <s v="inf"/>
    <n v="1"/>
    <n v="9"/>
    <x v="0"/>
  </r>
  <r>
    <s v="Heike 2.113"/>
    <s v="布衣の兵を殿上の小庭に召し置き (hoi no hyō o tenjō no koniwa ni meshioki)"/>
    <s v=" and placing him in the small courtyard of the Palace,"/>
    <s v="召し置き"/>
    <s v="indicative"/>
    <s v="action"/>
    <s v="verb"/>
    <s v="transitive"/>
    <s v="active"/>
    <s v="positive"/>
    <n v="1"/>
    <n v="2"/>
    <x v="7"/>
    <n v="0"/>
    <x v="2"/>
    <n v="3"/>
    <x v="1"/>
    <s v="overt"/>
    <n v="0"/>
    <n v="0"/>
    <s v="n/a"/>
    <s v="inf"/>
    <n v="0"/>
    <n v="1"/>
    <s v="sub"/>
    <s v="lexical_honorific_verb"/>
    <n v="0"/>
    <x v="2"/>
    <s v="te"/>
    <m/>
    <s v="ss"/>
    <s v="ss"/>
    <s v="topic-drop"/>
    <s v="contains_new"/>
    <m/>
    <m/>
    <n v="2"/>
    <s v="non-LVC"/>
    <s v="Yes"/>
    <n v="31"/>
    <s v="te"/>
    <n v="1"/>
    <n v="10"/>
    <x v="1"/>
  </r>
  <r>
    <s v="Heike 2.114"/>
    <s v="或いは腰の刀を横へ差いて (arui wa koshi no katana o yokoe saite)"/>
    <s v="wearing a sword at his side,"/>
    <s v="差いて"/>
    <s v="indicative"/>
    <s v="other"/>
    <s v="verb"/>
    <s v="transitive"/>
    <s v="active"/>
    <s v="positive"/>
    <n v="1"/>
    <n v="3"/>
    <x v="11"/>
    <n v="2"/>
    <x v="0"/>
    <n v="3"/>
    <x v="1"/>
    <s v="overt"/>
    <n v="0"/>
    <n v="0"/>
    <s v="n/a"/>
    <s v="te"/>
    <n v="0"/>
    <n v="0"/>
    <s v="n/a"/>
    <s v="n/a"/>
    <n v="0"/>
    <x v="2"/>
    <s v="inf"/>
    <s v="te_medial"/>
    <s v="ss"/>
    <s v="ss"/>
    <s v="topic-drop"/>
    <s v="contains_new"/>
    <m/>
    <m/>
    <n v="3"/>
    <s v="non-LVC"/>
    <s v="Yes"/>
    <n v="31"/>
    <s v="relative"/>
    <n v="1"/>
    <m/>
    <x v="1"/>
  </r>
  <r>
    <s v="Heike 2.115"/>
    <s v="節会の座に列なる setsue no za ni tsuranaru"/>
    <s v="and coming to the festival seat "/>
    <s v="列なる"/>
    <s v="indicative"/>
    <s v="other"/>
    <s v="verb"/>
    <s v="intransitive"/>
    <s v="active"/>
    <s v="positive"/>
    <n v="1"/>
    <n v="1"/>
    <x v="5"/>
    <n v="0"/>
    <x v="1"/>
    <n v="3"/>
    <x v="7"/>
    <s v="overt"/>
    <n v="0"/>
    <n v="1"/>
    <s v="REL"/>
    <s v="relative"/>
    <n v="0"/>
    <n v="0"/>
    <s v="n/a"/>
    <s v="n/a"/>
    <n v="0"/>
    <x v="2"/>
    <s v="te"/>
    <m/>
    <s v="ss"/>
    <s v="n/a"/>
    <s v="topic-drop"/>
    <s v="contains_new"/>
    <m/>
    <m/>
    <n v="1"/>
    <s v="non-LVC"/>
    <s v="Yes"/>
    <n v="31"/>
    <s v="relative"/>
    <n v="0"/>
    <m/>
    <x v="1"/>
  </r>
  <r>
    <s v="Heike 2.116"/>
    <s v="[両条稀代]未だ聞かざる (ryōjō kidai imada kikazaru)"/>
    <s v="both acts are unheard-of,"/>
    <s v="聞かざる"/>
    <s v="indicative"/>
    <s v="action"/>
    <s v="verb"/>
    <s v="transitive"/>
    <s v="active"/>
    <s v="negative"/>
    <n v="1"/>
    <n v="0"/>
    <x v="2"/>
    <n v="1"/>
    <x v="4"/>
    <n v="3"/>
    <x v="0"/>
    <s v="n/a"/>
    <n v="1"/>
    <n v="0"/>
    <s v="REL"/>
    <s v="relative"/>
    <n v="0"/>
    <n v="0"/>
    <s v="n/a"/>
    <s v="n/a"/>
    <n v="0"/>
    <x v="2"/>
    <s v="relative"/>
    <m/>
    <s v="n/a"/>
    <s v="ds"/>
    <s v="topic-drop"/>
    <s v="contains_new"/>
    <m/>
    <m/>
    <n v="0"/>
    <s v="non-LVC"/>
    <s v="Yes"/>
    <n v="31"/>
    <s v="main"/>
    <n v="0"/>
    <n v="11"/>
    <x v="1"/>
  </r>
  <r>
    <s v="Heike 2.117"/>
    <s v="狼藉なり rōzaku nari"/>
    <s v="disorderliness"/>
    <s v="狼藉なり"/>
    <s v="indicative"/>
    <s v="stative"/>
    <s v="copula"/>
    <s v="intransitive"/>
    <s v="active"/>
    <s v="positive"/>
    <n v="1"/>
    <n v="1"/>
    <x v="0"/>
    <n v="0"/>
    <x v="0"/>
    <n v="3"/>
    <x v="0"/>
    <s v="n/a"/>
    <n v="0"/>
    <n v="0"/>
    <s v="n/a"/>
    <s v="main"/>
    <n v="0"/>
    <n v="0"/>
    <s v="n/a"/>
    <s v="n/a"/>
    <n v="0"/>
    <x v="2"/>
    <s v="relative"/>
    <m/>
    <s v="ds"/>
    <s v="ds"/>
    <s v="topic-drop"/>
    <s v="contains_new"/>
    <m/>
    <m/>
    <n v="1"/>
    <s v="non-LVC"/>
    <s v="Yes"/>
    <n v="31"/>
    <m/>
    <n v="1"/>
    <n v="1"/>
    <x v="1"/>
  </r>
  <r>
    <s v="Heike 2.118"/>
    <s v="事既に重畳せり (koto sudeni chōjō seri)"/>
    <s v="indeed, one crime piled on another,"/>
    <s v="重畳せり"/>
    <s v="indicative"/>
    <s v="other"/>
    <s v="LVC"/>
    <s v="intransitive"/>
    <s v="active"/>
    <s v="positive"/>
    <n v="1"/>
    <n v="1"/>
    <x v="0"/>
    <n v="1"/>
    <x v="0"/>
    <n v="3"/>
    <x v="0"/>
    <s v="n/a"/>
    <n v="0"/>
    <n v="0"/>
    <s v="n/a"/>
    <s v="inf"/>
    <n v="0"/>
    <n v="0"/>
    <s v="n/a"/>
    <s v="n/a"/>
    <n v="0"/>
    <x v="2"/>
    <s v="main"/>
    <m/>
    <s v="ds"/>
    <s v="ss"/>
    <s v="topic-drop"/>
    <s v="all given"/>
    <m/>
    <m/>
    <n v="1"/>
    <s v="LVC"/>
    <s v="Yes"/>
    <n v="32"/>
    <m/>
    <n v="1"/>
    <n v="2"/>
    <x v="0"/>
  </r>
  <r>
    <s v="Heike 2.119"/>
    <s v="罪科尤も遁れ難し (tsumitoga mottomo nogaregatashi)"/>
    <s v="a charge he would find difficult to escape."/>
    <s v="遁れ難し"/>
    <s v="dynamic"/>
    <s v="stative"/>
    <s v="verb"/>
    <s v="transitive"/>
    <s v="active"/>
    <s v="positive"/>
    <n v="1"/>
    <n v="1"/>
    <x v="0"/>
    <n v="0"/>
    <x v="0"/>
    <n v="3"/>
    <x v="1"/>
    <s v="n/a"/>
    <n v="0"/>
    <n v="0"/>
    <s v="n/a"/>
    <s v="main"/>
    <n v="0"/>
    <n v="0"/>
    <s v="n/a"/>
    <s v="n/a"/>
    <n v="0"/>
    <x v="2"/>
    <s v="inf"/>
    <m/>
    <s v="ss"/>
    <s v="ds"/>
    <s v="topic-drop"/>
    <s v="contains_new"/>
    <m/>
    <m/>
    <n v="1"/>
    <s v="non-LVC"/>
    <s v="Yes"/>
    <n v="32"/>
    <s v="te"/>
    <n v="1"/>
    <n v="1"/>
    <x v="1"/>
  </r>
  <r>
    <s v="Heike 2.120"/>
    <s v="早く殿上の御札を削りて (hayaku tenjō no mifuda o kezurite)"/>
    <s v="they petitioned that his name be erased from the list of Courtiers"/>
    <s v="削りて "/>
    <s v="indicative"/>
    <s v="action"/>
    <s v="verb"/>
    <s v="transitive"/>
    <s v="active"/>
    <s v="positive"/>
    <n v="1"/>
    <n v="1"/>
    <x v="1"/>
    <n v="0"/>
    <x v="4"/>
    <n v="3"/>
    <x v="1"/>
    <s v="n/a"/>
    <n v="0"/>
    <n v="0"/>
    <s v="n/a"/>
    <s v="te"/>
    <n v="0"/>
    <n v="0"/>
    <s v="n/a"/>
    <s v="n/a"/>
    <n v="0"/>
    <x v="2"/>
    <s v="main"/>
    <s v="te_medial"/>
    <s v="ds"/>
    <s v="ss"/>
    <s v="topic-drop"/>
    <s v="contains_new"/>
    <m/>
    <m/>
    <n v="1"/>
    <s v="non-LVC"/>
    <s v="Yes"/>
    <n v="33"/>
    <m/>
    <n v="1"/>
    <m/>
    <x v="1"/>
  </r>
  <r>
    <s v="Heike 2.121"/>
    <s v="欠官停任せらるべき (kekkan teinin seraru beki yoshi)"/>
    <s v=" and he be deprived of rank and office,"/>
    <s v="停任せらるべき"/>
    <s v="deontic"/>
    <s v="action"/>
    <s v="LVC"/>
    <s v="intransitive"/>
    <s v="passive"/>
    <s v="positive"/>
    <n v="1"/>
    <n v="0"/>
    <x v="2"/>
    <n v="0"/>
    <x v="1"/>
    <n v="3"/>
    <x v="0"/>
    <s v="n/a"/>
    <n v="0"/>
    <n v="1"/>
    <s v="REL"/>
    <s v="relative"/>
    <n v="0"/>
    <n v="0"/>
    <s v="n/a"/>
    <s v="n/a"/>
    <n v="0"/>
    <x v="2"/>
    <s v="te"/>
    <m/>
    <s v="ss"/>
    <s v="ds"/>
    <s v="topic-drop"/>
    <s v="no_overt_NP"/>
    <m/>
    <m/>
    <n v="0"/>
    <s v="LVC"/>
    <s v="Yes"/>
    <n v="33"/>
    <m/>
    <n v="0"/>
    <n v="2"/>
    <x v="1"/>
  </r>
  <r>
    <s v="Heike 2.122"/>
    <s v="由諸卿一同に訴へ申されければ (yoshi shokyō ichidō ni uttaemōsarekereba)"/>
    <s v="and all the Court Nobles together petitioned,"/>
    <s v="訴へ申されければ"/>
    <s v="indicative"/>
    <s v="action"/>
    <s v="verb"/>
    <s v="transitive"/>
    <s v="active"/>
    <s v="positive"/>
    <n v="1"/>
    <n v="2"/>
    <x v="3"/>
    <n v="1"/>
    <x v="0"/>
    <n v="3"/>
    <x v="1"/>
    <s v="n/a"/>
    <n v="0"/>
    <n v="0"/>
    <s v="n/a"/>
    <s v="subordinate"/>
    <n v="1"/>
    <n v="0"/>
    <s v="sub"/>
    <s v="honorific_aux+lexical_honorific_verb"/>
    <n v="0"/>
    <x v="0"/>
    <s v="relative"/>
    <m/>
    <s v="ds"/>
    <s v="ds"/>
    <s v="topic-drop"/>
    <s v="contains_new"/>
    <m/>
    <m/>
    <n v="2"/>
    <s v="non-LVC"/>
    <s v="Yes"/>
    <n v="33"/>
    <s v="te"/>
    <n v="1"/>
    <n v="3"/>
    <x v="1"/>
  </r>
  <r>
    <s v="Heike 2.123"/>
    <s v="上皇大きに驚かせ給ひて (Jōkō ōki ni odorokase tamai te)"/>
    <s v="His Majesty the Mikado, greatly surprised,"/>
    <s v="驚かせ給ひて"/>
    <s v="indicative"/>
    <s v="action"/>
    <s v="verb"/>
    <s v="intransitive"/>
    <s v="active"/>
    <s v="positive"/>
    <n v="1"/>
    <n v="1"/>
    <x v="0"/>
    <n v="0"/>
    <x v="0"/>
    <n v="3"/>
    <x v="0"/>
    <s v="n/a"/>
    <n v="0"/>
    <n v="0"/>
    <s v="n/a"/>
    <s v="te"/>
    <n v="1"/>
    <n v="0"/>
    <s v="sub"/>
    <s v="honorific_aux+lexical_honorific_verb"/>
    <n v="0"/>
    <x v="2"/>
    <s v="subordinate"/>
    <s v="te_medial"/>
    <s v="ds"/>
    <s v="ss"/>
    <s v="topic-drop"/>
    <s v="contains_new"/>
    <m/>
    <m/>
    <n v="1"/>
    <s v="non-LVC"/>
    <s v="Yes"/>
    <n v="33"/>
    <s v="te"/>
    <n v="1"/>
    <n v="4"/>
    <x v="1"/>
  </r>
  <r>
    <s v="Heike 2.124"/>
    <s v="忠盛を召して (Tadamori o meshite)"/>
    <s v="ordered Tadamori into his Presence,"/>
    <s v="召して"/>
    <s v="indicative"/>
    <s v="action"/>
    <s v="verb"/>
    <s v="intransitive"/>
    <s v="active"/>
    <s v="positive"/>
    <n v="1"/>
    <n v="1"/>
    <x v="1"/>
    <n v="0"/>
    <x v="2"/>
    <n v="3"/>
    <x v="1"/>
    <s v="n/a"/>
    <n v="0"/>
    <n v="0"/>
    <s v="n/a"/>
    <s v="te"/>
    <n v="0"/>
    <n v="1"/>
    <s v="sub"/>
    <s v="lexical_honorific_verb"/>
    <n v="0"/>
    <x v="2"/>
    <s v="te"/>
    <s v="te_medial"/>
    <s v="ss"/>
    <s v="ds"/>
    <s v="topic-drop"/>
    <s v="contains_new"/>
    <m/>
    <m/>
    <n v="1"/>
    <s v="non-LVC"/>
    <s v="Yes"/>
    <n v="33"/>
    <s v="main"/>
    <n v="1"/>
    <n v="5"/>
    <x v="1"/>
  </r>
  <r>
    <s v="Heike 2.125"/>
    <s v="御尋ねあり o-tazune ari"/>
    <s v=" to make examination into the affair"/>
    <s v="御尋ねあり"/>
    <s v="indicative"/>
    <s v="action"/>
    <s v="verb"/>
    <s v="intransitive"/>
    <s v="active"/>
    <s v="positive"/>
    <n v="1"/>
    <n v="1"/>
    <x v="0"/>
    <n v="0"/>
    <x v="0"/>
    <n v="3"/>
    <x v="0"/>
    <s v="n/a"/>
    <n v="0"/>
    <n v="0"/>
    <s v="n/a"/>
    <s v="main"/>
    <n v="1"/>
    <n v="0"/>
    <s v="sub"/>
    <s v="honorific prefix"/>
    <n v="1"/>
    <x v="2"/>
    <s v="te"/>
    <m/>
    <s v="ds"/>
    <s v="ds"/>
    <s v="topic-drop"/>
    <s v="contains_new"/>
    <m/>
    <m/>
    <n v="1"/>
    <s v="non-LVC"/>
    <s v="Yes"/>
    <n v="33"/>
    <m/>
    <n v="1"/>
    <n v="1"/>
    <x v="1"/>
  </r>
  <r>
    <s v="Heike 2.126"/>
    <s v="陳じ申されけるは (chinji mōsarekeru wa)"/>
    <s v="in his reply he stated that,"/>
    <s v="申されける"/>
    <s v="indicative"/>
    <s v="action"/>
    <s v="verb"/>
    <s v="transitive"/>
    <s v="active"/>
    <s v="positive"/>
    <n v="1"/>
    <n v="0"/>
    <x v="2"/>
    <n v="0"/>
    <x v="2"/>
    <n v="3"/>
    <x v="5"/>
    <s v="n/a"/>
    <n v="0"/>
    <n v="0"/>
    <s v="SUB"/>
    <s v="subordinate"/>
    <n v="0"/>
    <n v="1"/>
    <s v="sub"/>
    <s v="honorific_aux+lexical_humble_verb"/>
    <n v="0"/>
    <x v="2"/>
    <s v="main"/>
    <m/>
    <s v="ds"/>
    <s v="ss"/>
    <s v="topic-drop"/>
    <s v="no_overt_NP"/>
    <s v="nominalisation"/>
    <m/>
    <n v="0"/>
    <s v="non-LVC"/>
    <s v="Yes"/>
    <n v="34"/>
    <m/>
    <n v="1"/>
    <n v="2"/>
    <x v="0"/>
  </r>
  <r>
    <s v="Heike 2.127"/>
    <s v="まづ郎従小庭に伺候の由全く覚悟仕らず (mazu rōjū koniwa ni shikō no yoshi mattaku kakugo tsukamatsurazu)"/>
    <s v="as to the presence of his retainer in the Palace, he certainly knew nothing about it,"/>
    <s v="覚悟仕らず"/>
    <s v="indicative"/>
    <s v="action"/>
    <s v="LVC"/>
    <s v="transitive"/>
    <s v="active"/>
    <s v="negative"/>
    <n v="1"/>
    <n v="1"/>
    <x v="1"/>
    <n v="2"/>
    <x v="2"/>
    <n v="3"/>
    <x v="1"/>
    <s v="n/a"/>
    <n v="0"/>
    <n v="0"/>
    <s v="n/a"/>
    <s v="subordinate"/>
    <n v="0"/>
    <n v="1"/>
    <s v="sub"/>
    <s v="lexical_humble_verb"/>
    <n v="0"/>
    <x v="2"/>
    <s v="subordinate"/>
    <m/>
    <s v="ss"/>
    <s v="ds"/>
    <s v="topic-drop"/>
    <s v="contains_new"/>
    <m/>
    <m/>
    <n v="1"/>
    <s v="LVC"/>
    <s v="Yes"/>
    <n v="34"/>
    <s v="relative"/>
    <n v="1"/>
    <m/>
    <x v="0"/>
  </r>
  <r>
    <s v="Heike 2.128"/>
    <s v="但し近日人々相巧まるる (tadashi kinjitsu hitobito ai-takuramaruru)"/>
    <s v=" [...]  the designs that people were plotting,"/>
    <s v="巧まるる"/>
    <s v="indicative"/>
    <s v="action"/>
    <s v="verb"/>
    <s v="transitive"/>
    <s v="active"/>
    <s v="positive"/>
    <n v="1"/>
    <n v="1"/>
    <x v="0"/>
    <n v="1"/>
    <x v="0"/>
    <n v="3"/>
    <x v="5"/>
    <s v="n/a"/>
    <n v="0"/>
    <n v="0"/>
    <s v="REL"/>
    <s v="relative"/>
    <n v="1"/>
    <n v="0"/>
    <s v="sub"/>
    <s v="honorific_aux"/>
    <n v="0"/>
    <x v="2"/>
    <s v="subordinate"/>
    <m/>
    <s v="ds"/>
    <s v="ds"/>
    <s v="topic-drop"/>
    <s v="contains_new"/>
    <m/>
    <m/>
    <n v="1"/>
    <s v="non-LVC"/>
    <s v="Yes"/>
    <n v="34"/>
    <s v="subordinate"/>
    <n v="0"/>
    <n v="3"/>
    <x v="1"/>
  </r>
  <r>
    <s v="Heike 2.129"/>
    <s v="旨子細あるかの間 mune shisai aru ka no aida "/>
    <s v="[…] had lately heard of"/>
    <s v="ある"/>
    <s v="indicative"/>
    <s v="stative"/>
    <s v="existential verb"/>
    <s v="intransitive"/>
    <s v="active"/>
    <s v="positive"/>
    <n v="1"/>
    <n v="1"/>
    <x v="0"/>
    <n v="1"/>
    <x v="0"/>
    <n v="3"/>
    <x v="0"/>
    <s v="n/a"/>
    <n v="0"/>
    <n v="0"/>
    <s v="n/a"/>
    <s v="subordinate"/>
    <n v="0"/>
    <n v="0"/>
    <s v="n/a"/>
    <s v="n/a"/>
    <n v="0"/>
    <x v="0"/>
    <s v="relative"/>
    <m/>
    <s v="ds"/>
    <s v="ss"/>
    <s v="topic-drop"/>
    <s v="contains_new"/>
    <m/>
    <m/>
    <n v="1"/>
    <s v="non-LVC"/>
    <s v="Yes"/>
    <n v="34"/>
    <s v="subordinate"/>
    <n v="1"/>
    <n v="4"/>
    <x v="1"/>
  </r>
  <r>
    <s v="Heike 2.130"/>
    <s v="年来の家人事を伝へ聞くかによつて (nenrai no kenin goto o tsutae kiku ka ni yotte)"/>
    <s v=" if his retainers"/>
    <s v="伝へ聞く"/>
    <s v="indicative"/>
    <s v="perception"/>
    <s v="compound verb"/>
    <s v="transitive"/>
    <s v="active"/>
    <s v="positive"/>
    <n v="1"/>
    <n v="2"/>
    <x v="3"/>
    <n v="1"/>
    <x v="0"/>
    <n v="3"/>
    <x v="1"/>
    <s v="n/a"/>
    <n v="0"/>
    <n v="0"/>
    <s v="n/a"/>
    <s v="subordinate"/>
    <n v="0"/>
    <n v="0"/>
    <s v="n/a"/>
    <s v="n/a"/>
    <n v="0"/>
    <x v="1"/>
    <s v="subordinate"/>
    <m/>
    <s v="ss"/>
    <s v="ss"/>
    <s v="topic-drop"/>
    <s v="contains_new"/>
    <m/>
    <m/>
    <n v="2"/>
    <s v="non-LVC"/>
    <s v="Yes"/>
    <n v="34"/>
    <s v="subordinate"/>
    <n v="1"/>
    <n v="5"/>
    <x v="1"/>
  </r>
  <r>
    <s v="Heike 2.131"/>
    <s v="その恥を助けんが為に (sono haji o tasuken ga tame ni)"/>
    <s v="and in order to help him against such dishonour,  intending to prevent dishonour,"/>
    <s v="助けん"/>
    <s v="dynamic"/>
    <s v="other"/>
    <s v="verb"/>
    <s v="transitive"/>
    <s v="active"/>
    <s v="positive"/>
    <n v="1"/>
    <n v="1"/>
    <x v="1"/>
    <n v="0"/>
    <x v="1"/>
    <n v="3"/>
    <x v="1"/>
    <s v="n/a"/>
    <n v="0"/>
    <n v="0"/>
    <s v="n/a"/>
    <s v="subordinate"/>
    <n v="0"/>
    <n v="0"/>
    <s v="n/a"/>
    <s v="n/a"/>
    <n v="0"/>
    <x v="7"/>
    <s v="subordinate"/>
    <m/>
    <s v="ss"/>
    <s v="ss"/>
    <s v="topic-drop"/>
    <s v="contains_new"/>
    <m/>
    <m/>
    <n v="1"/>
    <s v="non-LVC"/>
    <s v="Yes"/>
    <n v="34"/>
    <s v="te"/>
    <n v="1"/>
    <n v="6"/>
    <x v="1"/>
  </r>
  <r>
    <s v="Heike 2.132"/>
    <s v="忠盛には知らせずして Tadamori ni wa shirasazu shite"/>
    <s v=" without informing him,  "/>
    <s v="知らせず"/>
    <s v="indicative"/>
    <s v="other"/>
    <s v="verb"/>
    <s v="ditransitive"/>
    <s v="active"/>
    <s v="negative"/>
    <n v="1"/>
    <n v="2"/>
    <x v="5"/>
    <n v="1"/>
    <x v="1"/>
    <n v="3"/>
    <x v="3"/>
    <s v="overt"/>
    <n v="0"/>
    <n v="0"/>
    <s v="n/a"/>
    <s v="te"/>
    <n v="0"/>
    <n v="0"/>
    <s v="n/a"/>
    <s v="n/a"/>
    <n v="0"/>
    <x v="1"/>
    <s v="subordinate"/>
    <s v="te_medial"/>
    <s v="ss"/>
    <n v="0"/>
    <s v="topic-continued"/>
    <s v="contains_new"/>
    <m/>
    <m/>
    <n v="2"/>
    <s v="non-LVC"/>
    <s v="Yes"/>
    <n v="34"/>
    <m/>
    <n v="1"/>
    <n v="7"/>
    <x v="1"/>
  </r>
  <r>
    <s v="Heike 2.133"/>
    <s v="密かに参候の条 (hisoka ni sankō no jō)"/>
    <s v="his retainers had come hither secretly"/>
    <s v="N/A (nominal clause)"/>
    <s v="indicative"/>
    <s v="other"/>
    <s v="none"/>
    <m/>
    <m/>
    <m/>
    <m/>
    <m/>
    <x v="6"/>
    <m/>
    <x v="3"/>
    <m/>
    <x v="4"/>
    <m/>
    <m/>
    <m/>
    <m/>
    <m/>
    <m/>
    <m/>
    <s v="n/a"/>
    <s v="n/a"/>
    <m/>
    <x v="5"/>
    <s v="te"/>
    <m/>
    <m/>
    <s v="ds"/>
    <m/>
    <m/>
    <s v="not sure if I should treat this as a nominal or verbal predicate or whether there is predication at all"/>
    <m/>
    <m/>
    <s v="non-LVC"/>
    <s v="Yes"/>
    <n v="34"/>
    <m/>
    <n v="1"/>
    <m/>
    <x v="1"/>
  </r>
  <r>
    <s v="Heike 2.134"/>
    <s v="力及ばざる chikara oyobazaru"/>
    <s v="his retainers had come hither secretly"/>
    <s v="及ばざる"/>
    <s v="indicative"/>
    <s v="other"/>
    <s v="verb"/>
    <s v="intransitive"/>
    <s v="active"/>
    <s v="negative"/>
    <n v="1"/>
    <n v="1"/>
    <x v="0"/>
    <n v="0"/>
    <x v="0"/>
    <n v="3"/>
    <x v="0"/>
    <s v="n/a"/>
    <n v="0"/>
    <n v="1"/>
    <s v="REL"/>
    <s v="relative"/>
    <n v="0"/>
    <n v="0"/>
    <s v="n/a"/>
    <s v="n/a"/>
    <n v="0"/>
    <x v="2"/>
    <n v="0"/>
    <m/>
    <s v="ds"/>
    <s v="ds"/>
    <s v="topic-drop"/>
    <s v="contains_new"/>
    <m/>
    <m/>
    <n v="1"/>
    <s v="non-LVC"/>
    <s v="Yes"/>
    <n v="34"/>
    <m/>
    <n v="0"/>
    <n v="8"/>
    <x v="1"/>
  </r>
  <r>
    <s v="Heike 2.135"/>
    <s v="次第なり"/>
    <s v="shidai nari"/>
    <s v="なり"/>
    <s v="indicative"/>
    <s v="stative"/>
    <s v="copula"/>
    <s v="intransitive"/>
    <s v="active"/>
    <s v="positive"/>
    <n v="1"/>
    <n v="0"/>
    <x v="2"/>
    <n v="0"/>
    <x v="1"/>
    <n v="3"/>
    <x v="0"/>
    <s v="n/a"/>
    <n v="0"/>
    <n v="0"/>
    <s v="n/a"/>
    <s v="main"/>
    <n v="0"/>
    <n v="0"/>
    <s v="n/a"/>
    <s v="n/a"/>
    <n v="0"/>
    <x v="2"/>
    <s v="relative"/>
    <m/>
    <s v="ds"/>
    <s v="ds"/>
    <s v="topic-drop"/>
    <s v="no_overt_NP"/>
    <m/>
    <m/>
    <n v="0"/>
    <s v="non-LVC"/>
    <s v="Yes"/>
    <n v="34"/>
    <m/>
    <n v="1"/>
    <n v="1"/>
    <x v="1"/>
  </r>
  <r>
    <s v="Heike 2.136"/>
    <s v="もしその咎あるべくば (moshi sono toga arubekuba)"/>
    <s v="&quot;if there be any blame, "/>
    <s v="ある"/>
    <s v="indicative"/>
    <s v="stative"/>
    <s v="existential verb"/>
    <s v="intransitive"/>
    <s v="active"/>
    <s v="positive"/>
    <n v="1"/>
    <n v="1"/>
    <x v="0"/>
    <n v="0"/>
    <x v="0"/>
    <n v="3"/>
    <x v="0"/>
    <s v="n/a"/>
    <n v="0"/>
    <n v="0"/>
    <s v="n/a"/>
    <s v="subordinate"/>
    <n v="0"/>
    <n v="0"/>
    <s v="n/a"/>
    <s v="n/a"/>
    <n v="0"/>
    <x v="10"/>
    <s v="main"/>
    <m/>
    <s v="ds"/>
    <s v="ds"/>
    <s v="topic-shift"/>
    <s v="contains_new"/>
    <m/>
    <m/>
    <n v="1"/>
    <s v="non-LVC"/>
    <s v="Yes"/>
    <n v="35"/>
    <s v="main"/>
    <n v="1"/>
    <n v="2"/>
    <x v="0"/>
  </r>
  <r>
    <s v="Heike 2.137"/>
    <s v="かの身を召し進ずべきか  ka no mi o meshi shinzu beki ka"/>
    <s v="do I not yield my body herewith?&quot;"/>
    <s v="召し進ずべき"/>
    <s v="deontic"/>
    <s v="action"/>
    <s v="LVC"/>
    <m/>
    <s v="active"/>
    <s v="positive"/>
    <n v="1"/>
    <n v="1"/>
    <x v="1"/>
    <n v="0"/>
    <x v="2"/>
    <n v="1"/>
    <x v="1"/>
    <s v="n/a"/>
    <n v="0"/>
    <n v="0"/>
    <s v="n/a"/>
    <s v="main"/>
    <n v="0"/>
    <n v="1"/>
    <s v="sub"/>
    <s v="lexical_honorific_verb"/>
    <n v="0"/>
    <x v="2"/>
    <s v="subordinate"/>
    <m/>
    <s v="ds"/>
    <s v="ss"/>
    <s v="topic-drop"/>
    <s v="contains_new"/>
    <m/>
    <m/>
    <n v="1"/>
    <s v="LVC"/>
    <s v="Yes"/>
    <n v="35"/>
    <s v="main"/>
    <n v="1"/>
    <n v="1"/>
    <x v="1"/>
  </r>
  <r>
    <s v="Heike 2.138"/>
    <s v="次に刀の事は主殿司に預け置き候ひ畢んぬ (tsugi ni katana no koto wa tonomotsukasa ni azukeoki soroiowannu)"/>
    <s v="as for the sword, I deposited it in the Tonomotsukasa,"/>
    <s v="預け置き / 候ひ畢んぬ"/>
    <s v="indicative"/>
    <s v="action"/>
    <s v="compound verb"/>
    <s v="transitive"/>
    <s v="active"/>
    <s v="positive"/>
    <n v="1"/>
    <n v="2"/>
    <x v="7"/>
    <n v="0"/>
    <x v="1"/>
    <n v="1"/>
    <x v="1"/>
    <s v="overt"/>
    <n v="0"/>
    <n v="0"/>
    <s v="n/a"/>
    <s v="main"/>
    <n v="0"/>
    <n v="0"/>
    <s v="n/a"/>
    <s v="polite_aux"/>
    <n v="0"/>
    <x v="2"/>
    <s v="main"/>
    <m/>
    <s v="ss"/>
    <s v="ds"/>
    <s v="topic-shift"/>
    <s v="contains_new"/>
    <m/>
    <m/>
    <n v="2"/>
    <s v="non-LVC"/>
    <s v="Yes"/>
    <n v="36"/>
    <m/>
    <n v="1"/>
    <n v="1"/>
    <x v="1"/>
  </r>
  <r>
    <s v="Heike 2.139"/>
    <s v="召し出だされ (meshi idasare)"/>
    <s v="if it be brought out from thence,"/>
    <s v="召し出だされ "/>
    <s v="indicative"/>
    <s v="action"/>
    <s v="verb"/>
    <s v="intransitive"/>
    <s v="passive"/>
    <s v="positive"/>
    <n v="1"/>
    <n v="0"/>
    <x v="2"/>
    <n v="0"/>
    <x v="2"/>
    <n v="3"/>
    <x v="3"/>
    <s v="zero_recoverable"/>
    <n v="0"/>
    <n v="0"/>
    <s v="n/a"/>
    <s v="main"/>
    <n v="0"/>
    <n v="1"/>
    <s v="sub"/>
    <s v="lexical_honorific_verb"/>
    <n v="0"/>
    <x v="2"/>
    <s v="main"/>
    <m/>
    <s v="ds"/>
    <s v="ss"/>
    <s v="topic-drop"/>
    <s v="no_overt_NP"/>
    <m/>
    <m/>
    <n v="0"/>
    <s v="non-LVC"/>
    <s v="Yes"/>
    <n v="37"/>
    <m/>
    <n v="1"/>
    <n v="1"/>
    <x v="1"/>
  </r>
  <r>
    <s v="Heike 2.140"/>
    <s v="刀の実否に付きて咎の左右あるべきか  katana no jippi ni tsukite toga no sayū aru beki ka"/>
    <s v=" it may be seen if it be a real sword or not,"/>
    <s v="あるべき"/>
    <s v="deontic"/>
    <s v="stative"/>
    <s v="existential verb"/>
    <s v="intransitive"/>
    <s v="active"/>
    <s v="positive"/>
    <n v="1"/>
    <n v="1"/>
    <x v="0"/>
    <n v="1"/>
    <x v="0"/>
    <n v="3"/>
    <x v="0"/>
    <s v="n/a"/>
    <n v="0"/>
    <n v="0"/>
    <s v="n/a"/>
    <s v="main"/>
    <n v="0"/>
    <n v="0"/>
    <s v="n/a"/>
    <s v="n/a"/>
    <n v="0"/>
    <x v="2"/>
    <s v="main"/>
    <m/>
    <s v="ss"/>
    <s v="ds"/>
    <s v="topic-drop"/>
    <s v="contains_new"/>
    <m/>
    <m/>
    <n v="1"/>
    <s v="non-LVC"/>
    <s v="Yes"/>
    <n v="38"/>
    <s v="subordinate"/>
    <n v="1"/>
    <n v="1"/>
    <x v="0"/>
  </r>
  <r>
    <s v="Heike 2.141"/>
    <s v="この儀尤も然るべしとて (kono gi motto mo shikarubeshi tote)"/>
    <s v="&quot;This seems quite reasonable,&quot;"/>
    <s v="然るべし"/>
    <s v="deontic"/>
    <s v="stative"/>
    <s v="adjectival predicate"/>
    <s v="intransitive"/>
    <s v="active"/>
    <s v="positive"/>
    <n v="1"/>
    <n v="1"/>
    <x v="0"/>
    <n v="0"/>
    <x v="0"/>
    <n v="3"/>
    <x v="0"/>
    <s v="n/a"/>
    <n v="0"/>
    <n v="0"/>
    <s v="n/a"/>
    <s v="subordinate"/>
    <n v="0"/>
    <n v="0"/>
    <s v="n/a"/>
    <s v="n/a"/>
    <n v="0"/>
    <x v="3"/>
    <s v="main"/>
    <m/>
    <s v="ds"/>
    <s v="ds"/>
    <s v="topic-drop"/>
    <s v="contains_new"/>
    <m/>
    <m/>
    <n v="1"/>
    <s v="non-LVC"/>
    <s v="Yes"/>
    <n v="39"/>
    <m/>
    <n v="1"/>
    <n v="2"/>
    <x v="1"/>
  </r>
  <r>
    <s v="Heike 2.142"/>
    <s v="かの刀を召し出でて (kano katana o meshi-idete)"/>
    <s v="and they hastened to bring forth the sword,"/>
    <s v="召し出でて"/>
    <s v="indicative"/>
    <s v="action"/>
    <s v="verb"/>
    <s v="transitive"/>
    <s v="active"/>
    <s v="positive"/>
    <n v="1"/>
    <n v="1"/>
    <x v="1"/>
    <n v="1"/>
    <x v="2"/>
    <n v="3"/>
    <x v="1"/>
    <s v="n/a"/>
    <n v="0"/>
    <n v="0"/>
    <s v="n/a"/>
    <s v="te"/>
    <n v="0"/>
    <n v="1"/>
    <s v="sub"/>
    <s v="lexical_honorific_verb"/>
    <n v="0"/>
    <x v="1"/>
    <s v="subordinate"/>
    <s v="te_medial"/>
    <s v="ds"/>
    <s v="ss"/>
    <s v="topic-continued"/>
    <s v="all given"/>
    <m/>
    <m/>
    <n v="1"/>
    <s v="non-LVC"/>
    <s v="Yes"/>
    <n v="39"/>
    <m/>
    <n v="1"/>
    <n v="3"/>
    <x v="1"/>
  </r>
  <r>
    <s v="Heike 2.143"/>
    <s v="叡覧あるに (eiran aru ni)"/>
    <s v="and exhibit it before His Majesty,"/>
    <s v="叡覧ある"/>
    <s v="indicative"/>
    <s v="action"/>
    <s v="LVC"/>
    <s v="transitive"/>
    <s v="active"/>
    <s v="positive"/>
    <n v="1"/>
    <n v="0"/>
    <x v="2"/>
    <n v="0"/>
    <x v="2"/>
    <n v="3"/>
    <x v="3"/>
    <s v="n/a"/>
    <n v="0"/>
    <n v="0"/>
    <s v="n/a"/>
    <s v="subordinate"/>
    <n v="0"/>
    <n v="1"/>
    <s v="sub"/>
    <s v="lexical_honorific_verb"/>
    <n v="0"/>
    <x v="0"/>
    <s v="te"/>
    <m/>
    <s v="ss"/>
    <s v="ds"/>
    <s v="topic-drop"/>
    <s v="no_overt_NP"/>
    <m/>
    <m/>
    <n v="0"/>
    <s v="LVC"/>
    <s v="Yes"/>
    <n v="39"/>
    <m/>
    <n v="1"/>
    <n v="4"/>
    <x v="1"/>
  </r>
  <r>
    <s v="Heike 2.144"/>
    <s v="上は鞘巻の黒う塗つたりけるが (ue wa sayamaki no kuro u nuttari keru ga)"/>
    <s v="its outside was that of a dirk in a black lacquer sheath,"/>
    <s v="塗つたりける"/>
    <s v="indicative"/>
    <s v="stative"/>
    <s v="verb"/>
    <s v="intransitive"/>
    <s v="resultative"/>
    <s v="positive"/>
    <n v="1"/>
    <n v="1"/>
    <x v="0"/>
    <n v="0"/>
    <x v="0"/>
    <n v="3"/>
    <x v="0"/>
    <s v="n/a"/>
    <n v="0"/>
    <n v="0"/>
    <s v="n/a"/>
    <s v="subordinate"/>
    <n v="0"/>
    <n v="0"/>
    <s v="n/a"/>
    <s v="n/a"/>
    <n v="0"/>
    <x v="9"/>
    <s v="subordinate"/>
    <m/>
    <s v="ds"/>
    <s v="ds"/>
    <s v="topic-drop"/>
    <s v="contains_new"/>
    <m/>
    <m/>
    <n v="1"/>
    <s v="non-LVC"/>
    <s v="Yes"/>
    <n v="39"/>
    <s v="main"/>
    <n v="1"/>
    <n v="5"/>
    <x v="1"/>
  </r>
  <r>
    <s v="Heike 2.145"/>
    <s v="中は木刀に銀薄をぞ押したりける (naka wa bokutō ni gin-haku o zo oshitari keru)"/>
    <s v="but within was only a wooden blade covered with silver."/>
    <s v="押したりける"/>
    <s v="indicative"/>
    <s v="stative"/>
    <s v="verb"/>
    <s v="transitive"/>
    <s v="resultative"/>
    <s v="positive"/>
    <n v="1"/>
    <n v="3"/>
    <x v="11"/>
    <n v="0"/>
    <x v="0"/>
    <n v="3"/>
    <x v="1"/>
    <s v="overt"/>
    <n v="0"/>
    <n v="0"/>
    <s v="n/a"/>
    <s v="main"/>
    <n v="0"/>
    <n v="0"/>
    <s v="n/a"/>
    <s v="n/a"/>
    <n v="0"/>
    <x v="2"/>
    <s v="subordinate"/>
    <m/>
    <s v="ds"/>
    <s v="ds"/>
    <s v="topic-drop"/>
    <s v="contains_new"/>
    <m/>
    <m/>
    <n v="3"/>
    <s v="non-LVC"/>
    <s v="Yes"/>
    <n v="39"/>
    <s v="subordinate"/>
    <n v="1"/>
    <n v="1"/>
    <x v="1"/>
  </r>
  <r>
    <s v="Heike 2.146"/>
    <s v="当座の恥辱を遁れんが為に (tōza no chijoku o nogaren ga tame ni)"/>
    <s v=" to avoid dishonour at the moment,"/>
    <s v="遁れん "/>
    <s v="dynamic"/>
    <s v="other"/>
    <s v="verb"/>
    <s v="transitive"/>
    <s v="active"/>
    <s v="positive"/>
    <n v="1"/>
    <n v="1"/>
    <x v="1"/>
    <n v="0"/>
    <x v="1"/>
    <n v="3"/>
    <x v="1"/>
    <s v="n/a"/>
    <n v="0"/>
    <n v="0"/>
    <s v="n/a"/>
    <s v="subordinate"/>
    <n v="0"/>
    <n v="0"/>
    <s v="n/a"/>
    <s v="n/a"/>
    <n v="0"/>
    <x v="7"/>
    <s v="main"/>
    <m/>
    <s v="ds"/>
    <s v="ss"/>
    <s v="topic-drop"/>
    <s v="contains_new"/>
    <m/>
    <m/>
    <n v="1"/>
    <s v="non-LVC"/>
    <s v="Yes"/>
    <n v="40"/>
    <m/>
    <n v="1"/>
    <m/>
    <x v="1"/>
  </r>
  <r>
    <s v="Heike 2.147"/>
    <s v="刀を帯する katana o taisuru "/>
    <s v="Although he had displayed "/>
    <s v="帯する"/>
    <s v="indicative"/>
    <s v="other"/>
    <s v="LVC"/>
    <s v="transitive"/>
    <s v="active"/>
    <s v="positive"/>
    <n v="1"/>
    <n v="1"/>
    <x v="1"/>
    <n v="0"/>
    <x v="1"/>
    <n v="3"/>
    <x v="1"/>
    <s v="n/a"/>
    <n v="0"/>
    <n v="1"/>
    <s v="REL"/>
    <s v="relative"/>
    <n v="0"/>
    <n v="0"/>
    <s v="n/a"/>
    <s v="n/a"/>
    <n v="0"/>
    <x v="2"/>
    <s v="subordinate"/>
    <m/>
    <s v="ss"/>
    <s v="ss"/>
    <s v="topic-drop"/>
    <s v="all given"/>
    <m/>
    <m/>
    <n v="1"/>
    <s v="LVC"/>
    <s v="Yes"/>
    <n v="40"/>
    <m/>
    <n v="0"/>
    <n v="2"/>
    <x v="1"/>
  </r>
  <r>
    <s v="Heike 2.148"/>
    <s v="由顕すといへども yoshi arawasu to iedomo"/>
    <s v="the appearance of a sword"/>
    <s v="顕す"/>
    <s v="indicative"/>
    <s v="other"/>
    <s v="verb"/>
    <s v="transitive"/>
    <s v="active"/>
    <s v="positive"/>
    <n v="1"/>
    <n v="1"/>
    <x v="1"/>
    <n v="0"/>
    <x v="1"/>
    <n v="3"/>
    <x v="1"/>
    <s v="n/a"/>
    <n v="0"/>
    <n v="0"/>
    <s v="n/a"/>
    <s v="subordinate"/>
    <n v="0"/>
    <n v="0"/>
    <s v="n/a"/>
    <s v="n/a"/>
    <n v="0"/>
    <x v="9"/>
    <s v="relative"/>
    <m/>
    <s v="ss"/>
    <s v="ss"/>
    <s v="topic-drop"/>
    <s v="contains_new"/>
    <m/>
    <m/>
    <n v="1"/>
    <s v="non-LVC"/>
    <s v="Yes"/>
    <n v="40"/>
    <s v="te"/>
    <n v="1"/>
    <n v="3"/>
    <x v="1"/>
  </r>
  <r>
    <s v="Heike 2.149"/>
    <s v="後日の訴訟を存じて (gojitsu no soshō o zonjite)"/>
    <s v="his substitution of a wooden blade as a precaution against an after accusation was exceedingly praiseworthy."/>
    <s v="存じて"/>
    <s v="indicative"/>
    <s v="perception"/>
    <s v="LVC"/>
    <s v="transitive"/>
    <s v="active"/>
    <s v="positive"/>
    <n v="1"/>
    <n v="1"/>
    <x v="1"/>
    <n v="0"/>
    <x v="2"/>
    <n v="3"/>
    <x v="1"/>
    <s v="n/a"/>
    <n v="0"/>
    <n v="0"/>
    <s v="n/a"/>
    <s v="te"/>
    <n v="0"/>
    <n v="1"/>
    <s v="sub"/>
    <s v="lexical_humble_verb"/>
    <n v="0"/>
    <x v="2"/>
    <s v="subordinate"/>
    <s v="te_medial"/>
    <s v="ss"/>
    <s v="ss"/>
    <s v="topic-drop"/>
    <s v="contains_new"/>
    <m/>
    <m/>
    <n v="1"/>
    <s v="LVC"/>
    <s v="Yes"/>
    <n v="40"/>
    <s v="relative"/>
    <n v="1"/>
    <m/>
    <x v="1"/>
  </r>
  <r>
    <s v="Heike 2.150"/>
    <s v="木刀を帯したる"/>
    <s v=" bokutō o tachitaru "/>
    <s v="帯したる"/>
    <s v="indicative"/>
    <s v="action"/>
    <s v="LVC"/>
    <s v="transitive"/>
    <s v="active"/>
    <s v="positive"/>
    <n v="1"/>
    <n v="1"/>
    <x v="1"/>
    <n v="0"/>
    <x v="1"/>
    <n v="3"/>
    <x v="1"/>
    <s v="n/a"/>
    <n v="0"/>
    <n v="1"/>
    <s v="REL"/>
    <s v="relative"/>
    <n v="0"/>
    <n v="0"/>
    <s v="n/a"/>
    <s v="n/a"/>
    <n v="0"/>
    <x v="2"/>
    <s v="te"/>
    <m/>
    <s v="ss"/>
    <s v="ds"/>
    <s v="topic-drop"/>
    <s v="contains_new"/>
    <m/>
    <m/>
    <n v="1"/>
    <s v="LVC"/>
    <s v="Yes"/>
    <n v="40"/>
    <s v="main"/>
    <n v="0"/>
    <n v="4"/>
    <x v="1"/>
  </r>
  <r>
    <s v="Heike 2.151"/>
    <s v="用意のほどこそ神妙なれ yōi no hodo koso shinmyō nare"/>
    <m/>
    <s v="なれ"/>
    <s v="indicative"/>
    <s v="stative"/>
    <s v="copula"/>
    <s v="intransitive"/>
    <s v="active"/>
    <s v="positive"/>
    <n v="1"/>
    <n v="1"/>
    <x v="0"/>
    <n v="0"/>
    <x v="0"/>
    <n v="3"/>
    <x v="0"/>
    <s v="n/a"/>
    <n v="0"/>
    <n v="0"/>
    <s v="n/a"/>
    <s v="main"/>
    <n v="0"/>
    <n v="0"/>
    <s v="n/a"/>
    <s v="n/a"/>
    <n v="0"/>
    <x v="2"/>
    <s v="relative"/>
    <m/>
    <s v="ds"/>
    <s v="ds"/>
    <s v="topic-drop"/>
    <s v="contains_new"/>
    <m/>
    <m/>
    <n v="1"/>
    <s v="non-LVC"/>
    <s v="Yes"/>
    <n v="40"/>
    <s v="relative"/>
    <n v="1"/>
    <m/>
    <x v="1"/>
  </r>
  <r>
    <s v="Heike 2.152"/>
    <s v="弓箭に携らん (yumiya ni tazusaran)"/>
    <s v="Such prudence is most commendable in a warrior."/>
    <s v="携らん"/>
    <s v="dynamic"/>
    <s v="action"/>
    <s v="verb"/>
    <s v="intransitive"/>
    <s v="active"/>
    <s v="positive"/>
    <n v="1"/>
    <n v="1"/>
    <x v="5"/>
    <n v="0"/>
    <x v="1"/>
    <n v="3"/>
    <x v="0"/>
    <s v="overt"/>
    <n v="1"/>
    <n v="0"/>
    <s v="REL"/>
    <s v="relative"/>
    <n v="0"/>
    <n v="0"/>
    <s v="n/a"/>
    <s v="n/a"/>
    <n v="0"/>
    <x v="2"/>
    <s v="main"/>
    <m/>
    <s v="ds"/>
    <s v="ds"/>
    <s v="topic-shift"/>
    <s v="contains_new"/>
    <m/>
    <m/>
    <n v="1"/>
    <s v="non-LVC"/>
    <s v="Yes"/>
    <n v="41"/>
    <s v="main"/>
    <n v="0"/>
    <n v="1"/>
    <x v="0"/>
  </r>
  <r>
    <s v="Heike 2.153"/>
    <s v="ほどの者の謀は尤もかうこそあらまほしけれ hodo no mono no hakarigoto wa motto mo kō koso aramahoshikere"/>
    <m/>
    <s v="あらまほしけれ"/>
    <s v="desiderative"/>
    <s v="psych-state"/>
    <s v="adjectival predicate"/>
    <s v="intransitive"/>
    <s v="active"/>
    <s v="positive"/>
    <n v="1"/>
    <n v="1"/>
    <x v="0"/>
    <n v="1"/>
    <x v="0"/>
    <n v="3"/>
    <x v="0"/>
    <s v="n/a"/>
    <n v="0"/>
    <n v="0"/>
    <s v="n/a"/>
    <s v="main"/>
    <n v="0"/>
    <n v="0"/>
    <s v="n/a"/>
    <s v="n/a"/>
    <n v="0"/>
    <x v="2"/>
    <s v="relative"/>
    <m/>
    <s v="ds"/>
    <s v="ds"/>
    <s v="topic-shift"/>
    <s v="contains_new"/>
    <m/>
    <m/>
    <n v="1"/>
    <s v="non-LVC"/>
    <s v="Yes"/>
    <n v="41"/>
    <s v="main"/>
    <n v="1"/>
    <n v="1"/>
    <x v="1"/>
  </r>
  <r>
    <s v="Heike 2.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s v="stative"/>
    <s v="copula"/>
    <s v="intransitive"/>
    <s v="active"/>
    <s v="positive"/>
    <n v="1"/>
    <n v="1"/>
    <x v="0"/>
    <n v="3"/>
    <x v="0"/>
    <n v="3"/>
    <x v="0"/>
    <s v="n/a"/>
    <n v="0"/>
    <n v="0"/>
    <s v="n/a"/>
    <s v="main"/>
    <n v="0"/>
    <n v="0"/>
    <s v="n/a"/>
    <s v="n/a"/>
    <n v="0"/>
    <x v="2"/>
    <s v="main"/>
    <m/>
    <s v="ds"/>
    <s v="ds"/>
    <s v="topic-shift"/>
    <s v="contains_new"/>
    <m/>
    <m/>
    <n v="1"/>
    <s v="non-LVC"/>
    <s v="Yes"/>
    <n v="42"/>
    <s v="subordinate"/>
    <n v="1"/>
    <n v="1"/>
    <x v="0"/>
  </r>
  <r>
    <s v="Heike 2.155"/>
    <s v="忠盛が咎にはあらずとて (Tadamori ga toga ni wa arazu tote)"/>
    <s v="and no fault was found in Tadamori."/>
    <s v="あらず"/>
    <s v="indicative"/>
    <s v="stative"/>
    <s v="copula"/>
    <s v="intransitive"/>
    <s v="active"/>
    <s v="negative"/>
    <n v="1"/>
    <n v="1"/>
    <x v="0"/>
    <n v="0"/>
    <x v="0"/>
    <n v="3"/>
    <x v="0"/>
    <s v="n/a"/>
    <n v="0"/>
    <n v="0"/>
    <s v="n/a"/>
    <s v="subordinate"/>
    <n v="0"/>
    <n v="0"/>
    <s v="n/a"/>
    <s v="n/a"/>
    <n v="0"/>
    <x v="3"/>
    <s v="main"/>
    <m/>
    <s v="ds"/>
    <s v="ss"/>
    <s v="topic-shift"/>
    <s v="contains_new"/>
    <m/>
    <m/>
    <n v="1"/>
    <s v="non-LVC"/>
    <s v="Yes"/>
    <n v="43"/>
    <s v="subordinate"/>
    <n v="1"/>
    <n v="2"/>
    <x v="1"/>
  </r>
  <r>
    <s v="Heike 2.156"/>
    <s v="却つて叡感に預かりし上は (kaette eikan ni azukarishi ue wa)"/>
    <s v="and on the contrary, his conduct was greatly admired,"/>
    <s v="預かりし"/>
    <s v="indicative"/>
    <s v="action"/>
    <s v="verb"/>
    <s v="intransitive"/>
    <s v="active"/>
    <s v="positive"/>
    <n v="1"/>
    <n v="1"/>
    <x v="5"/>
    <n v="1"/>
    <x v="1"/>
    <n v="3"/>
    <x v="0"/>
    <s v="overt"/>
    <n v="0"/>
    <n v="0"/>
    <s v="REL"/>
    <s v="subordinate"/>
    <n v="0"/>
    <n v="0"/>
    <s v="n/a"/>
    <s v="n/a"/>
    <n v="1"/>
    <x v="6"/>
    <s v="subordinate"/>
    <m/>
    <s v="ss"/>
    <s v="ds"/>
    <s v="topic-drop"/>
    <s v="contains_new"/>
    <m/>
    <m/>
    <n v="1"/>
    <s v="non-LVC"/>
    <s v="Yes"/>
    <n v="43"/>
    <s v="main"/>
    <n v="1"/>
    <n v="3"/>
    <x v="1"/>
  </r>
  <r>
    <s v="Heike 2.157"/>
    <s v="敢へて罪科の沙汰はなかりけり aete tsumikado no sata wa nakarikeri"/>
    <s v="and he was pronounced guiltless."/>
    <s v="なかりけり"/>
    <s v="indicative"/>
    <s v="aux/modal"/>
    <s v="verb"/>
    <s v="intransitive"/>
    <s v="active"/>
    <s v="negative"/>
    <n v="1"/>
    <n v="1"/>
    <x v="0"/>
    <n v="1"/>
    <x v="0"/>
    <n v="3"/>
    <x v="0"/>
    <s v="n/a"/>
    <n v="0"/>
    <n v="0"/>
    <s v="n/a"/>
    <s v="main"/>
    <n v="0"/>
    <n v="0"/>
    <s v="n/a"/>
    <s v="n/a"/>
    <n v="0"/>
    <x v="8"/>
    <s v="subordinate"/>
    <m/>
    <s v="ds"/>
    <n v="0"/>
    <s v="topic-drop"/>
    <s v="contains_new"/>
    <m/>
    <m/>
    <n v="1"/>
    <s v="non-LVC"/>
    <s v="No"/>
    <n v="43"/>
    <m/>
    <n v="1"/>
    <m/>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s v="Heike 2.1"/>
    <s v="忠盛朝臣未だ備前守たりし時 (Tadamori ason imada Bizen no kami tarishi toki)"/>
    <s v="Now Tadamori, while holding the office of Bizen no Kami,"/>
    <s v="たりし"/>
    <s v="indicative"/>
    <s v="stative"/>
    <s v="copula"/>
    <x v="0"/>
    <s v="active"/>
    <s v="positive"/>
    <n v="1"/>
    <n v="1"/>
    <s v="SUB"/>
    <n v="0"/>
    <s v="overt"/>
    <n v="3"/>
    <s v="n/a"/>
    <s v="n/a"/>
    <n v="0"/>
    <n v="1"/>
    <s v="REL"/>
    <s v="relative"/>
    <n v="0"/>
    <x v="0"/>
    <s v="n/a"/>
    <s v="n/a"/>
    <n v="0"/>
    <x v="0"/>
    <x v="0"/>
    <m/>
    <s v="new"/>
    <x v="0"/>
    <s v="topic-introduced"/>
    <s v="contains_new"/>
    <m/>
    <m/>
    <n v="1"/>
    <s v="non-LVC"/>
    <s v="Yes"/>
    <n v="1"/>
    <s v="te"/>
    <n v="0"/>
    <n v="1"/>
    <x v="0"/>
    <x v="0"/>
    <s v="overt"/>
    <x v="0"/>
    <n v="0"/>
  </r>
  <r>
    <s v="Heike 2.2"/>
    <s v="鳥羽院の御願得長寿院を造進して (Toba-in no ogan Tokuchōju-in o zōshin shite)"/>
    <s v="by the request of the retired Emperor Toba,"/>
    <s v="造進して"/>
    <s v="indicative"/>
    <s v="other"/>
    <s v="verb"/>
    <x v="1"/>
    <s v="active"/>
    <s v="positive"/>
    <n v="1"/>
    <n v="1"/>
    <s v="OBJ"/>
    <n v="1"/>
    <s v="zero_recoverable"/>
    <n v="3"/>
    <s v="overt"/>
    <s v="n/a"/>
    <n v="0"/>
    <n v="0"/>
    <s v="n/a"/>
    <s v="te"/>
    <n v="0"/>
    <x v="0"/>
    <s v="obj"/>
    <s v="nominal_prefix"/>
    <n v="1"/>
    <x v="1"/>
    <x v="1"/>
    <s v="te_medial"/>
    <s v="ss"/>
    <x v="0"/>
    <s v="topic-drop"/>
    <s v="contains_new"/>
    <s v="stranded subject Tadamori"/>
    <m/>
    <n v="1"/>
    <s v="non-LVC"/>
    <s v="Yes"/>
    <n v="1"/>
    <s v="te"/>
    <n v="1"/>
    <n v="2"/>
    <x v="1"/>
    <x v="0"/>
    <s v="overt"/>
    <x v="1"/>
    <n v="0"/>
  </r>
  <r>
    <s v="Heike 2.3"/>
    <s v="三十三間の御堂を建て (sanjūsangen no midō o tatete)"/>
    <s v=" had built the temple Toku-cho-juin and the Sa-ju-san-gen-do, or hall 33 ken long,"/>
    <s v="建て"/>
    <s v="indicative"/>
    <s v="other"/>
    <s v="verb"/>
    <x v="1"/>
    <s v="active"/>
    <s v="positive"/>
    <n v="1"/>
    <n v="1"/>
    <s v="OBJ"/>
    <n v="0"/>
    <s v="zero_recoverable"/>
    <n v="3"/>
    <s v="overt"/>
    <s v="n/a"/>
    <n v="0"/>
    <n v="0"/>
    <s v="n/a"/>
    <s v="te"/>
    <n v="0"/>
    <x v="0"/>
    <s v="obj"/>
    <s v="nominal_prefix"/>
    <n v="1"/>
    <x v="1"/>
    <x v="2"/>
    <s v="te_medial"/>
    <s v="ss"/>
    <x v="0"/>
    <s v="topic-drop"/>
    <s v="contains_new"/>
    <m/>
    <m/>
    <n v="1"/>
    <s v="non-LVC"/>
    <s v="Yes"/>
    <n v="1"/>
    <s v="relative"/>
    <n v="1"/>
    <m/>
    <x v="1"/>
    <x v="1"/>
    <s v="overt"/>
    <x v="1"/>
    <n v="0"/>
  </r>
  <r>
    <s v="Heike 2.4"/>
    <s v="一千一体の御仏を据ゑ奉らる (issen ittai no mihotoke o sue-tatematsuraru)"/>
    <s v="within which were one thousand and one Buddhas;"/>
    <s v="据ゑ奉らる"/>
    <s v="indicative"/>
    <s v="action"/>
    <s v="verb"/>
    <x v="1"/>
    <s v="active"/>
    <s v="positive"/>
    <n v="1"/>
    <n v="1"/>
    <s v="OBJ"/>
    <n v="0"/>
    <s v="zero_exalt"/>
    <n v="3"/>
    <s v="overt"/>
    <s v="n/a"/>
    <n v="0"/>
    <n v="1"/>
    <s v="REL"/>
    <s v="relative"/>
    <n v="1"/>
    <x v="1"/>
    <s v="sub"/>
    <s v="honorific_aux"/>
    <n v="1"/>
    <x v="2"/>
    <x v="2"/>
    <m/>
    <s v="ss"/>
    <x v="1"/>
    <s v="topic-drop"/>
    <s v="contains_new"/>
    <s v="complex verbal form"/>
    <m/>
    <n v="1"/>
    <s v="non-LVC"/>
    <s v="Yes"/>
    <n v="1"/>
    <s v="main"/>
    <n v="0"/>
    <n v="3"/>
    <x v="1"/>
    <x v="2"/>
    <s v="n/a"/>
    <x v="1"/>
    <n v="0"/>
  </r>
  <r>
    <s v="Heike 2.5"/>
    <s v="供養は天承元年三月十三日なり (kuyō wa Tenshō gannen sangatsu jūsan-nichi nari)"/>
    <s v="its first festival being on the thirteenth day of the third month of the first year of Tensho."/>
    <s v="なり"/>
    <s v="indicative"/>
    <s v="stative"/>
    <s v="copula"/>
    <x v="0"/>
    <s v="active"/>
    <s v="positive"/>
    <n v="1"/>
    <n v="1"/>
    <s v="SUB"/>
    <n v="0"/>
    <s v="overt"/>
    <n v="3"/>
    <s v="n/a"/>
    <s v="n/a"/>
    <n v="0"/>
    <n v="0"/>
    <s v="n/a"/>
    <s v="main"/>
    <n v="0"/>
    <x v="0"/>
    <s v="n/a"/>
    <s v="n/a"/>
    <n v="0"/>
    <x v="2"/>
    <x v="1"/>
    <m/>
    <s v="ds"/>
    <x v="1"/>
    <s v="topic-introduced"/>
    <s v="contains_new"/>
    <m/>
    <m/>
    <n v="1"/>
    <s v="non-LVC"/>
    <s v="Yes"/>
    <n v="1"/>
    <s v="subordinate"/>
    <n v="1"/>
    <n v="1"/>
    <x v="1"/>
    <x v="1"/>
    <s v="overt"/>
    <x v="0"/>
    <n v="0"/>
  </r>
  <r>
    <s v="Heike 2.6"/>
    <s v="勧賞には欠国を賜ふべき由 (kanshō ni wa kakukuni o tamau beki yoshi)"/>
    <s v="As a reward he was to be granted a fief,"/>
    <s v="賜ふべき"/>
    <s v="deontic"/>
    <s v="action"/>
    <s v="verb"/>
    <x v="1"/>
    <s v="active"/>
    <s v="positive"/>
    <n v="1"/>
    <n v="1"/>
    <s v="OBJ"/>
    <n v="1"/>
    <s v="zero_exalt"/>
    <n v="3"/>
    <s v="overt"/>
    <s v="n/a"/>
    <n v="0"/>
    <n v="1"/>
    <s v="n/a"/>
    <s v="subordinate"/>
    <n v="0"/>
    <x v="1"/>
    <s v="sub"/>
    <s v="lexical_honorific_verb"/>
    <n v="0"/>
    <x v="3"/>
    <x v="3"/>
    <m/>
    <s v="ds"/>
    <x v="1"/>
    <s v="topic-shift"/>
    <s v="contains_new"/>
    <m/>
    <m/>
    <n v="1"/>
    <s v="non-LVC"/>
    <s v="Yes"/>
    <n v="2"/>
    <m/>
    <n v="1"/>
    <m/>
    <x v="0"/>
    <x v="1"/>
    <s v="not_applicable"/>
    <x v="1"/>
    <n v="0"/>
  </r>
  <r>
    <s v="Heike 2.7"/>
    <s v="仰せ下されける (ōse-kudasa rekeru)"/>
    <s v="he was honoured by receiving the territory of the province of Tamba,"/>
    <s v="仰せ下されける"/>
    <s v="indicative"/>
    <s v="action"/>
    <s v="verb(complex)"/>
    <x v="0"/>
    <s v="passive"/>
    <s v="positive"/>
    <n v="1"/>
    <n v="0"/>
    <s v="n/a"/>
    <n v="0"/>
    <s v="zero_exalt"/>
    <n v="3"/>
    <s v="not_applicable"/>
    <s v="not_applicable"/>
    <n v="1"/>
    <n v="0"/>
    <s v="REL"/>
    <s v="relative"/>
    <n v="0"/>
    <x v="1"/>
    <s v="io"/>
    <s v="lexical honorific+honorific aux"/>
    <n v="0"/>
    <x v="2"/>
    <x v="4"/>
    <m/>
    <s v="ds"/>
    <x v="0"/>
    <s v="topic-drop"/>
    <s v="no_overt_NP"/>
    <m/>
    <m/>
    <n v="0"/>
    <s v="non-LVC"/>
    <s v="Yes"/>
    <n v="2"/>
    <m/>
    <n v="0"/>
    <m/>
    <x v="1"/>
    <x v="2"/>
    <s v="n/a"/>
    <x v="1"/>
    <n v="0"/>
  </r>
  <r>
    <s v="Heike 2.8"/>
    <s v="折節但馬国の空きたりけるをぞ (orifushi Tamba no kuni no aki tarikeru o zo)"/>
    <s v="which then happened to be unappropriated."/>
    <s v="空きたりける"/>
    <s v="indicative"/>
    <s v="stative"/>
    <s v="verb"/>
    <x v="0"/>
    <s v="resultative"/>
    <s v="positive"/>
    <n v="1"/>
    <n v="1"/>
    <s v="SUB"/>
    <n v="1"/>
    <s v="overt"/>
    <n v="3"/>
    <s v="n/a"/>
    <s v="n/a"/>
    <n v="0"/>
    <n v="0"/>
    <s v="OBJ"/>
    <s v="nominalised"/>
    <n v="0"/>
    <x v="0"/>
    <s v="n/a"/>
    <s v="n/a"/>
    <n v="0"/>
    <x v="2"/>
    <x v="1"/>
    <m/>
    <s v="ss"/>
    <x v="1"/>
    <s v="topic-drop"/>
    <s v="contains_new"/>
    <s v="internally headed"/>
    <m/>
    <n v="1"/>
    <s v="non-LVC"/>
    <s v="Yes"/>
    <n v="2"/>
    <m/>
    <n v="0"/>
    <n v="2"/>
    <x v="1"/>
    <x v="1"/>
    <s v="zero_recoverable"/>
    <x v="0"/>
    <n v="0"/>
  </r>
  <r>
    <s v="Heike 2.9"/>
    <s v="賜はりける (tamawari keru)"/>
    <s v="As a reward he was honoured by receiving the territory of the province of Tamba, which then happened to be unappropriated."/>
    <s v="賜はりける"/>
    <s v="indicative"/>
    <s v="action"/>
    <s v="verb"/>
    <x v="1"/>
    <s v="active"/>
    <s v="positive"/>
    <n v="1"/>
    <n v="1"/>
    <s v="OBJ"/>
    <n v="0"/>
    <s v="zero_exalt"/>
    <n v="3"/>
    <s v="zero_recoverable"/>
    <s v="zero_recoverable"/>
    <n v="0"/>
    <n v="0"/>
    <s v="n/a"/>
    <s v="main"/>
    <n v="0"/>
    <x v="1"/>
    <s v="sub"/>
    <s v="lexical_humble_verb"/>
    <n v="0"/>
    <x v="2"/>
    <x v="5"/>
    <m/>
    <s v="ds"/>
    <x v="1"/>
    <s v="topic-drop"/>
    <s v="no_overt_NP"/>
    <m/>
    <m/>
    <n v="1"/>
    <s v="non-LVC"/>
    <s v="Yes"/>
    <n v="2"/>
    <m/>
    <n v="1"/>
    <m/>
    <x v="1"/>
    <x v="2"/>
    <s v="overt"/>
    <x v="1"/>
    <n v="0"/>
  </r>
  <r>
    <s v="Heike 2.10"/>
    <s v="上皇御感のあまりに内の昇殿を許さる (jōkō go-kan no amari ni uchi no shōden o yurusaru)"/>
    <s v="Moreover the Emperor of his bounty graciously permitted him to attend the Court;"/>
    <s v="許さる"/>
    <s v="indicative"/>
    <s v="action"/>
    <s v="verb"/>
    <x v="1"/>
    <s v="active"/>
    <s v="positive"/>
    <n v="1"/>
    <n v="2"/>
    <s v="S+O"/>
    <n v="1"/>
    <s v="overt"/>
    <n v="3"/>
    <s v="overt"/>
    <s v="zero_recoverable"/>
    <n v="1"/>
    <n v="0"/>
    <s v="REL"/>
    <s v="relative"/>
    <n v="1"/>
    <x v="0"/>
    <s v="sub"/>
    <s v="honorific_aux"/>
    <n v="1"/>
    <x v="2"/>
    <x v="3"/>
    <m/>
    <s v="ds"/>
    <x v="1"/>
    <s v="topic-drop"/>
    <s v="contains_new"/>
    <s v="it's unlcear whether -re- in -yurusareru is passive or honorific"/>
    <m/>
    <n v="2"/>
    <s v="non-LVC"/>
    <s v="Yes"/>
    <n v="3"/>
    <s v="main"/>
    <n v="0"/>
    <n v="1"/>
    <x v="1"/>
    <x v="2"/>
    <s v="overt"/>
    <x v="1"/>
    <n v="0"/>
  </r>
  <r>
    <s v="Heike 2.11"/>
    <s v="忠盛三十六にて初めて昇殿す (Tadamori sanjūroku nite hajimete shōden su)"/>
    <s v="which Tadamori did for the first time at the age of thirty six."/>
    <s v="昇殿す"/>
    <s v="indicative"/>
    <s v="motion"/>
    <s v="LVC"/>
    <x v="0"/>
    <s v="active"/>
    <s v="positive"/>
    <n v="1"/>
    <n v="1"/>
    <s v="SUB"/>
    <n v="2"/>
    <s v="overt"/>
    <n v="3"/>
    <s v="overt"/>
    <s v="n/a"/>
    <n v="0"/>
    <n v="0"/>
    <s v="n/a"/>
    <s v="main"/>
    <n v="0"/>
    <x v="0"/>
    <s v="n/a"/>
    <s v="n/a"/>
    <n v="0"/>
    <x v="2"/>
    <x v="1"/>
    <m/>
    <s v="ds"/>
    <x v="1"/>
    <s v="topic-continued"/>
    <s v="contains_new"/>
    <m/>
    <m/>
    <n v="1"/>
    <s v="LVC"/>
    <s v="Yes"/>
    <n v="3"/>
    <s v="inf"/>
    <n v="1"/>
    <n v="1"/>
    <x v="0"/>
    <x v="2"/>
    <s v="overt"/>
    <x v="1"/>
    <n v="0"/>
  </r>
  <r>
    <s v="Heike 2.12"/>
    <s v="雲の上人これを嫉み憤り (kumo no uebito kore o sonemi ikidori)"/>
    <s v="the higher Courtiers were furious with jealousy"/>
    <s v="嫉み憤り"/>
    <s v="indicative"/>
    <s v="psych-state"/>
    <s v="verb(compound)"/>
    <x v="1"/>
    <s v="active"/>
    <s v="positive"/>
    <n v="1"/>
    <n v="2"/>
    <s v="S+O"/>
    <n v="0"/>
    <s v="overt"/>
    <n v="3"/>
    <s v="overt"/>
    <s v="n/a"/>
    <n v="0"/>
    <n v="0"/>
    <s v="n/a"/>
    <s v="inf"/>
    <n v="0"/>
    <x v="0"/>
    <s v="n/a"/>
    <s v="n/a"/>
    <n v="0"/>
    <x v="2"/>
    <x v="3"/>
    <m/>
    <s v="ds"/>
    <x v="0"/>
    <s v="topic-introduced"/>
    <s v="contains_new"/>
    <m/>
    <m/>
    <n v="2"/>
    <s v="non-LVC"/>
    <s v="Yes"/>
    <n v="4"/>
    <s v="complement"/>
    <n v="1"/>
    <n v="2"/>
    <x v="1"/>
    <x v="0"/>
    <s v="overt"/>
    <x v="0"/>
    <n v="0"/>
  </r>
  <r>
    <s v="Heike 2.13"/>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s v="other"/>
    <s v="LVC"/>
    <x v="1"/>
    <s v="active"/>
    <s v="positive"/>
    <n v="1"/>
    <n v="1"/>
    <s v="OBJ"/>
    <n v="1"/>
    <s v="zero_recoverable"/>
    <n v="3"/>
    <s v="overt"/>
    <s v="n/a"/>
    <n v="0"/>
    <n v="0"/>
    <s v="n/a"/>
    <s v="complement"/>
    <n v="0"/>
    <x v="0"/>
    <s v="n/a"/>
    <s v="n/a"/>
    <n v="0"/>
    <x v="4"/>
    <x v="6"/>
    <m/>
    <s v="ss"/>
    <x v="1"/>
    <s v="topic-continued"/>
    <s v="contains_new"/>
    <m/>
    <m/>
    <n v="1"/>
    <s v="LVC"/>
    <s v="Yes"/>
    <n v="4"/>
    <m/>
    <n v="1"/>
    <n v="3"/>
    <x v="1"/>
    <x v="2"/>
    <s v="n/a"/>
    <x v="1"/>
    <n v="0"/>
  </r>
  <r>
    <s v="Heike 2.14"/>
    <s v="とぞ議せられける (to zo giserarikeru)"/>
    <s v="they plotted"/>
    <s v="議せられける"/>
    <s v="indicative"/>
    <s v="communication"/>
    <s v="LVC"/>
    <x v="0"/>
    <s v="passive"/>
    <s v="positive"/>
    <n v="1"/>
    <n v="1"/>
    <s v="S (Speech)"/>
    <n v="0"/>
    <s v="overt"/>
    <s v="n/a"/>
    <s v="n/a"/>
    <s v="n/a"/>
    <n v="0"/>
    <n v="0"/>
    <s v="n/a"/>
    <s v="main"/>
    <n v="0"/>
    <x v="0"/>
    <s v="n/a"/>
    <s v="n/a"/>
    <n v="0"/>
    <x v="2"/>
    <x v="7"/>
    <m/>
    <s v="ds"/>
    <x v="1"/>
    <s v="topic-drop"/>
    <s v="all given"/>
    <m/>
    <m/>
    <n v="1"/>
    <s v="LVC"/>
    <s v="Yes"/>
    <n v="4"/>
    <s v="te"/>
    <n v="1"/>
    <n v="1"/>
    <x v="1"/>
    <x v="2"/>
    <s v="overt"/>
    <x v="1"/>
    <n v="0"/>
  </r>
  <r>
    <s v="Heike 2.15"/>
    <s v="忠盛この由を伝へ聞きて (Tadamori kono yoshi o tsutae kikite)"/>
    <s v="Tadamori, on hearing of this"/>
    <s v="伝へ聞きて"/>
    <s v="indicative"/>
    <s v="perception"/>
    <s v="verb(compound)"/>
    <x v="1"/>
    <s v="active"/>
    <s v="positive"/>
    <n v="1"/>
    <n v="2"/>
    <s v="OBJ"/>
    <n v="0"/>
    <s v="overt"/>
    <n v="3"/>
    <s v="overt"/>
    <s v="n/a"/>
    <n v="0"/>
    <n v="0"/>
    <s v="n/a"/>
    <s v="te"/>
    <n v="0"/>
    <x v="0"/>
    <s v="n/a"/>
    <s v="n/a"/>
    <n v="0"/>
    <x v="1"/>
    <x v="3"/>
    <s v="te_initial"/>
    <s v="ds"/>
    <x v="1"/>
    <s v="topic-shift"/>
    <s v="all given"/>
    <m/>
    <m/>
    <n v="2"/>
    <s v="non-LVC"/>
    <s v="Yes"/>
    <n v="5"/>
    <m/>
    <n v="1"/>
    <n v="2"/>
    <x v="0"/>
    <x v="2"/>
    <s v="n/a"/>
    <x v="1"/>
    <n v="0"/>
  </r>
  <r>
    <s v="Heike 2.16"/>
    <s v="我右弼の身にあらず (ware ubitsu no mi ni a-razu)"/>
    <s v="I am not a civil official"/>
    <s v="あらず"/>
    <s v="indicative"/>
    <s v="other"/>
    <s v="copula"/>
    <x v="0"/>
    <s v="active"/>
    <s v="negative"/>
    <n v="1"/>
    <n v="1"/>
    <s v="SUB"/>
    <n v="0"/>
    <s v="overt"/>
    <n v="1"/>
    <s v="n/a"/>
    <s v="n/a"/>
    <n v="0"/>
    <n v="0"/>
    <s v="n/a"/>
    <s v="subordinate"/>
    <n v="0"/>
    <x v="0"/>
    <s v="n/a"/>
    <s v="n/a"/>
    <n v="0"/>
    <x v="1"/>
    <x v="2"/>
    <m/>
    <s v="ds"/>
    <x v="0"/>
    <s v="topic-shift"/>
    <s v="contains_new"/>
    <m/>
    <m/>
    <n v="1"/>
    <s v="non-LVC"/>
    <s v="Yes"/>
    <n v="5"/>
    <s v="te"/>
    <n v="1"/>
    <n v="3"/>
    <x v="1"/>
    <x v="0"/>
    <s v="n/a"/>
    <x v="0"/>
    <n v="0"/>
  </r>
  <r>
    <s v="Heike 2.17"/>
    <s v="武勇の家に生れて (buyū no ie ni umarete)"/>
    <s v="being born of a line of warriors"/>
    <s v="生れて"/>
    <s v="indicative"/>
    <s v="other"/>
    <s v="verb"/>
    <x v="0"/>
    <s v="active"/>
    <s v="positive"/>
    <n v="1"/>
    <n v="1"/>
    <s v="SUB"/>
    <n v="1"/>
    <s v="zero_recoverable"/>
    <n v="1"/>
    <s v="n/a"/>
    <s v="n/a"/>
    <n v="0"/>
    <n v="0"/>
    <s v="n/a"/>
    <s v="te"/>
    <n v="0"/>
    <x v="0"/>
    <s v="n/a"/>
    <s v="n/a"/>
    <n v="0"/>
    <x v="1"/>
    <x v="4"/>
    <s v="te_medial"/>
    <s v="ss"/>
    <x v="0"/>
    <s v="topic-drop"/>
    <s v="contains_new"/>
    <m/>
    <m/>
    <n v="1"/>
    <s v="non-LVC"/>
    <s v="Yes"/>
    <n v="5"/>
    <s v="relative"/>
    <n v="1"/>
    <m/>
    <x v="1"/>
    <x v="0"/>
    <s v="n/a"/>
    <x v="1"/>
    <n v="0"/>
  </r>
  <r>
    <s v="Heike 2.18"/>
    <s v="今不慮の恥に遇はん (ima furyo no haji ni awan)"/>
    <s v="for myself and my house at this unexpected shame"/>
    <s v="遇はん"/>
    <s v="epistemic"/>
    <s v="other"/>
    <s v="verb"/>
    <x v="0"/>
    <s v="active"/>
    <s v="positive"/>
    <n v="1"/>
    <n v="1"/>
    <s v="IO"/>
    <n v="1"/>
    <s v="zero_recoverable"/>
    <s v="n/a"/>
    <s v="n/a"/>
    <s v="overt"/>
    <n v="0"/>
    <n v="1"/>
    <s v="n/a"/>
    <s v="relative"/>
    <n v="0"/>
    <x v="0"/>
    <s v="n/a"/>
    <s v="n/a"/>
    <n v="0"/>
    <x v="2"/>
    <x v="2"/>
    <m/>
    <s v="ss"/>
    <x v="1"/>
    <s v="topic-drop"/>
    <s v="contains_new"/>
    <m/>
    <m/>
    <n v="1"/>
    <s v="non-LVC"/>
    <s v="Yes"/>
    <n v="5"/>
    <s v="main"/>
    <n v="0"/>
    <n v="4"/>
    <x v="1"/>
    <x v="2"/>
    <s v="n/a"/>
    <x v="1"/>
    <n v="0"/>
  </r>
  <r>
    <s v="Heike 2.19"/>
    <s v="事家の為身の為心憂かるべし (koto ie no tame mi no tame kokoroukarubeshi)"/>
    <s v="I am troubled in my heart"/>
    <s v="憂かるべし"/>
    <s v="epistemic"/>
    <s v="psych-state"/>
    <s v="adjectival predicate"/>
    <x v="0"/>
    <s v="active"/>
    <s v="positive"/>
    <n v="1"/>
    <n v="1"/>
    <s v="SUB"/>
    <n v="1"/>
    <s v="overt"/>
    <n v="3"/>
    <s v="n/a"/>
    <s v="n/a"/>
    <n v="0"/>
    <n v="0"/>
    <s v="n/a"/>
    <s v="main"/>
    <n v="0"/>
    <x v="0"/>
    <s v="n/a"/>
    <s v="n/a"/>
    <n v="0"/>
    <x v="2"/>
    <x v="1"/>
    <m/>
    <s v="ds"/>
    <x v="2"/>
    <s v="topic-drop"/>
    <s v="contains_new"/>
    <m/>
    <m/>
    <n v="1"/>
    <s v="non-LVC"/>
    <s v="Yes"/>
    <n v="5"/>
    <m/>
    <n v="1"/>
    <n v="1"/>
    <x v="1"/>
    <x v="3"/>
    <m/>
    <x v="1"/>
    <n v="0"/>
  </r>
  <r>
    <s v="Heike 2.20"/>
    <s v="詮ずるところ (senzuru tokoro)"/>
    <s v="finally, as for what is to be done"/>
    <s v="詮ずる"/>
    <s v="indicative"/>
    <s v="other"/>
    <m/>
    <x v="2"/>
    <m/>
    <m/>
    <m/>
    <m/>
    <m/>
    <m/>
    <m/>
    <m/>
    <m/>
    <m/>
    <m/>
    <m/>
    <m/>
    <m/>
    <m/>
    <x v="2"/>
    <m/>
    <m/>
    <m/>
    <x v="5"/>
    <x v="3"/>
    <m/>
    <m/>
    <x v="0"/>
    <m/>
    <m/>
    <m/>
    <m/>
    <m/>
    <s v="non-LVC"/>
    <s v="Yes"/>
    <n v="6"/>
    <m/>
    <n v="1"/>
    <n v="2"/>
    <x v="1"/>
    <x v="0"/>
    <s v="overt"/>
    <x v="1"/>
    <n v="0"/>
  </r>
  <r>
    <s v="Heike 2.21"/>
    <s v="身を全うして (mi o mattō shite)"/>
    <s v="with all your might"/>
    <s v="全うして"/>
    <s v="indicative"/>
    <s v="other"/>
    <s v="LVC"/>
    <x v="1"/>
    <s v="active"/>
    <s v="positive"/>
    <n v="1"/>
    <n v="1"/>
    <s v="OBJ"/>
    <n v="0"/>
    <s v="zero_recoverable"/>
    <n v="1"/>
    <s v="overt"/>
    <s v="n/a"/>
    <n v="0"/>
    <n v="0"/>
    <s v="n/a"/>
    <s v="te"/>
    <n v="0"/>
    <x v="0"/>
    <s v="n/a"/>
    <s v="n/a"/>
    <n v="0"/>
    <x v="1"/>
    <x v="8"/>
    <s v="te_medial"/>
    <s v="ss"/>
    <x v="0"/>
    <s v="topic-drop"/>
    <s v="contains_new"/>
    <m/>
    <m/>
    <n v="1"/>
    <s v="LVC"/>
    <s v="Yes"/>
    <n v="6"/>
    <s v="complement"/>
    <n v="1"/>
    <n v="3"/>
    <x v="1"/>
    <x v="1"/>
    <s v="n/a"/>
    <x v="1"/>
    <n v="0"/>
  </r>
  <r>
    <s v="Heike 2.22"/>
    <s v="君に仕へ奉れ"/>
    <s v=" kimi ni tsukae tatematsure"/>
    <s v="仕へ奉れ"/>
    <s v="imperative"/>
    <s v="action"/>
    <s v="verb"/>
    <x v="0"/>
    <s v="active"/>
    <s v="positive"/>
    <n v="1"/>
    <n v="1"/>
    <s v="IO"/>
    <n v="0"/>
    <s v="zero_exalt"/>
    <n v="1"/>
    <s v="n/a"/>
    <s v="overt"/>
    <n v="0"/>
    <n v="0"/>
    <s v="n/a"/>
    <s v="complement"/>
    <n v="1"/>
    <x v="1"/>
    <s v="sub"/>
    <s v="lexical_humble_verb"/>
    <n v="0"/>
    <x v="2"/>
    <x v="2"/>
    <m/>
    <s v="ss"/>
    <x v="1"/>
    <s v="topic-drop"/>
    <s v="contains_new"/>
    <m/>
    <m/>
    <n v="1"/>
    <s v="non-LVC"/>
    <s v="Yes"/>
    <n v="6"/>
    <s v="main"/>
    <n v="1"/>
    <n v="4"/>
    <x v="1"/>
    <x v="2"/>
    <s v="n/a"/>
    <x v="1"/>
    <n v="0"/>
  </r>
  <r>
    <s v="Heike 2.23"/>
    <s v="といふ本文あり (to iu honbun ari)"/>
    <s v="so goes the original passage"/>
    <s v="あり"/>
    <s v="indicative"/>
    <s v="stative"/>
    <s v="existential verb"/>
    <x v="0"/>
    <s v="active"/>
    <s v="positive"/>
    <n v="1"/>
    <n v="1"/>
    <s v="SUB"/>
    <n v="1"/>
    <s v="overt"/>
    <n v="3"/>
    <s v="n/a"/>
    <s v="n/a"/>
    <n v="0"/>
    <n v="0"/>
    <s v="n/a"/>
    <s v="main"/>
    <n v="0"/>
    <x v="0"/>
    <s v="n/a"/>
    <s v="n/a"/>
    <n v="0"/>
    <x v="2"/>
    <x v="7"/>
    <m/>
    <s v="ds"/>
    <x v="0"/>
    <s v="topic-drop"/>
    <s v="contains_new"/>
    <s v="frame predicate"/>
    <m/>
    <n v="1"/>
    <s v="non-LVC"/>
    <s v="Yes"/>
    <n v="6"/>
    <s v="inf"/>
    <n v="1"/>
    <n v="1"/>
    <x v="1"/>
    <x v="0"/>
    <s v="overt"/>
    <x v="0"/>
    <n v="0"/>
  </r>
  <r>
    <s v="Heike 2.24"/>
    <s v="参内の初めより大なる鞘巻を用意し (sannai no hajime yori ō-naru sayamaki o yōi shi)"/>
    <s v="Before entering the Court he provided himself with a long dirk"/>
    <s v="用意し"/>
    <s v="indicative"/>
    <s v="other"/>
    <s v="LVC"/>
    <x v="1"/>
    <s v="active"/>
    <s v="positive"/>
    <n v="1"/>
    <n v="1"/>
    <s v="OBJ"/>
    <n v="1"/>
    <s v="zero_recoverable"/>
    <n v="3"/>
    <s v="overt"/>
    <s v="n/a"/>
    <n v="0"/>
    <n v="0"/>
    <s v="n/a"/>
    <s v="inf"/>
    <n v="0"/>
    <x v="0"/>
    <s v="n/a"/>
    <s v="n/a"/>
    <n v="0"/>
    <x v="2"/>
    <x v="3"/>
    <m/>
    <s v="ss"/>
    <x v="0"/>
    <s v="topic-drop"/>
    <s v="contains_new"/>
    <m/>
    <m/>
    <n v="1"/>
    <s v="LVC"/>
    <s v="Yes"/>
    <n v="7"/>
    <s v="inf"/>
    <n v="1"/>
    <n v="2"/>
    <x v="0"/>
    <x v="0"/>
    <s v="zero_recoverable"/>
    <x v="1"/>
    <n v="1"/>
  </r>
  <r>
    <s v="Heike 2.25"/>
    <s v="束帯の下にしどけなげに差し (sokutai no shita ni shidokenage ni sashi)"/>
    <s v="which he girt on under his long court dress"/>
    <s v="差し"/>
    <s v="indicative"/>
    <s v="other"/>
    <s v="verb"/>
    <x v="1"/>
    <s v="active"/>
    <s v="positive"/>
    <n v="1"/>
    <n v="1"/>
    <s v="IO"/>
    <n v="1"/>
    <s v="zero_recoverable"/>
    <n v="3"/>
    <s v="zero_recoverable"/>
    <s v="overt"/>
    <n v="0"/>
    <n v="0"/>
    <s v="n/a"/>
    <s v="inf"/>
    <n v="0"/>
    <x v="0"/>
    <s v="n/a"/>
    <s v="n/a"/>
    <n v="0"/>
    <x v="2"/>
    <x v="6"/>
    <m/>
    <s v="ss"/>
    <x v="0"/>
    <s v="topic-drop"/>
    <s v="contains_new"/>
    <m/>
    <m/>
    <n v="1"/>
    <s v="non-LVC"/>
    <s v="Yes"/>
    <n v="7"/>
    <s v="te"/>
    <n v="1"/>
    <n v="3"/>
    <x v="1"/>
    <x v="0"/>
    <s v="n/a"/>
    <x v="1"/>
    <n v="0"/>
  </r>
  <r>
    <s v="Heike 2.26"/>
    <s v="火の仄暗き方に向かつて (hi no hokuraki kata ni mukatte)"/>
    <s v="and turning aside to a dimly lit place"/>
    <s v="向かつて"/>
    <s v="indicative"/>
    <s v="other"/>
    <s v="verb"/>
    <x v="0"/>
    <s v="active"/>
    <s v="positive"/>
    <n v="1"/>
    <n v="1"/>
    <s v="IO"/>
    <n v="1"/>
    <s v="zero_recoverable"/>
    <n v="3"/>
    <s v="n/a"/>
    <s v="overt"/>
    <n v="0"/>
    <n v="0"/>
    <s v="n/a"/>
    <s v="te"/>
    <n v="0"/>
    <x v="0"/>
    <s v="n/a"/>
    <s v="n/a"/>
    <n v="0"/>
    <x v="1"/>
    <x v="6"/>
    <s v="te_medial"/>
    <s v="ss"/>
    <x v="0"/>
    <s v="topic-drop"/>
    <s v="contains_new"/>
    <m/>
    <m/>
    <n v="1"/>
    <s v="non-LVC"/>
    <s v="Yes"/>
    <n v="7"/>
    <m/>
    <n v="1"/>
    <n v="4"/>
    <x v="1"/>
    <x v="0"/>
    <s v="overt"/>
    <x v="1"/>
    <n v="0"/>
  </r>
  <r>
    <s v="Heike 2.27"/>
    <s v="やはらこの刀を抜き出でて (yahara kono katana o nuki-idete)"/>
    <s v="slowly drew the blade"/>
    <s v="抜き出でて"/>
    <s v="indicative"/>
    <s v="motion"/>
    <s v="verb(compound)"/>
    <x v="1"/>
    <s v="active"/>
    <s v="positive"/>
    <n v="1"/>
    <n v="1"/>
    <s v="OBJ"/>
    <n v="0"/>
    <s v="zero_recoverable"/>
    <n v="3"/>
    <s v="overt"/>
    <s v="n/a"/>
    <n v="0"/>
    <n v="0"/>
    <s v="n/a"/>
    <s v="te"/>
    <n v="0"/>
    <x v="0"/>
    <s v="n/a"/>
    <s v="n/a"/>
    <n v="0"/>
    <x v="1"/>
    <x v="2"/>
    <s v="te_medial"/>
    <s v="ss"/>
    <x v="0"/>
    <s v="topic-drop"/>
    <s v="all given"/>
    <s v="&quot;kono katana&quot; refers to the &quot;sayamaki&quot;, so all given"/>
    <m/>
    <n v="1"/>
    <s v="non-LVC"/>
    <s v="Yes"/>
    <n v="7"/>
    <m/>
    <n v="1"/>
    <n v="5"/>
    <x v="1"/>
    <x v="1"/>
    <s v="zero_recoverable"/>
    <x v="1"/>
    <n v="1"/>
  </r>
  <r>
    <s v="Heike 2.28"/>
    <s v="鬢に引き当てられたりけるが (kami ni hiki-ate raretarikeru ga)"/>
    <s v="and passed it through the hair of his head"/>
    <s v="引き当てられたりける"/>
    <s v="indicative"/>
    <s v="motion"/>
    <s v="verb"/>
    <x v="1"/>
    <s v="active"/>
    <s v="positive"/>
    <n v="1"/>
    <n v="1"/>
    <s v="IO"/>
    <n v="0"/>
    <s v="zero_exalt"/>
    <n v="3"/>
    <s v="zero_recoverable"/>
    <s v="overt"/>
    <n v="0"/>
    <n v="0"/>
    <s v="n/a"/>
    <s v="subordinate"/>
    <n v="0"/>
    <x v="1"/>
    <s v="sub"/>
    <s v="honorific_aux"/>
    <n v="0"/>
    <x v="6"/>
    <x v="2"/>
    <m/>
    <s v="ss"/>
    <x v="1"/>
    <s v="topic-drop"/>
    <s v="contains_new"/>
    <s v="should the -to part be considered a clausal subject?"/>
    <m/>
    <n v="1"/>
    <s v="non-LVC"/>
    <s v="Yes"/>
    <n v="7"/>
    <m/>
    <n v="1"/>
    <m/>
    <x v="1"/>
    <x v="0"/>
    <s v="n/a"/>
    <x v="1"/>
    <n v="0"/>
  </r>
  <r>
    <s v="Heike 2.29"/>
    <s v="余所よりは氷などのやうにぞ見えたりける (yoso yori wa kōri nado no yō ni zo mieta rikeru)"/>
    <s v="so that it gleamed afar off with an icy sheen"/>
    <s v="見えたりける"/>
    <s v="indicative"/>
    <s v="perception"/>
    <s v="verb"/>
    <x v="0"/>
    <s v="resultative"/>
    <s v="positive"/>
    <n v="1"/>
    <n v="0"/>
    <s v="n/a"/>
    <n v="2"/>
    <s v="zero_recoverable"/>
    <n v="3"/>
    <s v="n/a"/>
    <s v="n/a"/>
    <n v="0"/>
    <n v="0"/>
    <s v="n/a"/>
    <s v="relative"/>
    <n v="0"/>
    <x v="0"/>
    <s v="n/a"/>
    <s v="n/a"/>
    <n v="0"/>
    <x v="2"/>
    <x v="4"/>
    <m/>
    <s v="ds"/>
    <x v="0"/>
    <s v="topic-drop"/>
    <s v="no_overt_NP"/>
    <m/>
    <m/>
    <n v="0"/>
    <s v="non-LVC"/>
    <s v="Yes"/>
    <n v="7"/>
    <m/>
    <n v="0"/>
    <n v="6"/>
    <x v="1"/>
    <x v="0"/>
    <s v="overt"/>
    <x v="1"/>
    <n v="0"/>
  </r>
  <r>
    <s v="Heike 2.30"/>
    <s v="諸人目を澄ましけり (morobito me o sumashikeri)"/>
    <s v="causing all to stare open-eyed"/>
    <s v="澄ましけり"/>
    <s v="indicative"/>
    <s v="other"/>
    <s v="verb"/>
    <x v="1"/>
    <s v="active"/>
    <s v="positive"/>
    <n v="1"/>
    <n v="2"/>
    <s v="O+IO"/>
    <n v="0"/>
    <s v="zero_recoverable"/>
    <n v="3"/>
    <s v="overt"/>
    <s v="overt"/>
    <n v="0"/>
    <n v="0"/>
    <s v="n/a"/>
    <s v="main"/>
    <n v="0"/>
    <x v="0"/>
    <s v="n/a"/>
    <s v="n/a"/>
    <n v="0"/>
    <x v="2"/>
    <x v="1"/>
    <m/>
    <s v="ss"/>
    <x v="1"/>
    <s v="topic-drop"/>
    <s v="contains_new"/>
    <m/>
    <m/>
    <n v="2"/>
    <s v="non-LVC"/>
    <s v="Yes"/>
    <n v="7"/>
    <s v="relative"/>
    <n v="1"/>
    <m/>
    <x v="0"/>
    <x v="2"/>
    <s v="n/a"/>
    <x v="1"/>
    <n v="0"/>
  </r>
  <r>
    <s v="Heike 2.31"/>
    <s v="また忠盛の郎等元は一門たりし( mata Tadamori no rōtō moto wa ichimon tarishi) "/>
    <s v="Moreover a retainer of Tadamori ... "/>
    <s v="たりし"/>
    <s v="indicative"/>
    <s v="other"/>
    <s v="copula"/>
    <x v="0"/>
    <s v="active"/>
    <s v="positive"/>
    <n v="1"/>
    <n v="1"/>
    <s v="SUB"/>
    <n v="1"/>
    <s v="overt"/>
    <n v="3"/>
    <s v="n/a"/>
    <s v="n/a"/>
    <n v="0"/>
    <n v="0"/>
    <s v="REL"/>
    <s v="relative"/>
    <n v="0"/>
    <x v="0"/>
    <s v="n/a"/>
    <s v="n/a"/>
    <n v="0"/>
    <x v="6"/>
    <x v="3"/>
    <m/>
    <s v="ds"/>
    <x v="0"/>
    <s v="topic-introduced"/>
    <s v="contains_new"/>
    <m/>
    <m/>
    <n v="1"/>
    <s v="non-LVC"/>
    <s v="Yes"/>
    <n v="8"/>
    <s v="main"/>
    <n v="0"/>
    <n v="1"/>
    <x v="1"/>
    <x v="2"/>
    <s v="n/a"/>
    <x v="1"/>
    <n v="0"/>
  </r>
  <r>
    <s v="Heike 2.32"/>
    <s v="木工助平貞光が孫新四郎太夫家房が子に左兵衛尉家貞といふ者あり (Moku no suke Sadamitsu ga mago Shinshirō Tayū Iefusa ga ko ni Sahyōe no jō Iesada to iu mono ari)"/>
    <s v="there was one named Sahyoe-no-jo Iesada"/>
    <s v="あり"/>
    <s v="indicative"/>
    <s v="other"/>
    <s v="existential verb"/>
    <x v="0"/>
    <s v="active"/>
    <s v="positive"/>
    <n v="1"/>
    <n v="1"/>
    <s v="SUB"/>
    <n v="2"/>
    <s v="overt"/>
    <n v="3"/>
    <s v="n/a"/>
    <s v="n/a"/>
    <n v="0"/>
    <n v="0"/>
    <s v="n/a"/>
    <s v="main"/>
    <n v="0"/>
    <x v="0"/>
    <s v="n/a"/>
    <s v="n/a"/>
    <n v="0"/>
    <x v="2"/>
    <x v="1"/>
    <m/>
    <s v="ss"/>
    <x v="0"/>
    <s v="topic-introduced"/>
    <s v="contains_new"/>
    <s v="frame predicate"/>
    <m/>
    <n v="1"/>
    <s v="non-LVC"/>
    <s v="Yes"/>
    <n v="8"/>
    <s v="inf"/>
    <n v="1"/>
    <n v="1"/>
    <x v="0"/>
    <x v="0"/>
    <s v="overt"/>
    <x v="0"/>
    <n v="0"/>
  </r>
  <r>
    <s v="Heike 2.33"/>
    <s v="薄青の狩衣の下に萌黄威の腹巻を着 (usuao no kariginu no shita ni moegi-odoshi no haramaki o ki)"/>
    <s v="wearing a body armour laced with bright green under a light green &quot;kariginu&quot;"/>
    <s v="着"/>
    <s v="indicative"/>
    <s v="other"/>
    <s v="verb"/>
    <x v="1"/>
    <s v="active"/>
    <s v="positive"/>
    <n v="1"/>
    <n v="1"/>
    <s v="OBJ"/>
    <n v="1"/>
    <s v="zero_recoverable"/>
    <n v="3"/>
    <s v="overt"/>
    <s v="n/a"/>
    <n v="0"/>
    <n v="0"/>
    <s v="n/a"/>
    <s v="inf"/>
    <n v="0"/>
    <x v="0"/>
    <s v="n/a"/>
    <s v="n/a"/>
    <n v="0"/>
    <x v="2"/>
    <x v="3"/>
    <m/>
    <s v="ss"/>
    <x v="0"/>
    <s v="topic-drop"/>
    <s v="contains_new"/>
    <m/>
    <m/>
    <n v="1"/>
    <s v="non-LVC"/>
    <s v="Yes"/>
    <n v="9"/>
    <s v="relative"/>
    <n v="1"/>
    <m/>
    <x v="1"/>
    <x v="0"/>
    <s v="overt"/>
    <x v="1"/>
    <n v="0"/>
  </r>
  <r>
    <s v="Heike 2.34"/>
    <s v="柄弦袋付けたる ezurubukuro tsuketaru "/>
    <s v="with a bowstring bag attached"/>
    <s v="付けたる"/>
    <s v="indicative"/>
    <s v="other"/>
    <s v="verb"/>
    <x v="1"/>
    <s v="active"/>
    <s v="positive"/>
    <n v="1"/>
    <n v="1"/>
    <s v="OBJ"/>
    <n v="0"/>
    <s v="zero_recoverable"/>
    <n v="3"/>
    <s v="overt"/>
    <s v="n/a"/>
    <n v="1"/>
    <n v="0"/>
    <s v="REL"/>
    <s v="relative"/>
    <n v="0"/>
    <x v="0"/>
    <s v="n/a"/>
    <s v="n/a"/>
    <n v="0"/>
    <x v="2"/>
    <x v="6"/>
    <m/>
    <s v="ss"/>
    <x v="0"/>
    <s v="topic-drop"/>
    <s v="contains_new"/>
    <m/>
    <m/>
    <n v="1"/>
    <s v="non-LVC"/>
    <s v="Yes"/>
    <n v="9"/>
    <s v="te"/>
    <n v="0"/>
    <n v="2"/>
    <x v="1"/>
    <x v="0"/>
    <s v="overt"/>
    <x v="1"/>
    <n v="0"/>
  </r>
  <r>
    <s v="Heike 2.35"/>
    <s v="太刀脇挟んで (tachi wakihasande)"/>
    <s v="and carrying under his arm a &quot;tachi&quot; "/>
    <s v="挟んで"/>
    <s v="indicative"/>
    <s v="other"/>
    <s v="verb"/>
    <x v="1"/>
    <s v="active"/>
    <s v="positive"/>
    <n v="1"/>
    <n v="2"/>
    <s v="O+IO"/>
    <n v="0"/>
    <s v="zero_recoverable"/>
    <n v="3"/>
    <s v="overt"/>
    <s v="overt"/>
    <n v="0"/>
    <n v="0"/>
    <s v="n/a"/>
    <s v="te"/>
    <n v="0"/>
    <x v="0"/>
    <s v="n/a"/>
    <s v="n/a"/>
    <n v="0"/>
    <x v="2"/>
    <x v="1"/>
    <s v="te_medial"/>
    <s v="ss"/>
    <x v="0"/>
    <s v="topic-drop"/>
    <s v="contains_new"/>
    <m/>
    <m/>
    <n v="2"/>
    <s v="non-LVC"/>
    <s v="Yes"/>
    <n v="9"/>
    <m/>
    <n v="1"/>
    <n v="3"/>
    <x v="1"/>
    <x v="0"/>
    <s v="n/a"/>
    <x v="1"/>
    <n v="0"/>
  </r>
  <r>
    <s v="Heike 2.36"/>
    <s v="殿上の小庭に畏つてぞ候ひける (tenjō no koniwa ni kashikomatte zo soroikyeru)"/>
    <s v="was waiting in the &quot;koniwa,&quot; the small court by the Seiryoden"/>
    <s v="畏つて候ひける"/>
    <s v="indicative"/>
    <s v="other"/>
    <s v="verb(complex)"/>
    <x v="0"/>
    <s v="active"/>
    <s v="positive"/>
    <n v="1"/>
    <n v="0"/>
    <s v="n/a"/>
    <n v="1"/>
    <s v="zero_recoverable"/>
    <n v="3"/>
    <s v="n/a"/>
    <s v="n/a"/>
    <n v="0"/>
    <n v="0"/>
    <s v="n/a"/>
    <s v="main"/>
    <n v="0"/>
    <x v="1"/>
    <s v="sub"/>
    <s v="lexical_humble_verb"/>
    <n v="0"/>
    <x v="2"/>
    <x v="2"/>
    <m/>
    <s v="ss"/>
    <x v="1"/>
    <s v="topic-drop"/>
    <s v="no_overt_NP"/>
    <m/>
    <m/>
    <n v="0"/>
    <s v="non-LVC"/>
    <s v="Yes"/>
    <n v="9"/>
    <m/>
    <n v="1"/>
    <n v="1"/>
    <x v="1"/>
    <x v="2"/>
    <s v="overt"/>
    <x v="1"/>
    <n v="0"/>
  </r>
  <r>
    <s v="Heike 2.37"/>
    <s v="貫首以下怪しみをなして (kanshu ika ayashimi o nashite)"/>
    <s v="Now the Kurando-no-to and others, thinking it strange,"/>
    <s v="なして"/>
    <s v="indicative"/>
    <s v="other"/>
    <s v="LVC (inf)"/>
    <x v="1"/>
    <s v="active"/>
    <s v="negative"/>
    <n v="1"/>
    <n v="2"/>
    <s v="S+O"/>
    <n v="0"/>
    <s v="overt"/>
    <n v="3"/>
    <s v="overt"/>
    <s v="n/a"/>
    <n v="0"/>
    <n v="0"/>
    <s v="n/a"/>
    <s v="te"/>
    <n v="0"/>
    <x v="0"/>
    <s v="n/a"/>
    <s v="n/a"/>
    <n v="0"/>
    <x v="1"/>
    <x v="3"/>
    <s v="te_initial"/>
    <s v="ds"/>
    <x v="0"/>
    <s v="topic-shift"/>
    <s v="contains_new"/>
    <m/>
    <m/>
    <n v="2"/>
    <s v="LVC"/>
    <s v="Yes"/>
    <n v="10"/>
    <s v="nominalised"/>
    <n v="1"/>
    <m/>
    <x v="1"/>
    <x v="2"/>
    <s v="n/a"/>
    <x v="1"/>
    <n v="0"/>
  </r>
  <r>
    <s v="Heike 2.38"/>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s v="other"/>
    <s v="verb"/>
    <x v="0"/>
    <s v="active"/>
    <s v="positive"/>
    <n v="1"/>
    <n v="1"/>
    <s v="SUB"/>
    <n v="1"/>
    <s v="overt"/>
    <n v="3"/>
    <s v="n/a"/>
    <s v="n/a"/>
    <n v="0"/>
    <n v="0"/>
    <s v="SUB"/>
    <s v="nominalised"/>
    <n v="1"/>
    <x v="0"/>
    <s v="sub"/>
    <s v="lexical_humble_verb"/>
    <n v="0"/>
    <x v="2"/>
    <x v="2"/>
    <m/>
    <s v="ss"/>
    <x v="0"/>
    <s v="topic-shift"/>
    <s v="contains_new"/>
    <s v="internally headed"/>
    <m/>
    <n v="1"/>
    <s v="non-LVC"/>
    <s v="Yes"/>
    <n v="10"/>
    <m/>
    <n v="0"/>
    <n v="2"/>
    <x v="1"/>
    <x v="2"/>
    <s v="n/a"/>
    <x v="1"/>
    <n v="0"/>
  </r>
  <r>
    <s v="Heike 2.39"/>
    <s v="は何者ぞ  wa nani mono zo"/>
    <s v="and wondering who he was."/>
    <s v="何者ぞ  "/>
    <s v="indicative"/>
    <s v="other"/>
    <s v="copula"/>
    <x v="0"/>
    <s v="active"/>
    <s v="positive"/>
    <n v="1"/>
    <n v="1"/>
    <s v="SUB"/>
    <n v="0"/>
    <s v="overt"/>
    <n v="3"/>
    <s v="n/a"/>
    <s v="n/a"/>
    <n v="0"/>
    <n v="0"/>
    <s v="n/a"/>
    <s v="main"/>
    <n v="0"/>
    <x v="0"/>
    <s v="n/a"/>
    <s v="n/a"/>
    <n v="0"/>
    <x v="2"/>
    <x v="5"/>
    <m/>
    <s v="ss"/>
    <x v="0"/>
    <s v="topic-continued"/>
    <s v="all given"/>
    <m/>
    <m/>
    <n v="1"/>
    <s v="non-LVC"/>
    <s v="Yes"/>
    <n v="10"/>
    <m/>
    <n v="1"/>
    <n v="1"/>
    <x v="1"/>
    <x v="4"/>
    <s v="n/a"/>
    <x v="0"/>
    <n v="0"/>
  </r>
  <r>
    <s v="Heike 2.40"/>
    <s v="狼藉なり (rōzaku nari)"/>
    <s v="&quot;[He is] disorderly&quot;"/>
    <s v="なり"/>
    <s v="indicative"/>
    <s v="stative"/>
    <s v="copula"/>
    <x v="0"/>
    <s v="active"/>
    <s v="positive"/>
    <n v="1"/>
    <n v="0"/>
    <s v="n/a"/>
    <n v="0"/>
    <s v="zero_other"/>
    <n v="3"/>
    <s v="n/a"/>
    <s v="n/a"/>
    <n v="0"/>
    <n v="0"/>
    <s v="n/a"/>
    <s v="main"/>
    <n v="0"/>
    <x v="0"/>
    <s v="n/a"/>
    <s v="n/a"/>
    <n v="0"/>
    <x v="2"/>
    <x v="3"/>
    <m/>
    <s v="ss"/>
    <x v="0"/>
    <s v="topic-drop"/>
    <s v="no_overt_NP"/>
    <m/>
    <m/>
    <n v="0"/>
    <s v="non-LVC"/>
    <s v="Yes"/>
    <n v="11"/>
    <s v="complement"/>
    <n v="1"/>
    <n v="1"/>
    <x v="0"/>
    <x v="0"/>
    <s v="n/a"/>
    <x v="1"/>
    <n v="0"/>
  </r>
  <r>
    <s v="Heike 2.41"/>
    <s v="疾う疾う罷り出でよと (tōtō makari ideyo to)"/>
    <s v="&quot;Depart quickly&quot;"/>
    <s v="罷り出でよ"/>
    <s v="imperative"/>
    <s v="motion"/>
    <s v="verb"/>
    <x v="0"/>
    <s v="active"/>
    <s v="positive"/>
    <n v="1"/>
    <n v="0"/>
    <s v="n/a"/>
    <n v="0"/>
    <s v="zero_recoverable"/>
    <n v="2"/>
    <s v="n/a"/>
    <s v="n/a"/>
    <n v="0"/>
    <n v="0"/>
    <s v="n/a"/>
    <s v="complement"/>
    <n v="0"/>
    <x v="1"/>
    <s v="sub"/>
    <s v="lexical_humble_verb"/>
    <n v="0"/>
    <x v="4"/>
    <x v="3"/>
    <m/>
    <s v="ss"/>
    <x v="0"/>
    <s v="topic-drop"/>
    <s v="no_overt_NP"/>
    <s v="embedded"/>
    <m/>
    <n v="0"/>
    <s v="non-LVC"/>
    <s v="Yes"/>
    <n v="12"/>
    <m/>
    <n v="1"/>
    <n v="2"/>
    <x v="0"/>
    <x v="0"/>
    <s v="overt"/>
    <x v="1"/>
    <n v="0"/>
  </r>
  <r>
    <s v="Heike 2.42"/>
    <s v="六位を以て云はせられたりければ (to roku-i o motte iwaseraretarikereba)"/>
    <s v="an official of the sixth rank ordered him to depart quickly."/>
    <s v="云はせられたりければ"/>
    <s v="indicative"/>
    <s v="stative"/>
    <s v="verb"/>
    <x v="0"/>
    <s v="causative-passive-resultative"/>
    <s v="positive"/>
    <n v="1"/>
    <n v="2"/>
    <s v="O (Speech) +IO"/>
    <n v="1"/>
    <s v="zero_recoverable"/>
    <n v="3"/>
    <s v="overt"/>
    <s v="n/a"/>
    <n v="0"/>
    <n v="0"/>
    <s v="n/a"/>
    <s v="subordinate"/>
    <n v="1"/>
    <x v="0"/>
    <s v="n/a"/>
    <s v="honorific_aux"/>
    <n v="0"/>
    <x v="2"/>
    <x v="7"/>
    <m/>
    <s v="ss"/>
    <x v="0"/>
    <s v="topic-drop"/>
    <s v="contains_new"/>
    <m/>
    <m/>
    <n v="2"/>
    <s v="non-LVC"/>
    <s v="Yes"/>
    <n v="12"/>
    <m/>
    <n v="1"/>
    <n v="3"/>
    <x v="1"/>
    <x v="2"/>
    <s v="zero_other"/>
    <x v="1"/>
    <n v="1"/>
  </r>
  <r>
    <s v="Heike 2.43"/>
    <s v="家貞畏つて申しけるは (Iesada kashikomatte mōshikeru wa)"/>
    <s v="But Iesada thus replied:"/>
    <s v="申しける"/>
    <s v="indicative"/>
    <s v="action"/>
    <s v="verb"/>
    <x v="1"/>
    <s v="active"/>
    <s v="positive"/>
    <n v="1"/>
    <n v="1"/>
    <s v="SUB"/>
    <n v="0"/>
    <s v="overt"/>
    <n v="3"/>
    <s v="zero_other"/>
    <s v="n/a"/>
    <n v="1"/>
    <n v="0"/>
    <s v="SUB"/>
    <s v="subordinate"/>
    <n v="1"/>
    <x v="0"/>
    <s v="sub"/>
    <s v="lexical_humble_verb"/>
    <n v="0"/>
    <x v="2"/>
    <x v="4"/>
    <m/>
    <s v="ss"/>
    <x v="1"/>
    <s v="topic-continued"/>
    <s v="all given"/>
    <s v="internally headed"/>
    <m/>
    <n v="1"/>
    <s v="non-LVC"/>
    <s v="Yes"/>
    <n v="12"/>
    <m/>
    <n v="1"/>
    <m/>
    <x v="1"/>
    <x v="2"/>
    <s v="n/a"/>
    <x v="1"/>
    <n v="0"/>
  </r>
  <r>
    <s v="Heike 2.44"/>
    <s v="相伝の主備前守殿今夜闇討にせられ給ふべき (sōden no aruji Bizen no kami-dono kon'ya yamiuchi ni serare-tamō beki) "/>
    <s v="tonight they will try to kill my Lord Bizen-no-kami dono&quot;"/>
    <s v="闇討にせられ給ふ"/>
    <s v="indicative"/>
    <s v="other"/>
    <s v="LVC"/>
    <x v="0"/>
    <s v="passive"/>
    <s v="positive"/>
    <n v="1"/>
    <n v="1"/>
    <s v="SUB"/>
    <n v="1"/>
    <s v="overt"/>
    <n v="3"/>
    <s v="n/a"/>
    <s v="n/a"/>
    <n v="0"/>
    <n v="1"/>
    <s v="REL"/>
    <s v="relative"/>
    <n v="1"/>
    <x v="0"/>
    <s v="sub"/>
    <s v="lexical_honorific_verb"/>
    <n v="0"/>
    <x v="2"/>
    <x v="4"/>
    <m/>
    <s v="ds"/>
    <x v="0"/>
    <s v="topic-shift"/>
    <s v="contains_new"/>
    <m/>
    <m/>
    <n v="1"/>
    <s v="LVC"/>
    <s v="Yes"/>
    <n v="12"/>
    <s v="te"/>
    <n v="0"/>
    <n v="4"/>
    <x v="1"/>
    <x v="0"/>
    <s v="overt"/>
    <x v="0"/>
    <n v="0"/>
  </r>
  <r>
    <s v="Heike 2.45"/>
    <s v="由伝へ承つて(yoshi tsutae uketamawatte) "/>
    <s v="Because I have heard that"/>
    <s v="伝へ承つて"/>
    <s v="indicative"/>
    <s v="communication"/>
    <s v="verb"/>
    <x v="1"/>
    <s v="active"/>
    <s v="positive"/>
    <n v="1"/>
    <n v="1"/>
    <s v="OBJ"/>
    <n v="0"/>
    <s v="zero_recoverable"/>
    <n v="1"/>
    <s v="overt"/>
    <s v="n/a"/>
    <n v="0"/>
    <n v="0"/>
    <s v="n/a"/>
    <s v="te"/>
    <n v="0"/>
    <x v="1"/>
    <s v="sub"/>
    <s v="honorific_aux"/>
    <n v="0"/>
    <x v="1"/>
    <x v="1"/>
    <s v="te_medial"/>
    <s v="ss"/>
    <x v="1"/>
    <s v="topic-drop"/>
    <s v="contains_new"/>
    <m/>
    <m/>
    <n v="1"/>
    <s v="non-LVC"/>
    <s v="Yes"/>
    <n v="12"/>
    <m/>
    <n v="1"/>
    <m/>
    <x v="1"/>
    <x v="2"/>
    <s v="n/a"/>
    <x v="1"/>
    <n v="0"/>
  </r>
  <r>
    <s v="Heike 2.46"/>
    <s v="それならん  (sore naran )"/>
    <s v="&quot;whether it is so&quot;"/>
    <s v="ならん "/>
    <s v="epistemic"/>
    <s v="other"/>
    <s v="verb"/>
    <x v="0"/>
    <s v="active"/>
    <s v="positive"/>
    <n v="1"/>
    <n v="1"/>
    <s v="SUB"/>
    <n v="0"/>
    <s v="overt"/>
    <n v="3"/>
    <s v="n/a"/>
    <s v="n/a"/>
    <n v="0"/>
    <n v="1"/>
    <s v="REL"/>
    <s v="relative"/>
    <n v="0"/>
    <x v="0"/>
    <s v="n/a"/>
    <s v="n/a"/>
    <n v="0"/>
    <x v="2"/>
    <x v="2"/>
    <m/>
    <s v="ds"/>
    <x v="1"/>
    <s v="topic-continued"/>
    <s v="all given"/>
    <m/>
    <m/>
    <n v="1"/>
    <s v="non-LVC"/>
    <s v="Yes"/>
    <n v="12"/>
    <m/>
    <n v="0"/>
    <n v="5"/>
    <x v="1"/>
    <x v="0"/>
    <s v="overt"/>
    <x v="0"/>
    <n v="0"/>
  </r>
  <r>
    <s v="Heike 2.47"/>
    <s v="やうを見んとて (yō o min to te)"/>
    <s v="and in order to see "/>
    <s v="見ん"/>
    <s v="dynamic"/>
    <s v="perception"/>
    <s v="verb"/>
    <x v="1"/>
    <s v="active"/>
    <s v="positive"/>
    <n v="1"/>
    <n v="1"/>
    <s v="OBJ"/>
    <n v="0"/>
    <s v="zero_recoverable"/>
    <n v="1"/>
    <s v="overt"/>
    <s v="n/a"/>
    <n v="0"/>
    <n v="0"/>
    <s v="REL"/>
    <s v="subordinate"/>
    <n v="0"/>
    <x v="0"/>
    <s v="n/a"/>
    <s v="n/a"/>
    <n v="0"/>
    <x v="7"/>
    <x v="1"/>
    <m/>
    <s v="ds"/>
    <x v="0"/>
    <s v="topic-drop"/>
    <s v="contains_new"/>
    <m/>
    <m/>
    <n v="1"/>
    <s v="non-LVC"/>
    <s v="Yes"/>
    <n v="12"/>
    <m/>
    <n v="1"/>
    <n v="6"/>
    <x v="1"/>
    <x v="1"/>
    <s v="n/a"/>
    <x v="1"/>
    <n v="0"/>
  </r>
  <r>
    <s v="Heike 2.48"/>
    <s v="かくて候ふなり (kakute soro fu nari)"/>
    <s v="&quot;have come and am thus waiting&quot;"/>
    <s v="候ふなり"/>
    <s v="indicative"/>
    <s v="stative"/>
    <s v="verb(complex)"/>
    <x v="0"/>
    <s v="active"/>
    <s v="positive"/>
    <n v="1"/>
    <n v="0"/>
    <s v="n/a"/>
    <n v="1"/>
    <s v="zero_exalt"/>
    <n v="1"/>
    <s v="n/a"/>
    <s v="n/a"/>
    <n v="0"/>
    <n v="0"/>
    <s v="n/a"/>
    <s v="main"/>
    <n v="0"/>
    <x v="1"/>
    <s v="sub"/>
    <s v="lexical_humble_verb"/>
    <n v="0"/>
    <x v="2"/>
    <x v="4"/>
    <m/>
    <s v="ss"/>
    <x v="0"/>
    <s v="topic-drop"/>
    <s v="no_overt_NP"/>
    <m/>
    <m/>
    <n v="0"/>
    <s v="non-LVC"/>
    <s v="Yes"/>
    <n v="12"/>
    <s v="main"/>
    <n v="1"/>
    <n v="1"/>
    <x v="1"/>
    <x v="1"/>
    <s v="n/a"/>
    <x v="1"/>
    <n v="0"/>
  </r>
  <r>
    <s v="Heike 2.49"/>
    <s v="えこそ出でまじう候へ (e koso idema jiu soro e)"/>
    <s v="&quot;I cannot possibly go out&quot;"/>
    <s v="出でまじう候へ"/>
    <s v="dynamic"/>
    <s v="motion"/>
    <s v="verb"/>
    <x v="0"/>
    <s v="active"/>
    <s v="negative"/>
    <n v="1"/>
    <n v="0"/>
    <s v="n/a"/>
    <n v="0"/>
    <s v="zero_exalt"/>
    <n v="1"/>
    <s v="n/a"/>
    <s v="n/a"/>
    <n v="0"/>
    <n v="0"/>
    <s v="n/a"/>
    <s v="main"/>
    <n v="0"/>
    <x v="1"/>
    <s v="sub"/>
    <s v="polite_aux"/>
    <n v="0"/>
    <x v="2"/>
    <x v="3"/>
    <m/>
    <s v="ss"/>
    <x v="1"/>
    <s v="topic-drop"/>
    <s v="no_overt_NP"/>
    <m/>
    <m/>
    <n v="0"/>
    <s v="non-LVC"/>
    <s v="Yes"/>
    <n v="13"/>
    <m/>
    <n v="1"/>
    <n v="1"/>
    <x v="0"/>
    <x v="2"/>
    <s v="n/a"/>
    <x v="1"/>
    <n v="0"/>
  </r>
  <r>
    <s v="Heike 2.50"/>
    <s v="これらを由なしとや (korera o yoshi nashi to ya)"/>
    <s v=" there was nothing more to be done;"/>
    <s v="なし"/>
    <s v="indicative"/>
    <s v="stative"/>
    <s v="existential verb"/>
    <x v="0"/>
    <s v="active"/>
    <s v="negative"/>
    <n v="1"/>
    <n v="1"/>
    <s v="SUB"/>
    <n v="1"/>
    <s v="overt"/>
    <n v="3"/>
    <s v="n/a"/>
    <s v="n/a"/>
    <n v="0"/>
    <n v="0"/>
    <s v="n/a"/>
    <s v="complement"/>
    <n v="0"/>
    <x v="0"/>
    <s v="n/a"/>
    <s v="n/a"/>
    <n v="0"/>
    <x v="4"/>
    <x v="3"/>
    <m/>
    <s v="ds"/>
    <x v="3"/>
    <s v="topic-continued"/>
    <s v="contains_new"/>
    <m/>
    <m/>
    <n v="1"/>
    <s v="non-LVC"/>
    <s v="Yes"/>
    <n v="14"/>
    <s v="main"/>
    <n v="1"/>
    <n v="2"/>
    <x v="1"/>
    <x v="1"/>
    <s v="overt"/>
    <x v="0"/>
    <n v="0"/>
  </r>
  <r>
    <m/>
    <s v="思はれけん (omowareken)"/>
    <s v="And they saw that"/>
    <s v="思はれけん"/>
    <s v="epistemic"/>
    <s v="psych-state"/>
    <s v="verb"/>
    <x v="1"/>
    <s v="active"/>
    <s v="positive"/>
    <n v="1"/>
    <n v="1"/>
    <s v="O (Speech)"/>
    <n v="0"/>
    <s v="zero_exalt"/>
    <n v="3"/>
    <s v="overt"/>
    <s v="n/a"/>
    <n v="0"/>
    <n v="0"/>
    <s v="n/a"/>
    <s v="main"/>
    <n v="0"/>
    <x v="1"/>
    <s v="sub"/>
    <s v="honorific_aux"/>
    <n v="0"/>
    <x v="8"/>
    <x v="0"/>
    <m/>
    <s v="ds"/>
    <x v="3"/>
    <s v="topic-drop"/>
    <s v="contains_new"/>
    <m/>
    <m/>
    <n v="1"/>
    <s v="non-LVC"/>
    <s v="Yes"/>
    <n v="14"/>
    <m/>
    <n v="1"/>
    <n v="1"/>
    <x v="1"/>
    <x v="2"/>
    <s v="n/a"/>
    <x v="1"/>
    <n v="0"/>
  </r>
  <r>
    <s v="Heike 2.51"/>
    <s v="その夜の闇討なかりけり (sono yo no yamiuchi nakarikeri)"/>
    <s v="and thus the attempt did not take place."/>
    <s v="なかりけり"/>
    <s v="indicative"/>
    <s v="aux/modal"/>
    <s v="verb"/>
    <x v="0"/>
    <s v="active"/>
    <s v="negative"/>
    <n v="1"/>
    <n v="1"/>
    <s v="SUB"/>
    <n v="0"/>
    <s v="overt"/>
    <s v="inanimate"/>
    <s v="n/a"/>
    <s v="n/a"/>
    <n v="0"/>
    <n v="0"/>
    <s v="n/a"/>
    <s v="main"/>
    <n v="0"/>
    <x v="0"/>
    <s v="n/a"/>
    <s v="n/a"/>
    <n v="0"/>
    <x v="2"/>
    <x v="3"/>
    <m/>
    <s v="ss"/>
    <x v="1"/>
    <s v="topic-shift"/>
    <s v="contains_new"/>
    <m/>
    <m/>
    <n v="1"/>
    <s v="non-LVC"/>
    <s v="Yes"/>
    <n v="15"/>
    <s v="subordinate"/>
    <n v="1"/>
    <n v="1"/>
    <x v="0"/>
    <x v="2"/>
    <s v="n/a"/>
    <x v="1"/>
    <n v="0"/>
  </r>
  <r>
    <s v="Heike 2.52"/>
    <s v="忠盛また御前の召しに舞はれけるに (Tadamori mata gozen no meshi ni mawarekeru ni)"/>
    <s v="But when Tadamori danced in the August presence of the Mikado at his Imperial wish,"/>
    <s v="舞はれける"/>
    <s v="indicative"/>
    <s v="action"/>
    <s v="verb"/>
    <x v="0"/>
    <s v="active"/>
    <s v="positive"/>
    <n v="1"/>
    <n v="1"/>
    <s v="SUB"/>
    <n v="1"/>
    <s v="overt"/>
    <n v="3"/>
    <s v="n/a"/>
    <s v="n/a"/>
    <n v="0"/>
    <n v="0"/>
    <s v="REL"/>
    <s v="subordinate"/>
    <n v="1"/>
    <x v="0"/>
    <s v="sub"/>
    <s v="honorific_aux"/>
    <n v="0"/>
    <x v="0"/>
    <x v="3"/>
    <m/>
    <s v="ds"/>
    <x v="1"/>
    <s v="topic-shift"/>
    <s v="contains_new"/>
    <m/>
    <m/>
    <n v="1"/>
    <s v="non-LVC"/>
    <s v="Yes"/>
    <n v="16"/>
    <s v="te"/>
    <n v="1"/>
    <n v="2"/>
    <x v="1"/>
    <x v="2"/>
    <s v="overt"/>
    <x v="1"/>
    <n v="0"/>
  </r>
  <r>
    <s v="Heike 2.53"/>
    <s v="人々拍子を変へて (hitobito hyōshi o kaete)"/>
    <s v="the others mocked at him, changing the words of the music"/>
    <s v="変へて"/>
    <s v="indicative"/>
    <s v="other"/>
    <s v="verb"/>
    <x v="1"/>
    <s v="active"/>
    <s v="positive"/>
    <n v="1"/>
    <n v="2"/>
    <s v="S+O"/>
    <n v="0"/>
    <s v="overt"/>
    <n v="3"/>
    <s v="overt"/>
    <s v="n/a"/>
    <n v="0"/>
    <n v="0"/>
    <s v="n/a"/>
    <s v="te"/>
    <n v="0"/>
    <x v="0"/>
    <s v="n/a"/>
    <s v="n/a"/>
    <n v="0"/>
    <x v="1"/>
    <x v="4"/>
    <s v="te_medial"/>
    <s v="ds"/>
    <x v="1"/>
    <s v="topic-shift"/>
    <s v="contains_new"/>
    <m/>
    <m/>
    <n v="2"/>
    <s v="non-LVC"/>
    <s v="Yes"/>
    <n v="16"/>
    <s v="complement"/>
    <n v="1"/>
    <n v="3"/>
    <x v="1"/>
    <x v="2"/>
    <s v="n/a"/>
    <x v="1"/>
    <n v="0"/>
  </r>
  <r>
    <s v="Heike 2.54"/>
    <s v="伊勢へいじはすがめなりけりとぞ (Ise heiji wa sugame narikeri)"/>
    <s v="&quot;the winepot of Ise has turned into a vinegar jar&quot;"/>
    <s v="なりけり"/>
    <s v="indicative"/>
    <s v="stative"/>
    <s v="copula"/>
    <x v="0"/>
    <s v="active"/>
    <s v="positive"/>
    <n v="1"/>
    <n v="1"/>
    <s v="SUB"/>
    <n v="0"/>
    <s v="overt"/>
    <n v="3"/>
    <s v="n/a"/>
    <s v="n/a"/>
    <n v="0"/>
    <n v="0"/>
    <s v="n/a"/>
    <s v="complement"/>
    <n v="0"/>
    <x v="0"/>
    <s v="n/a"/>
    <s v="n/a"/>
    <n v="0"/>
    <x v="4"/>
    <x v="2"/>
    <m/>
    <s v="ds"/>
    <x v="0"/>
    <s v="topic-introduced"/>
    <s v="contains_new"/>
    <m/>
    <m/>
    <n v="1"/>
    <s v="non-LVC"/>
    <s v="Yes"/>
    <n v="16"/>
    <s v="main"/>
    <n v="1"/>
    <n v="4"/>
    <x v="1"/>
    <x v="1"/>
    <s v="overt"/>
    <x v="0"/>
    <n v="0"/>
  </r>
  <r>
    <s v="Heike 2.55"/>
    <s v="囃されける (to zo hayasarekeru)"/>
    <s v="they sang in mockery"/>
    <s v="囃されける"/>
    <s v="indicative"/>
    <s v="action"/>
    <s v="verb"/>
    <x v="1"/>
    <s v="active"/>
    <s v="positive"/>
    <n v="1"/>
    <n v="1"/>
    <s v="O (Speech)"/>
    <n v="0"/>
    <s v="zero_exalt"/>
    <n v="3"/>
    <s v="overt"/>
    <s v="n/a"/>
    <n v="0"/>
    <n v="0"/>
    <s v="kakari-musubi"/>
    <s v="main"/>
    <n v="0"/>
    <x v="1"/>
    <s v="sub"/>
    <s v="honorific_aux"/>
    <n v="0"/>
    <x v="8"/>
    <x v="7"/>
    <m/>
    <s v="ss"/>
    <x v="0"/>
    <s v="topic-drop"/>
    <s v="contains_new"/>
    <m/>
    <m/>
    <n v="1"/>
    <s v="non-LVC"/>
    <s v="Yes"/>
    <n v="16"/>
    <s v="subordinate"/>
    <n v="1"/>
    <n v="1"/>
    <x v="1"/>
    <x v="2"/>
    <s v="overt"/>
    <x v="1"/>
    <n v="0"/>
  </r>
  <r>
    <s v="Heike 2.56"/>
    <s v="かけまくも忝くこの人々は柏原天皇の御末とは申しながら (kakemakumo katabokaku kono hitobito wa Kashiwabara Tennō no o-sue to wa mōshinagara)"/>
    <s v="In thus mentioning the vessels of his province they punned on his title..."/>
    <s v="申しながら"/>
    <s v="indicative"/>
    <s v="communication"/>
    <s v="verb"/>
    <x v="1"/>
    <s v="active"/>
    <s v="positive"/>
    <n v="1"/>
    <n v="2"/>
    <s v="S+O (Speech)"/>
    <n v="1"/>
    <s v="overt"/>
    <n v="3"/>
    <s v="overt"/>
    <s v="n/a"/>
    <n v="0"/>
    <n v="0"/>
    <s v="n/a"/>
    <s v="subordinate"/>
    <n v="1"/>
    <x v="0"/>
    <s v="sub"/>
    <s v="lexical_humble_verb"/>
    <n v="0"/>
    <x v="0"/>
    <x v="3"/>
    <m/>
    <s v="ss"/>
    <x v="1"/>
    <s v="topic-shift"/>
    <s v="contains_new"/>
    <m/>
    <m/>
    <n v="2"/>
    <s v="non-LVC"/>
    <s v="Yes"/>
    <n v="17"/>
    <s v="main"/>
    <n v="1"/>
    <n v="2"/>
    <x v="0"/>
    <x v="2"/>
    <s v="n/a"/>
    <x v="1"/>
    <n v="0"/>
  </r>
  <r>
    <s v="Heike 2.57"/>
    <s v="中比は都の住まひも疎々しく (chūbi wa miyako no sumai mo utoutoshiku)"/>
    <s v="and since lately his family had lived away from the capital,"/>
    <s v="疎々しく"/>
    <s v="indicative"/>
    <s v="psych-state"/>
    <s v="adjectival predicate"/>
    <x v="0"/>
    <s v="active"/>
    <s v="positive"/>
    <n v="1"/>
    <n v="1"/>
    <s v="SUB"/>
    <n v="1"/>
    <s v="overt"/>
    <n v="3"/>
    <s v="n/a"/>
    <s v="n/a"/>
    <n v="0"/>
    <n v="0"/>
    <s v="n/a"/>
    <s v="main"/>
    <n v="0"/>
    <x v="0"/>
    <s v="n/a"/>
    <s v="n/a"/>
    <n v="0"/>
    <x v="2"/>
    <x v="4"/>
    <m/>
    <s v="ds"/>
    <x v="0"/>
    <s v="topic-shift"/>
    <s v="contains_new"/>
    <m/>
    <m/>
    <n v="1"/>
    <s v="non-LVC"/>
    <s v="Yes"/>
    <n v="17"/>
    <s v="te"/>
    <n v="1"/>
    <n v="1"/>
    <x v="1"/>
    <x v="0"/>
    <s v="n/a"/>
    <x v="0"/>
    <n v="0"/>
  </r>
  <r>
    <s v="Heike 2.58"/>
    <s v="地下にのみ振舞ひなつて ( jige ni nomi furumai natte)"/>
    <s v=" behaving as mere provincial folk"/>
    <s v="振舞ひなつて"/>
    <s v="indicative"/>
    <s v="other"/>
    <s v="verb(compound)"/>
    <x v="0"/>
    <s v="active"/>
    <s v="positive"/>
    <n v="1"/>
    <n v="1"/>
    <s v="IO"/>
    <n v="0"/>
    <s v="zero_recoverable"/>
    <n v="3"/>
    <s v="n/a"/>
    <s v="overt"/>
    <n v="0"/>
    <n v="0"/>
    <s v="n/a"/>
    <s v="te"/>
    <n v="0"/>
    <x v="0"/>
    <s v="n/a"/>
    <s v="n/a"/>
    <n v="0"/>
    <x v="1"/>
    <x v="3"/>
    <s v="te_medial"/>
    <s v="ss"/>
    <x v="0"/>
    <s v="topic-drop"/>
    <s v="contains_new"/>
    <m/>
    <m/>
    <n v="1"/>
    <s v="non-LVC"/>
    <s v="Yes"/>
    <n v="18"/>
    <s v="subordinate"/>
    <n v="1"/>
    <n v="2"/>
    <x v="1"/>
    <x v="0"/>
    <s v="n/a"/>
    <x v="1"/>
    <n v="0"/>
  </r>
  <r>
    <s v="Heike 2.59"/>
    <s v="伊勢国に住国深かりしかば  (Ise no kuni ni sumikoku fukakarishikaba)"/>
    <s v="and as they lived deep in Ise province, they likened him to the vessels of that province"/>
    <s v="深かりしかば"/>
    <s v="indicative"/>
    <s v="psych-state"/>
    <s v="adjectival predicate"/>
    <x v="0"/>
    <s v="active"/>
    <s v="positive"/>
    <n v="1"/>
    <n v="1"/>
    <s v="SUB"/>
    <n v="1"/>
    <s v="zero_recoverable"/>
    <n v="3"/>
    <s v="n/a"/>
    <s v="n/a"/>
    <n v="0"/>
    <n v="0"/>
    <s v="n/a"/>
    <s v="subordinate"/>
    <n v="0"/>
    <x v="0"/>
    <s v="n/a"/>
    <s v="n/a"/>
    <n v="0"/>
    <x v="3"/>
    <x v="2"/>
    <m/>
    <s v="ss"/>
    <x v="1"/>
    <s v="topic-drop"/>
    <s v="contains_new"/>
    <m/>
    <m/>
    <n v="1"/>
    <s v="non-LVC"/>
    <s v="Yes"/>
    <n v="18"/>
    <s v="te"/>
    <n v="1"/>
    <n v="3"/>
    <x v="1"/>
    <x v="5"/>
    <s v="zero_uncertain"/>
    <x v="1"/>
    <n v="0"/>
  </r>
  <r>
    <s v="Heike 2.60"/>
    <s v="その国の器に言寄せて"/>
    <s v="sono kuni no utsuwa ni kotoyosete)"/>
    <s v="言寄せて"/>
    <s v="indicative"/>
    <s v="communication"/>
    <s v="verb"/>
    <x v="3"/>
    <s v="active"/>
    <s v="positive"/>
    <n v="1"/>
    <n v="1"/>
    <s v="IO"/>
    <n v="0"/>
    <s v="zero_uncertain"/>
    <n v="3"/>
    <s v="zero_uncertain"/>
    <s v="overt"/>
    <n v="0"/>
    <n v="0"/>
    <s v="n/a"/>
    <s v="te"/>
    <n v="0"/>
    <x v="0"/>
    <s v="n/a"/>
    <s v="n/a"/>
    <n v="0"/>
    <x v="1"/>
    <x v="4"/>
    <s v="te_medial"/>
    <s v="ds"/>
    <x v="0"/>
    <s v="topic-drop"/>
    <s v="contains_new"/>
    <m/>
    <m/>
    <n v="1"/>
    <s v="non-LVC"/>
    <s v="Yes"/>
    <n v="18"/>
    <s v="main"/>
    <n v="1"/>
    <n v="4"/>
    <x v="1"/>
    <x v="0"/>
    <s v="n/a"/>
    <x v="1"/>
    <n v="0"/>
  </r>
  <r>
    <s v="Heike 2.61"/>
    <s v="伊勢平氏とぞ囃されける (Ise Heishi to zo hayasarekeru)"/>
    <s v="so they mocked him as 'Ise Heishi'"/>
    <s v="囃されける"/>
    <s v="indicative"/>
    <s v="action"/>
    <s v="verb"/>
    <x v="0"/>
    <s v="passive"/>
    <s v="positive"/>
    <n v="1"/>
    <n v="1"/>
    <s v="O (Speech)"/>
    <n v="0"/>
    <s v="zero_recoverable"/>
    <n v="3"/>
    <s v="n/a"/>
    <s v="overt"/>
    <n v="0"/>
    <n v="0"/>
    <s v="kakari-musubi"/>
    <s v="main"/>
    <n v="0"/>
    <x v="0"/>
    <s v="n/a"/>
    <s v="n/a"/>
    <n v="0"/>
    <x v="2"/>
    <x v="2"/>
    <m/>
    <s v="ss"/>
    <x v="1"/>
    <s v="topic-drop"/>
    <s v="contains_new"/>
    <m/>
    <m/>
    <n v="1"/>
    <s v="non-LVC"/>
    <s v="Yes"/>
    <n v="18"/>
    <s v="subordinate"/>
    <n v="1"/>
    <n v="1"/>
    <x v="1"/>
    <x v="2"/>
    <s v="n/a"/>
    <x v="1"/>
    <n v="0"/>
  </r>
  <r>
    <s v="Heike 2.62"/>
    <s v="その上忠盛目の眇まれたりける故にこそ (sono ue Tadamori me no sugamaretari keru yue ni koso)"/>
    <s v="moreover, because Tadamori's eyes were squinted, "/>
    <s v="眇まれたりける"/>
    <s v="indicative"/>
    <s v="action"/>
    <s v="verb"/>
    <x v="0"/>
    <s v="active"/>
    <s v="positive"/>
    <n v="1"/>
    <n v="1"/>
    <s v="SUB"/>
    <n v="1"/>
    <s v="overt"/>
    <n v="3"/>
    <s v="n/a"/>
    <s v="n/a"/>
    <n v="0"/>
    <n v="1"/>
    <s v="REL"/>
    <s v="subordinate"/>
    <n v="0"/>
    <x v="0"/>
    <s v="n/a"/>
    <s v="n/a"/>
    <n v="0"/>
    <x v="3"/>
    <x v="3"/>
    <m/>
    <s v="ds"/>
    <x v="0"/>
    <s v="topic-continued"/>
    <s v="contains_new"/>
    <m/>
    <m/>
    <n v="1"/>
    <s v="non-LVC"/>
    <s v="Yes"/>
    <n v="19"/>
    <m/>
    <n v="1"/>
    <n v="2"/>
    <x v="0"/>
    <x v="0"/>
    <s v="n/a"/>
    <x v="0"/>
    <n v="0"/>
  </r>
  <r>
    <s v="Heike 2.63"/>
    <s v="かやうには囃されけるなれ  (kayō ni wa hayasarekeru nare)"/>
    <s v="he was mocked in such a way"/>
    <s v="囃されけるなれ"/>
    <s v="indicative"/>
    <s v="other"/>
    <s v="verb"/>
    <x v="0"/>
    <s v="passive"/>
    <s v="positive"/>
    <n v="1"/>
    <n v="0"/>
    <s v="n/a"/>
    <n v="0"/>
    <s v="zero_recoverable"/>
    <n v="3"/>
    <s v="n/a"/>
    <s v="n/a"/>
    <n v="0"/>
    <n v="0"/>
    <s v="kakari-musubi"/>
    <s v="main"/>
    <n v="0"/>
    <x v="0"/>
    <s v="n/a"/>
    <s v="n/a"/>
    <n v="0"/>
    <x v="2"/>
    <x v="4"/>
    <m/>
    <s v="ss"/>
    <x v="0"/>
    <s v="topic-drop"/>
    <s v="no_overt_NP"/>
    <m/>
    <m/>
    <n v="0"/>
    <s v="non-LVC"/>
    <s v="Yes"/>
    <n v="19"/>
    <m/>
    <n v="1"/>
    <n v="1"/>
    <x v="1"/>
    <x v="2"/>
    <s v="overt"/>
    <x v="1"/>
    <n v="0"/>
  </r>
  <r>
    <s v="Heike 2.64"/>
    <s v="忠盛何とすべきやうもなくして (Tadamori nan to subeki yō mo nakushite)"/>
    <s v="Tadamori, having no way of dealing with the situation,"/>
    <s v="なくして"/>
    <s v="indicative"/>
    <s v="other"/>
    <s v="verb"/>
    <x v="1"/>
    <s v="active"/>
    <s v="negative"/>
    <n v="1"/>
    <n v="2"/>
    <s v="S+O"/>
    <n v="0"/>
    <s v="overt"/>
    <n v="3"/>
    <s v="overt"/>
    <s v="n/a"/>
    <n v="0"/>
    <n v="0"/>
    <s v="n/a"/>
    <s v="te"/>
    <n v="0"/>
    <x v="0"/>
    <s v="n/a"/>
    <s v="n/a"/>
    <n v="0"/>
    <x v="1"/>
    <x v="3"/>
    <s v="te_initial"/>
    <s v="ss"/>
    <x v="1"/>
    <s v="topic-continued"/>
    <s v="contains_new"/>
    <m/>
    <m/>
    <n v="2"/>
    <s v="non-LVC"/>
    <s v="Yes"/>
    <n v="20"/>
    <s v="subordinate"/>
    <n v="1"/>
    <n v="2"/>
    <x v="0"/>
    <x v="2"/>
    <s v="n/a"/>
    <x v="1"/>
    <n v="0"/>
  </r>
  <r>
    <s v="Heike 2.65"/>
    <s v="御遊も未だ終らざる前に (gyoyū mo mada owarazaru mae ni)"/>
    <s v="before the entertainment had ended,"/>
    <s v="終らざる"/>
    <s v="indicative"/>
    <s v="other"/>
    <s v="verb"/>
    <x v="0"/>
    <s v="active"/>
    <s v="negative"/>
    <n v="1"/>
    <n v="1"/>
    <s v="SUB"/>
    <n v="1"/>
    <s v="overt"/>
    <n v="3"/>
    <s v="n/a"/>
    <s v="n/a"/>
    <n v="0"/>
    <n v="1"/>
    <s v="REL"/>
    <s v="subordinate"/>
    <n v="0"/>
    <x v="0"/>
    <s v="n/a"/>
    <s v="n/a"/>
    <n v="0"/>
    <x v="0"/>
    <x v="2"/>
    <m/>
    <s v="ds"/>
    <x v="1"/>
    <s v="topic-drop"/>
    <s v="contains_new"/>
    <m/>
    <m/>
    <n v="1"/>
    <s v="non-LVC"/>
    <s v="Yes"/>
    <n v="20"/>
    <m/>
    <n v="1"/>
    <n v="3"/>
    <x v="1"/>
    <x v="1"/>
    <s v="n/a"/>
    <x v="0"/>
    <n v="0"/>
  </r>
  <r>
    <s v="Heike 2.66"/>
    <s v="密かに罷り出でらるとて (hisokani makari ideraru tote)"/>
    <s v="he secretly left the Presence,"/>
    <s v="罷り出でらる"/>
    <s v="indicative"/>
    <s v="motion"/>
    <s v="verb"/>
    <x v="0"/>
    <s v="active"/>
    <s v="positive"/>
    <n v="1"/>
    <n v="0"/>
    <s v="n/a"/>
    <n v="1"/>
    <s v="zero_exalt"/>
    <n v="3"/>
    <s v="n/a"/>
    <s v="n/a"/>
    <n v="0"/>
    <n v="0"/>
    <s v="REL"/>
    <s v="subordinate"/>
    <n v="0"/>
    <x v="1"/>
    <s v="sub"/>
    <s v="honorific_aux+lexical_honorific_verb"/>
    <n v="0"/>
    <x v="0"/>
    <x v="4"/>
    <m/>
    <s v="ds"/>
    <x v="0"/>
    <s v="topic-drop"/>
    <s v="no_overt_NP"/>
    <m/>
    <m/>
    <n v="0"/>
    <s v="non-LVC"/>
    <s v="Yes"/>
    <n v="20"/>
    <s v="te"/>
    <n v="1"/>
    <n v="4"/>
    <x v="1"/>
    <x v="0"/>
    <s v="n/a"/>
    <x v="1"/>
    <n v="0"/>
  </r>
  <r>
    <s v="Heike 2.67"/>
    <s v="紫宸殿の御後にして (Shishinden no o-ato ni shite)"/>
    <s v="and going behind the Shishinden,"/>
    <s v="後にして"/>
    <s v="indicative"/>
    <s v="other"/>
    <s v="LVC (j)"/>
    <x v="0"/>
    <s v="active"/>
    <s v="positive"/>
    <n v="1"/>
    <n v="0"/>
    <s v="n/a"/>
    <n v="1"/>
    <s v="zero_recoverable"/>
    <n v="3"/>
    <s v="n/a"/>
    <s v="n/a"/>
    <n v="0"/>
    <n v="0"/>
    <s v="n/a"/>
    <s v="te"/>
    <n v="0"/>
    <x v="0"/>
    <s v="n/a"/>
    <s v="n/a"/>
    <n v="0"/>
    <x v="1"/>
    <x v="4"/>
    <s v="te_medial"/>
    <s v="ss"/>
    <x v="1"/>
    <s v="topic-drop"/>
    <s v="no_overt_NP"/>
    <m/>
    <m/>
    <n v="0"/>
    <s v="LVC"/>
    <s v="Yes"/>
    <n v="20"/>
    <m/>
    <n v="1"/>
    <m/>
    <x v="1"/>
    <x v="2"/>
    <s v="zero_recoverable"/>
    <x v="1"/>
    <n v="0"/>
  </r>
  <r>
    <s v="Heike 2.68"/>
    <s v="かたへの殿上人の見られける (kata e no tenjōbito no mirarekeru)"/>
    <s v=" the court nobles could see him,"/>
    <s v="見られける"/>
    <s v="indicative"/>
    <s v="action"/>
    <s v="verb"/>
    <x v="1"/>
    <s v="active"/>
    <s v="positive"/>
    <n v="1"/>
    <n v="1"/>
    <s v="SUB"/>
    <n v="0"/>
    <s v="overt"/>
    <n v="3"/>
    <s v="zero_recoverable"/>
    <s v="n/a"/>
    <n v="0"/>
    <n v="1"/>
    <s v="REL"/>
    <s v="relative"/>
    <n v="1"/>
    <x v="0"/>
    <s v="sub"/>
    <s v="honorific_aux"/>
    <n v="0"/>
    <x v="2"/>
    <x v="2"/>
    <m/>
    <s v="ds"/>
    <x v="0"/>
    <s v="topic-introduced"/>
    <s v="contains_new"/>
    <m/>
    <m/>
    <n v="1"/>
    <s v="non-LVC"/>
    <s v="Yes"/>
    <n v="20"/>
    <s v="te"/>
    <n v="0"/>
    <n v="5"/>
    <x v="1"/>
    <x v="1"/>
    <s v="overt"/>
    <x v="0"/>
    <n v="0"/>
  </r>
  <r>
    <s v="Heike 2.69"/>
    <s v="所にて主殿司を召して (tokoro nite tonomotsukasa o meshite azukeokite zo iderarekeru)"/>
    <s v="in a place where… he summoned the Tonomotsukasa, "/>
    <s v="召して "/>
    <s v="indicative"/>
    <s v="action"/>
    <s v="verb"/>
    <x v="1"/>
    <s v="active"/>
    <s v="positive"/>
    <n v="1"/>
    <n v="1"/>
    <s v="OBJ"/>
    <n v="1"/>
    <s v="zero_exalt"/>
    <n v="3"/>
    <s v="overt"/>
    <s v="n/a"/>
    <n v="0"/>
    <n v="0"/>
    <s v="n/a"/>
    <s v="te"/>
    <n v="0"/>
    <x v="1"/>
    <s v="sub"/>
    <s v="lexical_honorific_verb"/>
    <n v="0"/>
    <x v="1"/>
    <x v="1"/>
    <s v="te_medial"/>
    <s v="ss"/>
    <x v="0"/>
    <s v="topic-drop"/>
    <s v="contains_new"/>
    <m/>
    <m/>
    <n v="1"/>
    <s v="non-LVC"/>
    <s v="Yes"/>
    <n v="20"/>
    <m/>
    <n v="1"/>
    <n v="6"/>
    <x v="1"/>
    <x v="0"/>
    <s v="zero_recoverable"/>
    <x v="1"/>
    <n v="1"/>
  </r>
  <r>
    <s v="Heike 2.70"/>
    <s v="預け置きてぞ"/>
    <s v=" entrusted [his sword]"/>
    <s v="預け置きて"/>
    <s v="indicative"/>
    <s v="other"/>
    <s v="verb"/>
    <x v="1"/>
    <s v="active"/>
    <s v="positive"/>
    <n v="1"/>
    <n v="0"/>
    <s v="n/a"/>
    <n v="0"/>
    <s v="zero_recoverable"/>
    <n v="3"/>
    <s v="zero_recoverable"/>
    <s v="n/a"/>
    <n v="0"/>
    <n v="0"/>
    <s v="n/a"/>
    <s v="te"/>
    <n v="0"/>
    <x v="0"/>
    <s v="n/a"/>
    <s v="n/a"/>
    <n v="0"/>
    <x v="2"/>
    <x v="2"/>
    <s v="te_medial"/>
    <s v="ss"/>
    <x v="0"/>
    <s v="topic-drop"/>
    <s v="no_overt_NP"/>
    <m/>
    <m/>
    <n v="0"/>
    <s v="non-LVC"/>
    <s v="Yes"/>
    <n v="20"/>
    <s v="main"/>
    <n v="1"/>
    <n v="7"/>
    <x v="1"/>
    <x v="1"/>
    <s v="n/a"/>
    <x v="1"/>
    <n v="0"/>
  </r>
  <r>
    <s v="Heike 2.71"/>
    <s v="出でられける"/>
    <s v="and left,"/>
    <s v="出でられける"/>
    <s v="indicative"/>
    <s v="motion"/>
    <s v="verb"/>
    <x v="0"/>
    <s v="active"/>
    <s v="positive"/>
    <n v="1"/>
    <n v="0"/>
    <s v="n/a"/>
    <n v="0"/>
    <s v="zero_exalt"/>
    <n v="3"/>
    <s v="n/a"/>
    <s v="n/a"/>
    <n v="0"/>
    <n v="0"/>
    <s v="n/a"/>
    <s v="main"/>
    <n v="0"/>
    <x v="1"/>
    <s v="sub"/>
    <s v="honorific_aux"/>
    <n v="0"/>
    <x v="2"/>
    <x v="2"/>
    <m/>
    <s v="ss"/>
    <x v="1"/>
    <s v="topic-drop"/>
    <s v="no_overt_NP"/>
    <m/>
    <m/>
    <n v="0"/>
    <s v="non-LVC"/>
    <s v="Yes"/>
    <n v="20"/>
    <m/>
    <n v="1"/>
    <n v="1"/>
    <x v="1"/>
    <x v="2"/>
    <s v="zero_recoverable"/>
    <x v="1"/>
    <n v="0"/>
  </r>
  <r>
    <s v="Heike 2.72"/>
    <s v="家貞待ち受け奉りて (Iesada machi-uke tatemawari-te)"/>
    <s v="Iesada, who was waiting for his lord,"/>
    <s v="待ち受け奉りて"/>
    <s v="indicative"/>
    <s v="action"/>
    <s v="verb(complex)"/>
    <x v="1"/>
    <s v="active"/>
    <s v="positive"/>
    <n v="1"/>
    <n v="1"/>
    <s v="SUB"/>
    <n v="0"/>
    <s v="overt"/>
    <n v="3"/>
    <s v="zero_recoverable"/>
    <s v="n/a"/>
    <n v="0"/>
    <n v="0"/>
    <s v="n/a"/>
    <s v="te"/>
    <n v="1"/>
    <x v="0"/>
    <s v="sub"/>
    <s v="lexical_humble_verb"/>
    <n v="0"/>
    <x v="1"/>
    <x v="3"/>
    <s v="te_initial"/>
    <s v="ds"/>
    <x v="0"/>
    <s v="topic-shift"/>
    <s v="contains_new"/>
    <m/>
    <m/>
    <n v="1"/>
    <s v="non-LVC"/>
    <s v="Yes"/>
    <n v="21"/>
    <m/>
    <n v="1"/>
    <n v="2"/>
    <x v="0"/>
    <x v="4"/>
    <s v="n/a"/>
    <x v="0"/>
    <n v="0"/>
  </r>
  <r>
    <s v="Heike 2.73"/>
    <s v="さていかが候ひつると (sate ikaga soroitsuru to)"/>
    <s v="&quot;What has happened?&quot; he asked."/>
    <s v="候ひつる"/>
    <s v="indicative"/>
    <s v="other"/>
    <s v="verb"/>
    <x v="0"/>
    <s v="active"/>
    <s v="positive"/>
    <n v="1"/>
    <n v="0"/>
    <s v="n/a"/>
    <n v="1"/>
    <s v="zero_other"/>
    <n v="3"/>
    <s v="n/a"/>
    <s v="n/a"/>
    <n v="0"/>
    <n v="0"/>
    <s v="REL"/>
    <s v="complement"/>
    <n v="0"/>
    <x v="0"/>
    <s v="n/a"/>
    <s v="polite_aux"/>
    <n v="0"/>
    <x v="4"/>
    <x v="2"/>
    <m/>
    <s v="ss"/>
    <x v="0"/>
    <s v="topic-drop"/>
    <s v="no_overt_NP"/>
    <m/>
    <m/>
    <n v="0"/>
    <s v="non-LVC"/>
    <s v="Yes"/>
    <n v="21"/>
    <m/>
    <n v="1"/>
    <n v="3"/>
    <x v="1"/>
    <x v="1"/>
    <s v="overt"/>
    <x v="1"/>
    <n v="0"/>
  </r>
  <r>
    <s v="Heike 2.74"/>
    <s v="申されければ (mōsarekeru ba)"/>
    <s v="he was asked,"/>
    <s v="申されける"/>
    <s v="indicative"/>
    <s v="action"/>
    <s v="verb"/>
    <x v="0"/>
    <s v="passive"/>
    <s v="positive"/>
    <n v="1"/>
    <n v="1"/>
    <s v="O (Speech)"/>
    <n v="0"/>
    <s v="zero_exalt"/>
    <n v="3"/>
    <s v="overt"/>
    <s v="n/a"/>
    <n v="0"/>
    <n v="0"/>
    <s v="n/a"/>
    <s v="main"/>
    <n v="0"/>
    <x v="1"/>
    <s v="sub"/>
    <s v="honorific_aux+lexical_humble_verb"/>
    <n v="0"/>
    <x v="0"/>
    <x v="7"/>
    <m/>
    <s v="ss"/>
    <x v="0"/>
    <s v="topic-drop"/>
    <s v="contains_new"/>
    <m/>
    <m/>
    <n v="1"/>
    <s v="non-LVC"/>
    <s v="Yes"/>
    <n v="21"/>
    <m/>
    <n v="1"/>
    <n v="1"/>
    <x v="1"/>
    <x v="4"/>
    <s v="not_applicable"/>
    <x v="1"/>
    <n v="0"/>
  </r>
  <r>
    <s v="Heike 2.75"/>
    <s v="かくとも云はまほしう"/>
    <s v="to tell him"/>
    <s v="云はまほしう"/>
    <s v="desiderative"/>
    <s v="other"/>
    <s v="verb"/>
    <x v="0"/>
    <s v="active"/>
    <s v="positive"/>
    <n v="1"/>
    <n v="0"/>
    <s v="n/a"/>
    <n v="1"/>
    <s v="zero_other"/>
    <n v="3"/>
    <s v="not_applicable"/>
    <s v="not_applicable"/>
    <n v="0"/>
    <n v="0"/>
    <s v="n/a"/>
    <s v="main"/>
    <n v="0"/>
    <x v="0"/>
    <s v="n/a"/>
    <s v="n/a"/>
    <n v="0"/>
    <x v="2"/>
    <x v="3"/>
    <m/>
    <s v="ss"/>
    <x v="0"/>
    <s v="topic-drop"/>
    <s v="no_overt_NP"/>
    <m/>
    <m/>
    <n v="0"/>
    <s v="non-LVC"/>
    <s v="Yes"/>
    <n v="22"/>
    <m/>
    <n v="1"/>
    <n v="1"/>
    <x v="1"/>
    <x v="4"/>
    <s v="overt"/>
    <x v="1"/>
    <n v="0"/>
  </r>
  <r>
    <s v="Heike 2.76"/>
    <s v="思はれけれども (kakutomo iwamahoshū omowarekeredomo)"/>
    <s v="although he greatly wished,"/>
    <s v="思はれけれども"/>
    <s v="indicative"/>
    <s v="psych-state"/>
    <s v="verb"/>
    <x v="1"/>
    <s v="active"/>
    <s v="positive"/>
    <n v="1"/>
    <n v="1"/>
    <s v="O (Speech)"/>
    <n v="1"/>
    <s v="zero_other"/>
    <n v="3"/>
    <s v="overt"/>
    <s v="n/a"/>
    <n v="0"/>
    <n v="0"/>
    <s v="n/a"/>
    <s v="main"/>
    <n v="0"/>
    <x v="0"/>
    <s v="n/a"/>
    <s v="n/a"/>
    <n v="0"/>
    <x v="9"/>
    <x v="3"/>
    <m/>
    <s v="ss"/>
    <x v="0"/>
    <s v="topic-drop"/>
    <s v="contains_new"/>
    <s v="Psych predicate; かくとも as adjunct."/>
    <m/>
    <n v="1"/>
    <s v="non-LVC"/>
    <s v="Yes"/>
    <n v="23"/>
    <m/>
    <n v="1"/>
    <n v="1"/>
    <x v="1"/>
    <x v="4"/>
    <s v="zero_recoverable"/>
    <x v="1"/>
    <n v="1"/>
  </r>
  <r>
    <s v="Heike 2.77"/>
    <s v="云ひつるほどならば (iitsuru hodo naraba)"/>
    <s v="seeing that, if he told him,"/>
    <s v="云ひつる"/>
    <s v="indicative"/>
    <s v="other"/>
    <s v="verb"/>
    <x v="1"/>
    <s v="active"/>
    <s v="positive"/>
    <n v="1"/>
    <n v="0"/>
    <s v="n/a"/>
    <n v="0"/>
    <s v="zero_other"/>
    <n v="3"/>
    <s v="zero_recoverable"/>
    <s v="n/a"/>
    <n v="0"/>
    <n v="1"/>
    <s v="REL"/>
    <s v="subordinate"/>
    <n v="0"/>
    <x v="0"/>
    <s v="n/a"/>
    <s v="n/a"/>
    <n v="0"/>
    <x v="10"/>
    <x v="3"/>
    <m/>
    <s v="ss"/>
    <x v="1"/>
    <s v="topic-drop"/>
    <s v="no_overt_NP"/>
    <m/>
    <m/>
    <n v="0"/>
    <s v="non-LVC"/>
    <s v="Yes"/>
    <n v="24"/>
    <s v="relative"/>
    <n v="1"/>
    <m/>
    <x v="1"/>
    <x v="0"/>
    <s v="n/a"/>
    <x v="1"/>
    <n v="0"/>
  </r>
  <r>
    <s v="Heike 2.78"/>
    <s v="やがて殿上までも斬り上らんずる  yagate tenjō made mo kiriagaranzuru "/>
    <s v="who would even do violence in the Palace itself,"/>
    <s v="斬り上らんずる"/>
    <s v="dynamic"/>
    <s v="other"/>
    <s v="verb"/>
    <x v="0"/>
    <s v="active"/>
    <s v="positive"/>
    <n v="1"/>
    <n v="0"/>
    <s v="n/a"/>
    <n v="2"/>
    <s v="zero_recoverable"/>
    <n v="3"/>
    <s v="n/a"/>
    <s v="n/a"/>
    <n v="1"/>
    <n v="0"/>
    <s v="REL"/>
    <s v="relative"/>
    <n v="0"/>
    <x v="0"/>
    <s v="n/a"/>
    <s v="n/a"/>
    <n v="0"/>
    <x v="2"/>
    <x v="4"/>
    <m/>
    <s v="ds"/>
    <x v="0"/>
    <s v="topic-drop"/>
    <s v="no_overt_NP"/>
    <m/>
    <m/>
    <n v="0"/>
    <s v="non-LVC"/>
    <s v="Yes"/>
    <n v="24"/>
    <s v="subordinate"/>
    <n v="0"/>
    <n v="2"/>
    <x v="1"/>
    <x v="0"/>
    <s v="n/a"/>
    <x v="1"/>
    <n v="0"/>
  </r>
  <r>
    <s v="Heike 2.79"/>
    <s v="者の面魂にてある間 mono no omodamashii nite aru aida"/>
    <s v="he appeared as one "/>
    <s v="にてある"/>
    <s v="indicative"/>
    <s v="other"/>
    <s v="copula"/>
    <x v="0"/>
    <s v="active"/>
    <s v="positive"/>
    <n v="1"/>
    <n v="0"/>
    <s v="n/a"/>
    <n v="0"/>
    <s v="zero_recoverable"/>
    <n v="3"/>
    <s v="n/a"/>
    <s v="n/a"/>
    <n v="0"/>
    <n v="0"/>
    <s v="REL"/>
    <s v="subordinate"/>
    <n v="0"/>
    <x v="0"/>
    <s v="n/a"/>
    <s v="n/a"/>
    <n v="0"/>
    <x v="0"/>
    <x v="1"/>
    <m/>
    <s v="ss"/>
    <x v="1"/>
    <s v="topic-drop"/>
    <s v="no_overt_NP"/>
    <m/>
    <m/>
    <n v="0"/>
    <s v="non-LVC"/>
    <s v="Yes"/>
    <n v="24"/>
    <m/>
    <n v="1"/>
    <n v="3"/>
    <x v="1"/>
    <x v="2"/>
    <s v="n/a"/>
    <x v="1"/>
    <n v="0"/>
  </r>
  <r>
    <s v="Heike 2.80"/>
    <s v="別の事なし (betsu no koto nashi)"/>
    <s v="nothing out of the ordinary had taken place."/>
    <s v="なし"/>
    <s v="indicative"/>
    <s v="other"/>
    <s v="existential verb"/>
    <x v="0"/>
    <s v="active"/>
    <s v="negative"/>
    <n v="1"/>
    <n v="1"/>
    <s v="SUB"/>
    <n v="0"/>
    <s v="overt"/>
    <n v="3"/>
    <s v="n/a"/>
    <s v="n/a"/>
    <n v="0"/>
    <n v="0"/>
    <s v="n/a"/>
    <s v="main"/>
    <n v="0"/>
    <x v="0"/>
    <s v="n/a"/>
    <s v="n/a"/>
    <n v="0"/>
    <x v="2"/>
    <x v="4"/>
    <m/>
    <s v="ds"/>
    <x v="1"/>
    <s v="topic-drop"/>
    <s v="contains_new"/>
    <s v="Subject = 別の事."/>
    <m/>
    <n v="1"/>
    <s v="non-LVC"/>
    <s v="Yes"/>
    <n v="24"/>
    <s v="subordinate"/>
    <n v="1"/>
    <n v="1"/>
    <x v="1"/>
    <x v="1"/>
    <s v="overt"/>
    <x v="0"/>
    <n v="0"/>
  </r>
  <r>
    <s v="Heike 2.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s v="other"/>
    <s v="verb(compound)"/>
    <x v="1"/>
    <s v="active"/>
    <s v="positive"/>
    <n v="1"/>
    <n v="1"/>
    <s v="OBJ"/>
    <n v="2"/>
    <s v="zero_exalt"/>
    <n v="3"/>
    <s v="overt"/>
    <s v="n/a"/>
    <n v="0"/>
    <n v="0"/>
    <s v="REL"/>
    <s v="subordinate"/>
    <n v="0"/>
    <x v="1"/>
    <s v="sub"/>
    <s v="honorific_aux"/>
    <n v="0"/>
    <x v="9"/>
    <x v="3"/>
    <m/>
    <s v="ds"/>
    <x v="1"/>
    <s v="topic-shift"/>
    <s v="contains_new"/>
    <s v="Passive/respect; subject omitted; object 面白き事を overt."/>
    <m/>
    <n v="1"/>
    <s v="non-LVC"/>
    <s v="Yes"/>
    <n v="25"/>
    <s v="main"/>
    <n v="1"/>
    <n v="2"/>
    <x v="0"/>
    <x v="2"/>
    <s v="n/a"/>
    <x v="1"/>
    <n v="0"/>
  </r>
  <r>
    <s v="Heike 2.82"/>
    <s v="中比太宰権帥季仲卿といふ人ありけり (chūbi Dazai gon no so Sukechika kyō to iu hito arikeri)"/>
    <s v="but there was a certain Dazai Gon-no-sotsu Suenaka no Kyo,"/>
    <s v="ありけり"/>
    <s v="indicative"/>
    <s v="stative"/>
    <s v="existential verb"/>
    <x v="0"/>
    <s v="active"/>
    <s v="positive"/>
    <n v="1"/>
    <n v="1"/>
    <s v="SUB"/>
    <n v="1"/>
    <s v="overt"/>
    <n v="3"/>
    <s v="n/a"/>
    <s v="n/a"/>
    <n v="0"/>
    <n v="0"/>
    <s v="n/a"/>
    <s v="main"/>
    <n v="0"/>
    <x v="0"/>
    <s v="n/a"/>
    <s v="n/a"/>
    <n v="0"/>
    <x v="2"/>
    <x v="4"/>
    <m/>
    <s v="ds"/>
    <x v="1"/>
    <s v="topic-introduced"/>
    <s v="contains_new"/>
    <s v="frame predicate"/>
    <m/>
    <n v="1"/>
    <s v="non-LVC"/>
    <s v="Yes"/>
    <n v="25"/>
    <s v="subordinate"/>
    <n v="1"/>
    <n v="1"/>
    <x v="1"/>
    <x v="2"/>
    <s v="n/a"/>
    <x v="1"/>
    <n v="0"/>
  </r>
  <r>
    <s v="Heike 2.83"/>
    <s v="あまりに色の黒かりければ (amari ni iro no kurokarikereba)"/>
    <s v="who was of so dark a complexion that"/>
    <s v="黒かりければ"/>
    <s v="indicative"/>
    <s v="other"/>
    <s v="adjectival predicate"/>
    <x v="0"/>
    <s v="active"/>
    <s v="positive"/>
    <n v="1"/>
    <n v="1"/>
    <s v="SUB"/>
    <n v="1"/>
    <s v="overt"/>
    <n v="3"/>
    <s v="n/a"/>
    <s v="not_applicable"/>
    <n v="0"/>
    <n v="0"/>
    <s v="n/a"/>
    <s v="subordinate"/>
    <n v="0"/>
    <x v="0"/>
    <s v="n/a"/>
    <s v="n/a"/>
    <n v="0"/>
    <x v="3"/>
    <x v="3"/>
    <m/>
    <s v="ds"/>
    <x v="1"/>
    <s v="topic-drop"/>
    <s v="contains_new"/>
    <s v="Adjectival predicate; subject = 色."/>
    <m/>
    <n v="1"/>
    <s v="non-LVC"/>
    <s v="Yes"/>
    <n v="26"/>
    <s v="main"/>
    <n v="1"/>
    <n v="2"/>
    <x v="1"/>
    <x v="2"/>
    <s v="overt"/>
    <x v="1"/>
    <n v="0"/>
  </r>
  <r>
    <s v="Heike 2.84"/>
    <s v="見る人黒帥とぞ申しける (miru hito kurosotsu to zo mōshikeru)"/>
    <s v="people called him 'kuro-sotsu',"/>
    <s v="申しける"/>
    <s v="indicative"/>
    <s v="action"/>
    <s v="verb"/>
    <x v="1"/>
    <s v="active"/>
    <s v="positive"/>
    <n v="1"/>
    <n v="2"/>
    <s v="S+O"/>
    <n v="0"/>
    <s v="overt"/>
    <n v="3"/>
    <s v="overt"/>
    <s v="n/a"/>
    <n v="0"/>
    <n v="0"/>
    <s v="n/a"/>
    <s v="main"/>
    <n v="1"/>
    <x v="0"/>
    <s v="n/a"/>
    <s v="lexical_humble_verb"/>
    <n v="0"/>
    <x v="2"/>
    <x v="4"/>
    <m/>
    <s v="ds"/>
    <x v="0"/>
    <s v="topic-drop"/>
    <s v="contains_new"/>
    <s v="申す humble; subject overt; counted as EXALT INSIG."/>
    <m/>
    <n v="2"/>
    <s v="non-LVC"/>
    <s v="Yes"/>
    <n v="26"/>
    <m/>
    <n v="1"/>
    <n v="1"/>
    <x v="1"/>
    <x v="2"/>
    <s v="n/a"/>
    <x v="1"/>
    <n v="0"/>
  </r>
  <r>
    <s v="Heike 2.85"/>
    <s v="その人未だ蔵人頭たりし時 (sono hito imada kurōdo no tō tarishi toki)"/>
    <s v="and while he was still Kurando-no-to, "/>
    <s v="たりし"/>
    <s v="indicative"/>
    <s v="stative"/>
    <s v="copula"/>
    <x v="0"/>
    <s v="active"/>
    <s v="positive"/>
    <n v="1"/>
    <n v="1"/>
    <s v="SUB"/>
    <n v="0"/>
    <s v="overt"/>
    <n v="3"/>
    <s v="n/a"/>
    <s v="n/a"/>
    <n v="0"/>
    <n v="0"/>
    <s v="REL"/>
    <s v="subordinate"/>
    <n v="0"/>
    <x v="0"/>
    <s v="n/a"/>
    <s v="honorific_aux"/>
    <n v="0"/>
    <x v="0"/>
    <x v="3"/>
    <m/>
    <s v="ss"/>
    <x v="0"/>
    <s v="topic-continued"/>
    <s v="no_overt_NP"/>
    <m/>
    <m/>
    <n v="1"/>
    <s v="non-LVC"/>
    <s v="Yes"/>
    <n v="27"/>
    <s v="subordinate"/>
    <n v="1"/>
    <n v="2"/>
    <x v="1"/>
    <x v="1"/>
    <s v="n/a"/>
    <x v="0"/>
    <n v="0"/>
  </r>
  <r>
    <s v="Heike 2.86"/>
    <s v="五節に舞はれけるに gosechi ni mawarekeru ni"/>
    <s v="when he danced at the Go-sechie,"/>
    <s v="舞はれける"/>
    <s v="indicative"/>
    <s v="action"/>
    <s v="verb"/>
    <x v="0"/>
    <s v="active"/>
    <s v="positive"/>
    <n v="1"/>
    <n v="0"/>
    <s v="n/a"/>
    <n v="0"/>
    <s v="zero_exalt"/>
    <n v="3"/>
    <s v="n/a"/>
    <s v="n/a"/>
    <n v="0"/>
    <n v="0"/>
    <s v="REL"/>
    <s v="subordinate"/>
    <n v="0"/>
    <x v="1"/>
    <s v="sub"/>
    <s v="lexical_honorific_verb"/>
    <n v="0"/>
    <x v="0"/>
    <x v="4"/>
    <m/>
    <s v="ss"/>
    <x v="1"/>
    <s v="topic-drop"/>
    <s v="no_overt_NP"/>
    <m/>
    <m/>
    <n v="0"/>
    <s v="non-LVC"/>
    <s v="Yes"/>
    <n v="27"/>
    <m/>
    <n v="1"/>
    <n v="3"/>
    <x v="1"/>
    <x v="2"/>
    <s v="overt"/>
    <x v="1"/>
    <n v="0"/>
  </r>
  <r>
    <s v="Heike 2.87"/>
    <s v="人々拍子を変へて (hitobito hyōshi o kaete)"/>
    <s v="they changed the rhythm of the music"/>
    <s v="変へて"/>
    <s v="indicative"/>
    <s v="other"/>
    <s v="verb"/>
    <x v="1"/>
    <s v="active"/>
    <s v="positive"/>
    <n v="1"/>
    <n v="2"/>
    <s v="S+O"/>
    <n v="0"/>
    <s v="overt"/>
    <n v="3"/>
    <s v="overt"/>
    <s v="n/a"/>
    <n v="0"/>
    <n v="0"/>
    <s v="n/a"/>
    <s v="te"/>
    <n v="0"/>
    <x v="0"/>
    <s v="n/a"/>
    <s v="n/a"/>
    <n v="0"/>
    <x v="1"/>
    <x v="4"/>
    <s v="te_medial"/>
    <s v="ds"/>
    <x v="0"/>
    <s v="topic-drop"/>
    <s v="contains_new"/>
    <m/>
    <m/>
    <n v="2"/>
    <s v="non-LVC"/>
    <s v="Yes"/>
    <n v="27"/>
    <s v="main"/>
    <n v="1"/>
    <n v="4"/>
    <x v="1"/>
    <x v="2"/>
    <s v="n/a"/>
    <x v="1"/>
    <n v="0"/>
  </r>
  <r>
    <s v="Heike 2.88"/>
    <s v="あなくろくろ黒き頭かな (ana kuro kuro kuroki atama kana)"/>
    <s v="&quot;Oh what a black, black head!&quot;"/>
    <s v="N/A (exclamatory nominal clause)"/>
    <s v="indicative"/>
    <s v="other"/>
    <s v="none"/>
    <x v="0"/>
    <m/>
    <m/>
    <n v="0"/>
    <n v="1"/>
    <s v="SUB"/>
    <n v="0"/>
    <s v="overt"/>
    <n v="3"/>
    <s v="n/a"/>
    <s v="n/a"/>
    <n v="0"/>
    <n v="0"/>
    <s v="n/a"/>
    <s v="main"/>
    <n v="0"/>
    <x v="0"/>
    <s v="n/a"/>
    <s v="n/a"/>
    <n v="0"/>
    <x v="2"/>
    <x v="2"/>
    <m/>
    <s v="ss"/>
    <x v="1"/>
    <s v="topic-drop"/>
    <s v="contains_new"/>
    <m/>
    <m/>
    <m/>
    <s v="non-LVC"/>
    <s v="Yes"/>
    <n v="27"/>
    <s v="complement"/>
    <n v="1"/>
    <n v="1"/>
    <x v="1"/>
    <x v="2"/>
    <s v="overt"/>
    <x v="1"/>
    <n v="0"/>
  </r>
  <r>
    <s v="Heike 2.89"/>
    <s v="いかなる人の漆塗りけんとぞ (ikanaru hito no urushinuriken to zo )"/>
    <s v="&quot;someone must have painted him with lacquer&quot;"/>
    <s v="漆塗りけん"/>
    <s v="epistemic"/>
    <s v="other"/>
    <s v="verb"/>
    <x v="1"/>
    <s v="active"/>
    <s v="positive"/>
    <n v="1"/>
    <n v="2"/>
    <s v="S+O"/>
    <n v="0"/>
    <s v="overt"/>
    <n v="3"/>
    <s v="overt"/>
    <s v="n/a"/>
    <n v="0"/>
    <n v="0"/>
    <s v="n/a"/>
    <s v="complement"/>
    <n v="0"/>
    <x v="0"/>
    <s v="n/a"/>
    <s v="n/a"/>
    <n v="0"/>
    <x v="4"/>
    <x v="3"/>
    <m/>
    <s v="ds"/>
    <x v="1"/>
    <s v="topic-drop"/>
    <s v="contains_new"/>
    <m/>
    <m/>
    <n v="2"/>
    <s v="non-LVC"/>
    <s v="Yes"/>
    <n v="28"/>
    <m/>
    <n v="1"/>
    <n v="2"/>
    <x v="0"/>
    <x v="1"/>
    <s v="overt"/>
    <x v="0"/>
    <n v="0"/>
  </r>
  <r>
    <s v="Heike 2.90"/>
    <s v="囃されける (hayasarekeru)"/>
    <s v="they sang in mockery."/>
    <s v="囃されける"/>
    <s v="indicative"/>
    <s v="communication"/>
    <s v="verb"/>
    <x v="1"/>
    <s v="active"/>
    <s v="positive"/>
    <n v="1"/>
    <n v="1"/>
    <s v="O (Speech)"/>
    <n v="0"/>
    <s v="zero_exalt"/>
    <n v="3"/>
    <s v="overt"/>
    <s v="n/a"/>
    <n v="0"/>
    <n v="0"/>
    <s v="n/a"/>
    <s v="main"/>
    <n v="0"/>
    <x v="1"/>
    <s v="sub"/>
    <s v="honorific_aux"/>
    <n v="0"/>
    <x v="2"/>
    <x v="7"/>
    <m/>
    <s v="ds"/>
    <x v="1"/>
    <s v="topic-drop"/>
    <s v="no_overt_NP"/>
    <m/>
    <m/>
    <n v="1"/>
    <s v="non-LVC"/>
    <s v="Yes"/>
    <n v="28"/>
    <m/>
    <n v="1"/>
    <n v="1"/>
    <x v="1"/>
    <x v="2"/>
    <s v="n/a"/>
    <x v="1"/>
    <n v="0"/>
  </r>
  <r>
    <s v="Heike 2.91"/>
    <s v="また花山院前太政大臣忠雅公未だ十歳と申しし時 (mata Kazanin no saki no Daijōdaijin Tadamasa kō imada jissai to mōshi shi toki)"/>
    <s v="Also, when Prince Tadamasa of the Kazan-in, the former Prime Minister, was only ten years old,"/>
    <s v="申しし"/>
    <s v="indicative"/>
    <s v="action"/>
    <s v="verb"/>
    <x v="0"/>
    <s v="active"/>
    <s v="positive"/>
    <n v="1"/>
    <n v="1"/>
    <s v="SUB"/>
    <n v="1"/>
    <s v="overt"/>
    <n v="3"/>
    <s v="n/a"/>
    <s v="n/a"/>
    <n v="0"/>
    <n v="0"/>
    <s v="n/a"/>
    <s v="subordinate"/>
    <n v="1"/>
    <x v="0"/>
    <s v="sub"/>
    <s v="lexical_humble_verb"/>
    <n v="0"/>
    <x v="0"/>
    <x v="3"/>
    <m/>
    <s v="ds"/>
    <x v="0"/>
    <s v="topic-introduced"/>
    <s v="contains_new"/>
    <m/>
    <m/>
    <n v="1"/>
    <s v="non-LVC"/>
    <s v="Yes"/>
    <n v="29"/>
    <s v="te"/>
    <n v="1"/>
    <n v="2"/>
    <x v="0"/>
    <x v="1"/>
    <s v="n/a"/>
    <x v="0"/>
    <n v="0"/>
  </r>
  <r>
    <s v="Heike 2.92"/>
    <s v="父中納言忠宗卿に後れ給ひて (chichi Chūnagon Tadamune kyō ni okure tamai te)"/>
    <s v="having lost his father, Chunagon Tadamune,"/>
    <s v="後れ給ひて"/>
    <s v="indicative"/>
    <s v="action"/>
    <s v="verb"/>
    <x v="0"/>
    <s v="active"/>
    <s v="positive"/>
    <n v="1"/>
    <n v="1"/>
    <s v="IO"/>
    <n v="0"/>
    <s v="zero_exalt"/>
    <n v="3"/>
    <s v="n/a"/>
    <s v="overt"/>
    <n v="0"/>
    <n v="0"/>
    <s v="n/a"/>
    <s v="te"/>
    <n v="0"/>
    <x v="1"/>
    <s v="sub"/>
    <s v="lexical_honorific_verb"/>
    <n v="0"/>
    <x v="1"/>
    <x v="4"/>
    <s v="te_medial"/>
    <s v="ss"/>
    <x v="0"/>
    <s v="topic-introduced"/>
    <s v="contains_new"/>
    <m/>
    <m/>
    <n v="1"/>
    <s v="non-LVC"/>
    <s v="Yes"/>
    <n v="29"/>
    <s v="subordinate"/>
    <n v="1"/>
    <n v="3"/>
    <x v="1"/>
    <x v="1"/>
    <s v="n/a"/>
    <x v="1"/>
    <n v="0"/>
  </r>
  <r>
    <s v="Heike 2.93"/>
    <s v="孤子にておはせしを (koji nite ohaseshi o)"/>
    <s v="and being left an orphan,"/>
    <s v="おはせし"/>
    <s v="indicative"/>
    <s v="action"/>
    <s v="existential verb"/>
    <x v="0"/>
    <s v="active"/>
    <s v="positive"/>
    <n v="1"/>
    <n v="0"/>
    <s v="n/a"/>
    <n v="0"/>
    <s v="zero_exalt"/>
    <n v="3"/>
    <s v="n/a"/>
    <s v="n/a"/>
    <n v="0"/>
    <n v="0"/>
    <s v="REL"/>
    <s v="subordinate"/>
    <n v="0"/>
    <x v="1"/>
    <s v="sub"/>
    <s v="lexical_honorific_verb"/>
    <n v="0"/>
    <x v="9"/>
    <x v="2"/>
    <m/>
    <s v="ss"/>
    <x v="1"/>
    <s v="topic-drop"/>
    <s v="contains_new"/>
    <m/>
    <m/>
    <n v="0"/>
    <s v="non-LVC"/>
    <s v="Yes"/>
    <n v="29"/>
    <s v="subordinate"/>
    <n v="1"/>
    <n v="4"/>
    <x v="1"/>
    <x v="2"/>
    <s v="n/a"/>
    <x v="1"/>
    <n v="0"/>
  </r>
  <r>
    <s v="Heike 2.94"/>
    <s v="故中御門藤中納言家成卿未だ播磨守にておはしけるが ko-Nakamikado Fuji Chūnagon Ienari kyō imada Harima no kami nite ohasikeru ga"/>
    <s v=" by Fuji Chūnagon Ienari, then Harima no Kami,"/>
    <s v="おはしける"/>
    <s v="indicative"/>
    <s v="stative"/>
    <s v="copula"/>
    <x v="0"/>
    <s v="active"/>
    <s v="positive"/>
    <n v="1"/>
    <n v="1"/>
    <s v="SUB"/>
    <n v="1"/>
    <s v="overt"/>
    <n v="3"/>
    <s v="n/a"/>
    <s v="n/a"/>
    <n v="0"/>
    <n v="0"/>
    <s v="REL"/>
    <s v="subordinate"/>
    <n v="1"/>
    <x v="0"/>
    <s v="sub"/>
    <s v="lexical_honorific_verb"/>
    <n v="0"/>
    <x v="9"/>
    <x v="4"/>
    <m/>
    <s v="ds"/>
    <x v="0"/>
    <s v="topic-introduced"/>
    <s v="contains_new"/>
    <m/>
    <m/>
    <n v="1"/>
    <s v="non-LVC"/>
    <s v="Yes"/>
    <n v="29"/>
    <s v="te"/>
    <n v="1"/>
    <n v="5"/>
    <x v="1"/>
    <x v="0"/>
    <s v="zero_recoverable"/>
    <x v="0"/>
    <n v="0"/>
  </r>
  <r>
    <s v="Heike 2.95"/>
    <s v="聟に取りて muko ni torite "/>
    <s v="he was taken as son-in-law"/>
    <s v="取りて"/>
    <s v="indicative"/>
    <s v="action"/>
    <s v="verb"/>
    <x v="1"/>
    <s v="active"/>
    <s v="positive"/>
    <n v="1"/>
    <n v="1"/>
    <s v="IO"/>
    <n v="0"/>
    <s v="zero_recoverable"/>
    <n v="3"/>
    <s v="zero_recoverable"/>
    <s v="overt"/>
    <n v="0"/>
    <n v="0"/>
    <s v="n/a"/>
    <s v="te"/>
    <n v="0"/>
    <x v="0"/>
    <s v="n/a"/>
    <s v="n/a"/>
    <n v="0"/>
    <x v="2"/>
    <x v="4"/>
    <s v="te_medial"/>
    <s v="ss"/>
    <x v="0"/>
    <s v="topic-drop"/>
    <s v="contains_new"/>
    <m/>
    <m/>
    <n v="1"/>
    <s v="non-LVC"/>
    <s v="Yes"/>
    <n v="29"/>
    <s v="subordinate"/>
    <n v="1"/>
    <n v="6"/>
    <x v="1"/>
    <x v="0"/>
    <s v="n/a"/>
    <x v="1"/>
    <n v="0"/>
  </r>
  <r>
    <s v="Heike 2.96"/>
    <s v="華やかにもてなされければ  hanayaka ni motenasarekereba"/>
    <s v="and splendidly welcomed,"/>
    <s v="もてなされければ"/>
    <s v="indicative"/>
    <s v="action"/>
    <s v="verb"/>
    <x v="0"/>
    <s v="passive"/>
    <s v="positive"/>
    <n v="1"/>
    <n v="0"/>
    <s v="n/a"/>
    <n v="0"/>
    <s v="zero_recoverable"/>
    <n v="3"/>
    <s v="n/a"/>
    <s v="zero_recoverable"/>
    <n v="0"/>
    <n v="0"/>
    <s v="n/a"/>
    <s v="subordinate"/>
    <n v="0"/>
    <x v="0"/>
    <s v="n/a"/>
    <s v="n/a"/>
    <n v="0"/>
    <x v="3"/>
    <x v="2"/>
    <m/>
    <s v="ss"/>
    <x v="1"/>
    <s v="topic-drop"/>
    <s v="contains_new"/>
    <s v="verbal sequence"/>
    <m/>
    <n v="0"/>
    <s v="non-LVC"/>
    <s v="Yes"/>
    <n v="29"/>
    <s v="complement"/>
    <n v="1"/>
    <n v="7"/>
    <x v="1"/>
    <x v="2"/>
    <s v="overt"/>
    <x v="1"/>
    <n v="0"/>
  </r>
  <r>
    <s v="Heike 2.97"/>
    <s v="これも五節には播磨の米は木賊か椋の葉か人の綺羅を磨くはとぞ (kore mo gosechi ni wa Harima no kome wa tokusa ka mukuno ha ka hito no kira o migaku wa to zo)"/>
    <s v="at that Go-sechie with the refrain ‘The rice of Harima...’"/>
    <s v="磨く"/>
    <s v="indicative"/>
    <s v="action"/>
    <s v="verb"/>
    <x v="1"/>
    <s v="active"/>
    <s v="positive"/>
    <n v="1"/>
    <n v="2"/>
    <s v="S+O"/>
    <n v="1"/>
    <s v="overt"/>
    <n v="3"/>
    <s v="overt"/>
    <s v="n/a"/>
    <n v="0"/>
    <n v="0"/>
    <s v="REL"/>
    <s v="complement"/>
    <n v="0"/>
    <x v="0"/>
    <s v="n/a"/>
    <s v="honorific_aux"/>
    <n v="0"/>
    <x v="2"/>
    <x v="4"/>
    <m/>
    <s v="ds"/>
    <x v="1"/>
    <s v="topic-drop"/>
    <s v="contains_new"/>
    <m/>
    <m/>
    <n v="2"/>
    <s v="non-LVC"/>
    <s v="Yes"/>
    <n v="29"/>
    <m/>
    <n v="1"/>
    <n v="8"/>
    <x v="1"/>
    <x v="0"/>
    <s v="n/a"/>
    <x v="0"/>
    <n v="0"/>
  </r>
  <r>
    <s v="Heike 2.98"/>
    <s v="囃されける hayasarekeru"/>
    <s v=" they also japed at him"/>
    <s v="囃されける"/>
    <s v="indicative"/>
    <s v="action"/>
    <s v="verb"/>
    <x v="0"/>
    <s v="passive"/>
    <s v="positive"/>
    <n v="1"/>
    <n v="0"/>
    <s v="n/a"/>
    <n v="1"/>
    <s v="zero_recoverable"/>
    <n v="3"/>
    <s v="n/a"/>
    <s v="n/a"/>
    <n v="0"/>
    <n v="0"/>
    <s v="kakari-musubi"/>
    <s v="main"/>
    <n v="0"/>
    <x v="0"/>
    <s v="n/a"/>
    <s v="n/a"/>
    <n v="0"/>
    <x v="4"/>
    <x v="7"/>
    <m/>
    <s v="ds"/>
    <x v="1"/>
    <s v="topic-drop"/>
    <s v="no_overt_NP"/>
    <m/>
    <m/>
    <n v="0"/>
    <s v="non-LVC"/>
    <s v="Yes"/>
    <n v="29"/>
    <m/>
    <n v="1"/>
    <n v="1"/>
    <x v="1"/>
    <x v="5"/>
    <s v="n/a"/>
    <x v="1"/>
    <n v="0"/>
  </r>
  <r>
    <s v="Heike 2.99"/>
    <s v="上古にはかやうにありしかども (jōko ni wa kayō ni arishikadomo )"/>
    <s v="Long ago such things had happened, "/>
    <s v="ありし / 出で来ず"/>
    <s v="indicative"/>
    <s v="action"/>
    <s v="existential verb"/>
    <x v="0"/>
    <s v="active"/>
    <s v="positive"/>
    <n v="1"/>
    <n v="0"/>
    <s v="n/a"/>
    <n v="2"/>
    <s v="zero_uncertain"/>
    <n v="0"/>
    <s v="n/a"/>
    <s v="n/a"/>
    <n v="0"/>
    <n v="0"/>
    <s v="n/a"/>
    <s v="subordinate"/>
    <n v="0"/>
    <x v="0"/>
    <s v="n/a"/>
    <s v="n/a"/>
    <n v="0"/>
    <x v="9"/>
    <x v="3"/>
    <m/>
    <s v="ds"/>
    <x v="1"/>
    <s v="topic-shift"/>
    <s v="contains_new"/>
    <m/>
    <m/>
    <n v="0"/>
    <s v="non-LVC"/>
    <s v="Yes"/>
    <n v="30"/>
    <s v="subordinate"/>
    <n v="1"/>
    <n v="2"/>
    <x v="0"/>
    <x v="2"/>
    <s v="n/a"/>
    <x v="1"/>
    <n v="0"/>
  </r>
  <r>
    <s v="Heike 2.100"/>
    <s v="事出で来ず koto idekozu"/>
    <s v="but nothing had come of them,"/>
    <s v="出で来ず"/>
    <s v="indicative"/>
    <s v="stative"/>
    <s v="idiom"/>
    <x v="0"/>
    <s v="active"/>
    <s v="negative"/>
    <n v="1"/>
    <n v="1"/>
    <s v="SUB"/>
    <n v="0"/>
    <s v="overt"/>
    <n v="3"/>
    <s v="n/a"/>
    <s v="n/a"/>
    <n v="0"/>
    <n v="0"/>
    <s v="n/a"/>
    <s v="subordinate"/>
    <n v="0"/>
    <x v="0"/>
    <s v="n/a"/>
    <s v="n/a"/>
    <n v="0"/>
    <x v="2"/>
    <x v="4"/>
    <m/>
    <s v="ds"/>
    <x v="2"/>
    <s v="topic-drop"/>
    <s v="contains_new"/>
    <m/>
    <m/>
    <n v="1"/>
    <s v="non-LVC"/>
    <s v="Yes"/>
    <n v="30"/>
    <m/>
    <n v="1"/>
    <n v="3"/>
    <x v="1"/>
    <x v="3"/>
    <m/>
    <x v="1"/>
    <n v="0"/>
  </r>
  <r>
    <s v="Heike 2.101"/>
    <s v="末代いかがあらんずらん (matsudai ikaga aranzuran obotsukanashi)"/>
    <s v="and people said that what was to be done"/>
    <s v="あらんずらん"/>
    <s v="epistemic"/>
    <s v="stative"/>
    <s v="idiom"/>
    <x v="2"/>
    <m/>
    <m/>
    <m/>
    <m/>
    <m/>
    <m/>
    <m/>
    <m/>
    <m/>
    <m/>
    <m/>
    <m/>
    <m/>
    <m/>
    <m/>
    <x v="2"/>
    <s v="n/a"/>
    <s v="n/a"/>
    <m/>
    <x v="5"/>
    <x v="4"/>
    <m/>
    <m/>
    <x v="1"/>
    <m/>
    <m/>
    <m/>
    <m/>
    <m/>
    <s v="non-LVC"/>
    <s v="Yes"/>
    <n v="30"/>
    <m/>
    <n v="1"/>
    <n v="4"/>
    <x v="1"/>
    <x v="5"/>
    <s v="n/a"/>
    <x v="1"/>
    <n v="0"/>
  </r>
  <r>
    <s v="Heike 2.102"/>
    <s v="覚束なし"/>
    <s v="was doubtful"/>
    <s v="覚束なし"/>
    <s v="indicative"/>
    <s v="psych-state"/>
    <s v="adjectival predicate"/>
    <x v="0"/>
    <s v="active"/>
    <s v="negative"/>
    <n v="1"/>
    <n v="0"/>
    <s v="n/a"/>
    <n v="0"/>
    <s v="zero_uncertain"/>
    <n v="0"/>
    <s v="n/a"/>
    <s v="n/a"/>
    <n v="0"/>
    <n v="0"/>
    <s v="n/a"/>
    <s v="main"/>
    <n v="0"/>
    <x v="0"/>
    <s v="n/a"/>
    <s v="n/a"/>
    <n v="0"/>
    <x v="2"/>
    <x v="8"/>
    <m/>
    <s v="ds"/>
    <x v="1"/>
    <s v="topic-drop"/>
    <s v="no_overt_NP"/>
    <m/>
    <m/>
    <n v="0"/>
    <s v="non-LVC"/>
    <s v="Yes"/>
    <n v="30"/>
    <m/>
    <n v="1"/>
    <n v="1"/>
    <x v="1"/>
    <x v="2"/>
    <s v="n/a"/>
    <x v="1"/>
    <n v="0"/>
  </r>
  <r>
    <s v="Heike 2.103"/>
    <s v="案の如く五節果てにしかば (an no gotoku gosechi hate ni shikaba)"/>
    <s v="As he had expected, after the conclusion of the festival,"/>
    <s v="果てにしかば"/>
    <s v="indicative"/>
    <s v="other"/>
    <s v="verb"/>
    <x v="0"/>
    <s v="active"/>
    <s v="positive"/>
    <n v="1"/>
    <n v="1"/>
    <s v="SUB"/>
    <n v="1"/>
    <s v="overt"/>
    <n v="3"/>
    <s v="n/a"/>
    <s v="n/a"/>
    <n v="0"/>
    <n v="0"/>
    <s v="n/a"/>
    <s v="subordinate"/>
    <n v="0"/>
    <x v="0"/>
    <s v="n/a"/>
    <s v="n/a"/>
    <n v="0"/>
    <x v="0"/>
    <x v="3"/>
    <m/>
    <s v="ds"/>
    <x v="1"/>
    <s v="topic-shift"/>
    <s v="contains_new"/>
    <m/>
    <m/>
    <n v="1"/>
    <s v="non-LVC"/>
    <s v="Yes"/>
    <n v="31"/>
    <s v="subordinate"/>
    <n v="1"/>
    <n v="2"/>
    <x v="0"/>
    <x v="2"/>
    <s v="zero_other"/>
    <x v="1"/>
    <n v="0"/>
  </r>
  <r>
    <s v="Heike 2.104"/>
    <s v="殿上人一同に訴へ申されけるは (tenjōbito ichidō ni uttaemōsarekeru wa)"/>
    <s v="all the courtiers and officials together appealed,"/>
    <s v="訴へ申されける"/>
    <s v="indicative"/>
    <s v="other"/>
    <s v="verb"/>
    <x v="1"/>
    <s v="active"/>
    <s v="positive"/>
    <n v="1"/>
    <n v="1"/>
    <s v="SUB"/>
    <n v="1"/>
    <s v="overt"/>
    <n v="3"/>
    <s v="zero_other"/>
    <s v="n/a"/>
    <n v="0"/>
    <n v="0"/>
    <s v="SUB"/>
    <s v="subordinate"/>
    <n v="1"/>
    <x v="0"/>
    <s v="sub"/>
    <s v="honorific_aux+lexical_humble_verb"/>
    <n v="0"/>
    <x v="2"/>
    <x v="4"/>
    <m/>
    <s v="ds"/>
    <x v="1"/>
    <s v="topic-drop"/>
    <s v="contains_new"/>
    <s v="nominalisation"/>
    <m/>
    <n v="1"/>
    <s v="non-LVC"/>
    <s v="Yes"/>
    <n v="31"/>
    <s v="te"/>
    <n v="1"/>
    <n v="3"/>
    <x v="1"/>
    <x v="0"/>
    <s v="overt"/>
    <x v="0"/>
    <n v="0"/>
  </r>
  <r>
    <s v="Heike 2.105"/>
    <s v="それ雄剣を帯して (sore yūken o tai shitei)"/>
    <s v="that wearing a sword"/>
    <s v="帯して "/>
    <s v="indicative"/>
    <s v="action"/>
    <s v="LVC"/>
    <x v="1"/>
    <s v="active"/>
    <s v="positive"/>
    <n v="1"/>
    <n v="1"/>
    <s v="OBJ"/>
    <n v="0"/>
    <s v="zero_recoverable"/>
    <n v="3"/>
    <s v="overt"/>
    <s v="n/a"/>
    <n v="0"/>
    <n v="0"/>
    <s v="n/a"/>
    <s v="te"/>
    <n v="0"/>
    <x v="0"/>
    <s v="n/a"/>
    <s v="n/a"/>
    <n v="0"/>
    <x v="2"/>
    <x v="4"/>
    <s v="te_medial"/>
    <s v="ds"/>
    <x v="0"/>
    <s v="topic-drop"/>
    <s v="contains_new"/>
    <m/>
    <m/>
    <n v="1"/>
    <s v="LVC"/>
    <s v="Yes"/>
    <n v="31"/>
    <s v="te"/>
    <n v="1"/>
    <n v="4"/>
    <x v="1"/>
    <x v="0"/>
    <s v="none"/>
    <x v="1"/>
    <n v="0"/>
  </r>
  <r>
    <s v="Heike 2.106"/>
    <s v="公宴に列し  kōen ni res shi"/>
    <s v=" coming to a Court entertainment "/>
    <s v="列し"/>
    <s v="indicative"/>
    <s v="motion"/>
    <s v="LVC"/>
    <x v="0"/>
    <s v="active"/>
    <s v="positive"/>
    <n v="1"/>
    <n v="1"/>
    <s v="IO"/>
    <n v="0"/>
    <s v="zero_recoverable"/>
    <n v="3"/>
    <s v="none"/>
    <s v="overt"/>
    <n v="0"/>
    <n v="0"/>
    <s v="n/a"/>
    <s v="te"/>
    <n v="0"/>
    <x v="0"/>
    <s v="n/a"/>
    <s v="n/a"/>
    <n v="0"/>
    <x v="2"/>
    <x v="2"/>
    <s v="te_medial"/>
    <s v="ss"/>
    <x v="0"/>
    <s v="topic-drop"/>
    <s v="contains_new"/>
    <m/>
    <m/>
    <n v="1"/>
    <s v="LVC"/>
    <s v="Yes"/>
    <n v="31"/>
    <s v="te"/>
    <n v="1"/>
    <n v="5"/>
    <x v="1"/>
    <x v="1"/>
    <s v="overt"/>
    <x v="1"/>
    <n v="0"/>
  </r>
  <r>
    <s v="Heike 2.107"/>
    <s v="兵仗を賜はりて  hyōjō o tamawari te "/>
    <s v="and bearing arms "/>
    <s v="賜はりて"/>
    <s v="indicative"/>
    <s v="action"/>
    <s v="verb"/>
    <x v="1"/>
    <s v="active"/>
    <s v="positive"/>
    <n v="1"/>
    <n v="1"/>
    <s v="OBJ"/>
    <n v="0"/>
    <s v="zero_exalt"/>
    <n v="3"/>
    <s v="overt"/>
    <s v="n/a"/>
    <n v="0"/>
    <n v="0"/>
    <s v="n/a"/>
    <s v="te"/>
    <n v="0"/>
    <x v="1"/>
    <s v="sub"/>
    <s v="lexical_humble_verb"/>
    <n v="0"/>
    <x v="2"/>
    <x v="2"/>
    <s v="te_medial"/>
    <s v="ss"/>
    <x v="0"/>
    <s v="topic-drop"/>
    <s v="contains_new"/>
    <m/>
    <m/>
    <n v="1"/>
    <s v="non-LVC"/>
    <s v="Yes"/>
    <n v="31"/>
    <s v="subordinate"/>
    <n v="1"/>
    <n v="6"/>
    <x v="1"/>
    <x v="0"/>
    <s v="overt"/>
    <x v="1"/>
    <n v="0"/>
  </r>
  <r>
    <s v="Heike 2.108"/>
    <s v="宮中を出入りするは kyūchū o ideiri suru wa "/>
    <s v="when passing in and out of the Palace"/>
    <s v="出入りする"/>
    <s v="indicative"/>
    <s v="motion"/>
    <s v="verb"/>
    <x v="1"/>
    <s v="active"/>
    <s v="positive"/>
    <n v="1"/>
    <n v="1"/>
    <s v="OBJ"/>
    <n v="0"/>
    <s v="zero_recoverable"/>
    <n v="3"/>
    <s v="overt"/>
    <s v="n/a"/>
    <n v="0"/>
    <n v="0"/>
    <s v="SUB"/>
    <s v="subordinate"/>
    <n v="0"/>
    <x v="0"/>
    <s v="n/a"/>
    <s v="n/a"/>
    <n v="0"/>
    <x v="2"/>
    <x v="2"/>
    <m/>
    <s v="ss"/>
    <x v="1"/>
    <s v="topic-drop"/>
    <s v="contains_new"/>
    <s v="nominalisation"/>
    <m/>
    <n v="1"/>
    <s v="non-LVC"/>
    <s v="Yes"/>
    <n v="31"/>
    <s v="relative"/>
    <n v="1"/>
    <m/>
    <x v="1"/>
    <x v="2"/>
    <s v="overt"/>
    <x v="1"/>
    <n v="0"/>
  </r>
  <r>
    <s v="Heike 2.109"/>
    <s v="皆格式の礼を守る mina kakushiki no rei o mamoru"/>
    <s v=" is according to ancient precedent,"/>
    <s v="守る"/>
    <s v="indicative"/>
    <s v="action"/>
    <s v="verb"/>
    <x v="1"/>
    <s v="active"/>
    <s v="positive"/>
    <n v="1"/>
    <n v="2"/>
    <s v="S+O"/>
    <n v="0"/>
    <s v="overt"/>
    <n v="3"/>
    <s v="overt"/>
    <s v="n/a"/>
    <n v="0"/>
    <n v="1"/>
    <s v="REL"/>
    <s v="relative"/>
    <n v="0"/>
    <x v="0"/>
    <s v="n/a"/>
    <s v="n/a"/>
    <n v="0"/>
    <x v="2"/>
    <x v="4"/>
    <m/>
    <s v="ds"/>
    <x v="1"/>
    <s v="topic-drop"/>
    <s v="contains_new"/>
    <m/>
    <m/>
    <n v="2"/>
    <s v="non-LVC"/>
    <s v="Yes"/>
    <n v="31"/>
    <s v="relative"/>
    <n v="0"/>
    <m/>
    <x v="1"/>
    <x v="2"/>
    <s v="n/a"/>
    <x v="1"/>
    <n v="0"/>
  </r>
  <r>
    <s v="Heike 2.110"/>
    <s v="綸命由ある  rinmei yoshi aru "/>
    <m/>
    <s v="ある"/>
    <s v="indicative"/>
    <s v="stative"/>
    <s v="existential verb"/>
    <x v="0"/>
    <s v="active"/>
    <s v="positive"/>
    <n v="1"/>
    <n v="1"/>
    <s v="SUB"/>
    <n v="0"/>
    <s v="overt"/>
    <n v="3"/>
    <s v="n/a"/>
    <s v="n/a"/>
    <n v="0"/>
    <n v="1"/>
    <s v="REL"/>
    <s v="relative"/>
    <n v="0"/>
    <x v="0"/>
    <s v="n/a"/>
    <s v="n/a"/>
    <n v="0"/>
    <x v="2"/>
    <x v="1"/>
    <m/>
    <s v="ds"/>
    <x v="4"/>
    <s v="topic-drop"/>
    <s v="contains_new"/>
    <m/>
    <m/>
    <n v="1"/>
    <s v="non-LVC"/>
    <s v="Yes"/>
    <n v="31"/>
    <m/>
    <n v="0"/>
    <n v="7"/>
    <x v="1"/>
    <x v="6"/>
    <s v="n/a"/>
    <x v="1"/>
    <n v="0"/>
  </r>
  <r>
    <s v="Heike 2.111"/>
    <s v="先規なり senki nari"/>
    <m/>
    <s v="なり"/>
    <s v="indicative"/>
    <s v="stative"/>
    <s v="copula"/>
    <x v="0"/>
    <s v="active"/>
    <s v="positive"/>
    <n v="1"/>
    <n v="0"/>
    <s v="n/a"/>
    <n v="0"/>
    <s v="none"/>
    <n v="0"/>
    <s v="n/a"/>
    <s v="n/a"/>
    <n v="0"/>
    <n v="0"/>
    <s v="n/a"/>
    <s v="none"/>
    <n v="0"/>
    <x v="0"/>
    <s v="n/a"/>
    <s v="n/a"/>
    <n v="0"/>
    <x v="2"/>
    <x v="1"/>
    <m/>
    <s v="n/a"/>
    <x v="1"/>
    <s v="topic-drop"/>
    <s v="no_overt_NP"/>
    <m/>
    <m/>
    <n v="0"/>
    <s v="non-LVC"/>
    <s v="Yes"/>
    <n v="31"/>
    <m/>
    <n v="1"/>
    <n v="8"/>
    <x v="1"/>
    <x v="2"/>
    <s v="overt"/>
    <x v="1"/>
    <n v="0"/>
  </r>
  <r>
    <s v="Heike 2.112"/>
    <s v="然るを忠盛朝臣或いは相伝の郎従と号して (shikaru o Tadamori ason arui wa sōden no rōjū to gō shite)"/>
    <s v="but Ason Tadamori, calling a certain common soldier his hereditary retainer,"/>
    <s v="号して"/>
    <s v="indicative"/>
    <s v="action"/>
    <s v="verb"/>
    <x v="1"/>
    <s v="active"/>
    <s v="positive"/>
    <n v="1"/>
    <n v="2"/>
    <s v="S+O"/>
    <n v="1"/>
    <s v="overt"/>
    <n v="3"/>
    <s v="overt"/>
    <s v="n/a"/>
    <n v="0"/>
    <n v="0"/>
    <s v="n/a"/>
    <s v="te"/>
    <n v="0"/>
    <x v="0"/>
    <s v="n/a"/>
    <s v="n/a"/>
    <n v="0"/>
    <x v="9"/>
    <x v="9"/>
    <s v="te_medial"/>
    <s v="ds"/>
    <x v="0"/>
    <s v="topic-shift"/>
    <s v="contains_new"/>
    <m/>
    <m/>
    <n v="2"/>
    <s v="non-LVC"/>
    <s v="Yes"/>
    <n v="31"/>
    <s v="inf"/>
    <n v="1"/>
    <n v="9"/>
    <x v="0"/>
    <x v="1"/>
    <s v="overt"/>
    <x v="0"/>
    <n v="0"/>
  </r>
  <r>
    <s v="Heike 2.113"/>
    <s v="布衣の兵を殿上の小庭に召し置き (hoi no hyō o tenjō no koniwa ni meshioki)"/>
    <s v=" and placing him in the small courtyard of the Palace,"/>
    <s v="召し置き"/>
    <s v="indicative"/>
    <s v="action"/>
    <s v="verb"/>
    <x v="1"/>
    <s v="active"/>
    <s v="positive"/>
    <n v="1"/>
    <n v="2"/>
    <s v="O+IO"/>
    <n v="0"/>
    <s v="zero_exalt"/>
    <n v="3"/>
    <s v="overt"/>
    <s v="overt"/>
    <n v="0"/>
    <n v="0"/>
    <s v="n/a"/>
    <s v="inf"/>
    <n v="0"/>
    <x v="1"/>
    <s v="sub"/>
    <s v="lexical_honorific_verb"/>
    <n v="0"/>
    <x v="2"/>
    <x v="2"/>
    <m/>
    <s v="ss"/>
    <x v="0"/>
    <s v="topic-drop"/>
    <s v="contains_new"/>
    <m/>
    <m/>
    <n v="2"/>
    <s v="non-LVC"/>
    <s v="Yes"/>
    <n v="31"/>
    <s v="te"/>
    <n v="1"/>
    <n v="10"/>
    <x v="1"/>
    <x v="2"/>
    <s v="overt"/>
    <x v="1"/>
    <n v="0"/>
  </r>
  <r>
    <s v="Heike 2.114"/>
    <s v="或いは腰の刀を横へ差いて (arui wa koshi no katana o yokoe saite)"/>
    <s v="wearing a sword at his side,"/>
    <s v="差いて"/>
    <s v="indicative"/>
    <s v="other"/>
    <s v="verb"/>
    <x v="1"/>
    <s v="active"/>
    <s v="positive"/>
    <n v="1"/>
    <n v="3"/>
    <s v="S+O+IO"/>
    <n v="2"/>
    <s v="overt"/>
    <n v="3"/>
    <s v="overt"/>
    <s v="overt"/>
    <n v="0"/>
    <n v="0"/>
    <s v="n/a"/>
    <s v="te"/>
    <n v="0"/>
    <x v="0"/>
    <s v="n/a"/>
    <s v="n/a"/>
    <n v="0"/>
    <x v="2"/>
    <x v="6"/>
    <s v="te_medial"/>
    <s v="ss"/>
    <x v="0"/>
    <s v="topic-drop"/>
    <s v="contains_new"/>
    <m/>
    <m/>
    <n v="3"/>
    <s v="non-LVC"/>
    <s v="Yes"/>
    <n v="31"/>
    <s v="relative"/>
    <n v="1"/>
    <m/>
    <x v="1"/>
    <x v="0"/>
    <s v="none"/>
    <x v="0"/>
    <n v="0"/>
  </r>
  <r>
    <s v="Heike 2.115"/>
    <s v="節会の座に列なる setsue no za ni tsuranaru"/>
    <s v="and coming to the festival seat "/>
    <s v="列なる"/>
    <s v="indicative"/>
    <s v="other"/>
    <s v="verb"/>
    <x v="0"/>
    <s v="active"/>
    <s v="positive"/>
    <n v="1"/>
    <n v="1"/>
    <s v="IO"/>
    <n v="0"/>
    <s v="zero_recoverable"/>
    <n v="3"/>
    <s v="none"/>
    <s v="overt"/>
    <n v="0"/>
    <n v="1"/>
    <s v="REL"/>
    <s v="relative"/>
    <n v="0"/>
    <x v="0"/>
    <s v="n/a"/>
    <s v="n/a"/>
    <n v="0"/>
    <x v="2"/>
    <x v="2"/>
    <m/>
    <s v="ss"/>
    <x v="4"/>
    <s v="topic-drop"/>
    <s v="contains_new"/>
    <m/>
    <m/>
    <n v="1"/>
    <s v="non-LVC"/>
    <s v="Yes"/>
    <n v="31"/>
    <s v="relative"/>
    <n v="0"/>
    <m/>
    <x v="1"/>
    <x v="4"/>
    <s v="n/a"/>
    <x v="1"/>
    <n v="0"/>
  </r>
  <r>
    <s v="Heike 2.116"/>
    <s v="[両条稀代]未だ聞かざる (ryōjō kidai imada kikazaru)"/>
    <s v="both acts are unheard-of,"/>
    <s v="聞かざる"/>
    <s v="indicative"/>
    <s v="action"/>
    <s v="verb"/>
    <x v="1"/>
    <s v="active"/>
    <s v="negative"/>
    <n v="1"/>
    <n v="0"/>
    <s v="n/a"/>
    <n v="1"/>
    <s v="zero_other"/>
    <n v="3"/>
    <s v="n/a"/>
    <s v="n/a"/>
    <n v="1"/>
    <n v="0"/>
    <s v="REL"/>
    <s v="relative"/>
    <n v="0"/>
    <x v="0"/>
    <s v="n/a"/>
    <s v="n/a"/>
    <n v="0"/>
    <x v="2"/>
    <x v="1"/>
    <m/>
    <s v="n/a"/>
    <x v="1"/>
    <s v="topic-drop"/>
    <s v="contains_new"/>
    <m/>
    <m/>
    <n v="0"/>
    <s v="non-LVC"/>
    <s v="Yes"/>
    <n v="31"/>
    <s v="main"/>
    <n v="0"/>
    <n v="11"/>
    <x v="1"/>
    <x v="2"/>
    <s v="n/a"/>
    <x v="1"/>
    <n v="0"/>
  </r>
  <r>
    <s v="Heike 2.117"/>
    <s v="狼藉なり rōzaku nari"/>
    <s v="disorderliness"/>
    <s v="狼藉なり"/>
    <s v="indicative"/>
    <s v="stative"/>
    <s v="copula"/>
    <x v="0"/>
    <s v="active"/>
    <s v="positive"/>
    <n v="1"/>
    <n v="1"/>
    <s v="SUB"/>
    <n v="0"/>
    <s v="overt"/>
    <n v="3"/>
    <s v="n/a"/>
    <s v="n/a"/>
    <n v="0"/>
    <n v="0"/>
    <s v="n/a"/>
    <s v="main"/>
    <n v="0"/>
    <x v="0"/>
    <s v="n/a"/>
    <s v="n/a"/>
    <n v="0"/>
    <x v="2"/>
    <x v="1"/>
    <m/>
    <s v="ds"/>
    <x v="1"/>
    <s v="topic-drop"/>
    <s v="contains_new"/>
    <m/>
    <m/>
    <n v="1"/>
    <s v="non-LVC"/>
    <s v="Yes"/>
    <n v="31"/>
    <m/>
    <n v="1"/>
    <n v="1"/>
    <x v="1"/>
    <x v="2"/>
    <s v="n/a"/>
    <x v="1"/>
    <n v="0"/>
  </r>
  <r>
    <s v="Heike 2.118"/>
    <s v="事既に重畳せり (koto sudeni chōjō seri)"/>
    <s v="indeed, one crime piled on another,"/>
    <s v="重畳せり"/>
    <s v="indicative"/>
    <s v="other"/>
    <s v="LVC"/>
    <x v="0"/>
    <s v="active"/>
    <s v="positive"/>
    <n v="1"/>
    <n v="1"/>
    <s v="SUB"/>
    <n v="1"/>
    <s v="overt"/>
    <n v="3"/>
    <s v="n/a"/>
    <s v="n/a"/>
    <n v="0"/>
    <n v="0"/>
    <s v="n/a"/>
    <s v="inf"/>
    <n v="0"/>
    <x v="0"/>
    <s v="n/a"/>
    <s v="n/a"/>
    <n v="0"/>
    <x v="2"/>
    <x v="3"/>
    <m/>
    <s v="ds"/>
    <x v="0"/>
    <s v="topic-drop"/>
    <s v="all given"/>
    <m/>
    <m/>
    <n v="1"/>
    <s v="LVC"/>
    <s v="Yes"/>
    <n v="32"/>
    <m/>
    <n v="1"/>
    <n v="2"/>
    <x v="0"/>
    <x v="2"/>
    <s v="overt"/>
    <x v="1"/>
    <n v="0"/>
  </r>
  <r>
    <s v="Heike 2.119"/>
    <s v="罪科尤も遁れ難し (tsumitoga mottomo nogaregatashi)"/>
    <s v="a charge he would find difficult to escape."/>
    <s v="遁れ難し"/>
    <s v="dynamic"/>
    <s v="stative"/>
    <s v="verb"/>
    <x v="1"/>
    <s v="active"/>
    <s v="positive"/>
    <n v="1"/>
    <n v="1"/>
    <s v="SUB"/>
    <n v="0"/>
    <s v="overt"/>
    <n v="3"/>
    <s v="overt"/>
    <s v="n/a"/>
    <n v="0"/>
    <n v="0"/>
    <s v="n/a"/>
    <s v="main"/>
    <n v="0"/>
    <x v="0"/>
    <s v="n/a"/>
    <s v="n/a"/>
    <n v="0"/>
    <x v="2"/>
    <x v="6"/>
    <m/>
    <s v="ss"/>
    <x v="1"/>
    <s v="topic-drop"/>
    <s v="contains_new"/>
    <m/>
    <m/>
    <n v="1"/>
    <s v="non-LVC"/>
    <s v="Yes"/>
    <n v="32"/>
    <s v="te"/>
    <n v="1"/>
    <n v="1"/>
    <x v="1"/>
    <x v="4"/>
    <s v="overt"/>
    <x v="0"/>
    <n v="0"/>
  </r>
  <r>
    <s v="Heike 2.120"/>
    <s v="早く殿上の御札を削りて (hayaku tenjō no mifuda o kezurite)"/>
    <s v="they petitioned that his name be erased from the list of Courtiers"/>
    <s v="削りて "/>
    <s v="indicative"/>
    <s v="action"/>
    <s v="verb"/>
    <x v="1"/>
    <s v="active"/>
    <s v="positive"/>
    <n v="1"/>
    <n v="1"/>
    <s v="OBJ"/>
    <n v="0"/>
    <s v="zero_other"/>
    <n v="3"/>
    <s v="overt"/>
    <s v="n/a"/>
    <n v="0"/>
    <n v="0"/>
    <s v="n/a"/>
    <s v="te"/>
    <n v="0"/>
    <x v="0"/>
    <s v="n/a"/>
    <s v="n/a"/>
    <n v="0"/>
    <x v="2"/>
    <x v="3"/>
    <s v="te_medial"/>
    <s v="ds"/>
    <x v="0"/>
    <s v="topic-drop"/>
    <s v="contains_new"/>
    <m/>
    <m/>
    <n v="1"/>
    <s v="non-LVC"/>
    <s v="Yes"/>
    <n v="33"/>
    <m/>
    <n v="1"/>
    <m/>
    <x v="1"/>
    <x v="0"/>
    <s v="n/a"/>
    <x v="1"/>
    <n v="0"/>
  </r>
  <r>
    <s v="Heike 2.121"/>
    <s v="欠官停任せらるべき (kekkan teinin seraru beki yoshi)"/>
    <s v=" and he be deprived of rank and office,"/>
    <s v="停任せらるべき"/>
    <s v="deontic"/>
    <s v="action"/>
    <s v="LVC"/>
    <x v="0"/>
    <s v="passive"/>
    <s v="positive"/>
    <n v="1"/>
    <n v="0"/>
    <s v="n/a"/>
    <n v="0"/>
    <s v="zero_recoverable"/>
    <n v="3"/>
    <s v="n/a"/>
    <s v="n/a"/>
    <n v="0"/>
    <n v="1"/>
    <s v="REL"/>
    <s v="relative"/>
    <n v="0"/>
    <x v="0"/>
    <s v="n/a"/>
    <s v="n/a"/>
    <n v="0"/>
    <x v="2"/>
    <x v="2"/>
    <m/>
    <s v="ss"/>
    <x v="1"/>
    <s v="topic-drop"/>
    <s v="no_overt_NP"/>
    <m/>
    <m/>
    <n v="0"/>
    <s v="LVC"/>
    <s v="Yes"/>
    <n v="33"/>
    <m/>
    <n v="0"/>
    <n v="2"/>
    <x v="1"/>
    <x v="2"/>
    <s v="overt"/>
    <x v="1"/>
    <n v="0"/>
  </r>
  <r>
    <s v="Heike 2.122"/>
    <s v="由諸卿一同に訴へ申されければ (yoshi shokyō ichidō ni uttaemōsarekereba)"/>
    <s v="and all the Court Nobles together petitioned,"/>
    <s v="訴へ申されければ"/>
    <s v="indicative"/>
    <s v="action"/>
    <s v="verb"/>
    <x v="1"/>
    <s v="active"/>
    <s v="positive"/>
    <n v="1"/>
    <n v="2"/>
    <s v="S+O"/>
    <n v="1"/>
    <s v="overt"/>
    <n v="3"/>
    <s v="overt"/>
    <s v="n/a"/>
    <n v="0"/>
    <n v="0"/>
    <s v="n/a"/>
    <s v="subordinate"/>
    <n v="1"/>
    <x v="0"/>
    <s v="sub"/>
    <s v="honorific_aux+lexical_honorific_verb"/>
    <n v="0"/>
    <x v="0"/>
    <x v="1"/>
    <m/>
    <s v="ds"/>
    <x v="1"/>
    <s v="topic-drop"/>
    <s v="contains_new"/>
    <m/>
    <m/>
    <n v="2"/>
    <s v="non-LVC"/>
    <s v="Yes"/>
    <n v="33"/>
    <s v="te"/>
    <n v="1"/>
    <n v="3"/>
    <x v="1"/>
    <x v="2"/>
    <s v="n/a"/>
    <x v="1"/>
    <n v="0"/>
  </r>
  <r>
    <s v="Heike 2.123"/>
    <s v="上皇大きに驚かせ給ひて (Jōkō ōki ni odorokase tamai te)"/>
    <s v="His Majesty the Mikado, greatly surprised,"/>
    <s v="驚かせ給ひて"/>
    <s v="indicative"/>
    <s v="action"/>
    <s v="verb"/>
    <x v="0"/>
    <s v="active"/>
    <s v="positive"/>
    <n v="1"/>
    <n v="1"/>
    <s v="SUB"/>
    <n v="0"/>
    <s v="overt"/>
    <n v="3"/>
    <s v="n/a"/>
    <s v="n/a"/>
    <n v="0"/>
    <n v="0"/>
    <s v="n/a"/>
    <s v="te"/>
    <n v="1"/>
    <x v="0"/>
    <s v="sub"/>
    <s v="honorific_aux+lexical_honorific_verb"/>
    <n v="0"/>
    <x v="2"/>
    <x v="4"/>
    <s v="te_medial"/>
    <s v="ds"/>
    <x v="0"/>
    <s v="topic-drop"/>
    <s v="contains_new"/>
    <m/>
    <m/>
    <n v="1"/>
    <s v="non-LVC"/>
    <s v="Yes"/>
    <n v="33"/>
    <s v="te"/>
    <n v="1"/>
    <n v="4"/>
    <x v="1"/>
    <x v="1"/>
    <s v="overt"/>
    <x v="0"/>
    <n v="0"/>
  </r>
  <r>
    <s v="Heike 2.124"/>
    <s v="忠盛を召して (Tadamori o meshite)"/>
    <s v="ordered Tadamori into his Presence,"/>
    <s v="召して"/>
    <s v="indicative"/>
    <s v="action"/>
    <s v="verb"/>
    <x v="0"/>
    <s v="active"/>
    <s v="positive"/>
    <n v="1"/>
    <n v="1"/>
    <s v="OBJ"/>
    <n v="0"/>
    <s v="zero_exalt"/>
    <n v="3"/>
    <s v="overt"/>
    <s v="n/a"/>
    <n v="0"/>
    <n v="0"/>
    <s v="n/a"/>
    <s v="te"/>
    <n v="0"/>
    <x v="1"/>
    <s v="sub"/>
    <s v="lexical_honorific_verb"/>
    <n v="0"/>
    <x v="2"/>
    <x v="2"/>
    <s v="te_medial"/>
    <s v="ss"/>
    <x v="1"/>
    <s v="topic-drop"/>
    <s v="contains_new"/>
    <m/>
    <m/>
    <n v="1"/>
    <s v="non-LVC"/>
    <s v="Yes"/>
    <n v="33"/>
    <s v="main"/>
    <n v="1"/>
    <n v="5"/>
    <x v="1"/>
    <x v="2"/>
    <s v="n/a"/>
    <x v="1"/>
    <n v="0"/>
  </r>
  <r>
    <s v="Heike 2.125"/>
    <s v="御尋ねあり o-tazune ari"/>
    <s v=" to make examination into the affair"/>
    <s v="御尋ねあり"/>
    <s v="indicative"/>
    <s v="action"/>
    <s v="verb"/>
    <x v="0"/>
    <s v="active"/>
    <s v="positive"/>
    <n v="1"/>
    <n v="1"/>
    <s v="SUB"/>
    <n v="0"/>
    <s v="overt"/>
    <n v="3"/>
    <s v="n/a"/>
    <s v="n/a"/>
    <n v="0"/>
    <n v="0"/>
    <s v="n/a"/>
    <s v="main"/>
    <n v="1"/>
    <x v="0"/>
    <s v="sub"/>
    <s v="honorific prefix"/>
    <n v="1"/>
    <x v="2"/>
    <x v="2"/>
    <m/>
    <s v="ds"/>
    <x v="1"/>
    <s v="topic-drop"/>
    <s v="contains_new"/>
    <m/>
    <m/>
    <n v="1"/>
    <s v="non-LVC"/>
    <s v="Yes"/>
    <n v="33"/>
    <m/>
    <n v="1"/>
    <n v="1"/>
    <x v="1"/>
    <x v="1"/>
    <s v="zero_other"/>
    <x v="0"/>
    <n v="0"/>
  </r>
  <r>
    <s v="Heike 2.126"/>
    <s v="陳じ申されけるは (chinji mōsarekeru wa)"/>
    <s v="in his reply he stated that,"/>
    <s v="申されける"/>
    <s v="indicative"/>
    <s v="action"/>
    <s v="verb"/>
    <x v="1"/>
    <s v="active"/>
    <s v="positive"/>
    <n v="1"/>
    <n v="0"/>
    <s v="n/a"/>
    <n v="0"/>
    <s v="zero_exalt"/>
    <n v="3"/>
    <s v="zero_other"/>
    <s v="n/a"/>
    <n v="0"/>
    <n v="0"/>
    <s v="SUB"/>
    <s v="subordinate"/>
    <n v="0"/>
    <x v="1"/>
    <s v="sub"/>
    <s v="honorific_aux+lexical_humble_verb"/>
    <n v="0"/>
    <x v="2"/>
    <x v="3"/>
    <m/>
    <s v="ds"/>
    <x v="0"/>
    <s v="topic-drop"/>
    <s v="no_overt_NP"/>
    <s v="nominalisation"/>
    <m/>
    <n v="0"/>
    <s v="non-LVC"/>
    <s v="Yes"/>
    <n v="34"/>
    <m/>
    <n v="1"/>
    <n v="2"/>
    <x v="0"/>
    <x v="1"/>
    <s v="overt"/>
    <x v="1"/>
    <n v="0"/>
  </r>
  <r>
    <s v="Heike 2.127"/>
    <s v="まづ郎従小庭に伺候の由全く覚悟仕らず (mazu rōjū koniwa ni shikō no yoshi mattaku kakugo tsukamatsurazu)"/>
    <s v="as to the presence of his retainer in the Palace, he certainly knew nothing about it,"/>
    <s v="覚悟仕らず"/>
    <s v="indicative"/>
    <s v="action"/>
    <s v="LVC"/>
    <x v="1"/>
    <s v="active"/>
    <s v="negative"/>
    <n v="1"/>
    <n v="1"/>
    <s v="OBJ"/>
    <n v="2"/>
    <s v="zero_exalt"/>
    <n v="3"/>
    <s v="overt"/>
    <s v="n/a"/>
    <n v="0"/>
    <n v="0"/>
    <s v="n/a"/>
    <s v="subordinate"/>
    <n v="0"/>
    <x v="1"/>
    <s v="sub"/>
    <s v="lexical_humble_verb"/>
    <n v="0"/>
    <x v="2"/>
    <x v="4"/>
    <m/>
    <s v="ss"/>
    <x v="1"/>
    <s v="topic-drop"/>
    <s v="contains_new"/>
    <m/>
    <m/>
    <n v="1"/>
    <s v="LVC"/>
    <s v="Yes"/>
    <n v="34"/>
    <s v="relative"/>
    <n v="1"/>
    <m/>
    <x v="0"/>
    <x v="2"/>
    <s v="zero_other"/>
    <x v="1"/>
    <n v="1"/>
  </r>
  <r>
    <s v="Heike 2.128"/>
    <s v="但し近日人々相巧まるる (tadashi kinjitsu hitobito ai-takuramaruru)"/>
    <s v=" [...]  the designs that people were plotting,"/>
    <s v="巧まるる"/>
    <s v="indicative"/>
    <s v="action"/>
    <s v="verb"/>
    <x v="1"/>
    <s v="active"/>
    <s v="positive"/>
    <n v="1"/>
    <n v="1"/>
    <s v="SUB"/>
    <n v="1"/>
    <s v="overt"/>
    <n v="3"/>
    <s v="zero_other"/>
    <s v="n/a"/>
    <n v="0"/>
    <n v="0"/>
    <s v="REL"/>
    <s v="relative"/>
    <n v="1"/>
    <x v="0"/>
    <s v="sub"/>
    <s v="honorific_aux"/>
    <n v="0"/>
    <x v="2"/>
    <x v="4"/>
    <m/>
    <s v="ds"/>
    <x v="1"/>
    <s v="topic-drop"/>
    <s v="contains_new"/>
    <m/>
    <m/>
    <n v="1"/>
    <s v="non-LVC"/>
    <s v="Yes"/>
    <n v="34"/>
    <s v="subordinate"/>
    <n v="0"/>
    <n v="3"/>
    <x v="1"/>
    <x v="2"/>
    <s v="n/a"/>
    <x v="1"/>
    <n v="0"/>
  </r>
  <r>
    <s v="Heike 2.129"/>
    <s v="旨子細あるかの間 mune shisai aru ka no aida "/>
    <s v="[…] had lately heard of"/>
    <s v="ある"/>
    <s v="indicative"/>
    <s v="stative"/>
    <s v="existential verb"/>
    <x v="0"/>
    <s v="active"/>
    <s v="positive"/>
    <n v="1"/>
    <n v="1"/>
    <s v="SUB"/>
    <n v="1"/>
    <s v="overt"/>
    <n v="3"/>
    <s v="n/a"/>
    <s v="n/a"/>
    <n v="0"/>
    <n v="0"/>
    <s v="n/a"/>
    <s v="subordinate"/>
    <n v="0"/>
    <x v="0"/>
    <s v="n/a"/>
    <s v="n/a"/>
    <n v="0"/>
    <x v="0"/>
    <x v="1"/>
    <m/>
    <s v="ds"/>
    <x v="0"/>
    <s v="topic-drop"/>
    <s v="contains_new"/>
    <m/>
    <m/>
    <n v="1"/>
    <s v="non-LVC"/>
    <s v="Yes"/>
    <n v="34"/>
    <s v="subordinate"/>
    <n v="1"/>
    <n v="4"/>
    <x v="1"/>
    <x v="2"/>
    <s v="overt"/>
    <x v="1"/>
    <n v="0"/>
  </r>
  <r>
    <s v="Heike 2.130"/>
    <s v="年来の家人事を伝へ聞くかによつて (nenrai no kenin goto o tsutae kiku ka ni yotte)"/>
    <s v=" if his retainers"/>
    <s v="伝へ聞く"/>
    <s v="indicative"/>
    <s v="perception"/>
    <s v="compound verb"/>
    <x v="1"/>
    <s v="active"/>
    <s v="positive"/>
    <n v="1"/>
    <n v="2"/>
    <s v="S+O"/>
    <n v="1"/>
    <s v="overt"/>
    <n v="3"/>
    <s v="overt"/>
    <s v="n/a"/>
    <n v="0"/>
    <n v="0"/>
    <s v="n/a"/>
    <s v="subordinate"/>
    <n v="0"/>
    <x v="0"/>
    <s v="n/a"/>
    <s v="n/a"/>
    <n v="0"/>
    <x v="1"/>
    <x v="4"/>
    <m/>
    <s v="ss"/>
    <x v="0"/>
    <s v="topic-drop"/>
    <s v="contains_new"/>
    <m/>
    <m/>
    <n v="2"/>
    <s v="non-LVC"/>
    <s v="Yes"/>
    <n v="34"/>
    <s v="subordinate"/>
    <n v="1"/>
    <n v="5"/>
    <x v="1"/>
    <x v="0"/>
    <s v="overt"/>
    <x v="0"/>
    <n v="0"/>
  </r>
  <r>
    <s v="Heike 2.131"/>
    <s v="その恥を助けんが為に (sono haji o tasuken ga tame ni)"/>
    <s v="and in order to help him against such dishonour,  intending to prevent dishonour,"/>
    <s v="助けん"/>
    <s v="dynamic"/>
    <s v="other"/>
    <s v="verb"/>
    <x v="1"/>
    <s v="active"/>
    <s v="positive"/>
    <n v="1"/>
    <n v="1"/>
    <s v="OBJ"/>
    <n v="0"/>
    <s v="zero_recoverable"/>
    <n v="3"/>
    <s v="overt"/>
    <s v="n/a"/>
    <n v="0"/>
    <n v="0"/>
    <s v="n/a"/>
    <s v="subordinate"/>
    <n v="0"/>
    <x v="0"/>
    <s v="n/a"/>
    <s v="n/a"/>
    <n v="0"/>
    <x v="7"/>
    <x v="4"/>
    <m/>
    <s v="ss"/>
    <x v="0"/>
    <s v="topic-drop"/>
    <s v="contains_new"/>
    <m/>
    <m/>
    <n v="1"/>
    <s v="non-LVC"/>
    <s v="Yes"/>
    <n v="34"/>
    <s v="te"/>
    <n v="1"/>
    <n v="6"/>
    <x v="1"/>
    <x v="0"/>
    <s v="zero_recoverable"/>
    <x v="1"/>
    <n v="1"/>
  </r>
  <r>
    <s v="Heike 2.132"/>
    <s v="忠盛には知らせずして Tadamori ni wa shirasazu shite"/>
    <s v=" without informing him,  "/>
    <s v="知らせず"/>
    <s v="indicative"/>
    <s v="other"/>
    <s v="verb"/>
    <x v="3"/>
    <s v="active"/>
    <s v="negative"/>
    <n v="1"/>
    <n v="2"/>
    <s v="IO"/>
    <n v="1"/>
    <s v="zero_recoverable"/>
    <n v="3"/>
    <s v="zero_recoverable"/>
    <s v="overt"/>
    <n v="0"/>
    <n v="0"/>
    <s v="n/a"/>
    <s v="te"/>
    <n v="0"/>
    <x v="0"/>
    <s v="n/a"/>
    <s v="n/a"/>
    <n v="0"/>
    <x v="1"/>
    <x v="4"/>
    <s v="te_medial"/>
    <s v="ss"/>
    <x v="2"/>
    <s v="topic-continued"/>
    <s v="contains_new"/>
    <m/>
    <m/>
    <n v="2"/>
    <s v="non-LVC"/>
    <s v="Yes"/>
    <n v="34"/>
    <m/>
    <n v="1"/>
    <n v="7"/>
    <x v="1"/>
    <x v="3"/>
    <m/>
    <x v="1"/>
    <n v="0"/>
  </r>
  <r>
    <s v="Heike 2.133"/>
    <s v="密かに参候の条 (hisoka ni sankō no jō)"/>
    <s v="his retainers had come hither secretly"/>
    <s v="N/A (nominal clause)"/>
    <s v="indicative"/>
    <s v="other"/>
    <s v="none"/>
    <x v="2"/>
    <m/>
    <m/>
    <m/>
    <m/>
    <m/>
    <m/>
    <m/>
    <m/>
    <m/>
    <m/>
    <m/>
    <m/>
    <m/>
    <m/>
    <m/>
    <x v="2"/>
    <s v="n/a"/>
    <s v="n/a"/>
    <m/>
    <x v="5"/>
    <x v="2"/>
    <m/>
    <m/>
    <x v="1"/>
    <m/>
    <m/>
    <s v="not sure if I should treat this as a nominal or verbal predicate or whether there is predication at all"/>
    <m/>
    <m/>
    <s v="non-LVC"/>
    <s v="Yes"/>
    <n v="34"/>
    <m/>
    <n v="1"/>
    <m/>
    <x v="1"/>
    <x v="2"/>
    <s v="n/a"/>
    <x v="1"/>
    <n v="0"/>
  </r>
  <r>
    <s v="Heike 2.134"/>
    <s v="力及ばざる chikara oyobazaru"/>
    <s v="his retainers had come hither secretly"/>
    <s v="及ばざる"/>
    <s v="indicative"/>
    <s v="other"/>
    <s v="verb"/>
    <x v="0"/>
    <s v="active"/>
    <s v="negative"/>
    <n v="1"/>
    <n v="1"/>
    <s v="SUB"/>
    <n v="0"/>
    <s v="overt"/>
    <n v="3"/>
    <s v="n/a"/>
    <s v="n/a"/>
    <n v="0"/>
    <n v="1"/>
    <s v="REL"/>
    <s v="relative"/>
    <n v="0"/>
    <x v="0"/>
    <s v="n/a"/>
    <s v="n/a"/>
    <n v="0"/>
    <x v="2"/>
    <x v="8"/>
    <m/>
    <s v="ds"/>
    <x v="1"/>
    <s v="topic-drop"/>
    <s v="contains_new"/>
    <m/>
    <m/>
    <n v="1"/>
    <s v="non-LVC"/>
    <s v="Yes"/>
    <n v="34"/>
    <m/>
    <n v="0"/>
    <n v="8"/>
    <x v="1"/>
    <x v="0"/>
    <s v="n/a"/>
    <x v="0"/>
    <n v="0"/>
  </r>
  <r>
    <s v="Heike 2.135"/>
    <s v="次第なり"/>
    <s v="shidai nari"/>
    <s v="なり"/>
    <s v="indicative"/>
    <s v="stative"/>
    <s v="copula"/>
    <x v="0"/>
    <s v="active"/>
    <s v="positive"/>
    <n v="1"/>
    <n v="0"/>
    <s v="n/a"/>
    <n v="0"/>
    <s v="zero_recoverable"/>
    <n v="3"/>
    <s v="n/a"/>
    <s v="n/a"/>
    <n v="0"/>
    <n v="0"/>
    <s v="n/a"/>
    <s v="main"/>
    <n v="0"/>
    <x v="0"/>
    <s v="n/a"/>
    <s v="n/a"/>
    <n v="0"/>
    <x v="2"/>
    <x v="1"/>
    <m/>
    <s v="ds"/>
    <x v="1"/>
    <s v="topic-drop"/>
    <s v="no_overt_NP"/>
    <m/>
    <m/>
    <n v="0"/>
    <s v="non-LVC"/>
    <s v="Yes"/>
    <n v="34"/>
    <m/>
    <n v="1"/>
    <n v="1"/>
    <x v="1"/>
    <x v="2"/>
    <s v="n/a"/>
    <x v="1"/>
    <n v="0"/>
  </r>
  <r>
    <s v="Heike 2.136"/>
    <s v="もしその咎あるべくば (moshi sono toga arubekuba)"/>
    <s v="&quot;if there be any blame, "/>
    <s v="ある"/>
    <s v="indicative"/>
    <s v="stative"/>
    <s v="existential verb"/>
    <x v="0"/>
    <s v="active"/>
    <s v="positive"/>
    <n v="1"/>
    <n v="1"/>
    <s v="SUB"/>
    <n v="0"/>
    <s v="overt"/>
    <n v="3"/>
    <s v="n/a"/>
    <s v="n/a"/>
    <n v="0"/>
    <n v="0"/>
    <s v="n/a"/>
    <s v="subordinate"/>
    <n v="0"/>
    <x v="0"/>
    <s v="n/a"/>
    <s v="n/a"/>
    <n v="0"/>
    <x v="10"/>
    <x v="3"/>
    <m/>
    <s v="ds"/>
    <x v="1"/>
    <s v="topic-shift"/>
    <s v="contains_new"/>
    <m/>
    <m/>
    <n v="1"/>
    <s v="non-LVC"/>
    <s v="Yes"/>
    <n v="35"/>
    <s v="main"/>
    <n v="1"/>
    <n v="2"/>
    <x v="0"/>
    <x v="1"/>
    <s v="overt"/>
    <x v="0"/>
    <n v="0"/>
  </r>
  <r>
    <s v="Heike 2.137"/>
    <s v="かの身を召し進ずべきか  ka no mi o meshi shinzu beki ka"/>
    <s v="do I not yield my body herewith?&quot;"/>
    <s v="召し進ずべき"/>
    <s v="deontic"/>
    <s v="action"/>
    <s v="LVC"/>
    <x v="2"/>
    <s v="active"/>
    <s v="positive"/>
    <n v="1"/>
    <n v="1"/>
    <s v="OBJ"/>
    <n v="0"/>
    <s v="zero_exalt"/>
    <n v="1"/>
    <s v="overt"/>
    <s v="n/a"/>
    <n v="0"/>
    <n v="0"/>
    <s v="n/a"/>
    <s v="main"/>
    <n v="0"/>
    <x v="1"/>
    <s v="sub"/>
    <s v="lexical_honorific_verb"/>
    <n v="0"/>
    <x v="2"/>
    <x v="4"/>
    <m/>
    <s v="ds"/>
    <x v="0"/>
    <s v="topic-drop"/>
    <s v="contains_new"/>
    <m/>
    <m/>
    <n v="1"/>
    <s v="LVC"/>
    <s v="Yes"/>
    <n v="35"/>
    <s v="main"/>
    <n v="1"/>
    <n v="1"/>
    <x v="1"/>
    <x v="0"/>
    <s v="overt"/>
    <x v="1"/>
    <n v="0"/>
  </r>
  <r>
    <s v="Heike 2.138"/>
    <s v="次に刀の事は主殿司に預け置き候ひ畢んぬ (tsugi ni katana no koto wa tonomotsukasa ni azukeoki soroiowannu)"/>
    <s v="as for the sword, I deposited it in the Tonomotsukasa,"/>
    <s v="預け置き / 候ひ畢んぬ"/>
    <s v="indicative"/>
    <s v="action"/>
    <s v="compound verb"/>
    <x v="1"/>
    <s v="active"/>
    <s v="positive"/>
    <n v="1"/>
    <n v="2"/>
    <s v="O+IO"/>
    <n v="0"/>
    <s v="zero_recoverable"/>
    <n v="1"/>
    <s v="overt"/>
    <s v="overt"/>
    <n v="0"/>
    <n v="0"/>
    <s v="n/a"/>
    <s v="main"/>
    <n v="0"/>
    <x v="0"/>
    <s v="n/a"/>
    <s v="polite_aux"/>
    <n v="0"/>
    <x v="2"/>
    <x v="3"/>
    <m/>
    <s v="ss"/>
    <x v="1"/>
    <s v="topic-shift"/>
    <s v="contains_new"/>
    <m/>
    <m/>
    <n v="2"/>
    <s v="non-LVC"/>
    <s v="Yes"/>
    <n v="36"/>
    <m/>
    <n v="1"/>
    <n v="1"/>
    <x v="1"/>
    <x v="1"/>
    <s v="zero_recoverable"/>
    <x v="1"/>
    <n v="1"/>
  </r>
  <r>
    <s v="Heike 2.139"/>
    <s v="召し出だされ (meshi idasare)"/>
    <s v="if it be brought out from thence,"/>
    <s v="召し出だされ "/>
    <s v="indicative"/>
    <s v="action"/>
    <s v="verb"/>
    <x v="0"/>
    <s v="passive"/>
    <s v="positive"/>
    <n v="1"/>
    <n v="0"/>
    <s v="n/a"/>
    <n v="0"/>
    <s v="zero_exalt"/>
    <n v="3"/>
    <s v="zero_recoverable"/>
    <s v="zero_recoverable"/>
    <n v="0"/>
    <n v="0"/>
    <s v="n/a"/>
    <s v="main"/>
    <n v="0"/>
    <x v="1"/>
    <s v="sub"/>
    <s v="lexical_honorific_verb"/>
    <n v="0"/>
    <x v="2"/>
    <x v="3"/>
    <m/>
    <s v="ds"/>
    <x v="0"/>
    <s v="topic-drop"/>
    <s v="no_overt_NP"/>
    <m/>
    <m/>
    <n v="0"/>
    <s v="non-LVC"/>
    <s v="Yes"/>
    <n v="37"/>
    <m/>
    <n v="1"/>
    <n v="1"/>
    <x v="1"/>
    <x v="2"/>
    <s v="n/a"/>
    <x v="1"/>
    <n v="0"/>
  </r>
  <r>
    <s v="Heike 2.140"/>
    <s v="刀の実否に付きて咎の左右あるべきか  katana no jippi ni tsukite toga no sayū aru beki ka"/>
    <s v=" it may be seen if it be a real sword or not,"/>
    <s v="あるべき"/>
    <s v="deontic"/>
    <s v="stative"/>
    <s v="existential verb"/>
    <x v="0"/>
    <s v="active"/>
    <s v="positive"/>
    <n v="1"/>
    <n v="1"/>
    <s v="SUB"/>
    <n v="1"/>
    <s v="overt"/>
    <n v="3"/>
    <s v="n/a"/>
    <s v="n/a"/>
    <n v="0"/>
    <n v="0"/>
    <s v="n/a"/>
    <s v="main"/>
    <n v="0"/>
    <x v="0"/>
    <s v="n/a"/>
    <s v="n/a"/>
    <n v="0"/>
    <x v="2"/>
    <x v="3"/>
    <m/>
    <s v="ss"/>
    <x v="1"/>
    <s v="topic-drop"/>
    <s v="contains_new"/>
    <m/>
    <m/>
    <n v="1"/>
    <s v="non-LVC"/>
    <s v="Yes"/>
    <n v="38"/>
    <s v="subordinate"/>
    <n v="1"/>
    <n v="1"/>
    <x v="0"/>
    <x v="2"/>
    <s v="n/a"/>
    <x v="1"/>
    <n v="0"/>
  </r>
  <r>
    <s v="Heike 2.141"/>
    <s v="この儀尤も然るべしとて (kono gi motto mo shikarubeshi tote)"/>
    <s v="&quot;This seems quite reasonable,&quot;"/>
    <s v="然るべし"/>
    <s v="deontic"/>
    <s v="stative"/>
    <s v="adjectival predicate"/>
    <x v="0"/>
    <s v="active"/>
    <s v="positive"/>
    <n v="1"/>
    <n v="1"/>
    <s v="SUB"/>
    <n v="0"/>
    <s v="overt"/>
    <n v="3"/>
    <s v="n/a"/>
    <s v="n/a"/>
    <n v="0"/>
    <n v="0"/>
    <s v="n/a"/>
    <s v="subordinate"/>
    <n v="0"/>
    <x v="0"/>
    <s v="n/a"/>
    <s v="n/a"/>
    <n v="0"/>
    <x v="3"/>
    <x v="3"/>
    <m/>
    <s v="ds"/>
    <x v="1"/>
    <s v="topic-drop"/>
    <s v="contains_new"/>
    <m/>
    <m/>
    <n v="1"/>
    <s v="non-LVC"/>
    <s v="Yes"/>
    <n v="39"/>
    <m/>
    <n v="1"/>
    <n v="2"/>
    <x v="1"/>
    <x v="1"/>
    <s v="overt"/>
    <x v="0"/>
    <n v="0"/>
  </r>
  <r>
    <s v="Heike 2.142"/>
    <s v="かの刀を召し出でて (kano katana o meshi-idete)"/>
    <s v="and they hastened to bring forth the sword,"/>
    <s v="召し出でて"/>
    <s v="indicative"/>
    <s v="action"/>
    <s v="verb"/>
    <x v="1"/>
    <s v="active"/>
    <s v="positive"/>
    <n v="1"/>
    <n v="1"/>
    <s v="OBJ"/>
    <n v="1"/>
    <s v="zero_exalt"/>
    <n v="3"/>
    <s v="overt"/>
    <s v="n/a"/>
    <n v="0"/>
    <n v="0"/>
    <s v="n/a"/>
    <s v="te"/>
    <n v="0"/>
    <x v="1"/>
    <s v="sub"/>
    <s v="lexical_honorific_verb"/>
    <n v="0"/>
    <x v="1"/>
    <x v="4"/>
    <s v="te_medial"/>
    <s v="ds"/>
    <x v="0"/>
    <s v="topic-continued"/>
    <s v="all given"/>
    <m/>
    <m/>
    <n v="1"/>
    <s v="non-LVC"/>
    <s v="Yes"/>
    <n v="39"/>
    <m/>
    <n v="1"/>
    <n v="3"/>
    <x v="1"/>
    <x v="1"/>
    <s v="zero_recoverable"/>
    <x v="1"/>
    <n v="1"/>
  </r>
  <r>
    <s v="Heike 2.143"/>
    <s v="叡覧あるに (eiran aru ni)"/>
    <s v="and exhibit it before His Majesty,"/>
    <s v="叡覧ある"/>
    <s v="indicative"/>
    <s v="action"/>
    <s v="LVC"/>
    <x v="1"/>
    <s v="active"/>
    <s v="positive"/>
    <n v="1"/>
    <n v="0"/>
    <s v="n/a"/>
    <n v="0"/>
    <s v="zero_exalt"/>
    <n v="3"/>
    <s v="zero_recoverable"/>
    <s v="n/a"/>
    <n v="0"/>
    <n v="0"/>
    <s v="n/a"/>
    <s v="subordinate"/>
    <n v="0"/>
    <x v="1"/>
    <s v="sub"/>
    <s v="lexical_honorific_verb"/>
    <n v="0"/>
    <x v="0"/>
    <x v="2"/>
    <m/>
    <s v="ss"/>
    <x v="1"/>
    <s v="topic-drop"/>
    <s v="no_overt_NP"/>
    <m/>
    <m/>
    <n v="0"/>
    <s v="LVC"/>
    <s v="Yes"/>
    <n v="39"/>
    <m/>
    <n v="1"/>
    <n v="4"/>
    <x v="1"/>
    <x v="2"/>
    <s v="n/a"/>
    <x v="1"/>
    <n v="0"/>
  </r>
  <r>
    <s v="Heike 2.144"/>
    <s v="上は鞘巻の黒う塗つたりけるが (ue wa sayamaki no kuro u nuttari keru ga)"/>
    <s v="its outside was that of a dirk in a black lacquer sheath,"/>
    <s v="塗つたりける"/>
    <s v="indicative"/>
    <s v="stative"/>
    <s v="verb"/>
    <x v="0"/>
    <s v="resultative"/>
    <s v="positive"/>
    <n v="1"/>
    <n v="1"/>
    <s v="SUB"/>
    <n v="0"/>
    <s v="overt"/>
    <n v="3"/>
    <s v="n/a"/>
    <s v="n/a"/>
    <n v="0"/>
    <n v="0"/>
    <s v="n/a"/>
    <s v="subordinate"/>
    <n v="0"/>
    <x v="0"/>
    <s v="n/a"/>
    <s v="n/a"/>
    <n v="0"/>
    <x v="9"/>
    <x v="4"/>
    <m/>
    <s v="ds"/>
    <x v="1"/>
    <s v="topic-drop"/>
    <s v="contains_new"/>
    <m/>
    <m/>
    <n v="1"/>
    <s v="non-LVC"/>
    <s v="Yes"/>
    <n v="39"/>
    <s v="main"/>
    <n v="1"/>
    <n v="5"/>
    <x v="1"/>
    <x v="2"/>
    <s v="overt"/>
    <x v="1"/>
    <n v="0"/>
  </r>
  <r>
    <s v="Heike 2.145"/>
    <s v="中は木刀に銀薄をぞ押したりける (naka wa bokutō ni gin-haku o zo oshitari keru)"/>
    <s v="but within was only a wooden blade covered with silver."/>
    <s v="押したりける"/>
    <s v="indicative"/>
    <s v="stative"/>
    <s v="verb"/>
    <x v="1"/>
    <s v="resultative"/>
    <s v="positive"/>
    <n v="1"/>
    <n v="3"/>
    <s v="S+O+IO"/>
    <n v="0"/>
    <s v="overt"/>
    <n v="3"/>
    <s v="overt"/>
    <s v="overt"/>
    <n v="0"/>
    <n v="0"/>
    <s v="n/a"/>
    <s v="main"/>
    <n v="0"/>
    <x v="0"/>
    <s v="n/a"/>
    <s v="n/a"/>
    <n v="0"/>
    <x v="2"/>
    <x v="4"/>
    <m/>
    <s v="ds"/>
    <x v="1"/>
    <s v="topic-drop"/>
    <s v="contains_new"/>
    <m/>
    <m/>
    <n v="3"/>
    <s v="non-LVC"/>
    <s v="Yes"/>
    <n v="39"/>
    <s v="subordinate"/>
    <n v="1"/>
    <n v="1"/>
    <x v="1"/>
    <x v="0"/>
    <s v="overt"/>
    <x v="0"/>
    <n v="0"/>
  </r>
  <r>
    <s v="Heike 2.146"/>
    <s v="当座の恥辱を遁れんが為に (tōza no chijoku o nogaren ga tame ni)"/>
    <s v=" to avoid dishonour at the moment,"/>
    <s v="遁れん "/>
    <s v="dynamic"/>
    <s v="other"/>
    <s v="verb"/>
    <x v="1"/>
    <s v="active"/>
    <s v="positive"/>
    <n v="1"/>
    <n v="1"/>
    <s v="OBJ"/>
    <n v="0"/>
    <s v="zero_recoverable"/>
    <n v="3"/>
    <s v="overt"/>
    <s v="n/a"/>
    <n v="0"/>
    <n v="0"/>
    <s v="n/a"/>
    <s v="subordinate"/>
    <n v="0"/>
    <x v="0"/>
    <s v="n/a"/>
    <s v="n/a"/>
    <n v="0"/>
    <x v="7"/>
    <x v="3"/>
    <m/>
    <s v="ds"/>
    <x v="0"/>
    <s v="topic-drop"/>
    <s v="contains_new"/>
    <m/>
    <m/>
    <n v="1"/>
    <s v="non-LVC"/>
    <s v="Yes"/>
    <n v="40"/>
    <m/>
    <n v="1"/>
    <m/>
    <x v="1"/>
    <x v="0"/>
    <s v="overt"/>
    <x v="1"/>
    <n v="0"/>
  </r>
  <r>
    <s v="Heike 2.147"/>
    <s v="刀を帯する katana o taisuru "/>
    <s v="Although he had displayed "/>
    <s v="帯する"/>
    <s v="indicative"/>
    <s v="other"/>
    <s v="LVC"/>
    <x v="1"/>
    <s v="active"/>
    <s v="positive"/>
    <n v="1"/>
    <n v="1"/>
    <s v="OBJ"/>
    <n v="0"/>
    <s v="zero_recoverable"/>
    <n v="3"/>
    <s v="overt"/>
    <s v="n/a"/>
    <n v="0"/>
    <n v="1"/>
    <s v="REL"/>
    <s v="relative"/>
    <n v="0"/>
    <x v="0"/>
    <s v="n/a"/>
    <s v="n/a"/>
    <n v="0"/>
    <x v="2"/>
    <x v="4"/>
    <m/>
    <s v="ss"/>
    <x v="0"/>
    <s v="topic-drop"/>
    <s v="all given"/>
    <m/>
    <m/>
    <n v="1"/>
    <s v="LVC"/>
    <s v="Yes"/>
    <n v="40"/>
    <m/>
    <n v="0"/>
    <n v="2"/>
    <x v="1"/>
    <x v="0"/>
    <s v="overt"/>
    <x v="1"/>
    <n v="0"/>
  </r>
  <r>
    <s v="Heike 2.148"/>
    <s v="由顕すといへども yoshi arawasu to iedomo"/>
    <s v="the appearance of a sword"/>
    <s v="顕す"/>
    <s v="indicative"/>
    <s v="other"/>
    <s v="verb"/>
    <x v="1"/>
    <s v="active"/>
    <s v="positive"/>
    <n v="1"/>
    <n v="1"/>
    <s v="OBJ"/>
    <n v="0"/>
    <s v="zero_recoverable"/>
    <n v="3"/>
    <s v="overt"/>
    <s v="n/a"/>
    <n v="0"/>
    <n v="0"/>
    <s v="n/a"/>
    <s v="subordinate"/>
    <n v="0"/>
    <x v="0"/>
    <s v="n/a"/>
    <s v="n/a"/>
    <n v="0"/>
    <x v="9"/>
    <x v="1"/>
    <m/>
    <s v="ss"/>
    <x v="0"/>
    <s v="topic-drop"/>
    <s v="contains_new"/>
    <m/>
    <m/>
    <n v="1"/>
    <s v="non-LVC"/>
    <s v="Yes"/>
    <n v="40"/>
    <s v="te"/>
    <n v="1"/>
    <n v="3"/>
    <x v="1"/>
    <x v="1"/>
    <s v="overt"/>
    <x v="1"/>
    <n v="0"/>
  </r>
  <r>
    <s v="Heike 2.149"/>
    <s v="後日の訴訟を存じて (gojitsu no soshō o zonjite)"/>
    <s v="his substitution of a wooden blade as a precaution against an after accusation was exceedingly praiseworthy."/>
    <s v="存じて"/>
    <s v="indicative"/>
    <s v="perception"/>
    <s v="LVC"/>
    <x v="1"/>
    <s v="active"/>
    <s v="positive"/>
    <n v="1"/>
    <n v="1"/>
    <s v="OBJ"/>
    <n v="0"/>
    <s v="zero_exalt"/>
    <n v="3"/>
    <s v="overt"/>
    <s v="n/a"/>
    <n v="0"/>
    <n v="0"/>
    <s v="n/a"/>
    <s v="te"/>
    <n v="0"/>
    <x v="1"/>
    <s v="sub"/>
    <s v="lexical_humble_verb"/>
    <n v="0"/>
    <x v="2"/>
    <x v="4"/>
    <s v="te_medial"/>
    <s v="ss"/>
    <x v="0"/>
    <s v="topic-drop"/>
    <s v="contains_new"/>
    <m/>
    <m/>
    <n v="1"/>
    <s v="LVC"/>
    <s v="Yes"/>
    <n v="40"/>
    <s v="relative"/>
    <n v="1"/>
    <m/>
    <x v="1"/>
    <x v="0"/>
    <s v="overt"/>
    <x v="1"/>
    <n v="0"/>
  </r>
  <r>
    <s v="Heike 2.150"/>
    <s v="木刀を帯したる"/>
    <s v=" bokutō o tachitaru "/>
    <s v="帯したる"/>
    <s v="indicative"/>
    <s v="action"/>
    <s v="LVC"/>
    <x v="1"/>
    <s v="active"/>
    <s v="positive"/>
    <n v="1"/>
    <n v="1"/>
    <s v="OBJ"/>
    <n v="0"/>
    <s v="zero_recoverable"/>
    <n v="3"/>
    <s v="overt"/>
    <s v="n/a"/>
    <n v="0"/>
    <n v="1"/>
    <s v="REL"/>
    <s v="relative"/>
    <n v="0"/>
    <x v="0"/>
    <s v="n/a"/>
    <s v="n/a"/>
    <n v="0"/>
    <x v="2"/>
    <x v="2"/>
    <m/>
    <s v="ss"/>
    <x v="1"/>
    <s v="topic-drop"/>
    <s v="contains_new"/>
    <m/>
    <m/>
    <n v="1"/>
    <s v="LVC"/>
    <s v="Yes"/>
    <n v="40"/>
    <s v="main"/>
    <n v="0"/>
    <n v="4"/>
    <x v="1"/>
    <x v="2"/>
    <s v="n/a"/>
    <x v="1"/>
    <n v="0"/>
  </r>
  <r>
    <s v="Heike 2.151"/>
    <s v="用意のほどこそ神妙なれ yōi no hodo koso shinmyō nare"/>
    <m/>
    <s v="なれ"/>
    <s v="indicative"/>
    <s v="stative"/>
    <s v="copula"/>
    <x v="0"/>
    <s v="active"/>
    <s v="positive"/>
    <n v="1"/>
    <n v="1"/>
    <s v="SUB"/>
    <n v="0"/>
    <s v="overt"/>
    <n v="3"/>
    <s v="n/a"/>
    <s v="n/a"/>
    <n v="0"/>
    <n v="0"/>
    <s v="n/a"/>
    <s v="main"/>
    <n v="0"/>
    <x v="0"/>
    <s v="n/a"/>
    <s v="n/a"/>
    <n v="0"/>
    <x v="2"/>
    <x v="1"/>
    <m/>
    <s v="ds"/>
    <x v="1"/>
    <s v="topic-drop"/>
    <s v="contains_new"/>
    <m/>
    <m/>
    <n v="1"/>
    <s v="non-LVC"/>
    <s v="Yes"/>
    <n v="40"/>
    <s v="relative"/>
    <n v="1"/>
    <m/>
    <x v="1"/>
    <x v="0"/>
    <s v="n/a"/>
    <x v="0"/>
    <n v="0"/>
  </r>
  <r>
    <s v="Heike 2.152"/>
    <s v="弓箭に携らん (yumiya ni tazusaran)"/>
    <s v="Such prudence is most commendable in a warrior."/>
    <s v="携らん"/>
    <s v="dynamic"/>
    <s v="action"/>
    <s v="verb"/>
    <x v="0"/>
    <s v="active"/>
    <s v="positive"/>
    <n v="1"/>
    <n v="1"/>
    <s v="IO"/>
    <n v="0"/>
    <s v="zero_recoverable"/>
    <n v="3"/>
    <s v="n/a"/>
    <s v="overt"/>
    <n v="1"/>
    <n v="0"/>
    <s v="REL"/>
    <s v="relative"/>
    <n v="0"/>
    <x v="0"/>
    <s v="n/a"/>
    <s v="n/a"/>
    <n v="0"/>
    <x v="2"/>
    <x v="3"/>
    <m/>
    <s v="ds"/>
    <x v="1"/>
    <s v="topic-shift"/>
    <s v="contains_new"/>
    <m/>
    <m/>
    <n v="1"/>
    <s v="non-LVC"/>
    <s v="Yes"/>
    <n v="41"/>
    <s v="main"/>
    <n v="0"/>
    <n v="1"/>
    <x v="0"/>
    <x v="2"/>
    <s v="n/a"/>
    <x v="1"/>
    <n v="0"/>
  </r>
  <r>
    <s v="Heike 2.153"/>
    <s v="ほどの者の謀は尤もかうこそあらまほしけれ hodo no mono no hakarigoto wa motto mo kō koso aramahoshikere"/>
    <m/>
    <s v="あらまほしけれ"/>
    <s v="desiderative"/>
    <s v="psych-state"/>
    <s v="adjectival predicate"/>
    <x v="0"/>
    <s v="active"/>
    <s v="positive"/>
    <n v="1"/>
    <n v="1"/>
    <s v="SUB"/>
    <n v="1"/>
    <s v="overt"/>
    <n v="3"/>
    <s v="n/a"/>
    <s v="n/a"/>
    <n v="0"/>
    <n v="0"/>
    <s v="n/a"/>
    <s v="main"/>
    <n v="0"/>
    <x v="0"/>
    <s v="n/a"/>
    <s v="n/a"/>
    <n v="0"/>
    <x v="2"/>
    <x v="1"/>
    <m/>
    <s v="ds"/>
    <x v="1"/>
    <s v="topic-shift"/>
    <s v="contains_new"/>
    <m/>
    <m/>
    <n v="1"/>
    <s v="non-LVC"/>
    <s v="Yes"/>
    <n v="41"/>
    <s v="main"/>
    <n v="1"/>
    <n v="1"/>
    <x v="1"/>
    <x v="2"/>
    <s v="n/a"/>
    <x v="1"/>
    <n v="0"/>
  </r>
  <r>
    <s v="Heike 2.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s v="stative"/>
    <s v="copula"/>
    <x v="0"/>
    <s v="active"/>
    <s v="positive"/>
    <n v="1"/>
    <n v="1"/>
    <s v="SUB"/>
    <n v="3"/>
    <s v="overt"/>
    <n v="3"/>
    <s v="n/a"/>
    <s v="n/a"/>
    <n v="0"/>
    <n v="0"/>
    <s v="n/a"/>
    <s v="main"/>
    <n v="0"/>
    <x v="0"/>
    <s v="n/a"/>
    <s v="n/a"/>
    <n v="0"/>
    <x v="2"/>
    <x v="3"/>
    <m/>
    <s v="ds"/>
    <x v="1"/>
    <s v="topic-shift"/>
    <s v="contains_new"/>
    <m/>
    <m/>
    <n v="1"/>
    <s v="non-LVC"/>
    <s v="Yes"/>
    <n v="42"/>
    <s v="subordinate"/>
    <n v="1"/>
    <n v="1"/>
    <x v="0"/>
    <x v="2"/>
    <s v="n/a"/>
    <x v="1"/>
    <n v="0"/>
  </r>
  <r>
    <s v="Heike 2.155"/>
    <s v="忠盛が咎にはあらずとて (Tadamori ga toga ni wa arazu tote)"/>
    <s v="and no fault was found in Tadamori."/>
    <s v="あらず"/>
    <s v="indicative"/>
    <s v="stative"/>
    <s v="copula"/>
    <x v="0"/>
    <s v="active"/>
    <s v="negative"/>
    <n v="1"/>
    <n v="1"/>
    <s v="SUB"/>
    <n v="0"/>
    <s v="overt"/>
    <n v="3"/>
    <s v="n/a"/>
    <s v="n/a"/>
    <n v="0"/>
    <n v="0"/>
    <s v="n/a"/>
    <s v="subordinate"/>
    <n v="0"/>
    <x v="0"/>
    <s v="n/a"/>
    <s v="n/a"/>
    <n v="0"/>
    <x v="3"/>
    <x v="3"/>
    <m/>
    <s v="ds"/>
    <x v="0"/>
    <s v="topic-shift"/>
    <s v="contains_new"/>
    <m/>
    <m/>
    <n v="1"/>
    <s v="non-LVC"/>
    <s v="Yes"/>
    <n v="43"/>
    <s v="subordinate"/>
    <n v="1"/>
    <n v="2"/>
    <x v="1"/>
    <x v="0"/>
    <s v="n/a"/>
    <x v="0"/>
    <n v="0"/>
  </r>
  <r>
    <s v="Heike 2.156"/>
    <s v="却つて叡感に預かりし上は (kaette eikan ni azukarishi ue wa)"/>
    <s v="and on the contrary, his conduct was greatly admired,"/>
    <s v="預かりし"/>
    <s v="indicative"/>
    <s v="action"/>
    <s v="verb"/>
    <x v="0"/>
    <s v="active"/>
    <s v="positive"/>
    <n v="1"/>
    <n v="1"/>
    <s v="IO"/>
    <n v="1"/>
    <s v="zero_recoverable"/>
    <n v="3"/>
    <s v="n/a"/>
    <s v="overt"/>
    <n v="0"/>
    <n v="0"/>
    <s v="REL"/>
    <s v="subordinate"/>
    <n v="0"/>
    <x v="0"/>
    <s v="n/a"/>
    <s v="n/a"/>
    <n v="1"/>
    <x v="6"/>
    <x v="4"/>
    <m/>
    <s v="ss"/>
    <x v="1"/>
    <s v="topic-drop"/>
    <s v="contains_new"/>
    <m/>
    <m/>
    <n v="1"/>
    <s v="non-LVC"/>
    <s v="Yes"/>
    <n v="43"/>
    <s v="main"/>
    <n v="1"/>
    <n v="3"/>
    <x v="1"/>
    <x v="2"/>
    <s v="n/a"/>
    <x v="1"/>
    <n v="0"/>
  </r>
  <r>
    <s v="Heike 2.157"/>
    <s v="敢へて罪科の沙汰はなかりけり aete tsumikado no sata wa nakarikeri"/>
    <s v="and he was pronounced guiltless."/>
    <s v="なかりけり"/>
    <s v="indicative"/>
    <s v="aux/modal"/>
    <s v="verb"/>
    <x v="0"/>
    <s v="active"/>
    <s v="negative"/>
    <n v="1"/>
    <n v="1"/>
    <s v="SUB"/>
    <n v="1"/>
    <s v="overt"/>
    <n v="3"/>
    <s v="n/a"/>
    <s v="n/a"/>
    <n v="0"/>
    <n v="0"/>
    <s v="n/a"/>
    <s v="main"/>
    <n v="0"/>
    <x v="0"/>
    <s v="n/a"/>
    <s v="n/a"/>
    <n v="0"/>
    <x v="8"/>
    <x v="4"/>
    <m/>
    <s v="ds"/>
    <x v="2"/>
    <s v="topic-drop"/>
    <s v="contains_new"/>
    <m/>
    <m/>
    <n v="1"/>
    <s v="non-LVC"/>
    <s v="No"/>
    <n v="43"/>
    <m/>
    <n v="1"/>
    <m/>
    <x v="1"/>
    <x v="3"/>
    <m/>
    <x v="1"/>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x v="0"/>
    <s v="忠盛朝臣未だ備前守たりし時 (Tadamori ason imada Bizen no kami tarishi toki)"/>
    <s v="Now Tadamori, while holding the office of Bizen no Kami,"/>
    <s v="たりし"/>
    <s v="indicative"/>
    <s v="stative"/>
    <s v="copula"/>
    <s v="intransitive"/>
    <s v="active"/>
    <s v="positive"/>
    <n v="1"/>
    <n v="1"/>
    <s v="SUB"/>
    <n v="0"/>
    <x v="0"/>
    <n v="3"/>
    <s v="n/a"/>
    <s v="n/a"/>
    <n v="0"/>
    <n v="1"/>
    <s v="REL"/>
    <x v="0"/>
    <n v="0"/>
    <x v="0"/>
    <x v="0"/>
    <x v="0"/>
    <n v="0"/>
    <x v="0"/>
    <x v="0"/>
    <m/>
    <s v="new"/>
    <x v="0"/>
    <x v="0"/>
    <x v="0"/>
    <m/>
    <x v="0"/>
    <n v="1"/>
    <s v="non-LVC"/>
    <s v="Yes"/>
    <n v="1"/>
    <x v="0"/>
    <n v="0"/>
    <n v="1"/>
    <n v="1"/>
    <x v="0"/>
    <s v="overt"/>
    <x v="0"/>
    <n v="0"/>
  </r>
  <r>
    <x v="1"/>
    <s v="鳥羽院の御願得長寿院を造進して (Toba-in no ogan Tokuchōju-in o zōshin shite)"/>
    <s v="by the request of the retired Emperor Toba,"/>
    <s v="造進して"/>
    <s v="indicative"/>
    <s v="other"/>
    <s v="verb"/>
    <s v="transitive"/>
    <s v="active"/>
    <s v="positive"/>
    <n v="1"/>
    <n v="1"/>
    <s v="OBJ"/>
    <n v="1"/>
    <x v="1"/>
    <n v="3"/>
    <s v="overt"/>
    <s v="n/a"/>
    <n v="0"/>
    <n v="0"/>
    <s v="n/a"/>
    <x v="1"/>
    <n v="0"/>
    <x v="0"/>
    <x v="1"/>
    <x v="1"/>
    <n v="1"/>
    <x v="1"/>
    <x v="1"/>
    <s v="te_medial"/>
    <s v="ss"/>
    <x v="0"/>
    <x v="1"/>
    <x v="0"/>
    <s v="stranded subject Tadamori"/>
    <x v="0"/>
    <n v="1"/>
    <s v="non-LVC"/>
    <s v="Yes"/>
    <n v="1"/>
    <x v="0"/>
    <n v="1"/>
    <n v="2"/>
    <n v="0"/>
    <x v="0"/>
    <s v="overt"/>
    <x v="1"/>
    <n v="0"/>
  </r>
  <r>
    <x v="2"/>
    <s v="三十三間の御堂を建て (sanjūsangen no midō o tatete)"/>
    <s v=" had built the temple Toku-cho-juin and the Sa-ju-san-gen-do, or hall 33 ken long,"/>
    <s v="建て"/>
    <s v="indicative"/>
    <s v="other"/>
    <s v="verb"/>
    <s v="transitive"/>
    <s v="active"/>
    <s v="positive"/>
    <n v="1"/>
    <n v="1"/>
    <s v="OBJ"/>
    <n v="0"/>
    <x v="1"/>
    <n v="3"/>
    <s v="overt"/>
    <s v="n/a"/>
    <n v="0"/>
    <n v="0"/>
    <s v="n/a"/>
    <x v="1"/>
    <n v="0"/>
    <x v="0"/>
    <x v="1"/>
    <x v="1"/>
    <n v="1"/>
    <x v="1"/>
    <x v="2"/>
    <s v="te_medial"/>
    <s v="ss"/>
    <x v="0"/>
    <x v="1"/>
    <x v="0"/>
    <m/>
    <x v="0"/>
    <n v="1"/>
    <s v="non-LVC"/>
    <s v="Yes"/>
    <n v="1"/>
    <x v="1"/>
    <n v="1"/>
    <m/>
    <n v="0"/>
    <x v="1"/>
    <s v="overt"/>
    <x v="1"/>
    <n v="0"/>
  </r>
  <r>
    <x v="3"/>
    <s v="一千一体の御仏を据ゑ奉らる (issen ittai no mihotoke o sue-tatematsuraru)"/>
    <s v="within which were one thousand and one Buddhas;"/>
    <s v="据ゑ奉らる"/>
    <s v="indicative"/>
    <s v="action"/>
    <s v="verb"/>
    <s v="transitive"/>
    <s v="active"/>
    <s v="positive"/>
    <n v="1"/>
    <n v="1"/>
    <s v="OBJ"/>
    <n v="0"/>
    <x v="2"/>
    <n v="3"/>
    <s v="overt"/>
    <s v="n/a"/>
    <n v="0"/>
    <n v="1"/>
    <s v="REL"/>
    <x v="0"/>
    <n v="1"/>
    <x v="1"/>
    <x v="2"/>
    <x v="2"/>
    <n v="1"/>
    <x v="2"/>
    <x v="2"/>
    <m/>
    <s v="ss"/>
    <x v="1"/>
    <x v="1"/>
    <x v="0"/>
    <s v="complex verbal form"/>
    <x v="0"/>
    <n v="1"/>
    <s v="non-LVC"/>
    <s v="Yes"/>
    <n v="1"/>
    <x v="2"/>
    <n v="0"/>
    <n v="3"/>
    <n v="0"/>
    <x v="2"/>
    <s v="n/a"/>
    <x v="1"/>
    <n v="0"/>
  </r>
  <r>
    <x v="4"/>
    <s v="供養は天承元年三月十三日なり (kuyō wa Tenshō gannen sangatsu jūsan-nichi nari)"/>
    <s v="its first festival being on the thirteenth day of the third month of the first year of Tensho."/>
    <s v="なり"/>
    <s v="indicative"/>
    <s v="stative"/>
    <s v="copula"/>
    <s v="intransitive"/>
    <s v="active"/>
    <s v="positive"/>
    <n v="1"/>
    <n v="1"/>
    <s v="SUB"/>
    <n v="0"/>
    <x v="0"/>
    <n v="3"/>
    <s v="n/a"/>
    <s v="n/a"/>
    <n v="0"/>
    <n v="0"/>
    <s v="n/a"/>
    <x v="2"/>
    <n v="0"/>
    <x v="0"/>
    <x v="0"/>
    <x v="0"/>
    <n v="0"/>
    <x v="2"/>
    <x v="1"/>
    <m/>
    <s v="ds"/>
    <x v="1"/>
    <x v="0"/>
    <x v="0"/>
    <m/>
    <x v="0"/>
    <n v="1"/>
    <s v="non-LVC"/>
    <s v="Yes"/>
    <n v="1"/>
    <x v="3"/>
    <n v="1"/>
    <n v="1"/>
    <n v="0"/>
    <x v="1"/>
    <s v="overt"/>
    <x v="0"/>
    <n v="0"/>
  </r>
  <r>
    <x v="5"/>
    <s v="勧賞には欠国を賜ふべき由 (kanshō ni wa kakukuni o tamau beki yoshi)"/>
    <s v="As a reward he was to be granted a fief,"/>
    <s v="賜ふべき"/>
    <s v="deontic"/>
    <s v="action"/>
    <s v="verb"/>
    <s v="transitive"/>
    <s v="active"/>
    <s v="positive"/>
    <n v="1"/>
    <n v="1"/>
    <s v="OBJ"/>
    <n v="1"/>
    <x v="2"/>
    <n v="3"/>
    <s v="overt"/>
    <s v="n/a"/>
    <n v="0"/>
    <n v="1"/>
    <s v="n/a"/>
    <x v="3"/>
    <n v="0"/>
    <x v="1"/>
    <x v="2"/>
    <x v="3"/>
    <n v="0"/>
    <x v="3"/>
    <x v="3"/>
    <m/>
    <s v="ds"/>
    <x v="1"/>
    <x v="2"/>
    <x v="0"/>
    <m/>
    <x v="0"/>
    <n v="1"/>
    <s v="non-LVC"/>
    <s v="Yes"/>
    <n v="2"/>
    <x v="4"/>
    <n v="1"/>
    <m/>
    <n v="1"/>
    <x v="1"/>
    <s v="not_applicable"/>
    <x v="1"/>
    <n v="0"/>
  </r>
  <r>
    <x v="6"/>
    <s v="仰せ下されける (ōse-kudasa rekeru)"/>
    <s v="he was honoured by receiving the territory of the province of Tamba,"/>
    <s v="仰せ下されける"/>
    <s v="indicative"/>
    <s v="action"/>
    <s v="verb(complex)"/>
    <s v="intransitive"/>
    <s v="passive"/>
    <s v="positive"/>
    <n v="1"/>
    <n v="0"/>
    <s v="n/a"/>
    <n v="0"/>
    <x v="2"/>
    <n v="3"/>
    <s v="n/a"/>
    <s v="n/a"/>
    <n v="1"/>
    <n v="0"/>
    <s v="REL"/>
    <x v="0"/>
    <n v="0"/>
    <x v="1"/>
    <x v="3"/>
    <x v="4"/>
    <n v="0"/>
    <x v="2"/>
    <x v="4"/>
    <m/>
    <s v="ds"/>
    <x v="0"/>
    <x v="1"/>
    <x v="1"/>
    <m/>
    <x v="0"/>
    <n v="0"/>
    <s v="non-LVC"/>
    <s v="Yes"/>
    <n v="2"/>
    <x v="4"/>
    <n v="0"/>
    <m/>
    <n v="0"/>
    <x v="2"/>
    <s v="n/a"/>
    <x v="1"/>
    <n v="0"/>
  </r>
  <r>
    <x v="7"/>
    <s v="折節但馬国の空きたりけるをぞ (orifushi Tamba no kuni no aki tarikeru o zo)"/>
    <s v="which then happened to be unappropriated."/>
    <s v="空きたりける"/>
    <s v="indicative"/>
    <s v="stative"/>
    <s v="verb"/>
    <s v="intransitive"/>
    <s v="resultative"/>
    <s v="positive"/>
    <n v="1"/>
    <n v="1"/>
    <s v="SUB"/>
    <n v="1"/>
    <x v="0"/>
    <n v="3"/>
    <s v="n/a"/>
    <s v="n/a"/>
    <n v="0"/>
    <n v="0"/>
    <s v="OBJ"/>
    <x v="4"/>
    <n v="0"/>
    <x v="0"/>
    <x v="0"/>
    <x v="0"/>
    <n v="0"/>
    <x v="2"/>
    <x v="1"/>
    <m/>
    <s v="ss"/>
    <x v="1"/>
    <x v="1"/>
    <x v="0"/>
    <s v="internally headed"/>
    <x v="0"/>
    <n v="1"/>
    <s v="non-LVC"/>
    <s v="Yes"/>
    <n v="2"/>
    <x v="4"/>
    <n v="0"/>
    <n v="2"/>
    <n v="0"/>
    <x v="1"/>
    <s v="zero_recoverable"/>
    <x v="0"/>
    <n v="0"/>
  </r>
  <r>
    <x v="8"/>
    <s v="賜はりける (tamawari keru)"/>
    <s v="As a reward he was honoured by receiving the territory of the province of Tamba, which then happened to be unappropriated."/>
    <s v="賜はりける"/>
    <s v="indicative"/>
    <s v="action"/>
    <s v="verb"/>
    <s v="transitive"/>
    <s v="active"/>
    <s v="positive"/>
    <n v="1"/>
    <n v="1"/>
    <s v="OBJ"/>
    <n v="0"/>
    <x v="2"/>
    <n v="3"/>
    <s v="zero_recoverable"/>
    <s v="zero_recoverable"/>
    <n v="0"/>
    <n v="0"/>
    <s v="n/a"/>
    <x v="2"/>
    <n v="0"/>
    <x v="1"/>
    <x v="2"/>
    <x v="5"/>
    <n v="0"/>
    <x v="2"/>
    <x v="5"/>
    <m/>
    <s v="ds"/>
    <x v="1"/>
    <x v="1"/>
    <x v="1"/>
    <m/>
    <x v="0"/>
    <n v="1"/>
    <s v="non-LVC"/>
    <s v="Yes"/>
    <n v="2"/>
    <x v="4"/>
    <n v="1"/>
    <m/>
    <n v="0"/>
    <x v="2"/>
    <s v="overt"/>
    <x v="1"/>
    <n v="0"/>
  </r>
  <r>
    <x v="9"/>
    <s v="上皇御感のあまりに内の昇殿を許さる (jōkō go-kan no amari ni uchi no shōden o yurusaru)"/>
    <s v="Moreover the Emperor of his bounty graciously permitted him to attend the Court;"/>
    <s v="許さる"/>
    <s v="indicative"/>
    <s v="action"/>
    <s v="verb"/>
    <s v="transitive"/>
    <s v="active"/>
    <s v="positive"/>
    <n v="1"/>
    <n v="2"/>
    <s v="S+O"/>
    <n v="1"/>
    <x v="0"/>
    <n v="3"/>
    <s v="overt"/>
    <s v="zero_recoverable"/>
    <n v="1"/>
    <n v="0"/>
    <s v="REL"/>
    <x v="0"/>
    <n v="1"/>
    <x v="0"/>
    <x v="2"/>
    <x v="2"/>
    <n v="1"/>
    <x v="2"/>
    <x v="3"/>
    <m/>
    <s v="ds"/>
    <x v="1"/>
    <x v="1"/>
    <x v="0"/>
    <s v="it's unlcear whether -re- in -yurusareru is passive or honorific"/>
    <x v="0"/>
    <n v="2"/>
    <s v="non-LVC"/>
    <s v="Yes"/>
    <n v="3"/>
    <x v="2"/>
    <n v="0"/>
    <n v="1"/>
    <n v="0"/>
    <x v="2"/>
    <s v="overt"/>
    <x v="1"/>
    <n v="0"/>
  </r>
  <r>
    <x v="10"/>
    <s v="忠盛三十六にて初めて昇殿す (Tadamori sanjūroku nite hajimete shōden su)"/>
    <s v="which Tadamori did for the first time at the age of thirty six."/>
    <s v="昇殿す"/>
    <s v="indicative"/>
    <s v="motion"/>
    <s v="LVC"/>
    <s v="intransitive"/>
    <s v="active"/>
    <s v="positive"/>
    <n v="1"/>
    <n v="1"/>
    <s v="SUB"/>
    <n v="2"/>
    <x v="0"/>
    <n v="3"/>
    <s v="overt"/>
    <s v="n/a"/>
    <n v="0"/>
    <n v="0"/>
    <s v="n/a"/>
    <x v="2"/>
    <n v="0"/>
    <x v="0"/>
    <x v="0"/>
    <x v="0"/>
    <n v="0"/>
    <x v="2"/>
    <x v="1"/>
    <m/>
    <s v="ds"/>
    <x v="1"/>
    <x v="3"/>
    <x v="0"/>
    <m/>
    <x v="0"/>
    <n v="1"/>
    <s v="LVC"/>
    <s v="Yes"/>
    <n v="3"/>
    <x v="5"/>
    <n v="1"/>
    <n v="1"/>
    <n v="1"/>
    <x v="2"/>
    <s v="overt"/>
    <x v="1"/>
    <n v="0"/>
  </r>
  <r>
    <x v="11"/>
    <s v="雲の上人これを嫉み憤り (kumo no uebito kore o sonemi ikidori)"/>
    <s v="the higher Courtiers were furious with jealousy"/>
    <s v="嫉み憤り"/>
    <s v="indicative"/>
    <s v="psych-state"/>
    <s v="verb(compound)"/>
    <s v="transitive"/>
    <s v="active"/>
    <s v="positive"/>
    <n v="1"/>
    <n v="2"/>
    <s v="S+O"/>
    <n v="0"/>
    <x v="0"/>
    <n v="3"/>
    <s v="overt"/>
    <s v="n/a"/>
    <n v="0"/>
    <n v="0"/>
    <s v="n/a"/>
    <x v="5"/>
    <n v="0"/>
    <x v="0"/>
    <x v="0"/>
    <x v="0"/>
    <n v="0"/>
    <x v="2"/>
    <x v="3"/>
    <m/>
    <s v="ds"/>
    <x v="0"/>
    <x v="0"/>
    <x v="0"/>
    <m/>
    <x v="0"/>
    <n v="2"/>
    <s v="non-LVC"/>
    <s v="Yes"/>
    <n v="4"/>
    <x v="6"/>
    <n v="1"/>
    <n v="2"/>
    <n v="0"/>
    <x v="0"/>
    <s v="overt"/>
    <x v="0"/>
    <n v="0"/>
  </r>
  <r>
    <x v="12"/>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s v="other"/>
    <s v="LVC"/>
    <s v="transitive"/>
    <s v="active"/>
    <s v="positive"/>
    <n v="1"/>
    <n v="1"/>
    <s v="OBJ"/>
    <n v="1"/>
    <x v="1"/>
    <n v="3"/>
    <s v="overt"/>
    <s v="n/a"/>
    <n v="0"/>
    <n v="0"/>
    <s v="n/a"/>
    <x v="6"/>
    <n v="0"/>
    <x v="0"/>
    <x v="0"/>
    <x v="0"/>
    <n v="0"/>
    <x v="4"/>
    <x v="6"/>
    <m/>
    <s v="ss"/>
    <x v="1"/>
    <x v="3"/>
    <x v="0"/>
    <m/>
    <x v="0"/>
    <n v="1"/>
    <s v="LVC"/>
    <s v="Yes"/>
    <n v="4"/>
    <x v="4"/>
    <n v="1"/>
    <n v="3"/>
    <n v="0"/>
    <x v="2"/>
    <s v="n/a"/>
    <x v="1"/>
    <n v="0"/>
  </r>
  <r>
    <x v="13"/>
    <s v="とぞ議せられける (to zo giserarikeru)"/>
    <s v="they plotted"/>
    <s v="議せられける"/>
    <s v="indicative"/>
    <s v="communication"/>
    <s v="LVC"/>
    <s v="intransitive"/>
    <s v="passive"/>
    <s v="positive"/>
    <n v="1"/>
    <n v="1"/>
    <s v="S (Speech)"/>
    <n v="0"/>
    <x v="0"/>
    <s v="n/a"/>
    <s v="n/a"/>
    <s v="n/a"/>
    <n v="0"/>
    <n v="0"/>
    <s v="n/a"/>
    <x v="2"/>
    <n v="0"/>
    <x v="0"/>
    <x v="0"/>
    <x v="0"/>
    <n v="0"/>
    <x v="2"/>
    <x v="7"/>
    <m/>
    <s v="ds"/>
    <x v="1"/>
    <x v="1"/>
    <x v="2"/>
    <m/>
    <x v="0"/>
    <n v="1"/>
    <s v="LVC"/>
    <s v="Yes"/>
    <n v="4"/>
    <x v="0"/>
    <n v="1"/>
    <n v="1"/>
    <n v="0"/>
    <x v="2"/>
    <s v="overt"/>
    <x v="1"/>
    <n v="0"/>
  </r>
  <r>
    <x v="14"/>
    <s v="忠盛この由を伝へ聞きて (Tadamori kono yoshi o tsutae kikite)"/>
    <s v="Tadamori, on hearing of this"/>
    <s v="伝へ聞きて"/>
    <s v="indicative"/>
    <s v="perception"/>
    <s v="verb(compound)"/>
    <s v="transitive"/>
    <s v="active"/>
    <s v="positive"/>
    <n v="1"/>
    <n v="2"/>
    <s v="OBJ"/>
    <n v="0"/>
    <x v="0"/>
    <n v="3"/>
    <s v="overt"/>
    <s v="n/a"/>
    <n v="0"/>
    <n v="0"/>
    <s v="n/a"/>
    <x v="1"/>
    <n v="0"/>
    <x v="0"/>
    <x v="0"/>
    <x v="0"/>
    <n v="0"/>
    <x v="1"/>
    <x v="3"/>
    <s v="te_initial"/>
    <s v="ds"/>
    <x v="1"/>
    <x v="2"/>
    <x v="2"/>
    <m/>
    <x v="0"/>
    <n v="2"/>
    <s v="non-LVC"/>
    <s v="Yes"/>
    <n v="5"/>
    <x v="4"/>
    <n v="1"/>
    <n v="2"/>
    <n v="1"/>
    <x v="2"/>
    <s v="n/a"/>
    <x v="1"/>
    <n v="0"/>
  </r>
  <r>
    <x v="15"/>
    <s v="我右弼の身にあらず (ware ubitsu no mi ni a-razu)"/>
    <s v="I am not a civil official"/>
    <s v="あらず"/>
    <s v="indicative"/>
    <s v="other"/>
    <s v="copula"/>
    <s v="intransitive"/>
    <s v="active"/>
    <s v="negative"/>
    <n v="1"/>
    <n v="1"/>
    <s v="SUB"/>
    <n v="0"/>
    <x v="0"/>
    <n v="1"/>
    <s v="n/a"/>
    <s v="n/a"/>
    <n v="0"/>
    <n v="0"/>
    <s v="n/a"/>
    <x v="3"/>
    <n v="0"/>
    <x v="0"/>
    <x v="0"/>
    <x v="0"/>
    <n v="0"/>
    <x v="1"/>
    <x v="2"/>
    <m/>
    <s v="ds"/>
    <x v="0"/>
    <x v="2"/>
    <x v="0"/>
    <m/>
    <x v="0"/>
    <n v="1"/>
    <s v="non-LVC"/>
    <s v="Yes"/>
    <n v="5"/>
    <x v="0"/>
    <n v="1"/>
    <n v="3"/>
    <n v="0"/>
    <x v="0"/>
    <s v="n/a"/>
    <x v="0"/>
    <n v="0"/>
  </r>
  <r>
    <x v="16"/>
    <s v="武勇の家に生れて (buyū no ie ni umarete)"/>
    <s v="being born of a line of warriors"/>
    <s v="生れて"/>
    <s v="indicative"/>
    <s v="other"/>
    <s v="verb"/>
    <s v="intransitive"/>
    <s v="active"/>
    <s v="positive"/>
    <n v="1"/>
    <n v="1"/>
    <s v="SUB"/>
    <n v="1"/>
    <x v="1"/>
    <n v="1"/>
    <s v="n/a"/>
    <s v="n/a"/>
    <n v="0"/>
    <n v="0"/>
    <s v="n/a"/>
    <x v="1"/>
    <n v="0"/>
    <x v="0"/>
    <x v="0"/>
    <x v="0"/>
    <n v="0"/>
    <x v="1"/>
    <x v="4"/>
    <s v="te_medial"/>
    <s v="ss"/>
    <x v="0"/>
    <x v="1"/>
    <x v="0"/>
    <m/>
    <x v="0"/>
    <n v="1"/>
    <s v="non-LVC"/>
    <s v="Yes"/>
    <n v="5"/>
    <x v="1"/>
    <n v="1"/>
    <m/>
    <n v="0"/>
    <x v="0"/>
    <s v="n/a"/>
    <x v="1"/>
    <n v="0"/>
  </r>
  <r>
    <x v="17"/>
    <s v="今不慮の恥に遇はん (ima furyo no haji ni awan)"/>
    <s v="for myself and my house at this unexpected shame"/>
    <s v="遇はん"/>
    <s v="epistemic"/>
    <s v="other"/>
    <s v="verb"/>
    <s v="intransitive"/>
    <s v="active"/>
    <s v="positive"/>
    <n v="1"/>
    <n v="1"/>
    <s v="IO"/>
    <n v="1"/>
    <x v="1"/>
    <s v="n/a"/>
    <s v="n/a"/>
    <s v="overt"/>
    <n v="0"/>
    <n v="1"/>
    <s v="n/a"/>
    <x v="0"/>
    <n v="0"/>
    <x v="0"/>
    <x v="0"/>
    <x v="0"/>
    <n v="0"/>
    <x v="2"/>
    <x v="2"/>
    <m/>
    <s v="ss"/>
    <x v="1"/>
    <x v="1"/>
    <x v="0"/>
    <m/>
    <x v="0"/>
    <n v="1"/>
    <s v="non-LVC"/>
    <s v="Yes"/>
    <n v="5"/>
    <x v="2"/>
    <n v="0"/>
    <n v="4"/>
    <n v="0"/>
    <x v="2"/>
    <s v="n/a"/>
    <x v="1"/>
    <n v="0"/>
  </r>
  <r>
    <x v="18"/>
    <s v="事家の為身の為心憂かるべし (koto ie no tame mi no tame kokoroukarubeshi)"/>
    <s v="I am troubled in my heart"/>
    <s v="憂かるべし"/>
    <s v="epistemic"/>
    <s v="psych-state"/>
    <s v="adjectival predicate"/>
    <s v="intransitive"/>
    <s v="active"/>
    <s v="positive"/>
    <n v="1"/>
    <n v="1"/>
    <s v="SUB"/>
    <n v="1"/>
    <x v="0"/>
    <n v="3"/>
    <s v="n/a"/>
    <s v="n/a"/>
    <n v="0"/>
    <n v="0"/>
    <s v="n/a"/>
    <x v="2"/>
    <n v="0"/>
    <x v="0"/>
    <x v="0"/>
    <x v="0"/>
    <n v="0"/>
    <x v="2"/>
    <x v="1"/>
    <m/>
    <s v="ds"/>
    <x v="2"/>
    <x v="1"/>
    <x v="0"/>
    <m/>
    <x v="0"/>
    <n v="1"/>
    <s v="non-LVC"/>
    <s v="Yes"/>
    <n v="5"/>
    <x v="4"/>
    <n v="1"/>
    <n v="1"/>
    <n v="0"/>
    <x v="3"/>
    <m/>
    <x v="1"/>
    <n v="0"/>
  </r>
  <r>
    <x v="19"/>
    <s v="詮ずるところ (senzuru tokoro)"/>
    <s v="finally, as for what is to be done"/>
    <s v="詮ずる"/>
    <s v="indicative"/>
    <s v="other"/>
    <m/>
    <m/>
    <m/>
    <m/>
    <m/>
    <m/>
    <m/>
    <m/>
    <x v="3"/>
    <m/>
    <s v="n/a"/>
    <s v="n/a"/>
    <m/>
    <m/>
    <m/>
    <x v="7"/>
    <m/>
    <x v="2"/>
    <x v="4"/>
    <x v="6"/>
    <m/>
    <x v="5"/>
    <x v="3"/>
    <m/>
    <m/>
    <x v="0"/>
    <x v="4"/>
    <x v="3"/>
    <m/>
    <x v="0"/>
    <m/>
    <s v="non-LVC"/>
    <s v="Yes"/>
    <n v="6"/>
    <x v="4"/>
    <n v="1"/>
    <n v="2"/>
    <n v="0"/>
    <x v="0"/>
    <s v="overt"/>
    <x v="1"/>
    <n v="0"/>
  </r>
  <r>
    <x v="20"/>
    <s v="身を全うして (mi o mattō shite)"/>
    <s v="with all your might"/>
    <s v="全うして"/>
    <s v="indicative"/>
    <s v="other"/>
    <s v="LVC"/>
    <s v="transitive"/>
    <s v="active"/>
    <s v="positive"/>
    <n v="1"/>
    <n v="1"/>
    <s v="OBJ"/>
    <n v="0"/>
    <x v="1"/>
    <n v="1"/>
    <s v="overt"/>
    <s v="n/a"/>
    <n v="0"/>
    <n v="0"/>
    <s v="n/a"/>
    <x v="1"/>
    <n v="0"/>
    <x v="0"/>
    <x v="0"/>
    <x v="0"/>
    <n v="0"/>
    <x v="1"/>
    <x v="8"/>
    <s v="te_medial"/>
    <s v="ss"/>
    <x v="0"/>
    <x v="1"/>
    <x v="0"/>
    <m/>
    <x v="0"/>
    <n v="1"/>
    <s v="LVC"/>
    <s v="Yes"/>
    <n v="6"/>
    <x v="6"/>
    <n v="1"/>
    <n v="3"/>
    <n v="0"/>
    <x v="1"/>
    <s v="n/a"/>
    <x v="1"/>
    <n v="0"/>
  </r>
  <r>
    <x v="21"/>
    <s v="君に仕へ奉れ"/>
    <s v=" kimi ni tsukae tatematsure"/>
    <s v="仕へ奉れ"/>
    <s v="imperative"/>
    <s v="action"/>
    <s v="verb"/>
    <s v="intransitive"/>
    <s v="active"/>
    <s v="positive"/>
    <n v="1"/>
    <n v="1"/>
    <s v="IO"/>
    <n v="0"/>
    <x v="2"/>
    <n v="1"/>
    <s v="n/a"/>
    <s v="overt"/>
    <n v="0"/>
    <n v="0"/>
    <s v="n/a"/>
    <x v="6"/>
    <n v="1"/>
    <x v="1"/>
    <x v="2"/>
    <x v="5"/>
    <n v="0"/>
    <x v="2"/>
    <x v="2"/>
    <m/>
    <s v="ss"/>
    <x v="1"/>
    <x v="1"/>
    <x v="0"/>
    <m/>
    <x v="0"/>
    <n v="1"/>
    <s v="non-LVC"/>
    <s v="Yes"/>
    <n v="6"/>
    <x v="2"/>
    <n v="1"/>
    <n v="4"/>
    <n v="0"/>
    <x v="2"/>
    <s v="n/a"/>
    <x v="1"/>
    <n v="0"/>
  </r>
  <r>
    <x v="22"/>
    <s v="といふ本文あり (to iu honbun ari)"/>
    <s v="so goes the original passage"/>
    <s v="あり"/>
    <s v="indicative"/>
    <s v="stative"/>
    <s v="existential verb"/>
    <s v="intransitive"/>
    <s v="active"/>
    <s v="positive"/>
    <n v="1"/>
    <n v="1"/>
    <s v="SUB"/>
    <n v="1"/>
    <x v="0"/>
    <n v="3"/>
    <s v="n/a"/>
    <s v="n/a"/>
    <n v="0"/>
    <n v="0"/>
    <s v="n/a"/>
    <x v="2"/>
    <n v="0"/>
    <x v="0"/>
    <x v="0"/>
    <x v="0"/>
    <n v="0"/>
    <x v="2"/>
    <x v="7"/>
    <m/>
    <s v="ds"/>
    <x v="0"/>
    <x v="1"/>
    <x v="0"/>
    <s v="frame predicate"/>
    <x v="0"/>
    <n v="1"/>
    <s v="non-LVC"/>
    <s v="Yes"/>
    <n v="6"/>
    <x v="5"/>
    <n v="1"/>
    <n v="1"/>
    <n v="0"/>
    <x v="0"/>
    <s v="overt"/>
    <x v="0"/>
    <n v="0"/>
  </r>
  <r>
    <x v="23"/>
    <s v="参内の初めより大なる鞘巻を用意し (sannai no hajime yori ō-naru sayamaki o yōi shi)"/>
    <s v="Before entering the Court he provided himself with a long dirk"/>
    <s v="用意し"/>
    <s v="indicative"/>
    <s v="other"/>
    <s v="LVC"/>
    <s v="transitive"/>
    <s v="active"/>
    <s v="positive"/>
    <n v="1"/>
    <n v="1"/>
    <s v="OBJ"/>
    <n v="1"/>
    <x v="1"/>
    <n v="3"/>
    <s v="overt"/>
    <s v="n/a"/>
    <n v="0"/>
    <n v="0"/>
    <s v="n/a"/>
    <x v="5"/>
    <n v="0"/>
    <x v="0"/>
    <x v="0"/>
    <x v="0"/>
    <n v="0"/>
    <x v="2"/>
    <x v="3"/>
    <m/>
    <s v="ss"/>
    <x v="0"/>
    <x v="1"/>
    <x v="0"/>
    <m/>
    <x v="0"/>
    <n v="1"/>
    <s v="LVC"/>
    <s v="Yes"/>
    <n v="7"/>
    <x v="5"/>
    <n v="1"/>
    <n v="2"/>
    <n v="1"/>
    <x v="0"/>
    <s v="zero_recoverable"/>
    <x v="1"/>
    <n v="1"/>
  </r>
  <r>
    <x v="24"/>
    <s v="束帯の下にしどけなげに差し (sokutai no shita ni shidokenage ni sashi)"/>
    <s v="which he girt on under his long court dress"/>
    <s v="差し"/>
    <s v="indicative"/>
    <s v="other"/>
    <s v="verb"/>
    <s v="transitive"/>
    <s v="active"/>
    <s v="positive"/>
    <n v="1"/>
    <n v="1"/>
    <s v="IO"/>
    <n v="1"/>
    <x v="1"/>
    <n v="3"/>
    <s v="zero_recoverable"/>
    <s v="overt"/>
    <n v="0"/>
    <n v="0"/>
    <s v="n/a"/>
    <x v="5"/>
    <n v="0"/>
    <x v="0"/>
    <x v="0"/>
    <x v="0"/>
    <n v="0"/>
    <x v="2"/>
    <x v="6"/>
    <m/>
    <s v="ss"/>
    <x v="0"/>
    <x v="1"/>
    <x v="0"/>
    <m/>
    <x v="0"/>
    <n v="1"/>
    <s v="non-LVC"/>
    <s v="Yes"/>
    <n v="7"/>
    <x v="0"/>
    <n v="1"/>
    <n v="3"/>
    <n v="0"/>
    <x v="0"/>
    <s v="n/a"/>
    <x v="1"/>
    <n v="0"/>
  </r>
  <r>
    <x v="25"/>
    <s v="火の仄暗き方に向かつて (hi no hokuraki kata ni mukatte)"/>
    <s v="and turning aside to a dimly lit place"/>
    <s v="向かつて"/>
    <s v="indicative"/>
    <s v="other"/>
    <s v="verb"/>
    <s v="intransitive"/>
    <s v="active"/>
    <s v="positive"/>
    <n v="1"/>
    <n v="1"/>
    <s v="IO"/>
    <n v="1"/>
    <x v="1"/>
    <n v="3"/>
    <s v="n/a"/>
    <s v="overt"/>
    <n v="0"/>
    <n v="0"/>
    <s v="n/a"/>
    <x v="1"/>
    <n v="0"/>
    <x v="0"/>
    <x v="0"/>
    <x v="0"/>
    <n v="0"/>
    <x v="1"/>
    <x v="6"/>
    <s v="te_medial"/>
    <s v="ss"/>
    <x v="0"/>
    <x v="1"/>
    <x v="0"/>
    <m/>
    <x v="0"/>
    <n v="1"/>
    <s v="non-LVC"/>
    <s v="Yes"/>
    <n v="7"/>
    <x v="4"/>
    <n v="1"/>
    <n v="4"/>
    <n v="0"/>
    <x v="0"/>
    <s v="overt"/>
    <x v="1"/>
    <n v="0"/>
  </r>
  <r>
    <x v="26"/>
    <s v="やはらこの刀を抜き出でて (yahara kono katana o nuki-idete)"/>
    <s v="slowly drew the blade"/>
    <s v="抜き出でて"/>
    <s v="indicative"/>
    <s v="motion"/>
    <s v="verb(compound)"/>
    <s v="transitive"/>
    <s v="active"/>
    <s v="positive"/>
    <n v="1"/>
    <n v="1"/>
    <s v="OBJ"/>
    <n v="0"/>
    <x v="1"/>
    <n v="3"/>
    <s v="overt"/>
    <s v="n/a"/>
    <n v="0"/>
    <n v="0"/>
    <s v="n/a"/>
    <x v="1"/>
    <n v="0"/>
    <x v="0"/>
    <x v="0"/>
    <x v="0"/>
    <n v="0"/>
    <x v="1"/>
    <x v="2"/>
    <s v="te_medial"/>
    <s v="ss"/>
    <x v="0"/>
    <x v="1"/>
    <x v="2"/>
    <s v="&quot;kono katana&quot; refers to the &quot;sayamaki&quot;, so all given"/>
    <x v="0"/>
    <n v="1"/>
    <s v="non-LVC"/>
    <s v="Yes"/>
    <n v="7"/>
    <x v="4"/>
    <n v="1"/>
    <n v="5"/>
    <n v="0"/>
    <x v="1"/>
    <s v="zero_recoverable"/>
    <x v="1"/>
    <n v="1"/>
  </r>
  <r>
    <x v="27"/>
    <s v="鬢に引き当てられたりけるが (kami ni hiki-ate raretarikeru ga)"/>
    <s v="and passed it through the hair of his head"/>
    <s v="引き当てられたりける"/>
    <s v="indicative"/>
    <s v="motion"/>
    <s v="verb"/>
    <s v="transitive"/>
    <s v="active"/>
    <s v="positive"/>
    <n v="1"/>
    <n v="1"/>
    <s v="IO"/>
    <n v="0"/>
    <x v="2"/>
    <n v="3"/>
    <s v="zero_recoverable"/>
    <s v="overt"/>
    <n v="0"/>
    <n v="0"/>
    <s v="n/a"/>
    <x v="3"/>
    <n v="0"/>
    <x v="1"/>
    <x v="2"/>
    <x v="2"/>
    <n v="0"/>
    <x v="6"/>
    <x v="2"/>
    <m/>
    <s v="ss"/>
    <x v="1"/>
    <x v="1"/>
    <x v="0"/>
    <s v="should the -to part be considered a clausal subject?"/>
    <x v="0"/>
    <n v="1"/>
    <s v="non-LVC"/>
    <s v="Yes"/>
    <n v="7"/>
    <x v="4"/>
    <n v="1"/>
    <m/>
    <n v="0"/>
    <x v="0"/>
    <s v="n/a"/>
    <x v="1"/>
    <n v="0"/>
  </r>
  <r>
    <x v="28"/>
    <s v="余所よりは氷などのやうにぞ見えたりける (yoso yori wa kōri nado no yō ni zo mieta rikeru)"/>
    <s v="so that it gleamed afar off with an icy sheen"/>
    <s v="見えたりける"/>
    <s v="indicative"/>
    <s v="perception"/>
    <s v="verb"/>
    <s v="intransitive"/>
    <s v="resultative"/>
    <s v="positive"/>
    <n v="1"/>
    <n v="0"/>
    <s v="n/a"/>
    <n v="2"/>
    <x v="1"/>
    <n v="3"/>
    <s v="n/a"/>
    <s v="n/a"/>
    <n v="0"/>
    <n v="0"/>
    <s v="n/a"/>
    <x v="0"/>
    <n v="0"/>
    <x v="0"/>
    <x v="0"/>
    <x v="0"/>
    <n v="0"/>
    <x v="2"/>
    <x v="4"/>
    <m/>
    <s v="ds"/>
    <x v="0"/>
    <x v="1"/>
    <x v="1"/>
    <m/>
    <x v="0"/>
    <n v="0"/>
    <s v="non-LVC"/>
    <s v="Yes"/>
    <n v="7"/>
    <x v="4"/>
    <n v="0"/>
    <n v="6"/>
    <n v="0"/>
    <x v="0"/>
    <s v="overt"/>
    <x v="1"/>
    <n v="0"/>
  </r>
  <r>
    <x v="29"/>
    <s v="諸人目を澄ましけり (morobito me o sumashikeri)"/>
    <s v="causing all to stare open-eyed"/>
    <s v="澄ましけり"/>
    <s v="indicative"/>
    <s v="other"/>
    <s v="verb"/>
    <s v="transitive"/>
    <s v="active"/>
    <s v="positive"/>
    <n v="1"/>
    <n v="2"/>
    <s v="O+IO"/>
    <n v="0"/>
    <x v="1"/>
    <n v="3"/>
    <s v="overt"/>
    <s v="overt"/>
    <n v="0"/>
    <n v="0"/>
    <s v="n/a"/>
    <x v="2"/>
    <n v="0"/>
    <x v="0"/>
    <x v="0"/>
    <x v="0"/>
    <n v="0"/>
    <x v="2"/>
    <x v="1"/>
    <m/>
    <s v="ss"/>
    <x v="1"/>
    <x v="1"/>
    <x v="0"/>
    <m/>
    <x v="0"/>
    <n v="2"/>
    <s v="non-LVC"/>
    <s v="Yes"/>
    <n v="7"/>
    <x v="1"/>
    <n v="1"/>
    <m/>
    <n v="1"/>
    <x v="2"/>
    <s v="n/a"/>
    <x v="1"/>
    <n v="0"/>
  </r>
  <r>
    <x v="30"/>
    <s v="また忠盛の郎等元は一門たりし( mata Tadamori no rōtō moto wa ichimon tarishi) "/>
    <s v="Moreover a retainer of Tadamori ... "/>
    <s v="たりし"/>
    <s v="indicative"/>
    <s v="other"/>
    <s v="copula"/>
    <s v="intransitive"/>
    <s v="active"/>
    <s v="positive"/>
    <n v="1"/>
    <n v="1"/>
    <s v="SUB"/>
    <n v="1"/>
    <x v="0"/>
    <n v="3"/>
    <s v="n/a"/>
    <s v="n/a"/>
    <n v="0"/>
    <n v="0"/>
    <s v="REL"/>
    <x v="0"/>
    <n v="0"/>
    <x v="0"/>
    <x v="0"/>
    <x v="0"/>
    <n v="0"/>
    <x v="6"/>
    <x v="3"/>
    <m/>
    <s v="ds"/>
    <x v="0"/>
    <x v="0"/>
    <x v="0"/>
    <m/>
    <x v="0"/>
    <n v="1"/>
    <s v="non-LVC"/>
    <s v="Yes"/>
    <n v="8"/>
    <x v="2"/>
    <n v="0"/>
    <n v="1"/>
    <n v="0"/>
    <x v="2"/>
    <s v="n/a"/>
    <x v="1"/>
    <n v="0"/>
  </r>
  <r>
    <x v="31"/>
    <s v="木工助平貞光が孫新四郎太夫家房が子に左兵衛尉家貞といふ者あり (Moku no suke Sadamitsu ga mago Shinshirō Tayū Iefusa ga ko ni Sahyōe no jō Iesada to iu mono ari)"/>
    <s v="there was one named Sahyoe-no-jo Iesada"/>
    <s v="あり"/>
    <s v="indicative"/>
    <s v="other"/>
    <s v="existential verb"/>
    <s v="intransitive"/>
    <s v="active"/>
    <s v="positive"/>
    <n v="1"/>
    <n v="1"/>
    <s v="SUB"/>
    <n v="2"/>
    <x v="0"/>
    <n v="3"/>
    <s v="n/a"/>
    <s v="n/a"/>
    <n v="0"/>
    <n v="0"/>
    <s v="n/a"/>
    <x v="2"/>
    <n v="0"/>
    <x v="0"/>
    <x v="0"/>
    <x v="0"/>
    <n v="0"/>
    <x v="2"/>
    <x v="1"/>
    <m/>
    <s v="ss"/>
    <x v="0"/>
    <x v="0"/>
    <x v="0"/>
    <s v="frame predicate"/>
    <x v="0"/>
    <n v="1"/>
    <s v="non-LVC"/>
    <s v="Yes"/>
    <n v="8"/>
    <x v="5"/>
    <n v="1"/>
    <n v="1"/>
    <n v="1"/>
    <x v="0"/>
    <s v="overt"/>
    <x v="0"/>
    <n v="0"/>
  </r>
  <r>
    <x v="32"/>
    <s v="薄青の狩衣の下に萌黄威の腹巻を着 (usuao no kariginu no shita ni moegi-odoshi no haramaki o ki)"/>
    <s v="wearing a body armour laced with bright green under a light green &quot;kariginu&quot;"/>
    <s v="着"/>
    <s v="indicative"/>
    <s v="other"/>
    <s v="verb"/>
    <s v="transitive"/>
    <s v="active"/>
    <s v="positive"/>
    <n v="1"/>
    <n v="1"/>
    <s v="OBJ"/>
    <n v="1"/>
    <x v="1"/>
    <n v="3"/>
    <s v="overt"/>
    <s v="n/a"/>
    <n v="0"/>
    <n v="0"/>
    <s v="n/a"/>
    <x v="5"/>
    <n v="0"/>
    <x v="0"/>
    <x v="0"/>
    <x v="0"/>
    <n v="0"/>
    <x v="2"/>
    <x v="3"/>
    <m/>
    <s v="ss"/>
    <x v="0"/>
    <x v="1"/>
    <x v="0"/>
    <m/>
    <x v="0"/>
    <n v="1"/>
    <s v="non-LVC"/>
    <s v="Yes"/>
    <n v="9"/>
    <x v="1"/>
    <n v="1"/>
    <m/>
    <n v="0"/>
    <x v="0"/>
    <s v="overt"/>
    <x v="1"/>
    <n v="0"/>
  </r>
  <r>
    <x v="33"/>
    <s v="柄弦袋付けたる ezurubukuro tsuketaru "/>
    <s v="with a bowstring bag attached"/>
    <s v="付けたる"/>
    <s v="indicative"/>
    <s v="other"/>
    <s v="verb"/>
    <s v="transitive"/>
    <s v="active"/>
    <s v="positive"/>
    <n v="1"/>
    <n v="1"/>
    <s v="OBJ"/>
    <n v="0"/>
    <x v="1"/>
    <n v="3"/>
    <s v="overt"/>
    <s v="n/a"/>
    <n v="1"/>
    <n v="0"/>
    <s v="REL"/>
    <x v="0"/>
    <n v="0"/>
    <x v="0"/>
    <x v="0"/>
    <x v="0"/>
    <n v="0"/>
    <x v="2"/>
    <x v="6"/>
    <m/>
    <s v="ss"/>
    <x v="0"/>
    <x v="1"/>
    <x v="0"/>
    <m/>
    <x v="0"/>
    <n v="1"/>
    <s v="non-LVC"/>
    <s v="Yes"/>
    <n v="9"/>
    <x v="0"/>
    <n v="0"/>
    <n v="2"/>
    <n v="0"/>
    <x v="0"/>
    <s v="overt"/>
    <x v="1"/>
    <n v="0"/>
  </r>
  <r>
    <x v="34"/>
    <s v="太刀脇挟んで (tachi wakihasande)"/>
    <s v="and carrying under his arm a &quot;tachi&quot; "/>
    <s v="挟んで"/>
    <s v="indicative"/>
    <s v="other"/>
    <s v="verb"/>
    <s v="transitive"/>
    <s v="active"/>
    <s v="positive"/>
    <n v="1"/>
    <n v="2"/>
    <s v="O+IO"/>
    <n v="0"/>
    <x v="1"/>
    <n v="3"/>
    <s v="overt"/>
    <s v="overt"/>
    <n v="0"/>
    <n v="0"/>
    <s v="n/a"/>
    <x v="1"/>
    <n v="0"/>
    <x v="0"/>
    <x v="0"/>
    <x v="0"/>
    <n v="0"/>
    <x v="2"/>
    <x v="1"/>
    <s v="te_medial"/>
    <s v="ss"/>
    <x v="0"/>
    <x v="1"/>
    <x v="0"/>
    <m/>
    <x v="0"/>
    <n v="2"/>
    <s v="non-LVC"/>
    <s v="Yes"/>
    <n v="9"/>
    <x v="4"/>
    <n v="1"/>
    <n v="3"/>
    <n v="0"/>
    <x v="0"/>
    <s v="n/a"/>
    <x v="1"/>
    <n v="0"/>
  </r>
  <r>
    <x v="35"/>
    <s v="殿上の小庭に畏つてぞ候ひける (tenjō no koniwa ni kashikomatte zo soroikyeru)"/>
    <s v="was waiting in the &quot;koniwa,&quot; the small court by the Seiryoden"/>
    <s v="畏つて候ひける"/>
    <s v="indicative"/>
    <s v="other"/>
    <s v="verb(complex)"/>
    <s v="intransitive"/>
    <s v="active"/>
    <s v="positive"/>
    <n v="1"/>
    <n v="0"/>
    <s v="n/a"/>
    <n v="1"/>
    <x v="1"/>
    <n v="3"/>
    <s v="n/a"/>
    <s v="n/a"/>
    <n v="0"/>
    <n v="0"/>
    <s v="n/a"/>
    <x v="2"/>
    <n v="0"/>
    <x v="1"/>
    <x v="2"/>
    <x v="5"/>
    <n v="0"/>
    <x v="2"/>
    <x v="2"/>
    <m/>
    <s v="ss"/>
    <x v="1"/>
    <x v="1"/>
    <x v="1"/>
    <m/>
    <x v="0"/>
    <n v="0"/>
    <s v="non-LVC"/>
    <s v="Yes"/>
    <n v="9"/>
    <x v="4"/>
    <n v="1"/>
    <n v="1"/>
    <n v="0"/>
    <x v="2"/>
    <s v="overt"/>
    <x v="1"/>
    <n v="0"/>
  </r>
  <r>
    <x v="36"/>
    <s v="貫首以下怪しみをなして (kanshu ika ayashimi o nashite)"/>
    <s v="Now the Kurando-no-to and others, thinking it strange,"/>
    <s v="なして"/>
    <s v="indicative"/>
    <s v="other"/>
    <s v="LVC (inf)"/>
    <s v="transitive"/>
    <s v="active"/>
    <s v="negative"/>
    <n v="1"/>
    <n v="2"/>
    <s v="S+O"/>
    <n v="0"/>
    <x v="0"/>
    <n v="3"/>
    <s v="overt"/>
    <s v="n/a"/>
    <n v="0"/>
    <n v="0"/>
    <s v="n/a"/>
    <x v="1"/>
    <n v="0"/>
    <x v="0"/>
    <x v="0"/>
    <x v="0"/>
    <n v="0"/>
    <x v="1"/>
    <x v="3"/>
    <s v="te_initial"/>
    <s v="ds"/>
    <x v="0"/>
    <x v="2"/>
    <x v="0"/>
    <m/>
    <x v="0"/>
    <n v="2"/>
    <s v="LVC"/>
    <s v="Yes"/>
    <n v="10"/>
    <x v="7"/>
    <n v="1"/>
    <m/>
    <n v="0"/>
    <x v="2"/>
    <s v="n/a"/>
    <x v="1"/>
    <n v="0"/>
  </r>
  <r>
    <x v="37"/>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s v="other"/>
    <s v="verb"/>
    <s v="intransitive"/>
    <s v="active"/>
    <s v="positive"/>
    <n v="1"/>
    <n v="1"/>
    <s v="SUB"/>
    <n v="1"/>
    <x v="0"/>
    <n v="3"/>
    <s v="n/a"/>
    <s v="n/a"/>
    <n v="0"/>
    <n v="0"/>
    <s v="SUB"/>
    <x v="4"/>
    <n v="1"/>
    <x v="0"/>
    <x v="2"/>
    <x v="5"/>
    <n v="0"/>
    <x v="2"/>
    <x v="2"/>
    <m/>
    <s v="ss"/>
    <x v="0"/>
    <x v="2"/>
    <x v="0"/>
    <s v="internally headed"/>
    <x v="0"/>
    <n v="1"/>
    <s v="non-LVC"/>
    <s v="Yes"/>
    <n v="10"/>
    <x v="4"/>
    <n v="0"/>
    <n v="2"/>
    <n v="0"/>
    <x v="2"/>
    <s v="n/a"/>
    <x v="1"/>
    <n v="0"/>
  </r>
  <r>
    <x v="38"/>
    <s v="は何者ぞ  wa nani mono zo"/>
    <s v="and wondering who he was."/>
    <s v="何者ぞ  "/>
    <s v="indicative"/>
    <s v="other"/>
    <s v="copula"/>
    <s v="intransitive"/>
    <s v="active"/>
    <s v="positive"/>
    <n v="1"/>
    <n v="1"/>
    <s v="SUB"/>
    <n v="0"/>
    <x v="0"/>
    <n v="3"/>
    <s v="n/a"/>
    <s v="n/a"/>
    <n v="0"/>
    <n v="0"/>
    <s v="n/a"/>
    <x v="2"/>
    <n v="0"/>
    <x v="0"/>
    <x v="0"/>
    <x v="0"/>
    <n v="0"/>
    <x v="2"/>
    <x v="5"/>
    <m/>
    <s v="ss"/>
    <x v="0"/>
    <x v="3"/>
    <x v="2"/>
    <m/>
    <x v="0"/>
    <n v="1"/>
    <s v="non-LVC"/>
    <s v="Yes"/>
    <n v="10"/>
    <x v="4"/>
    <n v="1"/>
    <n v="1"/>
    <n v="0"/>
    <x v="4"/>
    <s v="n/a"/>
    <x v="0"/>
    <n v="0"/>
  </r>
  <r>
    <x v="39"/>
    <s v="狼藉なり (rōzaku nari)"/>
    <s v="&quot;[He is] disorderly&quot;"/>
    <s v="なり"/>
    <s v="indicative"/>
    <s v="stative"/>
    <s v="copula"/>
    <s v="intransitive"/>
    <s v="active"/>
    <s v="positive"/>
    <n v="1"/>
    <n v="0"/>
    <s v="n/a"/>
    <n v="0"/>
    <x v="4"/>
    <n v="3"/>
    <s v="n/a"/>
    <s v="n/a"/>
    <n v="0"/>
    <n v="0"/>
    <s v="n/a"/>
    <x v="2"/>
    <n v="0"/>
    <x v="0"/>
    <x v="0"/>
    <x v="0"/>
    <n v="0"/>
    <x v="2"/>
    <x v="3"/>
    <m/>
    <s v="ss"/>
    <x v="0"/>
    <x v="1"/>
    <x v="1"/>
    <m/>
    <x v="0"/>
    <n v="0"/>
    <s v="non-LVC"/>
    <s v="Yes"/>
    <n v="11"/>
    <x v="6"/>
    <n v="1"/>
    <n v="1"/>
    <n v="1"/>
    <x v="0"/>
    <s v="n/a"/>
    <x v="1"/>
    <n v="0"/>
  </r>
  <r>
    <x v="40"/>
    <s v="疾う疾う罷り出でよと (tōtō makari ideyo to)"/>
    <s v="&quot;Depart quickly&quot;"/>
    <s v="罷り出でよ"/>
    <s v="imperative"/>
    <s v="motion"/>
    <s v="verb"/>
    <s v="intransitive"/>
    <s v="active"/>
    <s v="positive"/>
    <n v="1"/>
    <n v="0"/>
    <s v="n/a"/>
    <n v="0"/>
    <x v="1"/>
    <n v="2"/>
    <s v="n/a"/>
    <s v="n/a"/>
    <n v="0"/>
    <n v="0"/>
    <s v="n/a"/>
    <x v="6"/>
    <n v="0"/>
    <x v="1"/>
    <x v="2"/>
    <x v="5"/>
    <n v="0"/>
    <x v="4"/>
    <x v="3"/>
    <m/>
    <s v="ss"/>
    <x v="0"/>
    <x v="1"/>
    <x v="1"/>
    <s v="embedded"/>
    <x v="0"/>
    <n v="0"/>
    <s v="non-LVC"/>
    <s v="Yes"/>
    <n v="12"/>
    <x v="4"/>
    <n v="1"/>
    <n v="2"/>
    <n v="1"/>
    <x v="0"/>
    <s v="overt"/>
    <x v="1"/>
    <n v="0"/>
  </r>
  <r>
    <x v="41"/>
    <s v="六位を以て云はせられたりければ (to roku-i o motte iwaseraretarikereba)"/>
    <s v="an official of the sixth rank ordered him to depart quickly."/>
    <s v="云はせられたりければ"/>
    <s v="indicative"/>
    <s v="stative"/>
    <s v="verb"/>
    <s v="intransitive"/>
    <s v="causative-passive-resultative"/>
    <s v="positive"/>
    <n v="1"/>
    <n v="2"/>
    <s v="O (Speech) +IO"/>
    <n v="1"/>
    <x v="1"/>
    <n v="3"/>
    <s v="overt"/>
    <s v="n/a"/>
    <n v="0"/>
    <n v="0"/>
    <s v="n/a"/>
    <x v="3"/>
    <n v="1"/>
    <x v="0"/>
    <x v="0"/>
    <x v="2"/>
    <n v="0"/>
    <x v="2"/>
    <x v="7"/>
    <m/>
    <s v="ss"/>
    <x v="0"/>
    <x v="1"/>
    <x v="0"/>
    <m/>
    <x v="0"/>
    <n v="2"/>
    <s v="non-LVC"/>
    <s v="Yes"/>
    <n v="12"/>
    <x v="4"/>
    <n v="1"/>
    <n v="3"/>
    <n v="0"/>
    <x v="2"/>
    <s v="zero_other"/>
    <x v="1"/>
    <n v="1"/>
  </r>
  <r>
    <x v="42"/>
    <s v="家貞畏つて申しけるは (Iesada kashikomatte mōshikeru wa)"/>
    <s v="But Iesada thus replied:"/>
    <s v="申しける"/>
    <s v="indicative"/>
    <s v="action"/>
    <s v="verb"/>
    <s v="transitive"/>
    <s v="active"/>
    <s v="positive"/>
    <n v="1"/>
    <n v="1"/>
    <s v="SUB"/>
    <n v="0"/>
    <x v="0"/>
    <n v="3"/>
    <s v="zero_other"/>
    <s v="n/a"/>
    <n v="1"/>
    <n v="0"/>
    <s v="SUB"/>
    <x v="3"/>
    <n v="1"/>
    <x v="0"/>
    <x v="2"/>
    <x v="5"/>
    <n v="0"/>
    <x v="2"/>
    <x v="4"/>
    <m/>
    <s v="ss"/>
    <x v="1"/>
    <x v="3"/>
    <x v="2"/>
    <s v="internally headed"/>
    <x v="0"/>
    <n v="1"/>
    <s v="non-LVC"/>
    <s v="Yes"/>
    <n v="12"/>
    <x v="4"/>
    <n v="1"/>
    <m/>
    <n v="0"/>
    <x v="2"/>
    <s v="n/a"/>
    <x v="1"/>
    <n v="0"/>
  </r>
  <r>
    <x v="43"/>
    <s v="相伝の主備前守殿今夜闇討にせられ給ふべき (sōden no aruji Bizen no kami-dono kon'ya yamiuchi ni serare-tamō beki) "/>
    <s v="tonight they will try to kill my Lord Bizen-no-kami dono&quot;"/>
    <s v="闇討にせられ給ふ"/>
    <s v="indicative"/>
    <s v="other"/>
    <s v="LVC"/>
    <s v="intransitive"/>
    <s v="passive"/>
    <s v="positive"/>
    <n v="1"/>
    <n v="1"/>
    <s v="SUB"/>
    <n v="1"/>
    <x v="0"/>
    <n v="3"/>
    <s v="n/a"/>
    <s v="n/a"/>
    <n v="0"/>
    <n v="1"/>
    <s v="REL"/>
    <x v="0"/>
    <n v="1"/>
    <x v="0"/>
    <x v="2"/>
    <x v="3"/>
    <n v="0"/>
    <x v="2"/>
    <x v="4"/>
    <m/>
    <s v="ds"/>
    <x v="0"/>
    <x v="2"/>
    <x v="0"/>
    <m/>
    <x v="0"/>
    <n v="1"/>
    <s v="LVC"/>
    <s v="Yes"/>
    <n v="12"/>
    <x v="0"/>
    <n v="0"/>
    <n v="4"/>
    <n v="0"/>
    <x v="0"/>
    <s v="overt"/>
    <x v="0"/>
    <n v="0"/>
  </r>
  <r>
    <x v="44"/>
    <s v="由伝へ承つて(yoshi tsutae uketamawatte) "/>
    <s v="Because I have heard that"/>
    <s v="伝へ承つて"/>
    <s v="indicative"/>
    <s v="communication"/>
    <s v="verb"/>
    <s v="transitive"/>
    <s v="active"/>
    <s v="positive"/>
    <n v="1"/>
    <n v="1"/>
    <s v="OBJ"/>
    <n v="0"/>
    <x v="1"/>
    <n v="1"/>
    <s v="overt"/>
    <s v="n/a"/>
    <n v="0"/>
    <n v="0"/>
    <s v="n/a"/>
    <x v="1"/>
    <n v="0"/>
    <x v="1"/>
    <x v="2"/>
    <x v="2"/>
    <n v="0"/>
    <x v="1"/>
    <x v="1"/>
    <s v="te_medial"/>
    <s v="ss"/>
    <x v="1"/>
    <x v="1"/>
    <x v="0"/>
    <m/>
    <x v="0"/>
    <n v="1"/>
    <s v="non-LVC"/>
    <s v="Yes"/>
    <n v="12"/>
    <x v="4"/>
    <n v="1"/>
    <m/>
    <n v="0"/>
    <x v="2"/>
    <s v="n/a"/>
    <x v="1"/>
    <n v="0"/>
  </r>
  <r>
    <x v="45"/>
    <s v="それならん  (sore naran )"/>
    <s v="&quot;whether it is so&quot;"/>
    <s v="ならん "/>
    <s v="epistemic"/>
    <s v="other"/>
    <s v="verb"/>
    <s v="intransitive"/>
    <s v="active"/>
    <s v="positive"/>
    <n v="1"/>
    <n v="1"/>
    <s v="SUB"/>
    <n v="0"/>
    <x v="0"/>
    <n v="3"/>
    <s v="n/a"/>
    <s v="n/a"/>
    <n v="0"/>
    <n v="1"/>
    <s v="REL"/>
    <x v="0"/>
    <n v="0"/>
    <x v="0"/>
    <x v="0"/>
    <x v="0"/>
    <n v="0"/>
    <x v="2"/>
    <x v="2"/>
    <m/>
    <s v="ds"/>
    <x v="1"/>
    <x v="3"/>
    <x v="2"/>
    <m/>
    <x v="0"/>
    <n v="1"/>
    <s v="non-LVC"/>
    <s v="Yes"/>
    <n v="12"/>
    <x v="4"/>
    <n v="0"/>
    <n v="5"/>
    <n v="0"/>
    <x v="0"/>
    <s v="overt"/>
    <x v="0"/>
    <n v="0"/>
  </r>
  <r>
    <x v="46"/>
    <s v="やうを見んとて (yō o min to te)"/>
    <s v="and in order to see "/>
    <s v="見ん"/>
    <s v="dynamic"/>
    <s v="perception"/>
    <s v="verb"/>
    <s v="transitive"/>
    <s v="active"/>
    <s v="positive"/>
    <n v="1"/>
    <n v="1"/>
    <s v="OBJ"/>
    <n v="0"/>
    <x v="1"/>
    <n v="1"/>
    <s v="overt"/>
    <s v="n/a"/>
    <n v="0"/>
    <n v="0"/>
    <s v="REL"/>
    <x v="3"/>
    <n v="0"/>
    <x v="0"/>
    <x v="0"/>
    <x v="0"/>
    <n v="0"/>
    <x v="7"/>
    <x v="1"/>
    <m/>
    <s v="ds"/>
    <x v="0"/>
    <x v="1"/>
    <x v="0"/>
    <m/>
    <x v="0"/>
    <n v="1"/>
    <s v="non-LVC"/>
    <s v="Yes"/>
    <n v="12"/>
    <x v="4"/>
    <n v="1"/>
    <n v="6"/>
    <n v="0"/>
    <x v="1"/>
    <s v="n/a"/>
    <x v="1"/>
    <n v="0"/>
  </r>
  <r>
    <x v="47"/>
    <s v="かくて候ふなり (kakute soro fu nari)"/>
    <s v="&quot;have come and am thus waiting&quot;"/>
    <s v="候ふなり"/>
    <s v="indicative"/>
    <s v="stative"/>
    <s v="verb(complex)"/>
    <s v="intransitive"/>
    <s v="active"/>
    <s v="positive"/>
    <n v="1"/>
    <n v="0"/>
    <s v="n/a"/>
    <n v="1"/>
    <x v="2"/>
    <n v="1"/>
    <s v="n/a"/>
    <s v="n/a"/>
    <n v="0"/>
    <n v="0"/>
    <s v="n/a"/>
    <x v="2"/>
    <n v="0"/>
    <x v="1"/>
    <x v="2"/>
    <x v="5"/>
    <n v="0"/>
    <x v="2"/>
    <x v="4"/>
    <m/>
    <s v="ss"/>
    <x v="0"/>
    <x v="1"/>
    <x v="1"/>
    <m/>
    <x v="0"/>
    <n v="0"/>
    <s v="non-LVC"/>
    <s v="Yes"/>
    <n v="12"/>
    <x v="2"/>
    <n v="1"/>
    <n v="1"/>
    <n v="0"/>
    <x v="1"/>
    <s v="n/a"/>
    <x v="1"/>
    <n v="0"/>
  </r>
  <r>
    <x v="48"/>
    <s v="えこそ出でまじう候へ (e koso idema jiu soro e)"/>
    <s v="&quot;I cannot possibly go out&quot;"/>
    <s v="出でまじう候へ"/>
    <s v="dynamic"/>
    <s v="motion"/>
    <s v="verb"/>
    <s v="intransitive"/>
    <s v="active"/>
    <s v="negative"/>
    <n v="1"/>
    <n v="0"/>
    <s v="n/a"/>
    <n v="0"/>
    <x v="2"/>
    <n v="1"/>
    <s v="n/a"/>
    <s v="n/a"/>
    <n v="0"/>
    <n v="0"/>
    <s v="n/a"/>
    <x v="2"/>
    <n v="0"/>
    <x v="1"/>
    <x v="2"/>
    <x v="7"/>
    <n v="0"/>
    <x v="2"/>
    <x v="3"/>
    <m/>
    <s v="ss"/>
    <x v="1"/>
    <x v="1"/>
    <x v="1"/>
    <m/>
    <x v="0"/>
    <n v="0"/>
    <s v="non-LVC"/>
    <s v="Yes"/>
    <n v="13"/>
    <x v="4"/>
    <n v="1"/>
    <n v="1"/>
    <n v="1"/>
    <x v="2"/>
    <s v="n/a"/>
    <x v="1"/>
    <n v="0"/>
  </r>
  <r>
    <x v="49"/>
    <s v="これらを由なしとや (korera o yoshi nashi to ya)"/>
    <s v=" there was nothing more to be done;"/>
    <s v="なし"/>
    <s v="indicative"/>
    <s v="stative"/>
    <s v="existential verb"/>
    <s v="intransitive"/>
    <s v="active"/>
    <s v="negative"/>
    <n v="1"/>
    <n v="1"/>
    <s v="SUB"/>
    <n v="1"/>
    <x v="0"/>
    <n v="3"/>
    <s v="n/a"/>
    <s v="n/a"/>
    <n v="0"/>
    <n v="0"/>
    <s v="n/a"/>
    <x v="6"/>
    <n v="0"/>
    <x v="0"/>
    <x v="0"/>
    <x v="0"/>
    <n v="0"/>
    <x v="4"/>
    <x v="3"/>
    <m/>
    <s v="ds"/>
    <x v="3"/>
    <x v="3"/>
    <x v="0"/>
    <m/>
    <x v="0"/>
    <n v="1"/>
    <s v="non-LVC"/>
    <s v="Yes"/>
    <n v="14"/>
    <x v="2"/>
    <n v="1"/>
    <n v="2"/>
    <n v="0"/>
    <x v="1"/>
    <s v="overt"/>
    <x v="0"/>
    <n v="0"/>
  </r>
  <r>
    <x v="50"/>
    <s v="思はれけん (omowareken)"/>
    <s v="And they saw that"/>
    <s v="思はれけん"/>
    <s v="epistemic"/>
    <s v="psych-state"/>
    <s v="verb"/>
    <s v="transitive"/>
    <s v="active"/>
    <s v="positive"/>
    <n v="1"/>
    <n v="1"/>
    <s v="O (Speech)"/>
    <n v="0"/>
    <x v="2"/>
    <n v="3"/>
    <s v="overt"/>
    <s v="n/a"/>
    <n v="0"/>
    <n v="0"/>
    <s v="n/a"/>
    <x v="2"/>
    <n v="0"/>
    <x v="1"/>
    <x v="2"/>
    <x v="2"/>
    <n v="0"/>
    <x v="8"/>
    <x v="0"/>
    <m/>
    <s v="ds"/>
    <x v="3"/>
    <x v="1"/>
    <x v="0"/>
    <m/>
    <x v="0"/>
    <n v="1"/>
    <s v="non-LVC"/>
    <s v="Yes"/>
    <n v="14"/>
    <x v="4"/>
    <n v="1"/>
    <n v="1"/>
    <n v="0"/>
    <x v="2"/>
    <s v="n/a"/>
    <x v="1"/>
    <n v="0"/>
  </r>
  <r>
    <x v="51"/>
    <s v="その夜の闇討なかりけり (sono yo no yamiuchi nakarikeri)"/>
    <s v="and thus the attempt did not take place."/>
    <s v="なかりけり"/>
    <s v="indicative"/>
    <s v="aux/modal"/>
    <s v="verb"/>
    <s v="intransitive"/>
    <s v="active"/>
    <s v="negative"/>
    <n v="1"/>
    <n v="1"/>
    <s v="SUB"/>
    <n v="0"/>
    <x v="0"/>
    <s v="inanimate"/>
    <s v="n/a"/>
    <s v="n/a"/>
    <n v="0"/>
    <n v="0"/>
    <s v="n/a"/>
    <x v="2"/>
    <n v="0"/>
    <x v="0"/>
    <x v="0"/>
    <x v="0"/>
    <n v="0"/>
    <x v="2"/>
    <x v="3"/>
    <m/>
    <s v="ss"/>
    <x v="1"/>
    <x v="2"/>
    <x v="0"/>
    <m/>
    <x v="0"/>
    <n v="1"/>
    <s v="non-LVC"/>
    <s v="Yes"/>
    <n v="15"/>
    <x v="3"/>
    <n v="1"/>
    <n v="1"/>
    <n v="1"/>
    <x v="2"/>
    <s v="n/a"/>
    <x v="1"/>
    <n v="0"/>
  </r>
  <r>
    <x v="52"/>
    <s v="忠盛また御前の召しに舞はれけるに (Tadamori mata gozen no meshi ni mawarekeru ni)"/>
    <s v="But when Tadamori danced in the August presence of the Mikado at his Imperial wish,"/>
    <s v="舞はれける"/>
    <s v="indicative"/>
    <s v="action"/>
    <s v="verb"/>
    <s v="intransitive"/>
    <s v="active"/>
    <s v="positive"/>
    <n v="1"/>
    <n v="1"/>
    <s v="SUB"/>
    <n v="1"/>
    <x v="0"/>
    <n v="3"/>
    <s v="n/a"/>
    <s v="n/a"/>
    <n v="0"/>
    <n v="0"/>
    <s v="REL"/>
    <x v="3"/>
    <n v="1"/>
    <x v="0"/>
    <x v="2"/>
    <x v="2"/>
    <n v="0"/>
    <x v="0"/>
    <x v="3"/>
    <m/>
    <s v="ds"/>
    <x v="1"/>
    <x v="2"/>
    <x v="0"/>
    <m/>
    <x v="0"/>
    <n v="1"/>
    <s v="non-LVC"/>
    <s v="Yes"/>
    <n v="16"/>
    <x v="0"/>
    <n v="1"/>
    <n v="2"/>
    <n v="0"/>
    <x v="2"/>
    <s v="overt"/>
    <x v="1"/>
    <n v="0"/>
  </r>
  <r>
    <x v="53"/>
    <s v="人々拍子を変へて (hitobito hyōshi o kaete)"/>
    <s v="the others mocked at him, changing the words of the music"/>
    <s v="変へて"/>
    <s v="indicative"/>
    <s v="other"/>
    <s v="verb"/>
    <s v="transitive"/>
    <s v="active"/>
    <s v="positive"/>
    <n v="1"/>
    <n v="2"/>
    <s v="S+O"/>
    <n v="0"/>
    <x v="0"/>
    <n v="3"/>
    <s v="overt"/>
    <s v="n/a"/>
    <n v="0"/>
    <n v="0"/>
    <s v="n/a"/>
    <x v="1"/>
    <n v="0"/>
    <x v="0"/>
    <x v="0"/>
    <x v="0"/>
    <n v="0"/>
    <x v="1"/>
    <x v="4"/>
    <s v="te_medial"/>
    <s v="ds"/>
    <x v="1"/>
    <x v="2"/>
    <x v="0"/>
    <m/>
    <x v="0"/>
    <n v="2"/>
    <s v="non-LVC"/>
    <s v="Yes"/>
    <n v="16"/>
    <x v="6"/>
    <n v="1"/>
    <n v="3"/>
    <n v="0"/>
    <x v="2"/>
    <s v="n/a"/>
    <x v="1"/>
    <n v="0"/>
  </r>
  <r>
    <x v="54"/>
    <s v="伊勢へいじはすがめなりけりとぞ (Ise heiji wa sugame narikeri)"/>
    <s v="&quot;the winepot of Ise has turned into a vinegar jar&quot;"/>
    <s v="なりけり"/>
    <s v="indicative"/>
    <s v="stative"/>
    <s v="copula"/>
    <s v="intransitive"/>
    <s v="active"/>
    <s v="positive"/>
    <n v="1"/>
    <n v="1"/>
    <s v="SUB"/>
    <n v="0"/>
    <x v="0"/>
    <n v="3"/>
    <s v="n/a"/>
    <s v="n/a"/>
    <n v="0"/>
    <n v="0"/>
    <s v="n/a"/>
    <x v="6"/>
    <n v="0"/>
    <x v="0"/>
    <x v="0"/>
    <x v="0"/>
    <n v="0"/>
    <x v="4"/>
    <x v="2"/>
    <m/>
    <s v="ds"/>
    <x v="0"/>
    <x v="0"/>
    <x v="0"/>
    <m/>
    <x v="0"/>
    <n v="1"/>
    <s v="non-LVC"/>
    <s v="Yes"/>
    <n v="16"/>
    <x v="2"/>
    <n v="1"/>
    <n v="4"/>
    <n v="0"/>
    <x v="1"/>
    <s v="overt"/>
    <x v="0"/>
    <n v="0"/>
  </r>
  <r>
    <x v="55"/>
    <s v="囃されける (to zo hayasarekeru)"/>
    <s v="they sang in mockery"/>
    <s v="囃されける"/>
    <s v="indicative"/>
    <s v="action"/>
    <s v="verb"/>
    <s v="transitive"/>
    <s v="active"/>
    <s v="positive"/>
    <n v="1"/>
    <n v="1"/>
    <s v="O (Speech)"/>
    <n v="0"/>
    <x v="2"/>
    <n v="3"/>
    <s v="overt"/>
    <s v="n/a"/>
    <n v="0"/>
    <n v="0"/>
    <s v="kakari-musubi"/>
    <x v="2"/>
    <n v="0"/>
    <x v="1"/>
    <x v="2"/>
    <x v="2"/>
    <n v="0"/>
    <x v="8"/>
    <x v="7"/>
    <m/>
    <s v="ss"/>
    <x v="0"/>
    <x v="1"/>
    <x v="0"/>
    <m/>
    <x v="0"/>
    <n v="1"/>
    <s v="non-LVC"/>
    <s v="Yes"/>
    <n v="16"/>
    <x v="3"/>
    <n v="1"/>
    <n v="1"/>
    <n v="0"/>
    <x v="2"/>
    <s v="overt"/>
    <x v="1"/>
    <n v="0"/>
  </r>
  <r>
    <x v="56"/>
    <s v="かけまくも忝くこの人々は柏原天皇の御末とは申しながら (kakemakumo katabokaku kono hitobito wa Kashiwabara Tennō no o-sue to wa mōshinagara)"/>
    <s v="In thus mentioning the vessels of his province they punned on his title..."/>
    <s v="申しながら"/>
    <s v="indicative"/>
    <s v="communication"/>
    <s v="verb"/>
    <s v="transitive"/>
    <s v="active"/>
    <s v="positive"/>
    <n v="1"/>
    <n v="2"/>
    <s v="S+O (Speech)"/>
    <n v="1"/>
    <x v="0"/>
    <n v="3"/>
    <s v="overt"/>
    <s v="n/a"/>
    <n v="0"/>
    <n v="0"/>
    <s v="n/a"/>
    <x v="3"/>
    <n v="1"/>
    <x v="0"/>
    <x v="2"/>
    <x v="5"/>
    <n v="0"/>
    <x v="0"/>
    <x v="3"/>
    <m/>
    <s v="ss"/>
    <x v="1"/>
    <x v="2"/>
    <x v="0"/>
    <m/>
    <x v="0"/>
    <n v="2"/>
    <s v="non-LVC"/>
    <s v="Yes"/>
    <n v="17"/>
    <x v="2"/>
    <n v="1"/>
    <n v="2"/>
    <n v="1"/>
    <x v="2"/>
    <s v="n/a"/>
    <x v="1"/>
    <n v="0"/>
  </r>
  <r>
    <x v="57"/>
    <s v="中比は都の住まひも疎々しく (chūbi wa miyako no sumai mo utoutoshiku)"/>
    <s v="and since lately his family had lived away from the capital,"/>
    <s v="疎々しく"/>
    <s v="indicative"/>
    <s v="psych-state"/>
    <s v="adjectival predicate"/>
    <s v="intransitive"/>
    <s v="active"/>
    <s v="positive"/>
    <n v="1"/>
    <n v="1"/>
    <s v="SUB"/>
    <n v="1"/>
    <x v="0"/>
    <n v="3"/>
    <s v="n/a"/>
    <s v="n/a"/>
    <n v="0"/>
    <n v="0"/>
    <s v="n/a"/>
    <x v="2"/>
    <n v="0"/>
    <x v="0"/>
    <x v="0"/>
    <x v="0"/>
    <n v="0"/>
    <x v="2"/>
    <x v="4"/>
    <m/>
    <s v="ds"/>
    <x v="0"/>
    <x v="2"/>
    <x v="0"/>
    <m/>
    <x v="0"/>
    <n v="1"/>
    <s v="non-LVC"/>
    <s v="Yes"/>
    <n v="17"/>
    <x v="0"/>
    <n v="1"/>
    <n v="1"/>
    <n v="0"/>
    <x v="0"/>
    <s v="n/a"/>
    <x v="0"/>
    <n v="0"/>
  </r>
  <r>
    <x v="58"/>
    <s v="地下にのみ振舞ひなつて ( jige ni nomi furumai natte)"/>
    <s v=" behaving as mere provincial folk"/>
    <s v="振舞ひなつて"/>
    <s v="indicative"/>
    <s v="other"/>
    <s v="verb(compound)"/>
    <s v="intransitive"/>
    <s v="active"/>
    <s v="positive"/>
    <n v="1"/>
    <n v="1"/>
    <s v="IO"/>
    <n v="0"/>
    <x v="1"/>
    <n v="3"/>
    <s v="n/a"/>
    <s v="overt"/>
    <n v="0"/>
    <n v="0"/>
    <s v="n/a"/>
    <x v="1"/>
    <n v="0"/>
    <x v="0"/>
    <x v="0"/>
    <x v="0"/>
    <n v="0"/>
    <x v="1"/>
    <x v="3"/>
    <s v="te_medial"/>
    <s v="ss"/>
    <x v="0"/>
    <x v="1"/>
    <x v="0"/>
    <m/>
    <x v="0"/>
    <n v="1"/>
    <s v="non-LVC"/>
    <s v="Yes"/>
    <n v="18"/>
    <x v="3"/>
    <n v="1"/>
    <n v="2"/>
    <n v="0"/>
    <x v="0"/>
    <s v="n/a"/>
    <x v="1"/>
    <n v="0"/>
  </r>
  <r>
    <x v="59"/>
    <s v="伊勢国に住国深かりしかば  (Ise no kuni ni sumikoku fukakarishikaba)"/>
    <s v="and as they lived deep in Ise province, they likened him to the vessels of that province"/>
    <s v="深かりしかば"/>
    <s v="indicative"/>
    <s v="psych-state"/>
    <s v="adjectival predicate"/>
    <s v="intransitive"/>
    <s v="active"/>
    <s v="positive"/>
    <n v="1"/>
    <n v="1"/>
    <s v="SUB"/>
    <n v="1"/>
    <x v="1"/>
    <n v="3"/>
    <s v="n/a"/>
    <s v="n/a"/>
    <n v="0"/>
    <n v="0"/>
    <s v="n/a"/>
    <x v="3"/>
    <n v="0"/>
    <x v="0"/>
    <x v="0"/>
    <x v="0"/>
    <n v="0"/>
    <x v="3"/>
    <x v="2"/>
    <m/>
    <s v="ss"/>
    <x v="1"/>
    <x v="1"/>
    <x v="0"/>
    <m/>
    <x v="0"/>
    <n v="1"/>
    <s v="non-LVC"/>
    <s v="Yes"/>
    <n v="18"/>
    <x v="0"/>
    <n v="1"/>
    <n v="3"/>
    <n v="0"/>
    <x v="5"/>
    <s v="zero_uncertain"/>
    <x v="1"/>
    <n v="0"/>
  </r>
  <r>
    <x v="60"/>
    <s v="その国の器に言寄せて"/>
    <s v="sono kuni no utsuwa ni kotoyosete)"/>
    <s v="言寄せて"/>
    <s v="indicative"/>
    <s v="communication"/>
    <s v="verb"/>
    <s v="ditransitive"/>
    <s v="active"/>
    <s v="positive"/>
    <n v="1"/>
    <n v="1"/>
    <s v="IO"/>
    <n v="0"/>
    <x v="5"/>
    <n v="3"/>
    <s v="zero_uncertain"/>
    <s v="overt"/>
    <n v="0"/>
    <n v="0"/>
    <s v="n/a"/>
    <x v="1"/>
    <n v="0"/>
    <x v="0"/>
    <x v="0"/>
    <x v="0"/>
    <n v="0"/>
    <x v="1"/>
    <x v="4"/>
    <s v="te_medial"/>
    <s v="ds"/>
    <x v="0"/>
    <x v="1"/>
    <x v="0"/>
    <m/>
    <x v="0"/>
    <n v="1"/>
    <s v="non-LVC"/>
    <s v="Yes"/>
    <n v="18"/>
    <x v="2"/>
    <n v="1"/>
    <n v="4"/>
    <n v="0"/>
    <x v="0"/>
    <s v="n/a"/>
    <x v="1"/>
    <n v="0"/>
  </r>
  <r>
    <x v="61"/>
    <s v="伊勢平氏とぞ囃されける (Ise Heishi to zo hayasarekeru)"/>
    <s v="so they mocked him as 'Ise Heishi'"/>
    <s v="囃されける"/>
    <s v="indicative"/>
    <s v="action"/>
    <s v="verb"/>
    <s v="intransitive"/>
    <s v="passive"/>
    <s v="positive"/>
    <n v="1"/>
    <n v="1"/>
    <s v="O (Speech)"/>
    <n v="0"/>
    <x v="1"/>
    <n v="3"/>
    <s v="n/a"/>
    <s v="overt"/>
    <n v="0"/>
    <n v="0"/>
    <s v="kakari-musubi"/>
    <x v="2"/>
    <n v="0"/>
    <x v="0"/>
    <x v="0"/>
    <x v="0"/>
    <n v="0"/>
    <x v="2"/>
    <x v="2"/>
    <m/>
    <s v="ss"/>
    <x v="1"/>
    <x v="1"/>
    <x v="0"/>
    <m/>
    <x v="0"/>
    <n v="1"/>
    <s v="non-LVC"/>
    <s v="Yes"/>
    <n v="18"/>
    <x v="3"/>
    <n v="1"/>
    <n v="1"/>
    <n v="0"/>
    <x v="2"/>
    <s v="n/a"/>
    <x v="1"/>
    <n v="0"/>
  </r>
  <r>
    <x v="62"/>
    <s v="その上忠盛目の眇まれたりける故にこそ (sono ue Tadamori me no sugamaretari keru yue ni koso)"/>
    <s v="moreover, because Tadamori's eyes were squinted, "/>
    <s v="眇まれたりける"/>
    <s v="indicative"/>
    <s v="action"/>
    <s v="verb"/>
    <s v="intransitive"/>
    <s v="active"/>
    <s v="positive"/>
    <n v="1"/>
    <n v="1"/>
    <s v="SUB"/>
    <n v="1"/>
    <x v="0"/>
    <n v="3"/>
    <s v="n/a"/>
    <s v="n/a"/>
    <n v="0"/>
    <n v="1"/>
    <s v="REL"/>
    <x v="3"/>
    <n v="0"/>
    <x v="0"/>
    <x v="0"/>
    <x v="0"/>
    <n v="0"/>
    <x v="3"/>
    <x v="3"/>
    <m/>
    <s v="ds"/>
    <x v="0"/>
    <x v="3"/>
    <x v="0"/>
    <m/>
    <x v="0"/>
    <n v="1"/>
    <s v="non-LVC"/>
    <s v="Yes"/>
    <n v="19"/>
    <x v="4"/>
    <n v="1"/>
    <n v="2"/>
    <n v="1"/>
    <x v="0"/>
    <s v="n/a"/>
    <x v="0"/>
    <n v="0"/>
  </r>
  <r>
    <x v="63"/>
    <s v="かやうには囃されけるなれ  (kayō ni wa hayasarekeru nare)"/>
    <s v="he was mocked in such a way"/>
    <s v="囃されけるなれ"/>
    <s v="indicative"/>
    <s v="other"/>
    <s v="verb"/>
    <s v="intransitive"/>
    <s v="passive"/>
    <s v="positive"/>
    <n v="1"/>
    <n v="0"/>
    <s v="n/a"/>
    <n v="0"/>
    <x v="1"/>
    <n v="3"/>
    <s v="n/a"/>
    <s v="n/a"/>
    <n v="0"/>
    <n v="0"/>
    <s v="kakari-musubi"/>
    <x v="2"/>
    <n v="0"/>
    <x v="0"/>
    <x v="0"/>
    <x v="0"/>
    <n v="0"/>
    <x v="2"/>
    <x v="4"/>
    <m/>
    <s v="ss"/>
    <x v="0"/>
    <x v="1"/>
    <x v="1"/>
    <m/>
    <x v="0"/>
    <n v="0"/>
    <s v="non-LVC"/>
    <s v="Yes"/>
    <n v="19"/>
    <x v="4"/>
    <n v="1"/>
    <n v="1"/>
    <n v="0"/>
    <x v="2"/>
    <s v="overt"/>
    <x v="1"/>
    <n v="0"/>
  </r>
  <r>
    <x v="64"/>
    <s v="忠盛何とすべきやうもなくして (Tadamori nan to subeki yō mo nakushite)"/>
    <s v="Tadamori, having no way of dealing with the situation,"/>
    <s v="なくして"/>
    <s v="indicative"/>
    <s v="other"/>
    <s v="verb"/>
    <s v="transitive"/>
    <s v="active"/>
    <s v="negative"/>
    <n v="1"/>
    <n v="2"/>
    <s v="S+O"/>
    <n v="0"/>
    <x v="0"/>
    <n v="3"/>
    <s v="overt"/>
    <s v="n/a"/>
    <n v="0"/>
    <n v="0"/>
    <s v="n/a"/>
    <x v="1"/>
    <n v="0"/>
    <x v="0"/>
    <x v="0"/>
    <x v="0"/>
    <n v="0"/>
    <x v="1"/>
    <x v="3"/>
    <s v="te_initial"/>
    <s v="ss"/>
    <x v="1"/>
    <x v="3"/>
    <x v="0"/>
    <m/>
    <x v="0"/>
    <n v="2"/>
    <s v="non-LVC"/>
    <s v="Yes"/>
    <n v="20"/>
    <x v="3"/>
    <n v="1"/>
    <n v="2"/>
    <n v="1"/>
    <x v="2"/>
    <s v="n/a"/>
    <x v="1"/>
    <n v="0"/>
  </r>
  <r>
    <x v="65"/>
    <s v="御遊も未だ終らざる前に (gyoyū mo mada owarazaru mae ni)"/>
    <s v="before the entertainment had ended,"/>
    <s v="終らざる"/>
    <s v="indicative"/>
    <s v="other"/>
    <s v="verb"/>
    <s v="intransitive"/>
    <s v="active"/>
    <s v="negative"/>
    <n v="1"/>
    <n v="1"/>
    <s v="SUB"/>
    <n v="1"/>
    <x v="0"/>
    <n v="3"/>
    <s v="n/a"/>
    <s v="n/a"/>
    <n v="0"/>
    <n v="1"/>
    <s v="REL"/>
    <x v="3"/>
    <n v="0"/>
    <x v="0"/>
    <x v="0"/>
    <x v="0"/>
    <n v="0"/>
    <x v="0"/>
    <x v="2"/>
    <m/>
    <s v="ds"/>
    <x v="1"/>
    <x v="1"/>
    <x v="0"/>
    <m/>
    <x v="0"/>
    <n v="1"/>
    <s v="non-LVC"/>
    <s v="Yes"/>
    <n v="20"/>
    <x v="4"/>
    <n v="1"/>
    <n v="3"/>
    <n v="0"/>
    <x v="1"/>
    <s v="n/a"/>
    <x v="0"/>
    <n v="0"/>
  </r>
  <r>
    <x v="66"/>
    <s v="密かに罷り出でらるとて (hisokani makari ideraru tote)"/>
    <s v="he secretly left the Presence,"/>
    <s v="罷り出でらる"/>
    <s v="indicative"/>
    <s v="motion"/>
    <s v="verb"/>
    <s v="intransitive"/>
    <s v="active"/>
    <s v="positive"/>
    <n v="1"/>
    <n v="0"/>
    <s v="n/a"/>
    <n v="1"/>
    <x v="2"/>
    <n v="3"/>
    <s v="n/a"/>
    <s v="n/a"/>
    <n v="0"/>
    <n v="0"/>
    <s v="REL"/>
    <x v="3"/>
    <n v="0"/>
    <x v="1"/>
    <x v="2"/>
    <x v="8"/>
    <n v="0"/>
    <x v="0"/>
    <x v="4"/>
    <m/>
    <s v="ds"/>
    <x v="0"/>
    <x v="1"/>
    <x v="1"/>
    <m/>
    <x v="0"/>
    <n v="0"/>
    <s v="non-LVC"/>
    <s v="Yes"/>
    <n v="20"/>
    <x v="0"/>
    <n v="1"/>
    <n v="4"/>
    <n v="0"/>
    <x v="0"/>
    <s v="n/a"/>
    <x v="1"/>
    <n v="0"/>
  </r>
  <r>
    <x v="67"/>
    <s v="紫宸殿の御後にして (Shishinden no o-ato ni shite)"/>
    <s v="and going behind the Shishinden,"/>
    <s v="後にして"/>
    <s v="indicative"/>
    <s v="other"/>
    <s v="LVC (j)"/>
    <s v="intransitive"/>
    <s v="active"/>
    <s v="positive"/>
    <n v="1"/>
    <n v="0"/>
    <s v="n/a"/>
    <n v="1"/>
    <x v="1"/>
    <n v="3"/>
    <s v="n/a"/>
    <s v="n/a"/>
    <n v="0"/>
    <n v="0"/>
    <s v="n/a"/>
    <x v="1"/>
    <n v="0"/>
    <x v="0"/>
    <x v="0"/>
    <x v="0"/>
    <n v="0"/>
    <x v="1"/>
    <x v="4"/>
    <s v="te_medial"/>
    <s v="ss"/>
    <x v="1"/>
    <x v="1"/>
    <x v="1"/>
    <m/>
    <x v="0"/>
    <n v="0"/>
    <s v="LVC"/>
    <s v="Yes"/>
    <n v="20"/>
    <x v="4"/>
    <n v="1"/>
    <m/>
    <n v="0"/>
    <x v="2"/>
    <s v="zero_recoverable"/>
    <x v="1"/>
    <n v="0"/>
  </r>
  <r>
    <x v="68"/>
    <s v="かたへの殿上人の見られける (kata e no tenjōbito no mirarekeru)"/>
    <s v=" the court nobles could see him,"/>
    <s v="見られける"/>
    <s v="indicative"/>
    <s v="action"/>
    <s v="verb"/>
    <s v="transitive"/>
    <s v="active"/>
    <s v="positive"/>
    <n v="1"/>
    <n v="1"/>
    <s v="SUB"/>
    <n v="0"/>
    <x v="0"/>
    <n v="3"/>
    <s v="zero_recoverable"/>
    <s v="n/a"/>
    <n v="0"/>
    <n v="1"/>
    <s v="REL"/>
    <x v="0"/>
    <n v="1"/>
    <x v="0"/>
    <x v="2"/>
    <x v="2"/>
    <n v="0"/>
    <x v="2"/>
    <x v="2"/>
    <m/>
    <s v="ds"/>
    <x v="0"/>
    <x v="0"/>
    <x v="0"/>
    <m/>
    <x v="0"/>
    <n v="1"/>
    <s v="non-LVC"/>
    <s v="Yes"/>
    <n v="20"/>
    <x v="0"/>
    <n v="0"/>
    <n v="5"/>
    <n v="0"/>
    <x v="1"/>
    <s v="overt"/>
    <x v="0"/>
    <n v="0"/>
  </r>
  <r>
    <x v="69"/>
    <s v="所にて主殿司を召して (tokoro nite tonomotsukasa o meshite azukeokite zo iderarekeru)"/>
    <s v="in a place where… he summoned the Tonomotsukasa, "/>
    <s v="召して "/>
    <s v="indicative"/>
    <s v="action"/>
    <s v="verb"/>
    <s v="transitive"/>
    <s v="active"/>
    <s v="positive"/>
    <n v="1"/>
    <n v="1"/>
    <s v="OBJ"/>
    <n v="1"/>
    <x v="2"/>
    <n v="3"/>
    <s v="overt"/>
    <s v="n/a"/>
    <n v="0"/>
    <n v="0"/>
    <s v="n/a"/>
    <x v="1"/>
    <n v="0"/>
    <x v="1"/>
    <x v="2"/>
    <x v="3"/>
    <n v="0"/>
    <x v="1"/>
    <x v="1"/>
    <s v="te_medial"/>
    <s v="ss"/>
    <x v="0"/>
    <x v="1"/>
    <x v="0"/>
    <m/>
    <x v="0"/>
    <n v="1"/>
    <s v="non-LVC"/>
    <s v="Yes"/>
    <n v="20"/>
    <x v="4"/>
    <n v="1"/>
    <n v="6"/>
    <n v="0"/>
    <x v="0"/>
    <s v="zero_recoverable"/>
    <x v="1"/>
    <n v="1"/>
  </r>
  <r>
    <x v="70"/>
    <s v="預け置きてぞ"/>
    <s v=" entrusted [his sword]"/>
    <s v="預け置きて"/>
    <s v="indicative"/>
    <s v="other"/>
    <s v="verb"/>
    <s v="transitive"/>
    <s v="active"/>
    <s v="positive"/>
    <n v="1"/>
    <n v="0"/>
    <s v="n/a"/>
    <n v="0"/>
    <x v="1"/>
    <n v="3"/>
    <s v="zero_recoverable"/>
    <s v="n/a"/>
    <n v="0"/>
    <n v="0"/>
    <s v="n/a"/>
    <x v="1"/>
    <n v="0"/>
    <x v="0"/>
    <x v="0"/>
    <x v="0"/>
    <n v="0"/>
    <x v="2"/>
    <x v="2"/>
    <s v="te_medial"/>
    <s v="ss"/>
    <x v="0"/>
    <x v="1"/>
    <x v="1"/>
    <m/>
    <x v="0"/>
    <n v="0"/>
    <s v="non-LVC"/>
    <s v="Yes"/>
    <n v="20"/>
    <x v="2"/>
    <n v="1"/>
    <n v="7"/>
    <n v="0"/>
    <x v="1"/>
    <s v="n/a"/>
    <x v="1"/>
    <n v="0"/>
  </r>
  <r>
    <x v="71"/>
    <s v="出でられける"/>
    <s v="and left,"/>
    <s v="出でられける"/>
    <s v="indicative"/>
    <s v="motion"/>
    <s v="verb"/>
    <s v="intransitive"/>
    <s v="active"/>
    <s v="positive"/>
    <n v="1"/>
    <n v="0"/>
    <s v="n/a"/>
    <n v="0"/>
    <x v="2"/>
    <n v="3"/>
    <s v="n/a"/>
    <s v="n/a"/>
    <n v="0"/>
    <n v="0"/>
    <s v="n/a"/>
    <x v="2"/>
    <n v="0"/>
    <x v="1"/>
    <x v="2"/>
    <x v="2"/>
    <n v="0"/>
    <x v="2"/>
    <x v="2"/>
    <m/>
    <s v="ss"/>
    <x v="1"/>
    <x v="1"/>
    <x v="1"/>
    <m/>
    <x v="0"/>
    <n v="0"/>
    <s v="non-LVC"/>
    <s v="Yes"/>
    <n v="20"/>
    <x v="4"/>
    <n v="1"/>
    <n v="1"/>
    <n v="0"/>
    <x v="2"/>
    <s v="zero_recoverable"/>
    <x v="1"/>
    <n v="0"/>
  </r>
  <r>
    <x v="72"/>
    <s v="家貞待ち受け奉りて (Iesada machi-uke tatemawari-te)"/>
    <s v="Iesada, who was waiting for his lord,"/>
    <s v="待ち受け奉りて"/>
    <s v="indicative"/>
    <s v="action"/>
    <s v="verb(complex)"/>
    <s v="transitive"/>
    <s v="active"/>
    <s v="positive"/>
    <n v="1"/>
    <n v="1"/>
    <s v="SUB"/>
    <n v="0"/>
    <x v="0"/>
    <n v="3"/>
    <s v="zero_recoverable"/>
    <s v="n/a"/>
    <n v="0"/>
    <n v="0"/>
    <s v="n/a"/>
    <x v="1"/>
    <n v="1"/>
    <x v="0"/>
    <x v="2"/>
    <x v="5"/>
    <n v="0"/>
    <x v="1"/>
    <x v="3"/>
    <s v="te_initial"/>
    <s v="ds"/>
    <x v="0"/>
    <x v="2"/>
    <x v="0"/>
    <m/>
    <x v="0"/>
    <n v="1"/>
    <s v="non-LVC"/>
    <s v="Yes"/>
    <n v="21"/>
    <x v="4"/>
    <n v="1"/>
    <n v="2"/>
    <n v="1"/>
    <x v="4"/>
    <s v="n/a"/>
    <x v="0"/>
    <n v="0"/>
  </r>
  <r>
    <x v="73"/>
    <s v="さていかが候ひつると (sate ikaga soroitsuru to)"/>
    <s v="&quot;What has happened?&quot; he asked."/>
    <s v="候ひつる"/>
    <s v="indicative"/>
    <s v="other"/>
    <s v="verb"/>
    <s v="intransitive"/>
    <s v="active"/>
    <s v="positive"/>
    <n v="1"/>
    <n v="0"/>
    <s v="n/a"/>
    <n v="1"/>
    <x v="4"/>
    <n v="3"/>
    <s v="n/a"/>
    <s v="n/a"/>
    <n v="0"/>
    <n v="0"/>
    <s v="REL"/>
    <x v="6"/>
    <n v="0"/>
    <x v="0"/>
    <x v="0"/>
    <x v="7"/>
    <n v="0"/>
    <x v="4"/>
    <x v="2"/>
    <m/>
    <s v="ss"/>
    <x v="0"/>
    <x v="1"/>
    <x v="1"/>
    <m/>
    <x v="0"/>
    <n v="0"/>
    <s v="non-LVC"/>
    <s v="Yes"/>
    <n v="21"/>
    <x v="4"/>
    <n v="1"/>
    <n v="3"/>
    <n v="0"/>
    <x v="1"/>
    <s v="overt"/>
    <x v="1"/>
    <n v="0"/>
  </r>
  <r>
    <x v="74"/>
    <s v="申されければ (mōsarekeru ba)"/>
    <s v="he was asked,"/>
    <s v="申されける"/>
    <s v="indicative"/>
    <s v="action"/>
    <s v="verb"/>
    <s v="intransitive"/>
    <s v="passive"/>
    <s v="positive"/>
    <n v="1"/>
    <n v="1"/>
    <s v="O (Speech)"/>
    <n v="0"/>
    <x v="2"/>
    <n v="3"/>
    <s v="overt"/>
    <s v="n/a"/>
    <n v="0"/>
    <n v="0"/>
    <s v="n/a"/>
    <x v="2"/>
    <n v="0"/>
    <x v="1"/>
    <x v="2"/>
    <x v="9"/>
    <n v="0"/>
    <x v="0"/>
    <x v="7"/>
    <m/>
    <s v="ss"/>
    <x v="0"/>
    <x v="1"/>
    <x v="0"/>
    <m/>
    <x v="0"/>
    <n v="1"/>
    <s v="non-LVC"/>
    <s v="Yes"/>
    <n v="21"/>
    <x v="4"/>
    <n v="1"/>
    <n v="1"/>
    <n v="0"/>
    <x v="4"/>
    <s v="not_applicable"/>
    <x v="1"/>
    <n v="0"/>
  </r>
  <r>
    <x v="75"/>
    <s v="かくとも云はまほしう"/>
    <s v="to tell him"/>
    <s v="云はまほしう"/>
    <s v="desiderative"/>
    <s v="other"/>
    <s v="verb"/>
    <s v="intransitive"/>
    <s v="active"/>
    <s v="positive"/>
    <n v="1"/>
    <n v="0"/>
    <s v="n/a"/>
    <n v="1"/>
    <x v="4"/>
    <n v="3"/>
    <s v="n/a"/>
    <s v="n/a"/>
    <n v="0"/>
    <n v="0"/>
    <s v="n/a"/>
    <x v="2"/>
    <n v="0"/>
    <x v="0"/>
    <x v="0"/>
    <x v="0"/>
    <n v="0"/>
    <x v="2"/>
    <x v="3"/>
    <m/>
    <s v="ss"/>
    <x v="0"/>
    <x v="1"/>
    <x v="1"/>
    <m/>
    <x v="0"/>
    <n v="0"/>
    <s v="non-LVC"/>
    <s v="Yes"/>
    <n v="22"/>
    <x v="4"/>
    <n v="1"/>
    <n v="1"/>
    <n v="0"/>
    <x v="4"/>
    <s v="overt"/>
    <x v="1"/>
    <n v="0"/>
  </r>
  <r>
    <x v="76"/>
    <s v="思はれけれども (kakutomo iwamahoshū omowarekeredomo)"/>
    <s v="although he greatly wished,"/>
    <s v="思はれけれども"/>
    <s v="indicative"/>
    <s v="psych-state"/>
    <s v="verb"/>
    <s v="transitive"/>
    <s v="active"/>
    <s v="positive"/>
    <n v="1"/>
    <n v="1"/>
    <s v="O (Speech)"/>
    <n v="1"/>
    <x v="4"/>
    <n v="3"/>
    <s v="overt"/>
    <s v="n/a"/>
    <n v="0"/>
    <n v="0"/>
    <s v="n/a"/>
    <x v="2"/>
    <n v="0"/>
    <x v="0"/>
    <x v="0"/>
    <x v="0"/>
    <n v="0"/>
    <x v="9"/>
    <x v="3"/>
    <m/>
    <s v="ss"/>
    <x v="0"/>
    <x v="1"/>
    <x v="0"/>
    <s v="Psych predicate; かくとも as adjunct."/>
    <x v="0"/>
    <n v="1"/>
    <s v="non-LVC"/>
    <s v="Yes"/>
    <n v="23"/>
    <x v="4"/>
    <n v="1"/>
    <n v="1"/>
    <n v="0"/>
    <x v="4"/>
    <s v="zero_recoverable"/>
    <x v="1"/>
    <n v="1"/>
  </r>
  <r>
    <x v="77"/>
    <s v="云ひつるほどならば (iitsuru hodo naraba)"/>
    <s v="seeing that, if he told him,"/>
    <s v="云ひつる"/>
    <s v="indicative"/>
    <s v="other"/>
    <s v="verb"/>
    <s v="transitive"/>
    <s v="active"/>
    <s v="positive"/>
    <n v="1"/>
    <n v="0"/>
    <s v="n/a"/>
    <n v="0"/>
    <x v="4"/>
    <n v="3"/>
    <s v="zero_recoverable"/>
    <s v="n/a"/>
    <n v="0"/>
    <n v="1"/>
    <s v="REL"/>
    <x v="3"/>
    <n v="0"/>
    <x v="0"/>
    <x v="0"/>
    <x v="0"/>
    <n v="0"/>
    <x v="10"/>
    <x v="3"/>
    <m/>
    <s v="ss"/>
    <x v="1"/>
    <x v="1"/>
    <x v="1"/>
    <m/>
    <x v="0"/>
    <n v="0"/>
    <s v="non-LVC"/>
    <s v="Yes"/>
    <n v="24"/>
    <x v="1"/>
    <n v="1"/>
    <m/>
    <n v="0"/>
    <x v="0"/>
    <s v="n/a"/>
    <x v="1"/>
    <n v="0"/>
  </r>
  <r>
    <x v="78"/>
    <s v="やがて殿上までも斬り上らんずる  yagate tenjō made mo kiriagaranzuru "/>
    <s v="who would even do violence in the Palace itself,"/>
    <s v="斬り上らんずる"/>
    <s v="dynamic"/>
    <s v="other"/>
    <s v="verb"/>
    <s v="intransitive"/>
    <s v="active"/>
    <s v="positive"/>
    <n v="1"/>
    <n v="0"/>
    <s v="n/a"/>
    <n v="2"/>
    <x v="1"/>
    <n v="3"/>
    <s v="n/a"/>
    <s v="n/a"/>
    <n v="1"/>
    <n v="0"/>
    <s v="REL"/>
    <x v="0"/>
    <n v="0"/>
    <x v="0"/>
    <x v="0"/>
    <x v="0"/>
    <n v="0"/>
    <x v="2"/>
    <x v="4"/>
    <m/>
    <s v="ds"/>
    <x v="0"/>
    <x v="1"/>
    <x v="1"/>
    <m/>
    <x v="0"/>
    <n v="0"/>
    <s v="non-LVC"/>
    <s v="Yes"/>
    <n v="24"/>
    <x v="3"/>
    <n v="0"/>
    <n v="2"/>
    <n v="0"/>
    <x v="0"/>
    <s v="n/a"/>
    <x v="1"/>
    <n v="0"/>
  </r>
  <r>
    <x v="79"/>
    <s v="者の面魂にてある間 mono no omodamashii nite aru aida"/>
    <s v="he appeared as one "/>
    <s v="にてある"/>
    <s v="indicative"/>
    <s v="other"/>
    <s v="copula"/>
    <s v="intransitive"/>
    <s v="active"/>
    <s v="positive"/>
    <n v="1"/>
    <n v="0"/>
    <s v="n/a"/>
    <n v="0"/>
    <x v="1"/>
    <n v="3"/>
    <s v="n/a"/>
    <s v="n/a"/>
    <n v="0"/>
    <n v="0"/>
    <s v="REL"/>
    <x v="3"/>
    <n v="0"/>
    <x v="0"/>
    <x v="0"/>
    <x v="0"/>
    <n v="0"/>
    <x v="0"/>
    <x v="1"/>
    <m/>
    <s v="ss"/>
    <x v="1"/>
    <x v="1"/>
    <x v="1"/>
    <m/>
    <x v="0"/>
    <n v="0"/>
    <s v="non-LVC"/>
    <s v="Yes"/>
    <n v="24"/>
    <x v="4"/>
    <n v="1"/>
    <n v="3"/>
    <n v="0"/>
    <x v="2"/>
    <s v="n/a"/>
    <x v="1"/>
    <n v="0"/>
  </r>
  <r>
    <x v="80"/>
    <s v="別の事なし (betsu no koto nashi)"/>
    <s v="nothing out of the ordinary had taken place."/>
    <s v="なし"/>
    <s v="indicative"/>
    <s v="other"/>
    <s v="existential verb"/>
    <s v="intransitive"/>
    <s v="active"/>
    <s v="negative"/>
    <n v="1"/>
    <n v="1"/>
    <s v="SUB"/>
    <n v="0"/>
    <x v="0"/>
    <n v="3"/>
    <s v="n/a"/>
    <s v="n/a"/>
    <n v="0"/>
    <n v="0"/>
    <s v="n/a"/>
    <x v="2"/>
    <n v="0"/>
    <x v="0"/>
    <x v="0"/>
    <x v="0"/>
    <n v="0"/>
    <x v="2"/>
    <x v="4"/>
    <m/>
    <s v="ds"/>
    <x v="1"/>
    <x v="1"/>
    <x v="0"/>
    <s v="Subject = 別の事."/>
    <x v="0"/>
    <n v="1"/>
    <s v="non-LVC"/>
    <s v="Yes"/>
    <n v="24"/>
    <x v="3"/>
    <n v="1"/>
    <n v="1"/>
    <n v="0"/>
    <x v="1"/>
    <s v="overt"/>
    <x v="0"/>
    <n v="0"/>
  </r>
  <r>
    <x v="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s v="other"/>
    <s v="verb(compound)"/>
    <s v="transitive"/>
    <s v="active"/>
    <s v="positive"/>
    <n v="1"/>
    <n v="1"/>
    <s v="OBJ"/>
    <n v="2"/>
    <x v="2"/>
    <n v="3"/>
    <s v="overt"/>
    <s v="n/a"/>
    <n v="0"/>
    <n v="0"/>
    <s v="REL"/>
    <x v="3"/>
    <n v="0"/>
    <x v="1"/>
    <x v="2"/>
    <x v="2"/>
    <n v="0"/>
    <x v="9"/>
    <x v="3"/>
    <m/>
    <s v="ds"/>
    <x v="1"/>
    <x v="2"/>
    <x v="0"/>
    <s v="Passive/respect; subject omitted; object 面白き事を overt."/>
    <x v="0"/>
    <n v="1"/>
    <s v="non-LVC"/>
    <s v="Yes"/>
    <n v="25"/>
    <x v="2"/>
    <n v="1"/>
    <n v="2"/>
    <n v="1"/>
    <x v="2"/>
    <s v="n/a"/>
    <x v="1"/>
    <n v="0"/>
  </r>
  <r>
    <x v="82"/>
    <s v="中比太宰権帥季仲卿といふ人ありけり (chūbi Dazai gon no so Sukechika kyō to iu hito arikeri)"/>
    <s v="but there was a certain Dazai Gon-no-sotsu Suenaka no Kyo,"/>
    <s v="ありけり"/>
    <s v="indicative"/>
    <s v="stative"/>
    <s v="existential verb"/>
    <s v="intransitive"/>
    <s v="active"/>
    <s v="positive"/>
    <n v="1"/>
    <n v="1"/>
    <s v="SUB"/>
    <n v="1"/>
    <x v="0"/>
    <n v="3"/>
    <s v="n/a"/>
    <s v="n/a"/>
    <n v="0"/>
    <n v="0"/>
    <s v="n/a"/>
    <x v="2"/>
    <n v="0"/>
    <x v="0"/>
    <x v="0"/>
    <x v="0"/>
    <n v="0"/>
    <x v="2"/>
    <x v="4"/>
    <m/>
    <s v="ds"/>
    <x v="1"/>
    <x v="0"/>
    <x v="0"/>
    <s v="frame predicate"/>
    <x v="0"/>
    <n v="1"/>
    <s v="non-LVC"/>
    <s v="Yes"/>
    <n v="25"/>
    <x v="3"/>
    <n v="1"/>
    <n v="1"/>
    <n v="0"/>
    <x v="2"/>
    <s v="n/a"/>
    <x v="1"/>
    <n v="0"/>
  </r>
  <r>
    <x v="83"/>
    <s v="あまりに色の黒かりければ (amari ni iro no kurokarikereba)"/>
    <s v="who was of so dark a complexion that"/>
    <s v="黒かりければ"/>
    <s v="indicative"/>
    <s v="other"/>
    <s v="adjectival predicate"/>
    <s v="intransitive"/>
    <s v="active"/>
    <s v="positive"/>
    <n v="1"/>
    <n v="1"/>
    <s v="SUB"/>
    <n v="1"/>
    <x v="0"/>
    <n v="3"/>
    <s v="n/a"/>
    <s v="n/a"/>
    <n v="0"/>
    <n v="0"/>
    <s v="n/a"/>
    <x v="3"/>
    <n v="0"/>
    <x v="0"/>
    <x v="0"/>
    <x v="0"/>
    <n v="0"/>
    <x v="3"/>
    <x v="3"/>
    <m/>
    <s v="ds"/>
    <x v="1"/>
    <x v="1"/>
    <x v="0"/>
    <s v="Adjectival predicate; subject = 色."/>
    <x v="0"/>
    <n v="1"/>
    <s v="non-LVC"/>
    <s v="Yes"/>
    <n v="26"/>
    <x v="2"/>
    <n v="1"/>
    <n v="2"/>
    <n v="0"/>
    <x v="2"/>
    <s v="overt"/>
    <x v="1"/>
    <n v="0"/>
  </r>
  <r>
    <x v="84"/>
    <s v="見る人黒帥とぞ申しける (miru hito kurosotsu to zo mōshikeru)"/>
    <s v="people called him 'kuro-sotsu',"/>
    <s v="申しける"/>
    <s v="indicative"/>
    <s v="action"/>
    <s v="verb"/>
    <s v="transitive"/>
    <s v="active"/>
    <s v="positive"/>
    <n v="1"/>
    <n v="2"/>
    <s v="S+O"/>
    <n v="0"/>
    <x v="0"/>
    <n v="3"/>
    <s v="overt"/>
    <s v="n/a"/>
    <n v="0"/>
    <n v="0"/>
    <s v="n/a"/>
    <x v="2"/>
    <n v="1"/>
    <x v="0"/>
    <x v="0"/>
    <x v="5"/>
    <n v="0"/>
    <x v="2"/>
    <x v="4"/>
    <m/>
    <s v="ds"/>
    <x v="0"/>
    <x v="1"/>
    <x v="0"/>
    <s v="申す humble; subject overt; counted as EXALT INSIG."/>
    <x v="0"/>
    <n v="2"/>
    <s v="non-LVC"/>
    <s v="Yes"/>
    <n v="26"/>
    <x v="4"/>
    <n v="1"/>
    <n v="1"/>
    <n v="0"/>
    <x v="2"/>
    <s v="n/a"/>
    <x v="1"/>
    <n v="0"/>
  </r>
  <r>
    <x v="85"/>
    <s v="その人未だ蔵人頭たりし時 (sono hito imada kurōdo no tō tarishi toki)"/>
    <s v="and while he was still Kurando-no-to, "/>
    <s v="たりし"/>
    <s v="indicative"/>
    <s v="stative"/>
    <s v="copula"/>
    <s v="intransitive"/>
    <s v="active"/>
    <s v="positive"/>
    <n v="1"/>
    <n v="1"/>
    <s v="SUB"/>
    <n v="0"/>
    <x v="0"/>
    <n v="3"/>
    <s v="n/a"/>
    <s v="n/a"/>
    <n v="0"/>
    <n v="0"/>
    <s v="REL"/>
    <x v="3"/>
    <n v="0"/>
    <x v="0"/>
    <x v="0"/>
    <x v="2"/>
    <n v="0"/>
    <x v="0"/>
    <x v="3"/>
    <m/>
    <s v="ss"/>
    <x v="0"/>
    <x v="3"/>
    <x v="1"/>
    <m/>
    <x v="0"/>
    <n v="1"/>
    <s v="non-LVC"/>
    <s v="Yes"/>
    <n v="27"/>
    <x v="3"/>
    <n v="1"/>
    <n v="2"/>
    <n v="0"/>
    <x v="1"/>
    <s v="n/a"/>
    <x v="0"/>
    <n v="0"/>
  </r>
  <r>
    <x v="86"/>
    <s v="五節に舞はれけるに gosechi ni mawarekeru ni"/>
    <s v="when he danced at the Go-sechie,"/>
    <s v="舞はれける"/>
    <s v="indicative"/>
    <s v="action"/>
    <s v="verb"/>
    <s v="intransitive"/>
    <s v="active"/>
    <s v="positive"/>
    <n v="1"/>
    <n v="0"/>
    <s v="n/a"/>
    <n v="0"/>
    <x v="2"/>
    <n v="3"/>
    <s v="n/a"/>
    <s v="n/a"/>
    <n v="0"/>
    <n v="0"/>
    <s v="REL"/>
    <x v="3"/>
    <n v="0"/>
    <x v="1"/>
    <x v="2"/>
    <x v="3"/>
    <n v="0"/>
    <x v="0"/>
    <x v="4"/>
    <m/>
    <s v="ss"/>
    <x v="1"/>
    <x v="1"/>
    <x v="1"/>
    <m/>
    <x v="0"/>
    <n v="0"/>
    <s v="non-LVC"/>
    <s v="Yes"/>
    <n v="27"/>
    <x v="4"/>
    <n v="1"/>
    <n v="3"/>
    <n v="0"/>
    <x v="2"/>
    <s v="overt"/>
    <x v="1"/>
    <n v="0"/>
  </r>
  <r>
    <x v="87"/>
    <s v="人々拍子を変へて (hitobito hyōshi o kaete)"/>
    <s v="they changed the rhythm of the music"/>
    <s v="変へて"/>
    <s v="indicative"/>
    <s v="other"/>
    <s v="verb"/>
    <s v="transitive"/>
    <s v="active"/>
    <s v="positive"/>
    <n v="1"/>
    <n v="2"/>
    <s v="S+O"/>
    <n v="0"/>
    <x v="0"/>
    <n v="3"/>
    <s v="overt"/>
    <s v="n/a"/>
    <n v="0"/>
    <n v="0"/>
    <s v="n/a"/>
    <x v="1"/>
    <n v="0"/>
    <x v="0"/>
    <x v="0"/>
    <x v="0"/>
    <n v="0"/>
    <x v="1"/>
    <x v="4"/>
    <s v="te_medial"/>
    <s v="ds"/>
    <x v="0"/>
    <x v="1"/>
    <x v="0"/>
    <m/>
    <x v="0"/>
    <n v="2"/>
    <s v="non-LVC"/>
    <s v="Yes"/>
    <n v="27"/>
    <x v="2"/>
    <n v="1"/>
    <n v="4"/>
    <n v="0"/>
    <x v="2"/>
    <s v="n/a"/>
    <x v="1"/>
    <n v="0"/>
  </r>
  <r>
    <x v="88"/>
    <s v="あなくろくろ黒き頭かな (ana kuro kuro kuroki atama kana)"/>
    <s v="&quot;Oh what a black, black head!&quot;"/>
    <s v="N/A (exclamatory nominal clause)"/>
    <s v="indicative"/>
    <s v="other"/>
    <s v="none"/>
    <s v="intransitive"/>
    <m/>
    <m/>
    <n v="0"/>
    <n v="1"/>
    <s v="SUB"/>
    <n v="0"/>
    <x v="0"/>
    <n v="3"/>
    <s v="n/a"/>
    <s v="n/a"/>
    <n v="0"/>
    <n v="0"/>
    <s v="n/a"/>
    <x v="2"/>
    <n v="0"/>
    <x v="0"/>
    <x v="0"/>
    <x v="0"/>
    <n v="0"/>
    <x v="2"/>
    <x v="2"/>
    <m/>
    <s v="ss"/>
    <x v="1"/>
    <x v="1"/>
    <x v="0"/>
    <m/>
    <x v="0"/>
    <m/>
    <s v="non-LVC"/>
    <s v="Yes"/>
    <n v="27"/>
    <x v="6"/>
    <n v="1"/>
    <n v="1"/>
    <n v="0"/>
    <x v="2"/>
    <s v="overt"/>
    <x v="1"/>
    <n v="0"/>
  </r>
  <r>
    <x v="89"/>
    <s v="いかなる人の漆塗りけんとぞ (ikanaru hito no urushinuriken to zo )"/>
    <s v="&quot;someone must have painted him with lacquer&quot;"/>
    <s v="漆塗りけん"/>
    <s v="epistemic"/>
    <s v="other"/>
    <s v="verb"/>
    <s v="transitive"/>
    <s v="active"/>
    <s v="positive"/>
    <n v="1"/>
    <n v="2"/>
    <s v="S+O"/>
    <n v="0"/>
    <x v="0"/>
    <n v="3"/>
    <s v="overt"/>
    <s v="n/a"/>
    <n v="0"/>
    <n v="0"/>
    <s v="n/a"/>
    <x v="6"/>
    <n v="0"/>
    <x v="0"/>
    <x v="0"/>
    <x v="0"/>
    <n v="0"/>
    <x v="4"/>
    <x v="3"/>
    <m/>
    <s v="ds"/>
    <x v="1"/>
    <x v="1"/>
    <x v="0"/>
    <m/>
    <x v="0"/>
    <n v="2"/>
    <s v="non-LVC"/>
    <s v="Yes"/>
    <n v="28"/>
    <x v="4"/>
    <n v="1"/>
    <n v="2"/>
    <n v="1"/>
    <x v="1"/>
    <s v="overt"/>
    <x v="0"/>
    <n v="0"/>
  </r>
  <r>
    <x v="90"/>
    <s v="囃されける (hayasarekeru)"/>
    <s v="they sang in mockery."/>
    <s v="囃されける"/>
    <s v="indicative"/>
    <s v="communication"/>
    <s v="verb"/>
    <s v="transitive"/>
    <s v="active"/>
    <s v="positive"/>
    <n v="1"/>
    <n v="1"/>
    <s v="O (Speech)"/>
    <n v="0"/>
    <x v="2"/>
    <n v="3"/>
    <s v="overt"/>
    <s v="n/a"/>
    <n v="0"/>
    <n v="0"/>
    <s v="n/a"/>
    <x v="2"/>
    <n v="0"/>
    <x v="1"/>
    <x v="2"/>
    <x v="2"/>
    <n v="0"/>
    <x v="2"/>
    <x v="7"/>
    <m/>
    <s v="ds"/>
    <x v="1"/>
    <x v="1"/>
    <x v="1"/>
    <m/>
    <x v="0"/>
    <n v="1"/>
    <s v="non-LVC"/>
    <s v="Yes"/>
    <n v="28"/>
    <x v="4"/>
    <n v="1"/>
    <n v="1"/>
    <n v="0"/>
    <x v="2"/>
    <s v="n/a"/>
    <x v="1"/>
    <n v="0"/>
  </r>
  <r>
    <x v="91"/>
    <s v="また花山院前太政大臣忠雅公未だ十歳と申しし時 (mata Kazanin no saki no Daijōdaijin Tadamasa kō imada jissai to mōshi shi toki)"/>
    <s v="Also, when Prince Tadamasa of the Kazan-in, the former Prime Minister, was only ten years old,"/>
    <s v="申しし"/>
    <s v="indicative"/>
    <s v="action"/>
    <s v="verb"/>
    <s v="intransitive"/>
    <s v="active"/>
    <s v="positive"/>
    <n v="1"/>
    <n v="1"/>
    <s v="SUB"/>
    <n v="1"/>
    <x v="0"/>
    <n v="3"/>
    <s v="n/a"/>
    <s v="n/a"/>
    <n v="0"/>
    <n v="0"/>
    <s v="n/a"/>
    <x v="3"/>
    <n v="1"/>
    <x v="0"/>
    <x v="2"/>
    <x v="5"/>
    <n v="0"/>
    <x v="0"/>
    <x v="3"/>
    <m/>
    <s v="ds"/>
    <x v="0"/>
    <x v="0"/>
    <x v="0"/>
    <m/>
    <x v="0"/>
    <n v="1"/>
    <s v="non-LVC"/>
    <s v="Yes"/>
    <n v="29"/>
    <x v="0"/>
    <n v="1"/>
    <n v="2"/>
    <n v="1"/>
    <x v="1"/>
    <s v="n/a"/>
    <x v="0"/>
    <n v="0"/>
  </r>
  <r>
    <x v="92"/>
    <s v="父中納言忠宗卿に後れ給ひて (chichi Chūnagon Tadamune kyō ni okure tamai te)"/>
    <s v="having lost his father, Chunagon Tadamune,"/>
    <s v="後れ給ひて"/>
    <s v="indicative"/>
    <s v="action"/>
    <s v="verb"/>
    <s v="intransitive"/>
    <s v="active"/>
    <s v="positive"/>
    <n v="1"/>
    <n v="1"/>
    <s v="IO"/>
    <n v="0"/>
    <x v="2"/>
    <n v="3"/>
    <s v="n/a"/>
    <s v="overt"/>
    <n v="0"/>
    <n v="0"/>
    <s v="n/a"/>
    <x v="1"/>
    <n v="0"/>
    <x v="1"/>
    <x v="2"/>
    <x v="3"/>
    <n v="0"/>
    <x v="1"/>
    <x v="4"/>
    <s v="te_medial"/>
    <s v="ss"/>
    <x v="0"/>
    <x v="0"/>
    <x v="0"/>
    <m/>
    <x v="0"/>
    <n v="1"/>
    <s v="non-LVC"/>
    <s v="Yes"/>
    <n v="29"/>
    <x v="3"/>
    <n v="1"/>
    <n v="3"/>
    <n v="0"/>
    <x v="1"/>
    <s v="n/a"/>
    <x v="1"/>
    <n v="0"/>
  </r>
  <r>
    <x v="93"/>
    <s v="孤子にておはせしを (koji nite ohaseshi o)"/>
    <s v="and being left an orphan,"/>
    <s v="おはせし"/>
    <s v="indicative"/>
    <s v="action"/>
    <s v="existential verb"/>
    <s v="intransitive"/>
    <s v="active"/>
    <s v="positive"/>
    <n v="1"/>
    <n v="0"/>
    <s v="n/a"/>
    <n v="0"/>
    <x v="2"/>
    <n v="3"/>
    <s v="n/a"/>
    <s v="n/a"/>
    <n v="0"/>
    <n v="0"/>
    <s v="REL"/>
    <x v="3"/>
    <n v="0"/>
    <x v="1"/>
    <x v="2"/>
    <x v="3"/>
    <n v="0"/>
    <x v="9"/>
    <x v="2"/>
    <m/>
    <s v="ss"/>
    <x v="1"/>
    <x v="1"/>
    <x v="0"/>
    <m/>
    <x v="0"/>
    <n v="0"/>
    <s v="non-LVC"/>
    <s v="Yes"/>
    <n v="29"/>
    <x v="3"/>
    <n v="1"/>
    <n v="4"/>
    <n v="0"/>
    <x v="2"/>
    <s v="n/a"/>
    <x v="1"/>
    <n v="0"/>
  </r>
  <r>
    <x v="94"/>
    <s v="故中御門藤中納言家成卿未だ播磨守にておはしけるが ko-Nakamikado Fuji Chūnagon Ienari kyō imada Harima no kami nite ohasikeru ga"/>
    <s v=" by Fuji Chūnagon Ienari, then Harima no Kami,"/>
    <s v="おはしける"/>
    <s v="indicative"/>
    <s v="stative"/>
    <s v="copula"/>
    <s v="intransitive"/>
    <s v="active"/>
    <s v="positive"/>
    <n v="1"/>
    <n v="1"/>
    <s v="SUB"/>
    <n v="1"/>
    <x v="0"/>
    <n v="3"/>
    <s v="n/a"/>
    <s v="n/a"/>
    <n v="0"/>
    <n v="0"/>
    <s v="REL"/>
    <x v="3"/>
    <n v="1"/>
    <x v="0"/>
    <x v="2"/>
    <x v="3"/>
    <n v="0"/>
    <x v="9"/>
    <x v="4"/>
    <m/>
    <s v="ds"/>
    <x v="0"/>
    <x v="0"/>
    <x v="0"/>
    <m/>
    <x v="0"/>
    <n v="1"/>
    <s v="non-LVC"/>
    <s v="Yes"/>
    <n v="29"/>
    <x v="0"/>
    <n v="1"/>
    <n v="5"/>
    <n v="0"/>
    <x v="0"/>
    <s v="zero_recoverable"/>
    <x v="0"/>
    <n v="0"/>
  </r>
  <r>
    <x v="95"/>
    <s v="聟に取りて muko ni torite "/>
    <s v="he was taken as son-in-law"/>
    <s v="取りて"/>
    <s v="indicative"/>
    <s v="action"/>
    <s v="verb"/>
    <s v="transitive"/>
    <s v="active"/>
    <s v="positive"/>
    <n v="1"/>
    <n v="1"/>
    <s v="IO"/>
    <n v="0"/>
    <x v="1"/>
    <n v="3"/>
    <s v="zero_recoverable"/>
    <s v="overt"/>
    <n v="0"/>
    <n v="0"/>
    <s v="n/a"/>
    <x v="1"/>
    <n v="0"/>
    <x v="0"/>
    <x v="0"/>
    <x v="0"/>
    <n v="0"/>
    <x v="2"/>
    <x v="4"/>
    <s v="te_medial"/>
    <s v="ss"/>
    <x v="0"/>
    <x v="1"/>
    <x v="0"/>
    <m/>
    <x v="0"/>
    <n v="1"/>
    <s v="non-LVC"/>
    <s v="Yes"/>
    <n v="29"/>
    <x v="3"/>
    <n v="1"/>
    <n v="6"/>
    <n v="0"/>
    <x v="0"/>
    <s v="n/a"/>
    <x v="1"/>
    <n v="0"/>
  </r>
  <r>
    <x v="96"/>
    <s v="華やかにもてなされければ  hanayaka ni motenasarekereba"/>
    <s v="and splendidly welcomed,"/>
    <s v="もてなされければ"/>
    <s v="indicative"/>
    <s v="action"/>
    <s v="verb"/>
    <s v="intransitive"/>
    <s v="passive"/>
    <s v="positive"/>
    <n v="1"/>
    <n v="0"/>
    <s v="n/a"/>
    <n v="0"/>
    <x v="1"/>
    <n v="3"/>
    <s v="n/a"/>
    <s v="zero_recoverable"/>
    <n v="0"/>
    <n v="0"/>
    <s v="n/a"/>
    <x v="3"/>
    <n v="0"/>
    <x v="0"/>
    <x v="0"/>
    <x v="0"/>
    <n v="0"/>
    <x v="3"/>
    <x v="2"/>
    <m/>
    <s v="ss"/>
    <x v="1"/>
    <x v="1"/>
    <x v="0"/>
    <s v="verbal sequence"/>
    <x v="0"/>
    <n v="0"/>
    <s v="non-LVC"/>
    <s v="Yes"/>
    <n v="29"/>
    <x v="6"/>
    <n v="1"/>
    <n v="7"/>
    <n v="0"/>
    <x v="2"/>
    <s v="overt"/>
    <x v="1"/>
    <n v="0"/>
  </r>
  <r>
    <x v="97"/>
    <s v="これも五節には播磨の米は木賊か椋の葉か人の綺羅を磨くはとぞ (kore mo gosechi ni wa Harima no kome wa tokusa ka mukuno ha ka hito no kira o migaku wa to zo)"/>
    <s v="at that Go-sechie with the refrain ‘The rice of Harima...’"/>
    <s v="磨く"/>
    <s v="indicative"/>
    <s v="action"/>
    <s v="verb"/>
    <s v="transitive"/>
    <s v="active"/>
    <s v="positive"/>
    <n v="1"/>
    <n v="2"/>
    <s v="S+O"/>
    <n v="1"/>
    <x v="0"/>
    <n v="3"/>
    <s v="overt"/>
    <s v="n/a"/>
    <n v="0"/>
    <n v="0"/>
    <s v="REL"/>
    <x v="6"/>
    <n v="0"/>
    <x v="0"/>
    <x v="0"/>
    <x v="2"/>
    <n v="0"/>
    <x v="2"/>
    <x v="4"/>
    <m/>
    <s v="ds"/>
    <x v="1"/>
    <x v="1"/>
    <x v="0"/>
    <m/>
    <x v="0"/>
    <n v="2"/>
    <s v="non-LVC"/>
    <s v="Yes"/>
    <n v="29"/>
    <x v="4"/>
    <n v="1"/>
    <n v="8"/>
    <n v="0"/>
    <x v="0"/>
    <s v="n/a"/>
    <x v="0"/>
    <n v="0"/>
  </r>
  <r>
    <x v="98"/>
    <s v="囃されける hayasarekeru"/>
    <s v=" they also japed at him"/>
    <s v="囃されける"/>
    <s v="indicative"/>
    <s v="action"/>
    <s v="verb"/>
    <s v="intransitive"/>
    <s v="passive"/>
    <s v="positive"/>
    <n v="1"/>
    <n v="0"/>
    <s v="n/a"/>
    <n v="1"/>
    <x v="1"/>
    <n v="3"/>
    <s v="n/a"/>
    <s v="n/a"/>
    <n v="0"/>
    <n v="0"/>
    <s v="kakari-musubi"/>
    <x v="2"/>
    <n v="0"/>
    <x v="0"/>
    <x v="0"/>
    <x v="0"/>
    <n v="0"/>
    <x v="4"/>
    <x v="7"/>
    <m/>
    <s v="ds"/>
    <x v="1"/>
    <x v="1"/>
    <x v="1"/>
    <m/>
    <x v="0"/>
    <n v="0"/>
    <s v="non-LVC"/>
    <s v="Yes"/>
    <n v="29"/>
    <x v="4"/>
    <n v="1"/>
    <n v="1"/>
    <n v="0"/>
    <x v="5"/>
    <s v="n/a"/>
    <x v="1"/>
    <n v="0"/>
  </r>
  <r>
    <x v="99"/>
    <s v="上古にはかやうにありしかども (jōko ni wa kayō ni arishikadomo )"/>
    <s v="Long ago such things had happened, "/>
    <s v="ありし / 出で来ず"/>
    <s v="indicative"/>
    <s v="action"/>
    <s v="existential verb"/>
    <s v="intransitive"/>
    <s v="active"/>
    <s v="positive"/>
    <n v="1"/>
    <n v="0"/>
    <s v="n/a"/>
    <n v="2"/>
    <x v="5"/>
    <n v="0"/>
    <s v="n/a"/>
    <s v="n/a"/>
    <n v="0"/>
    <n v="0"/>
    <s v="n/a"/>
    <x v="3"/>
    <n v="0"/>
    <x v="0"/>
    <x v="0"/>
    <x v="0"/>
    <n v="0"/>
    <x v="9"/>
    <x v="3"/>
    <m/>
    <s v="ds"/>
    <x v="1"/>
    <x v="2"/>
    <x v="0"/>
    <m/>
    <x v="0"/>
    <n v="0"/>
    <s v="non-LVC"/>
    <s v="Yes"/>
    <n v="30"/>
    <x v="3"/>
    <n v="1"/>
    <n v="2"/>
    <n v="1"/>
    <x v="2"/>
    <s v="n/a"/>
    <x v="1"/>
    <n v="0"/>
  </r>
  <r>
    <x v="100"/>
    <s v="事出で来ず koto idekozu"/>
    <s v="but nothing had come of them,"/>
    <s v="出で来ず"/>
    <s v="indicative"/>
    <s v="stative"/>
    <s v="idiom"/>
    <s v="intransitive"/>
    <s v="active"/>
    <s v="negative"/>
    <n v="1"/>
    <n v="1"/>
    <s v="SUB"/>
    <n v="0"/>
    <x v="0"/>
    <n v="3"/>
    <s v="n/a"/>
    <s v="n/a"/>
    <n v="0"/>
    <n v="0"/>
    <s v="n/a"/>
    <x v="3"/>
    <n v="0"/>
    <x v="0"/>
    <x v="0"/>
    <x v="0"/>
    <n v="0"/>
    <x v="2"/>
    <x v="4"/>
    <m/>
    <s v="ds"/>
    <x v="2"/>
    <x v="1"/>
    <x v="0"/>
    <m/>
    <x v="0"/>
    <n v="1"/>
    <s v="non-LVC"/>
    <s v="Yes"/>
    <n v="30"/>
    <x v="4"/>
    <n v="1"/>
    <n v="3"/>
    <n v="0"/>
    <x v="3"/>
    <m/>
    <x v="1"/>
    <n v="0"/>
  </r>
  <r>
    <x v="101"/>
    <s v="末代いかがあらんずらん (matsudai ikaga aranzuran obotsukanashi)"/>
    <s v="and people said that what was to be done"/>
    <s v="あらんずらん"/>
    <s v="epistemic"/>
    <s v="stative"/>
    <s v="idiom"/>
    <m/>
    <m/>
    <m/>
    <m/>
    <m/>
    <m/>
    <m/>
    <x v="3"/>
    <m/>
    <s v="n/a"/>
    <s v="n/a"/>
    <m/>
    <m/>
    <m/>
    <x v="7"/>
    <m/>
    <x v="2"/>
    <x v="0"/>
    <x v="0"/>
    <m/>
    <x v="5"/>
    <x v="4"/>
    <m/>
    <m/>
    <x v="1"/>
    <x v="4"/>
    <x v="3"/>
    <m/>
    <x v="0"/>
    <m/>
    <s v="non-LVC"/>
    <s v="Yes"/>
    <n v="30"/>
    <x v="4"/>
    <n v="1"/>
    <n v="4"/>
    <n v="0"/>
    <x v="5"/>
    <s v="n/a"/>
    <x v="1"/>
    <n v="0"/>
  </r>
  <r>
    <x v="102"/>
    <s v="覚束なし"/>
    <s v="was doubtful"/>
    <s v="覚束なし"/>
    <s v="indicative"/>
    <s v="psych-state"/>
    <s v="adjectival predicate"/>
    <s v="intransitive"/>
    <s v="active"/>
    <s v="negative"/>
    <n v="1"/>
    <n v="0"/>
    <s v="n/a"/>
    <n v="0"/>
    <x v="5"/>
    <n v="0"/>
    <s v="n/a"/>
    <s v="n/a"/>
    <n v="0"/>
    <n v="0"/>
    <s v="n/a"/>
    <x v="2"/>
    <n v="0"/>
    <x v="0"/>
    <x v="0"/>
    <x v="0"/>
    <n v="0"/>
    <x v="2"/>
    <x v="8"/>
    <m/>
    <s v="ds"/>
    <x v="1"/>
    <x v="1"/>
    <x v="1"/>
    <m/>
    <x v="0"/>
    <n v="0"/>
    <s v="non-LVC"/>
    <s v="Yes"/>
    <n v="30"/>
    <x v="4"/>
    <n v="1"/>
    <n v="1"/>
    <n v="0"/>
    <x v="2"/>
    <s v="n/a"/>
    <x v="1"/>
    <n v="0"/>
  </r>
  <r>
    <x v="103"/>
    <s v="案の如く五節果てにしかば (an no gotoku gosechi hate ni shikaba)"/>
    <s v="As he had expected, after the conclusion of the festival,"/>
    <s v="果てにしかば"/>
    <s v="indicative"/>
    <s v="other"/>
    <s v="verb"/>
    <s v="intransitive"/>
    <s v="active"/>
    <s v="positive"/>
    <n v="1"/>
    <n v="1"/>
    <s v="SUB"/>
    <n v="1"/>
    <x v="0"/>
    <n v="3"/>
    <s v="n/a"/>
    <s v="n/a"/>
    <n v="0"/>
    <n v="0"/>
    <s v="n/a"/>
    <x v="3"/>
    <n v="0"/>
    <x v="0"/>
    <x v="0"/>
    <x v="0"/>
    <n v="0"/>
    <x v="0"/>
    <x v="3"/>
    <m/>
    <s v="ds"/>
    <x v="1"/>
    <x v="2"/>
    <x v="0"/>
    <m/>
    <x v="0"/>
    <n v="1"/>
    <s v="non-LVC"/>
    <s v="Yes"/>
    <n v="31"/>
    <x v="3"/>
    <n v="1"/>
    <n v="2"/>
    <n v="1"/>
    <x v="2"/>
    <s v="zero_other"/>
    <x v="1"/>
    <n v="0"/>
  </r>
  <r>
    <x v="104"/>
    <s v="殿上人一同に訴へ申されけるは (tenjōbito ichidō ni uttaemōsarekeru wa)"/>
    <s v="all the courtiers and officials together appealed,"/>
    <s v="訴へ申されける"/>
    <s v="indicative"/>
    <s v="other"/>
    <s v="verb"/>
    <s v="transitive"/>
    <s v="active"/>
    <s v="positive"/>
    <n v="1"/>
    <n v="1"/>
    <s v="SUB"/>
    <n v="1"/>
    <x v="0"/>
    <n v="3"/>
    <s v="zero_other"/>
    <s v="n/a"/>
    <n v="0"/>
    <n v="0"/>
    <s v="SUB"/>
    <x v="3"/>
    <n v="1"/>
    <x v="0"/>
    <x v="2"/>
    <x v="9"/>
    <n v="0"/>
    <x v="2"/>
    <x v="4"/>
    <m/>
    <s v="ds"/>
    <x v="1"/>
    <x v="1"/>
    <x v="0"/>
    <s v="nominalisation"/>
    <x v="0"/>
    <n v="1"/>
    <s v="non-LVC"/>
    <s v="Yes"/>
    <n v="31"/>
    <x v="0"/>
    <n v="1"/>
    <n v="3"/>
    <n v="0"/>
    <x v="0"/>
    <s v="overt"/>
    <x v="0"/>
    <n v="0"/>
  </r>
  <r>
    <x v="105"/>
    <s v="それ雄剣を帯して (sore yūken o tai shitei)"/>
    <s v="that wearing a sword"/>
    <s v="帯して "/>
    <s v="indicative"/>
    <s v="action"/>
    <s v="LVC"/>
    <s v="transitive"/>
    <s v="active"/>
    <s v="positive"/>
    <n v="1"/>
    <n v="1"/>
    <s v="OBJ"/>
    <n v="0"/>
    <x v="1"/>
    <n v="3"/>
    <s v="overt"/>
    <s v="n/a"/>
    <n v="0"/>
    <n v="0"/>
    <s v="n/a"/>
    <x v="1"/>
    <n v="0"/>
    <x v="0"/>
    <x v="0"/>
    <x v="0"/>
    <n v="0"/>
    <x v="2"/>
    <x v="4"/>
    <s v="te_medial"/>
    <s v="ds"/>
    <x v="0"/>
    <x v="1"/>
    <x v="0"/>
    <m/>
    <x v="0"/>
    <n v="1"/>
    <s v="LVC"/>
    <s v="Yes"/>
    <n v="31"/>
    <x v="0"/>
    <n v="1"/>
    <n v="4"/>
    <n v="0"/>
    <x v="0"/>
    <s v="none"/>
    <x v="1"/>
    <n v="0"/>
  </r>
  <r>
    <x v="106"/>
    <s v="公宴に列し  kōen ni res shi"/>
    <s v=" coming to a Court entertainment "/>
    <s v="列し"/>
    <s v="indicative"/>
    <s v="motion"/>
    <s v="LVC"/>
    <s v="intransitive"/>
    <s v="active"/>
    <s v="positive"/>
    <n v="1"/>
    <n v="1"/>
    <s v="IO"/>
    <n v="0"/>
    <x v="1"/>
    <n v="3"/>
    <s v="n/a"/>
    <s v="overt"/>
    <n v="0"/>
    <n v="0"/>
    <s v="n/a"/>
    <x v="1"/>
    <n v="0"/>
    <x v="0"/>
    <x v="0"/>
    <x v="0"/>
    <n v="0"/>
    <x v="2"/>
    <x v="2"/>
    <s v="te_medial"/>
    <s v="ss"/>
    <x v="0"/>
    <x v="1"/>
    <x v="0"/>
    <m/>
    <x v="0"/>
    <n v="1"/>
    <s v="LVC"/>
    <s v="Yes"/>
    <n v="31"/>
    <x v="0"/>
    <n v="1"/>
    <n v="5"/>
    <n v="0"/>
    <x v="1"/>
    <s v="overt"/>
    <x v="1"/>
    <n v="0"/>
  </r>
  <r>
    <x v="107"/>
    <s v="兵仗を賜はりて  hyōjō o tamawari te "/>
    <s v="and bearing arms "/>
    <s v="賜はりて"/>
    <s v="indicative"/>
    <s v="action"/>
    <s v="verb"/>
    <s v="transitive"/>
    <s v="active"/>
    <s v="positive"/>
    <n v="1"/>
    <n v="1"/>
    <s v="OBJ"/>
    <n v="0"/>
    <x v="2"/>
    <n v="3"/>
    <s v="overt"/>
    <s v="n/a"/>
    <n v="0"/>
    <n v="0"/>
    <s v="n/a"/>
    <x v="1"/>
    <n v="0"/>
    <x v="1"/>
    <x v="2"/>
    <x v="5"/>
    <n v="0"/>
    <x v="2"/>
    <x v="2"/>
    <s v="te_medial"/>
    <s v="ss"/>
    <x v="0"/>
    <x v="1"/>
    <x v="0"/>
    <m/>
    <x v="0"/>
    <n v="1"/>
    <s v="non-LVC"/>
    <s v="Yes"/>
    <n v="31"/>
    <x v="3"/>
    <n v="1"/>
    <n v="6"/>
    <n v="0"/>
    <x v="0"/>
    <s v="overt"/>
    <x v="1"/>
    <n v="0"/>
  </r>
  <r>
    <x v="108"/>
    <s v="宮中を出入りするは kyūchū o ideiri suru wa "/>
    <s v="when passing in and out of the Palace"/>
    <s v="出入りする"/>
    <s v="indicative"/>
    <s v="motion"/>
    <s v="verb"/>
    <s v="transitive"/>
    <s v="active"/>
    <s v="positive"/>
    <n v="1"/>
    <n v="1"/>
    <s v="OBJ"/>
    <n v="0"/>
    <x v="1"/>
    <n v="3"/>
    <s v="overt"/>
    <s v="n/a"/>
    <n v="0"/>
    <n v="0"/>
    <s v="SUB"/>
    <x v="3"/>
    <n v="0"/>
    <x v="0"/>
    <x v="0"/>
    <x v="0"/>
    <n v="0"/>
    <x v="2"/>
    <x v="2"/>
    <m/>
    <s v="ss"/>
    <x v="1"/>
    <x v="1"/>
    <x v="0"/>
    <s v="nominalisation"/>
    <x v="0"/>
    <n v="1"/>
    <s v="non-LVC"/>
    <s v="Yes"/>
    <n v="31"/>
    <x v="1"/>
    <n v="1"/>
    <m/>
    <n v="0"/>
    <x v="2"/>
    <s v="overt"/>
    <x v="1"/>
    <n v="0"/>
  </r>
  <r>
    <x v="109"/>
    <s v="皆格式の礼を守る mina kakushiki no rei o mamoru"/>
    <s v=" is according to ancient precedent,"/>
    <s v="守る"/>
    <s v="indicative"/>
    <s v="action"/>
    <s v="verb"/>
    <s v="transitive"/>
    <s v="active"/>
    <s v="positive"/>
    <n v="1"/>
    <n v="2"/>
    <s v="S+O"/>
    <n v="0"/>
    <x v="0"/>
    <n v="3"/>
    <s v="overt"/>
    <s v="n/a"/>
    <n v="0"/>
    <n v="1"/>
    <s v="REL"/>
    <x v="0"/>
    <n v="0"/>
    <x v="0"/>
    <x v="0"/>
    <x v="0"/>
    <n v="0"/>
    <x v="2"/>
    <x v="4"/>
    <m/>
    <s v="ds"/>
    <x v="1"/>
    <x v="1"/>
    <x v="0"/>
    <m/>
    <x v="0"/>
    <n v="2"/>
    <s v="non-LVC"/>
    <s v="Yes"/>
    <n v="31"/>
    <x v="1"/>
    <n v="0"/>
    <m/>
    <n v="0"/>
    <x v="2"/>
    <s v="n/a"/>
    <x v="1"/>
    <n v="0"/>
  </r>
  <r>
    <x v="110"/>
    <s v="綸命由ある  rinmei yoshi aru "/>
    <m/>
    <s v="ある"/>
    <s v="indicative"/>
    <s v="stative"/>
    <s v="existential verb"/>
    <s v="intransitive"/>
    <s v="active"/>
    <s v="positive"/>
    <n v="1"/>
    <n v="1"/>
    <s v="SUB"/>
    <n v="0"/>
    <x v="0"/>
    <n v="3"/>
    <s v="n/a"/>
    <s v="n/a"/>
    <n v="0"/>
    <n v="1"/>
    <s v="REL"/>
    <x v="0"/>
    <n v="0"/>
    <x v="0"/>
    <x v="0"/>
    <x v="0"/>
    <n v="0"/>
    <x v="2"/>
    <x v="1"/>
    <m/>
    <s v="ds"/>
    <x v="4"/>
    <x v="1"/>
    <x v="0"/>
    <m/>
    <x v="0"/>
    <n v="1"/>
    <s v="non-LVC"/>
    <s v="Yes"/>
    <n v="31"/>
    <x v="4"/>
    <n v="0"/>
    <n v="7"/>
    <n v="0"/>
    <x v="6"/>
    <s v="n/a"/>
    <x v="1"/>
    <n v="0"/>
  </r>
  <r>
    <x v="111"/>
    <s v="先規なり senki nari"/>
    <m/>
    <s v="なり"/>
    <s v="indicative"/>
    <s v="stative"/>
    <s v="copula"/>
    <s v="intransitive"/>
    <s v="active"/>
    <s v="positive"/>
    <n v="1"/>
    <n v="0"/>
    <s v="n/a"/>
    <n v="0"/>
    <x v="6"/>
    <n v="0"/>
    <s v="n/a"/>
    <s v="n/a"/>
    <n v="0"/>
    <n v="0"/>
    <s v="n/a"/>
    <x v="8"/>
    <n v="0"/>
    <x v="0"/>
    <x v="0"/>
    <x v="0"/>
    <n v="0"/>
    <x v="2"/>
    <x v="1"/>
    <m/>
    <s v="n/a"/>
    <x v="1"/>
    <x v="1"/>
    <x v="1"/>
    <m/>
    <x v="0"/>
    <n v="0"/>
    <s v="non-LVC"/>
    <s v="Yes"/>
    <n v="31"/>
    <x v="4"/>
    <n v="1"/>
    <n v="8"/>
    <n v="0"/>
    <x v="2"/>
    <s v="overt"/>
    <x v="1"/>
    <n v="0"/>
  </r>
  <r>
    <x v="112"/>
    <s v="然るを忠盛朝臣或いは相伝の郎従と号して (shikaru o Tadamori ason arui wa sōden no rōjū to gō shite)"/>
    <s v="but Ason Tadamori, calling a certain common soldier his hereditary retainer,"/>
    <s v="号して"/>
    <s v="indicative"/>
    <s v="action"/>
    <s v="verb"/>
    <s v="transitive"/>
    <s v="active"/>
    <s v="positive"/>
    <n v="1"/>
    <n v="2"/>
    <s v="S+O"/>
    <n v="1"/>
    <x v="0"/>
    <n v="3"/>
    <s v="overt"/>
    <s v="n/a"/>
    <n v="0"/>
    <n v="0"/>
    <s v="n/a"/>
    <x v="1"/>
    <n v="0"/>
    <x v="0"/>
    <x v="0"/>
    <x v="0"/>
    <n v="0"/>
    <x v="9"/>
    <x v="9"/>
    <s v="te_medial"/>
    <s v="ds"/>
    <x v="0"/>
    <x v="2"/>
    <x v="0"/>
    <m/>
    <x v="0"/>
    <n v="2"/>
    <s v="non-LVC"/>
    <s v="Yes"/>
    <n v="31"/>
    <x v="5"/>
    <n v="1"/>
    <n v="9"/>
    <n v="1"/>
    <x v="1"/>
    <s v="overt"/>
    <x v="0"/>
    <n v="0"/>
  </r>
  <r>
    <x v="113"/>
    <s v="布衣の兵を殿上の小庭に召し置き (hoi no hyō o tenjō no koniwa ni meshioki)"/>
    <s v=" and placing him in the small courtyard of the Palace,"/>
    <s v="召し置き"/>
    <s v="indicative"/>
    <s v="action"/>
    <s v="verb"/>
    <s v="transitive"/>
    <s v="active"/>
    <s v="positive"/>
    <n v="1"/>
    <n v="2"/>
    <s v="O+IO"/>
    <n v="0"/>
    <x v="2"/>
    <n v="3"/>
    <s v="overt"/>
    <s v="overt"/>
    <n v="0"/>
    <n v="0"/>
    <s v="n/a"/>
    <x v="5"/>
    <n v="0"/>
    <x v="1"/>
    <x v="2"/>
    <x v="3"/>
    <n v="0"/>
    <x v="2"/>
    <x v="2"/>
    <m/>
    <s v="ss"/>
    <x v="0"/>
    <x v="1"/>
    <x v="0"/>
    <m/>
    <x v="0"/>
    <n v="2"/>
    <s v="non-LVC"/>
    <s v="Yes"/>
    <n v="31"/>
    <x v="0"/>
    <n v="1"/>
    <n v="10"/>
    <n v="0"/>
    <x v="2"/>
    <s v="overt"/>
    <x v="1"/>
    <n v="0"/>
  </r>
  <r>
    <x v="114"/>
    <s v="或いは腰の刀を横へ差いて (arui wa koshi no katana o yokoe saite)"/>
    <s v="wearing a sword at his side,"/>
    <s v="差いて"/>
    <s v="indicative"/>
    <s v="other"/>
    <s v="verb"/>
    <s v="transitive"/>
    <s v="active"/>
    <s v="positive"/>
    <n v="1"/>
    <n v="3"/>
    <s v="S+O+IO"/>
    <n v="2"/>
    <x v="0"/>
    <n v="3"/>
    <s v="overt"/>
    <s v="overt"/>
    <n v="0"/>
    <n v="0"/>
    <s v="n/a"/>
    <x v="1"/>
    <n v="0"/>
    <x v="0"/>
    <x v="0"/>
    <x v="0"/>
    <n v="0"/>
    <x v="2"/>
    <x v="6"/>
    <s v="te_medial"/>
    <s v="ss"/>
    <x v="0"/>
    <x v="1"/>
    <x v="0"/>
    <m/>
    <x v="0"/>
    <n v="3"/>
    <s v="non-LVC"/>
    <s v="Yes"/>
    <n v="31"/>
    <x v="1"/>
    <n v="1"/>
    <m/>
    <n v="0"/>
    <x v="0"/>
    <s v="none"/>
    <x v="0"/>
    <n v="0"/>
  </r>
  <r>
    <x v="115"/>
    <s v="節会の座に列なる setsue no za ni tsuranaru"/>
    <s v="and coming to the festival seat "/>
    <s v="列なる"/>
    <s v="indicative"/>
    <s v="other"/>
    <s v="verb"/>
    <s v="intransitive"/>
    <s v="active"/>
    <s v="positive"/>
    <n v="1"/>
    <n v="1"/>
    <s v="IO"/>
    <n v="0"/>
    <x v="1"/>
    <n v="3"/>
    <s v="n/a"/>
    <s v="overt"/>
    <n v="0"/>
    <n v="1"/>
    <s v="REL"/>
    <x v="0"/>
    <n v="0"/>
    <x v="0"/>
    <x v="0"/>
    <x v="0"/>
    <n v="0"/>
    <x v="2"/>
    <x v="2"/>
    <m/>
    <s v="ss"/>
    <x v="4"/>
    <x v="1"/>
    <x v="0"/>
    <m/>
    <x v="0"/>
    <n v="1"/>
    <s v="non-LVC"/>
    <s v="Yes"/>
    <n v="31"/>
    <x v="1"/>
    <n v="0"/>
    <m/>
    <n v="0"/>
    <x v="4"/>
    <s v="n/a"/>
    <x v="1"/>
    <n v="0"/>
  </r>
  <r>
    <x v="116"/>
    <s v="[両条稀代]未だ聞かざる (ryōjō kidai imada kikazaru)"/>
    <s v="both acts are unheard-of,"/>
    <s v="聞かざる"/>
    <s v="indicative"/>
    <s v="action"/>
    <s v="verb"/>
    <s v="transitive"/>
    <s v="active"/>
    <s v="negative"/>
    <n v="1"/>
    <n v="0"/>
    <s v="n/a"/>
    <n v="1"/>
    <x v="4"/>
    <n v="3"/>
    <s v="n/a"/>
    <s v="n/a"/>
    <n v="1"/>
    <n v="0"/>
    <s v="REL"/>
    <x v="0"/>
    <n v="0"/>
    <x v="0"/>
    <x v="0"/>
    <x v="0"/>
    <n v="0"/>
    <x v="2"/>
    <x v="1"/>
    <m/>
    <s v="n/a"/>
    <x v="1"/>
    <x v="1"/>
    <x v="0"/>
    <m/>
    <x v="0"/>
    <n v="0"/>
    <s v="non-LVC"/>
    <s v="Yes"/>
    <n v="31"/>
    <x v="2"/>
    <n v="0"/>
    <n v="11"/>
    <n v="0"/>
    <x v="2"/>
    <s v="n/a"/>
    <x v="1"/>
    <n v="0"/>
  </r>
  <r>
    <x v="117"/>
    <s v="狼藉なり rōzaku nari"/>
    <s v="disorderliness"/>
    <s v="狼藉なり"/>
    <s v="indicative"/>
    <s v="stative"/>
    <s v="copula"/>
    <s v="intransitive"/>
    <s v="active"/>
    <s v="positive"/>
    <n v="1"/>
    <n v="1"/>
    <s v="SUB"/>
    <n v="0"/>
    <x v="0"/>
    <n v="3"/>
    <s v="n/a"/>
    <s v="n/a"/>
    <n v="0"/>
    <n v="0"/>
    <s v="n/a"/>
    <x v="2"/>
    <n v="0"/>
    <x v="0"/>
    <x v="0"/>
    <x v="0"/>
    <n v="0"/>
    <x v="2"/>
    <x v="1"/>
    <m/>
    <s v="ds"/>
    <x v="1"/>
    <x v="1"/>
    <x v="0"/>
    <m/>
    <x v="0"/>
    <n v="1"/>
    <s v="non-LVC"/>
    <s v="Yes"/>
    <n v="31"/>
    <x v="4"/>
    <n v="1"/>
    <n v="1"/>
    <n v="0"/>
    <x v="2"/>
    <s v="n/a"/>
    <x v="1"/>
    <n v="0"/>
  </r>
  <r>
    <x v="118"/>
    <s v="事既に重畳せり (koto sudeni chōjō seri)"/>
    <s v="indeed, one crime piled on another,"/>
    <s v="重畳せり"/>
    <s v="indicative"/>
    <s v="other"/>
    <s v="LVC"/>
    <s v="intransitive"/>
    <s v="active"/>
    <s v="positive"/>
    <n v="1"/>
    <n v="1"/>
    <s v="SUB"/>
    <n v="1"/>
    <x v="0"/>
    <n v="3"/>
    <s v="n/a"/>
    <s v="n/a"/>
    <n v="0"/>
    <n v="0"/>
    <s v="n/a"/>
    <x v="5"/>
    <n v="0"/>
    <x v="0"/>
    <x v="0"/>
    <x v="0"/>
    <n v="0"/>
    <x v="2"/>
    <x v="3"/>
    <m/>
    <s v="ds"/>
    <x v="0"/>
    <x v="1"/>
    <x v="2"/>
    <m/>
    <x v="0"/>
    <n v="1"/>
    <s v="LVC"/>
    <s v="Yes"/>
    <n v="32"/>
    <x v="4"/>
    <n v="1"/>
    <n v="2"/>
    <n v="1"/>
    <x v="2"/>
    <s v="overt"/>
    <x v="1"/>
    <n v="0"/>
  </r>
  <r>
    <x v="119"/>
    <s v="罪科尤も遁れ難し (tsumitoga mottomo nogaregatashi)"/>
    <s v="a charge he would find difficult to escape."/>
    <s v="遁れ難し"/>
    <s v="dynamic"/>
    <s v="stative"/>
    <s v="verb"/>
    <s v="transitive"/>
    <s v="active"/>
    <s v="positive"/>
    <n v="1"/>
    <n v="1"/>
    <s v="SUB"/>
    <n v="0"/>
    <x v="0"/>
    <n v="3"/>
    <s v="overt"/>
    <s v="n/a"/>
    <n v="0"/>
    <n v="0"/>
    <s v="n/a"/>
    <x v="2"/>
    <n v="0"/>
    <x v="0"/>
    <x v="0"/>
    <x v="0"/>
    <n v="0"/>
    <x v="2"/>
    <x v="6"/>
    <m/>
    <s v="ss"/>
    <x v="1"/>
    <x v="1"/>
    <x v="0"/>
    <m/>
    <x v="0"/>
    <n v="1"/>
    <s v="non-LVC"/>
    <s v="Yes"/>
    <n v="32"/>
    <x v="0"/>
    <n v="1"/>
    <n v="1"/>
    <n v="0"/>
    <x v="4"/>
    <s v="overt"/>
    <x v="0"/>
    <n v="0"/>
  </r>
  <r>
    <x v="120"/>
    <s v="早く殿上の御札を削りて (hayaku tenjō no mifuda o kezurite)"/>
    <s v="they petitioned that his name be erased from the list of Courtiers"/>
    <s v="削りて "/>
    <s v="indicative"/>
    <s v="action"/>
    <s v="verb"/>
    <s v="transitive"/>
    <s v="active"/>
    <s v="positive"/>
    <n v="1"/>
    <n v="1"/>
    <s v="OBJ"/>
    <n v="0"/>
    <x v="4"/>
    <n v="3"/>
    <s v="overt"/>
    <s v="n/a"/>
    <n v="0"/>
    <n v="0"/>
    <s v="n/a"/>
    <x v="1"/>
    <n v="0"/>
    <x v="0"/>
    <x v="0"/>
    <x v="0"/>
    <n v="0"/>
    <x v="2"/>
    <x v="3"/>
    <s v="te_medial"/>
    <s v="ds"/>
    <x v="0"/>
    <x v="1"/>
    <x v="0"/>
    <m/>
    <x v="0"/>
    <n v="1"/>
    <s v="non-LVC"/>
    <s v="Yes"/>
    <n v="33"/>
    <x v="4"/>
    <n v="1"/>
    <m/>
    <n v="0"/>
    <x v="0"/>
    <s v="n/a"/>
    <x v="1"/>
    <n v="0"/>
  </r>
  <r>
    <x v="121"/>
    <s v="欠官停任せらるべき (kekkan teinin seraru beki yoshi)"/>
    <s v=" and he be deprived of rank and office,"/>
    <s v="停任せらるべき"/>
    <s v="deontic"/>
    <s v="action"/>
    <s v="LVC"/>
    <s v="intransitive"/>
    <s v="passive"/>
    <s v="positive"/>
    <n v="1"/>
    <n v="0"/>
    <s v="n/a"/>
    <n v="0"/>
    <x v="1"/>
    <n v="3"/>
    <s v="n/a"/>
    <s v="n/a"/>
    <n v="0"/>
    <n v="1"/>
    <s v="REL"/>
    <x v="0"/>
    <n v="0"/>
    <x v="0"/>
    <x v="0"/>
    <x v="0"/>
    <n v="0"/>
    <x v="2"/>
    <x v="2"/>
    <m/>
    <s v="ss"/>
    <x v="1"/>
    <x v="1"/>
    <x v="1"/>
    <m/>
    <x v="0"/>
    <n v="0"/>
    <s v="LVC"/>
    <s v="Yes"/>
    <n v="33"/>
    <x v="4"/>
    <n v="0"/>
    <n v="2"/>
    <n v="0"/>
    <x v="2"/>
    <s v="overt"/>
    <x v="1"/>
    <n v="0"/>
  </r>
  <r>
    <x v="122"/>
    <s v="由諸卿一同に訴へ申されければ (yoshi shokyō ichidō ni uttaemōsarekereba)"/>
    <s v="and all the Court Nobles together petitioned,"/>
    <s v="訴へ申されければ"/>
    <s v="indicative"/>
    <s v="action"/>
    <s v="verb"/>
    <s v="transitive"/>
    <s v="active"/>
    <s v="positive"/>
    <n v="1"/>
    <n v="2"/>
    <s v="S+O"/>
    <n v="1"/>
    <x v="0"/>
    <n v="3"/>
    <s v="overt"/>
    <s v="n/a"/>
    <n v="0"/>
    <n v="0"/>
    <s v="n/a"/>
    <x v="3"/>
    <n v="1"/>
    <x v="0"/>
    <x v="2"/>
    <x v="8"/>
    <n v="0"/>
    <x v="0"/>
    <x v="1"/>
    <m/>
    <s v="ds"/>
    <x v="1"/>
    <x v="1"/>
    <x v="0"/>
    <m/>
    <x v="0"/>
    <n v="2"/>
    <s v="non-LVC"/>
    <s v="Yes"/>
    <n v="33"/>
    <x v="0"/>
    <n v="1"/>
    <n v="3"/>
    <n v="0"/>
    <x v="2"/>
    <s v="n/a"/>
    <x v="1"/>
    <n v="0"/>
  </r>
  <r>
    <x v="123"/>
    <s v="上皇大きに驚かせ給ひて (Jōkō ōki ni odorokase tamai te)"/>
    <s v="His Majesty the Mikado, greatly surprised,"/>
    <s v="驚かせ給ひて"/>
    <s v="indicative"/>
    <s v="action"/>
    <s v="verb"/>
    <s v="intransitive"/>
    <s v="active"/>
    <s v="positive"/>
    <n v="1"/>
    <n v="1"/>
    <s v="SUB"/>
    <n v="0"/>
    <x v="0"/>
    <n v="3"/>
    <s v="n/a"/>
    <s v="n/a"/>
    <n v="0"/>
    <n v="0"/>
    <s v="n/a"/>
    <x v="1"/>
    <n v="1"/>
    <x v="0"/>
    <x v="2"/>
    <x v="8"/>
    <n v="0"/>
    <x v="2"/>
    <x v="4"/>
    <s v="te_medial"/>
    <s v="ds"/>
    <x v="0"/>
    <x v="1"/>
    <x v="0"/>
    <m/>
    <x v="0"/>
    <n v="1"/>
    <s v="non-LVC"/>
    <s v="Yes"/>
    <n v="33"/>
    <x v="0"/>
    <n v="1"/>
    <n v="4"/>
    <n v="0"/>
    <x v="1"/>
    <s v="overt"/>
    <x v="0"/>
    <n v="0"/>
  </r>
  <r>
    <x v="124"/>
    <s v="忠盛を召して (Tadamori o meshite)"/>
    <s v="ordered Tadamori into his Presence,"/>
    <s v="召して"/>
    <s v="indicative"/>
    <s v="action"/>
    <s v="verb"/>
    <s v="intransitive"/>
    <s v="active"/>
    <s v="positive"/>
    <n v="1"/>
    <n v="1"/>
    <s v="OBJ"/>
    <n v="0"/>
    <x v="2"/>
    <n v="3"/>
    <s v="overt"/>
    <s v="n/a"/>
    <n v="0"/>
    <n v="0"/>
    <s v="n/a"/>
    <x v="1"/>
    <n v="0"/>
    <x v="1"/>
    <x v="2"/>
    <x v="3"/>
    <n v="0"/>
    <x v="2"/>
    <x v="2"/>
    <s v="te_medial"/>
    <s v="ss"/>
    <x v="1"/>
    <x v="1"/>
    <x v="0"/>
    <m/>
    <x v="0"/>
    <n v="1"/>
    <s v="non-LVC"/>
    <s v="Yes"/>
    <n v="33"/>
    <x v="2"/>
    <n v="1"/>
    <n v="5"/>
    <n v="0"/>
    <x v="2"/>
    <s v="n/a"/>
    <x v="1"/>
    <n v="0"/>
  </r>
  <r>
    <x v="125"/>
    <s v="御尋ねあり o-tazune ari"/>
    <s v=" to make examination into the affair"/>
    <s v="御尋ねあり"/>
    <s v="indicative"/>
    <s v="action"/>
    <s v="verb"/>
    <s v="intransitive"/>
    <s v="active"/>
    <s v="positive"/>
    <n v="1"/>
    <n v="1"/>
    <s v="SUB"/>
    <n v="0"/>
    <x v="0"/>
    <n v="3"/>
    <s v="n/a"/>
    <s v="n/a"/>
    <n v="0"/>
    <n v="0"/>
    <s v="n/a"/>
    <x v="2"/>
    <n v="1"/>
    <x v="0"/>
    <x v="2"/>
    <x v="10"/>
    <n v="1"/>
    <x v="2"/>
    <x v="2"/>
    <m/>
    <s v="ds"/>
    <x v="1"/>
    <x v="1"/>
    <x v="0"/>
    <m/>
    <x v="0"/>
    <n v="1"/>
    <s v="non-LVC"/>
    <s v="Yes"/>
    <n v="33"/>
    <x v="4"/>
    <n v="1"/>
    <n v="1"/>
    <n v="0"/>
    <x v="1"/>
    <s v="zero_other"/>
    <x v="0"/>
    <n v="0"/>
  </r>
  <r>
    <x v="126"/>
    <s v="陳じ申されけるは (chinji mōsarekeru wa)"/>
    <s v="in his reply he stated that,"/>
    <s v="申されける"/>
    <s v="indicative"/>
    <s v="action"/>
    <s v="verb"/>
    <s v="transitive"/>
    <s v="active"/>
    <s v="positive"/>
    <n v="1"/>
    <n v="0"/>
    <s v="n/a"/>
    <n v="0"/>
    <x v="2"/>
    <n v="3"/>
    <s v="zero_other"/>
    <s v="n/a"/>
    <n v="0"/>
    <n v="0"/>
    <s v="SUB"/>
    <x v="3"/>
    <n v="0"/>
    <x v="1"/>
    <x v="2"/>
    <x v="9"/>
    <n v="0"/>
    <x v="2"/>
    <x v="3"/>
    <m/>
    <s v="ds"/>
    <x v="0"/>
    <x v="1"/>
    <x v="1"/>
    <s v="nominalisation"/>
    <x v="0"/>
    <n v="0"/>
    <s v="non-LVC"/>
    <s v="Yes"/>
    <n v="34"/>
    <x v="4"/>
    <n v="1"/>
    <n v="2"/>
    <n v="1"/>
    <x v="1"/>
    <s v="overt"/>
    <x v="1"/>
    <n v="0"/>
  </r>
  <r>
    <x v="127"/>
    <s v="まづ郎従小庭に伺候の由全く覚悟仕らず (mazu rōjū koniwa ni shikō no yoshi mattaku kakugo tsukamatsurazu)"/>
    <s v="as to the presence of his retainer in the Palace, he certainly knew nothing about it,"/>
    <s v="覚悟仕らず"/>
    <s v="indicative"/>
    <s v="action"/>
    <s v="LVC"/>
    <s v="transitive"/>
    <s v="active"/>
    <s v="negative"/>
    <n v="1"/>
    <n v="1"/>
    <s v="OBJ"/>
    <n v="2"/>
    <x v="2"/>
    <n v="3"/>
    <s v="overt"/>
    <s v="n/a"/>
    <n v="0"/>
    <n v="0"/>
    <s v="n/a"/>
    <x v="3"/>
    <n v="0"/>
    <x v="1"/>
    <x v="2"/>
    <x v="5"/>
    <n v="0"/>
    <x v="2"/>
    <x v="4"/>
    <m/>
    <s v="ss"/>
    <x v="1"/>
    <x v="1"/>
    <x v="0"/>
    <m/>
    <x v="0"/>
    <n v="1"/>
    <s v="LVC"/>
    <s v="Yes"/>
    <n v="34"/>
    <x v="1"/>
    <n v="1"/>
    <m/>
    <n v="1"/>
    <x v="2"/>
    <s v="zero_other"/>
    <x v="1"/>
    <n v="1"/>
  </r>
  <r>
    <x v="128"/>
    <s v="但し近日人々相巧まるる (tadashi kinjitsu hitobito ai-takuramaruru)"/>
    <s v=" [...]  the designs that people were plotting,"/>
    <s v="巧まるる"/>
    <s v="indicative"/>
    <s v="action"/>
    <s v="verb"/>
    <s v="transitive"/>
    <s v="active"/>
    <s v="positive"/>
    <n v="1"/>
    <n v="1"/>
    <s v="SUB"/>
    <n v="1"/>
    <x v="0"/>
    <n v="3"/>
    <s v="zero_other"/>
    <s v="n/a"/>
    <n v="0"/>
    <n v="0"/>
    <s v="REL"/>
    <x v="0"/>
    <n v="1"/>
    <x v="0"/>
    <x v="2"/>
    <x v="2"/>
    <n v="0"/>
    <x v="2"/>
    <x v="4"/>
    <m/>
    <s v="ds"/>
    <x v="1"/>
    <x v="1"/>
    <x v="0"/>
    <m/>
    <x v="0"/>
    <n v="1"/>
    <s v="non-LVC"/>
    <s v="Yes"/>
    <n v="34"/>
    <x v="3"/>
    <n v="0"/>
    <n v="3"/>
    <n v="0"/>
    <x v="2"/>
    <s v="n/a"/>
    <x v="1"/>
    <n v="0"/>
  </r>
  <r>
    <x v="129"/>
    <s v="旨子細あるかの間 mune shisai aru ka no aida "/>
    <s v="[…] had lately heard of"/>
    <s v="ある"/>
    <s v="indicative"/>
    <s v="stative"/>
    <s v="existential verb"/>
    <s v="intransitive"/>
    <s v="active"/>
    <s v="positive"/>
    <n v="1"/>
    <n v="1"/>
    <s v="SUB"/>
    <n v="1"/>
    <x v="0"/>
    <n v="3"/>
    <s v="n/a"/>
    <s v="n/a"/>
    <n v="0"/>
    <n v="0"/>
    <s v="n/a"/>
    <x v="3"/>
    <n v="0"/>
    <x v="0"/>
    <x v="0"/>
    <x v="0"/>
    <n v="0"/>
    <x v="0"/>
    <x v="1"/>
    <m/>
    <s v="ds"/>
    <x v="0"/>
    <x v="1"/>
    <x v="0"/>
    <m/>
    <x v="0"/>
    <n v="1"/>
    <s v="non-LVC"/>
    <s v="Yes"/>
    <n v="34"/>
    <x v="3"/>
    <n v="1"/>
    <n v="4"/>
    <n v="0"/>
    <x v="2"/>
    <s v="overt"/>
    <x v="1"/>
    <n v="0"/>
  </r>
  <r>
    <x v="130"/>
    <s v="年来の家人事を伝へ聞くかによつて (nenrai no kenin goto o tsutae kiku ka ni yotte)"/>
    <s v=" if his retainers"/>
    <s v="伝へ聞く"/>
    <s v="indicative"/>
    <s v="perception"/>
    <s v="compound verb"/>
    <s v="transitive"/>
    <s v="active"/>
    <s v="positive"/>
    <n v="1"/>
    <n v="2"/>
    <s v="S+O"/>
    <n v="1"/>
    <x v="0"/>
    <n v="3"/>
    <s v="overt"/>
    <s v="n/a"/>
    <n v="0"/>
    <n v="0"/>
    <s v="n/a"/>
    <x v="3"/>
    <n v="0"/>
    <x v="0"/>
    <x v="0"/>
    <x v="0"/>
    <n v="0"/>
    <x v="1"/>
    <x v="4"/>
    <m/>
    <s v="ss"/>
    <x v="0"/>
    <x v="1"/>
    <x v="0"/>
    <m/>
    <x v="0"/>
    <n v="2"/>
    <s v="non-LVC"/>
    <s v="Yes"/>
    <n v="34"/>
    <x v="3"/>
    <n v="1"/>
    <n v="5"/>
    <n v="0"/>
    <x v="0"/>
    <s v="overt"/>
    <x v="0"/>
    <n v="0"/>
  </r>
  <r>
    <x v="131"/>
    <s v="その恥を助けんが為に (sono haji o tasuken ga tame ni)"/>
    <s v="and in order to help him against such dishonour,  intending to prevent dishonour,"/>
    <s v="助けん"/>
    <s v="dynamic"/>
    <s v="other"/>
    <s v="verb"/>
    <s v="transitive"/>
    <s v="active"/>
    <s v="positive"/>
    <n v="1"/>
    <n v="1"/>
    <s v="OBJ"/>
    <n v="0"/>
    <x v="1"/>
    <n v="3"/>
    <s v="overt"/>
    <s v="n/a"/>
    <n v="0"/>
    <n v="0"/>
    <s v="n/a"/>
    <x v="3"/>
    <n v="0"/>
    <x v="0"/>
    <x v="0"/>
    <x v="0"/>
    <n v="0"/>
    <x v="7"/>
    <x v="4"/>
    <m/>
    <s v="ss"/>
    <x v="0"/>
    <x v="1"/>
    <x v="0"/>
    <m/>
    <x v="0"/>
    <n v="1"/>
    <s v="non-LVC"/>
    <s v="Yes"/>
    <n v="34"/>
    <x v="0"/>
    <n v="1"/>
    <n v="6"/>
    <n v="0"/>
    <x v="0"/>
    <s v="zero_recoverable"/>
    <x v="1"/>
    <n v="1"/>
  </r>
  <r>
    <x v="132"/>
    <s v="忠盛には知らせずして Tadamori ni wa shirasazu shite"/>
    <s v=" without informing him,  "/>
    <s v="知らせず"/>
    <s v="indicative"/>
    <s v="other"/>
    <s v="verb"/>
    <s v="ditransitive"/>
    <s v="active"/>
    <s v="negative"/>
    <n v="1"/>
    <n v="2"/>
    <s v="IO"/>
    <n v="1"/>
    <x v="1"/>
    <n v="3"/>
    <s v="zero_recoverable"/>
    <s v="overt"/>
    <n v="0"/>
    <n v="0"/>
    <s v="n/a"/>
    <x v="1"/>
    <n v="0"/>
    <x v="0"/>
    <x v="0"/>
    <x v="0"/>
    <n v="0"/>
    <x v="1"/>
    <x v="4"/>
    <s v="te_medial"/>
    <s v="ss"/>
    <x v="2"/>
    <x v="3"/>
    <x v="0"/>
    <m/>
    <x v="0"/>
    <n v="2"/>
    <s v="non-LVC"/>
    <s v="Yes"/>
    <n v="34"/>
    <x v="4"/>
    <n v="1"/>
    <n v="7"/>
    <n v="0"/>
    <x v="3"/>
    <m/>
    <x v="1"/>
    <n v="0"/>
  </r>
  <r>
    <x v="133"/>
    <s v="密かに参候の条 (hisoka ni sankō no jō)"/>
    <s v="his retainers had come hither secretly"/>
    <s v="N/A (nominal clause)"/>
    <s v="indicative"/>
    <s v="other"/>
    <s v="none"/>
    <m/>
    <m/>
    <m/>
    <m/>
    <m/>
    <m/>
    <m/>
    <x v="3"/>
    <m/>
    <s v="n/a"/>
    <s v="n/a"/>
    <m/>
    <m/>
    <m/>
    <x v="7"/>
    <m/>
    <x v="2"/>
    <x v="0"/>
    <x v="0"/>
    <m/>
    <x v="5"/>
    <x v="2"/>
    <m/>
    <m/>
    <x v="1"/>
    <x v="4"/>
    <x v="3"/>
    <s v="not sure if I should treat this as a nominal or verbal predicate or whether there is predication at all"/>
    <x v="0"/>
    <m/>
    <s v="non-LVC"/>
    <s v="Yes"/>
    <n v="34"/>
    <x v="4"/>
    <n v="1"/>
    <m/>
    <n v="0"/>
    <x v="2"/>
    <s v="n/a"/>
    <x v="1"/>
    <n v="0"/>
  </r>
  <r>
    <x v="134"/>
    <s v="力及ばざる chikara oyobazaru"/>
    <s v="his retainers had come hither secretly"/>
    <s v="及ばざる"/>
    <s v="indicative"/>
    <s v="other"/>
    <s v="verb"/>
    <s v="intransitive"/>
    <s v="active"/>
    <s v="negative"/>
    <n v="1"/>
    <n v="1"/>
    <s v="SUB"/>
    <n v="0"/>
    <x v="0"/>
    <n v="3"/>
    <s v="n/a"/>
    <s v="n/a"/>
    <n v="0"/>
    <n v="1"/>
    <s v="REL"/>
    <x v="0"/>
    <n v="0"/>
    <x v="0"/>
    <x v="0"/>
    <x v="0"/>
    <n v="0"/>
    <x v="2"/>
    <x v="8"/>
    <m/>
    <s v="ds"/>
    <x v="1"/>
    <x v="1"/>
    <x v="0"/>
    <m/>
    <x v="0"/>
    <n v="1"/>
    <s v="non-LVC"/>
    <s v="Yes"/>
    <n v="34"/>
    <x v="4"/>
    <n v="0"/>
    <n v="8"/>
    <n v="0"/>
    <x v="0"/>
    <s v="n/a"/>
    <x v="0"/>
    <n v="0"/>
  </r>
  <r>
    <x v="135"/>
    <s v="次第なり"/>
    <s v="shidai nari"/>
    <s v="なり"/>
    <s v="indicative"/>
    <s v="stative"/>
    <s v="copula"/>
    <s v="intransitive"/>
    <s v="active"/>
    <s v="positive"/>
    <n v="1"/>
    <n v="0"/>
    <s v="n/a"/>
    <n v="0"/>
    <x v="1"/>
    <n v="3"/>
    <s v="n/a"/>
    <s v="n/a"/>
    <n v="0"/>
    <n v="0"/>
    <s v="n/a"/>
    <x v="2"/>
    <n v="0"/>
    <x v="0"/>
    <x v="0"/>
    <x v="0"/>
    <n v="0"/>
    <x v="2"/>
    <x v="1"/>
    <m/>
    <s v="ds"/>
    <x v="1"/>
    <x v="1"/>
    <x v="1"/>
    <m/>
    <x v="0"/>
    <n v="0"/>
    <s v="non-LVC"/>
    <s v="Yes"/>
    <n v="34"/>
    <x v="4"/>
    <n v="1"/>
    <n v="1"/>
    <n v="0"/>
    <x v="2"/>
    <s v="n/a"/>
    <x v="1"/>
    <n v="0"/>
  </r>
  <r>
    <x v="136"/>
    <s v="もしその咎あるべくば (moshi sono toga arubekuba)"/>
    <s v="&quot;if there be any blame, "/>
    <s v="ある"/>
    <s v="indicative"/>
    <s v="stative"/>
    <s v="existential verb"/>
    <s v="intransitive"/>
    <s v="active"/>
    <s v="positive"/>
    <n v="1"/>
    <n v="1"/>
    <s v="SUB"/>
    <n v="0"/>
    <x v="0"/>
    <n v="3"/>
    <s v="n/a"/>
    <s v="n/a"/>
    <n v="0"/>
    <n v="0"/>
    <s v="n/a"/>
    <x v="3"/>
    <n v="0"/>
    <x v="0"/>
    <x v="0"/>
    <x v="0"/>
    <n v="0"/>
    <x v="10"/>
    <x v="3"/>
    <m/>
    <s v="ds"/>
    <x v="1"/>
    <x v="2"/>
    <x v="0"/>
    <m/>
    <x v="0"/>
    <n v="1"/>
    <s v="non-LVC"/>
    <s v="Yes"/>
    <n v="35"/>
    <x v="2"/>
    <n v="1"/>
    <n v="2"/>
    <n v="1"/>
    <x v="1"/>
    <s v="overt"/>
    <x v="0"/>
    <n v="0"/>
  </r>
  <r>
    <x v="137"/>
    <s v="かの身を召し進ずべきか  ka no mi o meshi shinzu beki ka"/>
    <s v="do I not yield my body herewith?&quot;"/>
    <s v="召し進ずべき"/>
    <s v="deontic"/>
    <s v="action"/>
    <s v="LVC"/>
    <m/>
    <s v="active"/>
    <s v="positive"/>
    <n v="1"/>
    <n v="1"/>
    <s v="OBJ"/>
    <n v="0"/>
    <x v="2"/>
    <n v="1"/>
    <s v="overt"/>
    <s v="n/a"/>
    <n v="0"/>
    <n v="0"/>
    <s v="n/a"/>
    <x v="2"/>
    <n v="0"/>
    <x v="1"/>
    <x v="2"/>
    <x v="3"/>
    <n v="0"/>
    <x v="2"/>
    <x v="4"/>
    <m/>
    <s v="ds"/>
    <x v="0"/>
    <x v="1"/>
    <x v="0"/>
    <m/>
    <x v="0"/>
    <n v="1"/>
    <s v="LVC"/>
    <s v="Yes"/>
    <n v="35"/>
    <x v="2"/>
    <n v="1"/>
    <n v="1"/>
    <n v="0"/>
    <x v="0"/>
    <s v="overt"/>
    <x v="1"/>
    <n v="0"/>
  </r>
  <r>
    <x v="138"/>
    <s v="次に刀の事は主殿司に預け置き候ひ畢んぬ (tsugi ni katana no koto wa tonomotsukasa ni azukeoki soroiowannu)"/>
    <s v="as for the sword, I deposited it in the Tonomotsukasa,"/>
    <s v="預け置き / 候ひ畢んぬ"/>
    <s v="indicative"/>
    <s v="action"/>
    <s v="compound verb"/>
    <s v="transitive"/>
    <s v="active"/>
    <s v="positive"/>
    <n v="1"/>
    <n v="2"/>
    <s v="O+IO"/>
    <n v="0"/>
    <x v="1"/>
    <n v="1"/>
    <s v="overt"/>
    <s v="overt"/>
    <n v="0"/>
    <n v="0"/>
    <s v="n/a"/>
    <x v="2"/>
    <n v="0"/>
    <x v="0"/>
    <x v="0"/>
    <x v="7"/>
    <n v="0"/>
    <x v="2"/>
    <x v="3"/>
    <m/>
    <s v="ss"/>
    <x v="1"/>
    <x v="2"/>
    <x v="0"/>
    <m/>
    <x v="0"/>
    <n v="2"/>
    <s v="non-LVC"/>
    <s v="Yes"/>
    <n v="36"/>
    <x v="4"/>
    <n v="1"/>
    <n v="1"/>
    <n v="0"/>
    <x v="1"/>
    <s v="zero_recoverable"/>
    <x v="1"/>
    <n v="1"/>
  </r>
  <r>
    <x v="139"/>
    <s v="召し出だされ (meshi idasare)"/>
    <s v="if it be brought out from thence,"/>
    <s v="召し出だされ "/>
    <s v="indicative"/>
    <s v="action"/>
    <s v="verb"/>
    <s v="intransitive"/>
    <s v="passive"/>
    <s v="positive"/>
    <n v="1"/>
    <n v="0"/>
    <s v="n/a"/>
    <n v="0"/>
    <x v="2"/>
    <n v="3"/>
    <s v="zero_recoverable"/>
    <s v="zero_recoverable"/>
    <n v="0"/>
    <n v="0"/>
    <s v="n/a"/>
    <x v="2"/>
    <n v="0"/>
    <x v="1"/>
    <x v="2"/>
    <x v="3"/>
    <n v="0"/>
    <x v="2"/>
    <x v="3"/>
    <m/>
    <s v="ds"/>
    <x v="0"/>
    <x v="1"/>
    <x v="1"/>
    <m/>
    <x v="0"/>
    <n v="0"/>
    <s v="non-LVC"/>
    <s v="Yes"/>
    <n v="37"/>
    <x v="4"/>
    <n v="1"/>
    <n v="1"/>
    <n v="0"/>
    <x v="2"/>
    <s v="n/a"/>
    <x v="1"/>
    <n v="0"/>
  </r>
  <r>
    <x v="140"/>
    <s v="刀の実否に付きて咎の左右あるべきか  katana no jippi ni tsukite toga no sayū aru beki ka"/>
    <s v=" it may be seen if it be a real sword or not,"/>
    <s v="あるべき"/>
    <s v="deontic"/>
    <s v="stative"/>
    <s v="existential verb"/>
    <s v="intransitive"/>
    <s v="active"/>
    <s v="positive"/>
    <n v="1"/>
    <n v="1"/>
    <s v="SUB"/>
    <n v="1"/>
    <x v="0"/>
    <n v="3"/>
    <s v="n/a"/>
    <s v="n/a"/>
    <n v="0"/>
    <n v="0"/>
    <s v="n/a"/>
    <x v="2"/>
    <n v="0"/>
    <x v="0"/>
    <x v="0"/>
    <x v="0"/>
    <n v="0"/>
    <x v="2"/>
    <x v="3"/>
    <m/>
    <s v="ss"/>
    <x v="1"/>
    <x v="1"/>
    <x v="0"/>
    <m/>
    <x v="0"/>
    <n v="1"/>
    <s v="non-LVC"/>
    <s v="Yes"/>
    <n v="38"/>
    <x v="3"/>
    <n v="1"/>
    <n v="1"/>
    <n v="1"/>
    <x v="2"/>
    <s v="n/a"/>
    <x v="1"/>
    <n v="0"/>
  </r>
  <r>
    <x v="141"/>
    <s v="この儀尤も然るべしとて (kono gi motto mo shikarubeshi tote)"/>
    <s v="&quot;This seems quite reasonable,&quot;"/>
    <s v="然るべし"/>
    <s v="deontic"/>
    <s v="stative"/>
    <s v="adjectival predicate"/>
    <s v="intransitive"/>
    <s v="active"/>
    <s v="positive"/>
    <n v="1"/>
    <n v="1"/>
    <s v="SUB"/>
    <n v="0"/>
    <x v="0"/>
    <n v="3"/>
    <s v="n/a"/>
    <s v="n/a"/>
    <n v="0"/>
    <n v="0"/>
    <s v="n/a"/>
    <x v="3"/>
    <n v="0"/>
    <x v="0"/>
    <x v="0"/>
    <x v="0"/>
    <n v="0"/>
    <x v="3"/>
    <x v="3"/>
    <m/>
    <s v="ds"/>
    <x v="1"/>
    <x v="1"/>
    <x v="0"/>
    <m/>
    <x v="0"/>
    <n v="1"/>
    <s v="non-LVC"/>
    <s v="Yes"/>
    <n v="39"/>
    <x v="4"/>
    <n v="1"/>
    <n v="2"/>
    <n v="0"/>
    <x v="1"/>
    <s v="overt"/>
    <x v="0"/>
    <n v="0"/>
  </r>
  <r>
    <x v="142"/>
    <s v="かの刀を召し出でて (kano katana o meshi-idete)"/>
    <s v="and they hastened to bring forth the sword,"/>
    <s v="召し出でて"/>
    <s v="indicative"/>
    <s v="action"/>
    <s v="verb"/>
    <s v="transitive"/>
    <s v="active"/>
    <s v="positive"/>
    <n v="1"/>
    <n v="1"/>
    <s v="OBJ"/>
    <n v="1"/>
    <x v="2"/>
    <n v="3"/>
    <s v="overt"/>
    <s v="n/a"/>
    <n v="0"/>
    <n v="0"/>
    <s v="n/a"/>
    <x v="1"/>
    <n v="0"/>
    <x v="1"/>
    <x v="2"/>
    <x v="3"/>
    <n v="0"/>
    <x v="1"/>
    <x v="4"/>
    <s v="te_medial"/>
    <s v="ds"/>
    <x v="0"/>
    <x v="3"/>
    <x v="2"/>
    <m/>
    <x v="0"/>
    <n v="1"/>
    <s v="non-LVC"/>
    <s v="Yes"/>
    <n v="39"/>
    <x v="4"/>
    <n v="1"/>
    <n v="3"/>
    <n v="0"/>
    <x v="1"/>
    <s v="zero_recoverable"/>
    <x v="1"/>
    <n v="1"/>
  </r>
  <r>
    <x v="143"/>
    <s v="叡覧あるに (eiran aru ni)"/>
    <s v="and exhibit it before His Majesty,"/>
    <s v="叡覧ある"/>
    <s v="indicative"/>
    <s v="action"/>
    <s v="LVC"/>
    <s v="transitive"/>
    <s v="active"/>
    <s v="positive"/>
    <n v="1"/>
    <n v="0"/>
    <s v="n/a"/>
    <n v="0"/>
    <x v="2"/>
    <n v="3"/>
    <s v="zero_recoverable"/>
    <s v="n/a"/>
    <n v="0"/>
    <n v="0"/>
    <s v="n/a"/>
    <x v="3"/>
    <n v="0"/>
    <x v="1"/>
    <x v="2"/>
    <x v="3"/>
    <n v="0"/>
    <x v="0"/>
    <x v="2"/>
    <m/>
    <s v="ss"/>
    <x v="1"/>
    <x v="1"/>
    <x v="1"/>
    <m/>
    <x v="0"/>
    <n v="0"/>
    <s v="LVC"/>
    <s v="Yes"/>
    <n v="39"/>
    <x v="4"/>
    <n v="1"/>
    <n v="4"/>
    <n v="0"/>
    <x v="2"/>
    <s v="n/a"/>
    <x v="1"/>
    <n v="0"/>
  </r>
  <r>
    <x v="144"/>
    <s v="上は鞘巻の黒う塗つたりけるが (ue wa sayamaki no kuro u nuttari keru ga)"/>
    <s v="its outside was that of a dirk in a black lacquer sheath,"/>
    <s v="塗つたりける"/>
    <s v="indicative"/>
    <s v="stative"/>
    <s v="verb"/>
    <s v="intransitive"/>
    <s v="resultative"/>
    <s v="positive"/>
    <n v="1"/>
    <n v="1"/>
    <s v="SUB"/>
    <n v="0"/>
    <x v="0"/>
    <n v="3"/>
    <s v="n/a"/>
    <s v="n/a"/>
    <n v="0"/>
    <n v="0"/>
    <s v="n/a"/>
    <x v="3"/>
    <n v="0"/>
    <x v="0"/>
    <x v="0"/>
    <x v="0"/>
    <n v="0"/>
    <x v="9"/>
    <x v="4"/>
    <m/>
    <s v="ds"/>
    <x v="1"/>
    <x v="1"/>
    <x v="0"/>
    <m/>
    <x v="0"/>
    <n v="1"/>
    <s v="non-LVC"/>
    <s v="Yes"/>
    <n v="39"/>
    <x v="2"/>
    <n v="1"/>
    <n v="5"/>
    <n v="0"/>
    <x v="2"/>
    <s v="overt"/>
    <x v="1"/>
    <n v="0"/>
  </r>
  <r>
    <x v="145"/>
    <s v="中は木刀に銀薄をぞ押したりける (naka wa bokutō ni gin-haku o zo oshitari keru)"/>
    <s v="but within was only a wooden blade covered with silver."/>
    <s v="押したりける"/>
    <s v="indicative"/>
    <s v="stative"/>
    <s v="verb"/>
    <s v="transitive"/>
    <s v="resultative"/>
    <s v="positive"/>
    <n v="1"/>
    <n v="3"/>
    <s v="S+O+IO"/>
    <n v="0"/>
    <x v="0"/>
    <n v="3"/>
    <s v="overt"/>
    <s v="overt"/>
    <n v="0"/>
    <n v="0"/>
    <s v="n/a"/>
    <x v="2"/>
    <n v="0"/>
    <x v="0"/>
    <x v="0"/>
    <x v="0"/>
    <n v="0"/>
    <x v="2"/>
    <x v="4"/>
    <m/>
    <s v="ds"/>
    <x v="1"/>
    <x v="1"/>
    <x v="0"/>
    <m/>
    <x v="0"/>
    <n v="3"/>
    <s v="non-LVC"/>
    <s v="Yes"/>
    <n v="39"/>
    <x v="3"/>
    <n v="1"/>
    <n v="1"/>
    <n v="0"/>
    <x v="0"/>
    <s v="overt"/>
    <x v="0"/>
    <n v="0"/>
  </r>
  <r>
    <x v="146"/>
    <s v="当座の恥辱を遁れんが為に (tōza no chijoku o nogaren ga tame ni)"/>
    <s v=" to avoid dishonour at the moment,"/>
    <s v="遁れん "/>
    <s v="dynamic"/>
    <s v="other"/>
    <s v="verb"/>
    <s v="transitive"/>
    <s v="active"/>
    <s v="positive"/>
    <n v="1"/>
    <n v="1"/>
    <s v="OBJ"/>
    <n v="0"/>
    <x v="1"/>
    <n v="3"/>
    <s v="overt"/>
    <s v="n/a"/>
    <n v="0"/>
    <n v="0"/>
    <s v="n/a"/>
    <x v="3"/>
    <n v="0"/>
    <x v="0"/>
    <x v="0"/>
    <x v="0"/>
    <n v="0"/>
    <x v="7"/>
    <x v="3"/>
    <m/>
    <s v="ds"/>
    <x v="0"/>
    <x v="1"/>
    <x v="0"/>
    <m/>
    <x v="0"/>
    <n v="1"/>
    <s v="non-LVC"/>
    <s v="Yes"/>
    <n v="40"/>
    <x v="4"/>
    <n v="1"/>
    <m/>
    <n v="0"/>
    <x v="0"/>
    <s v="overt"/>
    <x v="1"/>
    <n v="0"/>
  </r>
  <r>
    <x v="147"/>
    <s v="刀を帯する katana o taisuru "/>
    <s v="Although he had displayed "/>
    <s v="帯する"/>
    <s v="indicative"/>
    <s v="other"/>
    <s v="LVC"/>
    <s v="transitive"/>
    <s v="active"/>
    <s v="positive"/>
    <n v="1"/>
    <n v="1"/>
    <s v="OBJ"/>
    <n v="0"/>
    <x v="1"/>
    <n v="3"/>
    <s v="overt"/>
    <s v="n/a"/>
    <n v="0"/>
    <n v="1"/>
    <s v="REL"/>
    <x v="0"/>
    <n v="0"/>
    <x v="0"/>
    <x v="0"/>
    <x v="0"/>
    <n v="0"/>
    <x v="2"/>
    <x v="4"/>
    <m/>
    <s v="ss"/>
    <x v="0"/>
    <x v="1"/>
    <x v="2"/>
    <m/>
    <x v="0"/>
    <n v="1"/>
    <s v="LVC"/>
    <s v="Yes"/>
    <n v="40"/>
    <x v="4"/>
    <n v="0"/>
    <n v="2"/>
    <n v="0"/>
    <x v="0"/>
    <s v="overt"/>
    <x v="1"/>
    <n v="0"/>
  </r>
  <r>
    <x v="148"/>
    <s v="由顕すといへども yoshi arawasu to iedomo"/>
    <s v="the appearance of a sword"/>
    <s v="顕す"/>
    <s v="indicative"/>
    <s v="other"/>
    <s v="verb"/>
    <s v="transitive"/>
    <s v="active"/>
    <s v="positive"/>
    <n v="1"/>
    <n v="1"/>
    <s v="OBJ"/>
    <n v="0"/>
    <x v="1"/>
    <n v="3"/>
    <s v="overt"/>
    <s v="n/a"/>
    <n v="0"/>
    <n v="0"/>
    <s v="n/a"/>
    <x v="3"/>
    <n v="0"/>
    <x v="0"/>
    <x v="0"/>
    <x v="0"/>
    <n v="0"/>
    <x v="9"/>
    <x v="1"/>
    <m/>
    <s v="ss"/>
    <x v="0"/>
    <x v="1"/>
    <x v="0"/>
    <m/>
    <x v="0"/>
    <n v="1"/>
    <s v="non-LVC"/>
    <s v="Yes"/>
    <n v="40"/>
    <x v="0"/>
    <n v="1"/>
    <n v="3"/>
    <n v="0"/>
    <x v="1"/>
    <s v="overt"/>
    <x v="1"/>
    <n v="0"/>
  </r>
  <r>
    <x v="149"/>
    <s v="後日の訴訟を存じて (gojitsu no soshō o zonjite)"/>
    <s v="his substitution of a wooden blade as a precaution against an after accusation was exceedingly praiseworthy."/>
    <s v="存じて"/>
    <s v="indicative"/>
    <s v="perception"/>
    <s v="LVC"/>
    <s v="transitive"/>
    <s v="active"/>
    <s v="positive"/>
    <n v="1"/>
    <n v="1"/>
    <s v="OBJ"/>
    <n v="0"/>
    <x v="2"/>
    <n v="3"/>
    <s v="overt"/>
    <s v="n/a"/>
    <n v="0"/>
    <n v="0"/>
    <s v="n/a"/>
    <x v="1"/>
    <n v="0"/>
    <x v="1"/>
    <x v="2"/>
    <x v="5"/>
    <n v="0"/>
    <x v="2"/>
    <x v="4"/>
    <s v="te_medial"/>
    <s v="ss"/>
    <x v="0"/>
    <x v="1"/>
    <x v="0"/>
    <m/>
    <x v="0"/>
    <n v="1"/>
    <s v="LVC"/>
    <s v="Yes"/>
    <n v="40"/>
    <x v="1"/>
    <n v="1"/>
    <m/>
    <n v="0"/>
    <x v="0"/>
    <s v="overt"/>
    <x v="1"/>
    <n v="0"/>
  </r>
  <r>
    <x v="150"/>
    <s v="木刀を帯したる"/>
    <s v=" bokutō o tachitaru "/>
    <s v="帯したる"/>
    <s v="indicative"/>
    <s v="action"/>
    <s v="LVC"/>
    <s v="transitive"/>
    <s v="active"/>
    <s v="positive"/>
    <n v="1"/>
    <n v="1"/>
    <s v="OBJ"/>
    <n v="0"/>
    <x v="1"/>
    <n v="3"/>
    <s v="overt"/>
    <s v="n/a"/>
    <n v="0"/>
    <n v="1"/>
    <s v="REL"/>
    <x v="0"/>
    <n v="0"/>
    <x v="0"/>
    <x v="0"/>
    <x v="0"/>
    <n v="0"/>
    <x v="2"/>
    <x v="2"/>
    <m/>
    <s v="ss"/>
    <x v="1"/>
    <x v="1"/>
    <x v="0"/>
    <m/>
    <x v="0"/>
    <n v="1"/>
    <s v="LVC"/>
    <s v="Yes"/>
    <n v="40"/>
    <x v="2"/>
    <n v="0"/>
    <n v="4"/>
    <n v="0"/>
    <x v="2"/>
    <s v="n/a"/>
    <x v="1"/>
    <n v="0"/>
  </r>
  <r>
    <x v="151"/>
    <s v="用意のほどこそ神妙なれ yōi no hodo koso shinmyō nare"/>
    <m/>
    <s v="なれ"/>
    <s v="indicative"/>
    <s v="stative"/>
    <s v="copula"/>
    <s v="intransitive"/>
    <s v="active"/>
    <s v="positive"/>
    <n v="1"/>
    <n v="1"/>
    <s v="SUB"/>
    <n v="0"/>
    <x v="0"/>
    <n v="3"/>
    <s v="n/a"/>
    <s v="n/a"/>
    <n v="0"/>
    <n v="0"/>
    <s v="n/a"/>
    <x v="2"/>
    <n v="0"/>
    <x v="0"/>
    <x v="0"/>
    <x v="0"/>
    <n v="0"/>
    <x v="2"/>
    <x v="1"/>
    <m/>
    <s v="ds"/>
    <x v="1"/>
    <x v="1"/>
    <x v="0"/>
    <m/>
    <x v="0"/>
    <n v="1"/>
    <s v="non-LVC"/>
    <s v="Yes"/>
    <n v="40"/>
    <x v="1"/>
    <n v="1"/>
    <m/>
    <n v="0"/>
    <x v="0"/>
    <s v="n/a"/>
    <x v="0"/>
    <n v="0"/>
  </r>
  <r>
    <x v="152"/>
    <s v="弓箭に携らん (yumiya ni tazusaran)"/>
    <s v="Such prudence is most commendable in a warrior."/>
    <s v="携らん"/>
    <s v="dynamic"/>
    <s v="action"/>
    <s v="verb"/>
    <s v="intransitive"/>
    <s v="active"/>
    <s v="positive"/>
    <n v="1"/>
    <n v="1"/>
    <s v="IO"/>
    <n v="0"/>
    <x v="1"/>
    <n v="3"/>
    <s v="n/a"/>
    <s v="overt"/>
    <n v="1"/>
    <n v="0"/>
    <s v="REL"/>
    <x v="0"/>
    <n v="0"/>
    <x v="0"/>
    <x v="0"/>
    <x v="0"/>
    <n v="0"/>
    <x v="2"/>
    <x v="3"/>
    <m/>
    <s v="ds"/>
    <x v="1"/>
    <x v="2"/>
    <x v="0"/>
    <m/>
    <x v="0"/>
    <n v="1"/>
    <s v="non-LVC"/>
    <s v="Yes"/>
    <n v="41"/>
    <x v="2"/>
    <n v="0"/>
    <n v="1"/>
    <n v="1"/>
    <x v="2"/>
    <s v="n/a"/>
    <x v="1"/>
    <n v="0"/>
  </r>
  <r>
    <x v="153"/>
    <s v="ほどの者の謀は尤もかうこそあらまほしけれ hodo no mono no hakarigoto wa motto mo kō koso aramahoshikere"/>
    <m/>
    <s v="あらまほしけれ"/>
    <s v="desiderative"/>
    <s v="psych-state"/>
    <s v="adjectival predicate"/>
    <s v="intransitive"/>
    <s v="active"/>
    <s v="positive"/>
    <n v="1"/>
    <n v="1"/>
    <s v="SUB"/>
    <n v="1"/>
    <x v="0"/>
    <n v="3"/>
    <s v="n/a"/>
    <s v="n/a"/>
    <n v="0"/>
    <n v="0"/>
    <s v="n/a"/>
    <x v="2"/>
    <n v="0"/>
    <x v="0"/>
    <x v="0"/>
    <x v="0"/>
    <n v="0"/>
    <x v="2"/>
    <x v="1"/>
    <m/>
    <s v="ds"/>
    <x v="1"/>
    <x v="2"/>
    <x v="0"/>
    <m/>
    <x v="0"/>
    <n v="1"/>
    <s v="non-LVC"/>
    <s v="Yes"/>
    <n v="41"/>
    <x v="2"/>
    <n v="1"/>
    <n v="1"/>
    <n v="0"/>
    <x v="2"/>
    <s v="n/a"/>
    <x v="1"/>
    <n v="0"/>
  </r>
  <r>
    <x v="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s v="stative"/>
    <s v="copula"/>
    <s v="intransitive"/>
    <s v="active"/>
    <s v="positive"/>
    <n v="1"/>
    <n v="1"/>
    <s v="SUB"/>
    <n v="3"/>
    <x v="0"/>
    <n v="3"/>
    <s v="n/a"/>
    <s v="n/a"/>
    <n v="0"/>
    <n v="0"/>
    <s v="n/a"/>
    <x v="2"/>
    <n v="0"/>
    <x v="0"/>
    <x v="0"/>
    <x v="0"/>
    <n v="0"/>
    <x v="2"/>
    <x v="3"/>
    <m/>
    <s v="ds"/>
    <x v="1"/>
    <x v="2"/>
    <x v="0"/>
    <m/>
    <x v="0"/>
    <n v="1"/>
    <s v="non-LVC"/>
    <s v="Yes"/>
    <n v="42"/>
    <x v="3"/>
    <n v="1"/>
    <n v="1"/>
    <n v="1"/>
    <x v="2"/>
    <s v="n/a"/>
    <x v="1"/>
    <n v="0"/>
  </r>
  <r>
    <x v="155"/>
    <s v="忠盛が咎にはあらずとて (Tadamori ga toga ni wa arazu tote)"/>
    <s v="and no fault was found in Tadamori."/>
    <s v="あらず"/>
    <s v="indicative"/>
    <s v="stative"/>
    <s v="copula"/>
    <s v="intransitive"/>
    <s v="active"/>
    <s v="negative"/>
    <n v="1"/>
    <n v="1"/>
    <s v="SUB"/>
    <n v="0"/>
    <x v="0"/>
    <n v="3"/>
    <s v="n/a"/>
    <s v="n/a"/>
    <n v="0"/>
    <n v="0"/>
    <s v="n/a"/>
    <x v="3"/>
    <n v="0"/>
    <x v="0"/>
    <x v="0"/>
    <x v="0"/>
    <n v="0"/>
    <x v="3"/>
    <x v="3"/>
    <m/>
    <s v="ds"/>
    <x v="0"/>
    <x v="2"/>
    <x v="0"/>
    <m/>
    <x v="0"/>
    <n v="1"/>
    <s v="non-LVC"/>
    <s v="Yes"/>
    <n v="43"/>
    <x v="3"/>
    <n v="1"/>
    <n v="2"/>
    <n v="0"/>
    <x v="0"/>
    <s v="n/a"/>
    <x v="0"/>
    <n v="0"/>
  </r>
  <r>
    <x v="156"/>
    <s v="却つて叡感に預かりし上は (kaette eikan ni azukarishi ue wa)"/>
    <s v="and on the contrary, his conduct was greatly admired,"/>
    <s v="預かりし"/>
    <s v="indicative"/>
    <s v="action"/>
    <s v="verb"/>
    <s v="intransitive"/>
    <s v="active"/>
    <s v="positive"/>
    <n v="1"/>
    <n v="1"/>
    <s v="IO"/>
    <n v="1"/>
    <x v="1"/>
    <n v="3"/>
    <s v="n/a"/>
    <s v="overt"/>
    <n v="0"/>
    <n v="0"/>
    <s v="REL"/>
    <x v="3"/>
    <n v="0"/>
    <x v="0"/>
    <x v="0"/>
    <x v="0"/>
    <n v="1"/>
    <x v="6"/>
    <x v="4"/>
    <m/>
    <s v="ss"/>
    <x v="1"/>
    <x v="1"/>
    <x v="0"/>
    <m/>
    <x v="0"/>
    <n v="1"/>
    <s v="non-LVC"/>
    <s v="Yes"/>
    <n v="43"/>
    <x v="2"/>
    <n v="1"/>
    <n v="3"/>
    <n v="0"/>
    <x v="2"/>
    <s v="n/a"/>
    <x v="1"/>
    <n v="0"/>
  </r>
  <r>
    <x v="157"/>
    <s v="敢へて罪科の沙汰はなかりけり aete tsumikado no sata wa nakarikeri"/>
    <s v="and he was pronounced guiltless."/>
    <s v="なかりけり"/>
    <s v="indicative"/>
    <s v="aux/modal"/>
    <s v="verb"/>
    <s v="intransitive"/>
    <s v="active"/>
    <s v="negative"/>
    <n v="1"/>
    <n v="1"/>
    <s v="SUB"/>
    <n v="1"/>
    <x v="0"/>
    <n v="3"/>
    <s v="n/a"/>
    <s v="n/a"/>
    <n v="0"/>
    <n v="0"/>
    <s v="n/a"/>
    <x v="2"/>
    <n v="0"/>
    <x v="0"/>
    <x v="0"/>
    <x v="0"/>
    <n v="0"/>
    <x v="8"/>
    <x v="4"/>
    <m/>
    <s v="ds"/>
    <x v="2"/>
    <x v="1"/>
    <x v="0"/>
    <m/>
    <x v="0"/>
    <n v="1"/>
    <s v="non-LVC"/>
    <s v="No"/>
    <n v="43"/>
    <x v="4"/>
    <n v="1"/>
    <m/>
    <n v="0"/>
    <x v="3"/>
    <m/>
    <x v="1"/>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s v="Heike 2.1"/>
    <s v="忠盛朝臣未だ備前守たりし時 (Tadamori ason imada Bizen no kami tarishi toki)"/>
    <s v="Now Tadamori, while holding the office of Bizen no Kami,"/>
    <s v="たりし"/>
    <s v="indicative"/>
    <s v="stative"/>
    <s v="copula"/>
    <s v="intransitive"/>
    <s v="active"/>
    <s v="positive"/>
    <n v="1"/>
    <n v="1"/>
    <s v="SUB"/>
    <n v="0"/>
    <s v="overt"/>
    <n v="3"/>
    <s v="n/a"/>
    <s v="n/a"/>
    <n v="0"/>
    <n v="1"/>
    <s v="REL"/>
    <s v="relative"/>
    <n v="0"/>
    <n v="0"/>
    <s v="n/a"/>
    <s v="n/a"/>
    <n v="0"/>
    <x v="0"/>
    <x v="0"/>
    <m/>
    <s v="new"/>
    <s v="ss"/>
    <s v="topic-introduced"/>
    <s v="contains_new"/>
    <m/>
    <m/>
    <n v="1"/>
    <x v="0"/>
    <s v="Yes"/>
    <n v="1"/>
    <s v="te"/>
    <n v="0"/>
    <n v="1"/>
    <x v="0"/>
    <s v="zero_recoverable"/>
    <s v="overt"/>
    <n v="1"/>
    <n v="0"/>
  </r>
  <r>
    <s v="Heike 2.2"/>
    <s v="鳥羽院の御願得長寿院を造進して (Toba-in no ogan Tokuchōju-in o zōshin shite)"/>
    <s v="by the request of the retired Emperor Toba,"/>
    <s v="造進して"/>
    <s v="indicative"/>
    <s v="other"/>
    <s v="verb"/>
    <s v="transitive"/>
    <s v="active"/>
    <s v="positive"/>
    <n v="1"/>
    <n v="1"/>
    <s v="OBJ"/>
    <n v="1"/>
    <s v="zero_recoverable"/>
    <n v="3"/>
    <s v="overt"/>
    <s v="n/a"/>
    <n v="0"/>
    <n v="0"/>
    <s v="n/a"/>
    <s v="te"/>
    <n v="0"/>
    <n v="0"/>
    <s v="obj"/>
    <s v="nominal_prefix"/>
    <n v="1"/>
    <x v="1"/>
    <x v="1"/>
    <s v="te_medial"/>
    <s v="ss"/>
    <s v="ss"/>
    <s v="topic-drop"/>
    <s v="contains_new"/>
    <s v="stranded subject Tadamori"/>
    <m/>
    <n v="1"/>
    <x v="0"/>
    <s v="Yes"/>
    <n v="1"/>
    <s v="te"/>
    <n v="1"/>
    <n v="2"/>
    <x v="1"/>
    <s v="zero_recoverable"/>
    <s v="overt"/>
    <n v="0"/>
    <n v="0"/>
  </r>
  <r>
    <s v="Heike 2.3"/>
    <s v="三十三間の御堂を建て (sanjūsangen no midō o tatete)"/>
    <s v=" had built the temple Toku-cho-juin and the Sa-ju-san-gen-do, or hall 33 ken long,"/>
    <s v="建て"/>
    <s v="indicative"/>
    <s v="other"/>
    <s v="verb"/>
    <s v="transitive"/>
    <s v="active"/>
    <s v="positive"/>
    <n v="1"/>
    <n v="1"/>
    <s v="OBJ"/>
    <n v="0"/>
    <s v="zero_recoverable"/>
    <n v="3"/>
    <s v="overt"/>
    <s v="n/a"/>
    <n v="0"/>
    <n v="0"/>
    <s v="n/a"/>
    <s v="te"/>
    <n v="0"/>
    <n v="0"/>
    <s v="obj"/>
    <s v="nominal_prefix"/>
    <n v="1"/>
    <x v="1"/>
    <x v="2"/>
    <s v="te_medial"/>
    <s v="ss"/>
    <s v="ss"/>
    <s v="topic-drop"/>
    <s v="contains_new"/>
    <m/>
    <m/>
    <n v="1"/>
    <x v="0"/>
    <s v="Yes"/>
    <n v="1"/>
    <s v="relative"/>
    <n v="1"/>
    <m/>
    <x v="1"/>
    <s v="zero_exalt"/>
    <s v="overt"/>
    <n v="0"/>
    <n v="0"/>
  </r>
  <r>
    <s v="Heike 2.4"/>
    <s v="一千一体の御仏を据ゑ奉らる (issen ittai no mihotoke o sue-tatematsuraru)"/>
    <s v="within which were one thousand and one Buddhas;"/>
    <s v="据ゑ奉らる"/>
    <s v="indicative"/>
    <s v="action"/>
    <s v="verb"/>
    <s v="transitive"/>
    <s v="active"/>
    <s v="positive"/>
    <n v="1"/>
    <n v="1"/>
    <s v="OBJ"/>
    <n v="0"/>
    <s v="zero_exalt"/>
    <n v="3"/>
    <s v="overt"/>
    <s v="n/a"/>
    <n v="0"/>
    <n v="1"/>
    <s v="REL"/>
    <s v="relative"/>
    <n v="1"/>
    <n v="1"/>
    <s v="sub"/>
    <s v="honorific_aux"/>
    <n v="1"/>
    <x v="2"/>
    <x v="2"/>
    <m/>
    <s v="ss"/>
    <s v="ds"/>
    <s v="topic-drop"/>
    <s v="contains_new"/>
    <s v="complex verbal form"/>
    <m/>
    <n v="1"/>
    <x v="0"/>
    <s v="Yes"/>
    <n v="1"/>
    <s v="main"/>
    <n v="0"/>
    <n v="3"/>
    <x v="1"/>
    <s v="overt"/>
    <s v="n/a"/>
    <n v="0"/>
    <n v="0"/>
  </r>
  <r>
    <s v="Heike 2.5"/>
    <s v="供養は天承元年三月十三日なり (kuyō wa Tenshō gannen sangatsu jūsan-nichi nari)"/>
    <s v="its first festival being on the thirteenth day of the third month of the first year of Tensho."/>
    <s v="なり"/>
    <s v="indicative"/>
    <s v="stative"/>
    <s v="copula"/>
    <s v="intransitive"/>
    <s v="active"/>
    <s v="positive"/>
    <n v="1"/>
    <n v="1"/>
    <s v="SUB"/>
    <n v="0"/>
    <s v="overt"/>
    <n v="3"/>
    <s v="n/a"/>
    <s v="n/a"/>
    <n v="0"/>
    <n v="0"/>
    <s v="n/a"/>
    <s v="main"/>
    <n v="0"/>
    <n v="0"/>
    <s v="n/a"/>
    <s v="n/a"/>
    <n v="0"/>
    <x v="2"/>
    <x v="1"/>
    <m/>
    <s v="ds"/>
    <s v="ds"/>
    <s v="topic-introduced"/>
    <s v="contains_new"/>
    <m/>
    <m/>
    <n v="1"/>
    <x v="0"/>
    <s v="Yes"/>
    <n v="1"/>
    <s v="subordinate"/>
    <n v="1"/>
    <n v="1"/>
    <x v="1"/>
    <s v="zero_exalt"/>
    <s v="overt"/>
    <n v="1"/>
    <n v="0"/>
  </r>
  <r>
    <s v="Heike 2.6"/>
    <s v="勧賞には欠国を賜ふべき由 (kanshō ni wa kakukuni o tamau beki yoshi)"/>
    <s v="As a reward he was to be granted a fief,"/>
    <s v="賜ふべき"/>
    <s v="deontic"/>
    <s v="action"/>
    <s v="verb"/>
    <s v="transitive"/>
    <s v="active"/>
    <s v="positive"/>
    <n v="1"/>
    <n v="1"/>
    <s v="OBJ"/>
    <n v="1"/>
    <s v="zero_exalt"/>
    <n v="3"/>
    <s v="overt"/>
    <s v="n/a"/>
    <n v="0"/>
    <n v="1"/>
    <s v="n/a"/>
    <s v="subordinate"/>
    <n v="0"/>
    <n v="1"/>
    <s v="sub"/>
    <s v="lexical_honorific_verb"/>
    <n v="0"/>
    <x v="3"/>
    <x v="3"/>
    <m/>
    <s v="ds"/>
    <s v="ds"/>
    <s v="topic-shift"/>
    <s v="contains_new"/>
    <m/>
    <m/>
    <n v="1"/>
    <x v="0"/>
    <s v="Yes"/>
    <n v="2"/>
    <m/>
    <n v="1"/>
    <m/>
    <x v="0"/>
    <s v="zero_exalt"/>
    <s v="not_applicable"/>
    <n v="0"/>
    <n v="0"/>
  </r>
  <r>
    <s v="Heike 2.7"/>
    <s v="仰せ下されける (ōse-kudasa rekeru)"/>
    <s v="he was honoured by receiving the territory of the province of Tamba,"/>
    <s v="仰せ下されける"/>
    <s v="indicative"/>
    <s v="action"/>
    <s v="verb(complex)"/>
    <s v="intransitive"/>
    <s v="passive"/>
    <s v="positive"/>
    <n v="1"/>
    <n v="0"/>
    <s v="n/a"/>
    <n v="0"/>
    <s v="zero_exalt"/>
    <n v="3"/>
    <s v="n/a"/>
    <s v="n/a"/>
    <n v="1"/>
    <n v="0"/>
    <s v="REL"/>
    <s v="relative"/>
    <n v="0"/>
    <n v="1"/>
    <s v="io"/>
    <s v="lexical honorific+honorific aux"/>
    <n v="0"/>
    <x v="2"/>
    <x v="4"/>
    <m/>
    <s v="ds"/>
    <s v="ss"/>
    <s v="topic-drop"/>
    <s v="no_overt_NP"/>
    <m/>
    <m/>
    <n v="0"/>
    <x v="0"/>
    <s v="Yes"/>
    <n v="2"/>
    <m/>
    <n v="0"/>
    <m/>
    <x v="1"/>
    <s v="overt"/>
    <s v="n/a"/>
    <n v="0"/>
    <n v="0"/>
  </r>
  <r>
    <s v="Heike 2.8"/>
    <s v="折節但馬国の空きたりけるをぞ (orifushi Tamba no kuni no aki tarikeru o zo)"/>
    <s v="which then happened to be unappropriated."/>
    <s v="空きたりける"/>
    <s v="indicative"/>
    <s v="stative"/>
    <s v="verb"/>
    <s v="intransitive"/>
    <s v="resultative"/>
    <s v="positive"/>
    <n v="1"/>
    <n v="1"/>
    <s v="SUB"/>
    <n v="1"/>
    <s v="overt"/>
    <n v="3"/>
    <s v="n/a"/>
    <s v="n/a"/>
    <n v="0"/>
    <n v="0"/>
    <s v="OBJ"/>
    <s v="nominalised"/>
    <n v="0"/>
    <n v="0"/>
    <s v="n/a"/>
    <s v="n/a"/>
    <n v="0"/>
    <x v="2"/>
    <x v="1"/>
    <m/>
    <s v="ss"/>
    <s v="ds"/>
    <s v="topic-drop"/>
    <s v="contains_new"/>
    <s v="internally headed"/>
    <m/>
    <n v="1"/>
    <x v="0"/>
    <s v="Yes"/>
    <n v="2"/>
    <m/>
    <n v="0"/>
    <n v="2"/>
    <x v="1"/>
    <s v="zero_exalt"/>
    <s v="zero_recoverable"/>
    <n v="1"/>
    <n v="0"/>
  </r>
  <r>
    <s v="Heike 2.9"/>
    <s v="賜はりける (tamawari keru)"/>
    <s v="As a reward he was honoured by receiving the territory of the province of Tamba, which then happened to be unappropriated."/>
    <s v="賜はりける"/>
    <s v="indicative"/>
    <s v="action"/>
    <s v="verb"/>
    <s v="transitive"/>
    <s v="active"/>
    <s v="positive"/>
    <n v="1"/>
    <n v="1"/>
    <s v="OBJ"/>
    <n v="0"/>
    <s v="zero_exalt"/>
    <n v="3"/>
    <s v="zero_recoverable"/>
    <s v="zero_recoverable"/>
    <n v="0"/>
    <n v="0"/>
    <s v="n/a"/>
    <s v="main"/>
    <n v="0"/>
    <n v="1"/>
    <s v="sub"/>
    <s v="lexical_humble_verb"/>
    <n v="0"/>
    <x v="2"/>
    <x v="5"/>
    <m/>
    <s v="ds"/>
    <s v="ds"/>
    <s v="topic-drop"/>
    <s v="no_overt_NP"/>
    <m/>
    <m/>
    <n v="1"/>
    <x v="0"/>
    <s v="Yes"/>
    <n v="2"/>
    <m/>
    <n v="1"/>
    <m/>
    <x v="1"/>
    <s v="overt"/>
    <s v="overt"/>
    <n v="0"/>
    <n v="0"/>
  </r>
  <r>
    <s v="Heike 2.10"/>
    <s v="上皇御感のあまりに内の昇殿を許さる (jōkō go-kan no amari ni uchi no shōden o yurusaru)"/>
    <s v="Moreover the Emperor of his bounty graciously permitted him to attend the Court;"/>
    <s v="許さる"/>
    <s v="indicative"/>
    <s v="action"/>
    <s v="verb"/>
    <s v="transitive"/>
    <s v="active"/>
    <s v="positive"/>
    <n v="1"/>
    <n v="2"/>
    <s v="S+O"/>
    <n v="1"/>
    <s v="overt"/>
    <n v="3"/>
    <s v="overt"/>
    <s v="zero_recoverable"/>
    <n v="1"/>
    <n v="0"/>
    <s v="REL"/>
    <s v="relative"/>
    <n v="1"/>
    <n v="0"/>
    <s v="sub"/>
    <s v="honorific_aux"/>
    <n v="1"/>
    <x v="2"/>
    <x v="3"/>
    <m/>
    <s v="ds"/>
    <s v="ds"/>
    <s v="topic-drop"/>
    <s v="contains_new"/>
    <s v="it's unlcear whether -re- in -yurusareru is passive or honorific"/>
    <m/>
    <n v="2"/>
    <x v="0"/>
    <s v="Yes"/>
    <n v="3"/>
    <s v="main"/>
    <n v="0"/>
    <n v="1"/>
    <x v="1"/>
    <s v="overt"/>
    <s v="overt"/>
    <n v="0"/>
    <n v="0"/>
  </r>
  <r>
    <s v="Heike 2.11"/>
    <s v="忠盛三十六にて初めて昇殿す (Tadamori sanjūroku nite hajimete shōden su)"/>
    <s v="which Tadamori did for the first time at the age of thirty six."/>
    <s v="昇殿す"/>
    <s v="indicative"/>
    <s v="motion"/>
    <s v="LVC"/>
    <s v="intransitive"/>
    <s v="active"/>
    <s v="positive"/>
    <n v="1"/>
    <n v="1"/>
    <s v="SUB"/>
    <n v="2"/>
    <s v="overt"/>
    <n v="3"/>
    <s v="overt"/>
    <s v="n/a"/>
    <n v="0"/>
    <n v="0"/>
    <s v="n/a"/>
    <s v="main"/>
    <n v="0"/>
    <n v="0"/>
    <s v="n/a"/>
    <s v="n/a"/>
    <n v="0"/>
    <x v="2"/>
    <x v="1"/>
    <m/>
    <s v="ds"/>
    <s v="ds"/>
    <s v="topic-continued"/>
    <s v="contains_new"/>
    <m/>
    <m/>
    <n v="1"/>
    <x v="1"/>
    <s v="Yes"/>
    <n v="3"/>
    <s v="inf"/>
    <n v="1"/>
    <n v="1"/>
    <x v="0"/>
    <s v="overt"/>
    <s v="overt"/>
    <n v="0"/>
    <n v="0"/>
  </r>
  <r>
    <s v="Heike 2.12"/>
    <s v="雲の上人これを嫉み憤り (kumo no uebito kore o sonemi ikidori)"/>
    <s v="the higher Courtiers were furious with jealousy"/>
    <s v="嫉み憤り"/>
    <s v="indicative"/>
    <s v="psych-state"/>
    <s v="verb(compound)"/>
    <s v="transitive"/>
    <s v="active"/>
    <s v="positive"/>
    <n v="1"/>
    <n v="2"/>
    <s v="S+O"/>
    <n v="0"/>
    <s v="overt"/>
    <n v="3"/>
    <s v="overt"/>
    <s v="n/a"/>
    <n v="0"/>
    <n v="0"/>
    <s v="n/a"/>
    <s v="inf"/>
    <n v="0"/>
    <n v="0"/>
    <s v="n/a"/>
    <s v="n/a"/>
    <n v="0"/>
    <x v="2"/>
    <x v="3"/>
    <m/>
    <s v="ds"/>
    <s v="ss"/>
    <s v="topic-introduced"/>
    <s v="contains_new"/>
    <m/>
    <m/>
    <n v="2"/>
    <x v="0"/>
    <s v="Yes"/>
    <n v="4"/>
    <s v="complement"/>
    <n v="1"/>
    <n v="2"/>
    <x v="1"/>
    <s v="zero_recoverable"/>
    <s v="overt"/>
    <n v="1"/>
    <n v="0"/>
  </r>
  <r>
    <s v="Heike 2.13"/>
    <s v="同じき年の十一月二十三日五節豊の明の節会の夜 (onajiki toshi no jūichigatsu nijūsannichi gosechi Toyo-no-akari no setchie no yo) 忠盛を闇討にせん (Tadamori o yamiuchi ni sen "/>
    <s v="to assassinate him on the evening of the festival of Go-Sechi Toyo-no-akari-no-setchie, on the 23rd day of the eleventh month of the same year."/>
    <s v="闇討にせん"/>
    <s v="dynamic"/>
    <s v="other"/>
    <s v="LVC"/>
    <s v="transitive"/>
    <s v="active"/>
    <s v="positive"/>
    <n v="1"/>
    <n v="1"/>
    <s v="OBJ"/>
    <n v="1"/>
    <s v="zero_recoverable"/>
    <n v="3"/>
    <s v="overt"/>
    <s v="n/a"/>
    <n v="0"/>
    <n v="0"/>
    <s v="n/a"/>
    <s v="complement"/>
    <n v="0"/>
    <n v="0"/>
    <s v="n/a"/>
    <s v="n/a"/>
    <n v="0"/>
    <x v="4"/>
    <x v="6"/>
    <m/>
    <s v="ss"/>
    <s v="ds"/>
    <s v="topic-continued"/>
    <s v="contains_new"/>
    <m/>
    <m/>
    <n v="1"/>
    <x v="1"/>
    <s v="Yes"/>
    <n v="4"/>
    <m/>
    <n v="1"/>
    <n v="3"/>
    <x v="1"/>
    <s v="overt"/>
    <s v="n/a"/>
    <n v="0"/>
    <n v="0"/>
  </r>
  <r>
    <s v="Heike 2.14"/>
    <s v="とぞ議せられける (to zo giserarikeru)"/>
    <s v="they plotted"/>
    <s v="議せられける"/>
    <s v="indicative"/>
    <s v="communication"/>
    <s v="LVC"/>
    <s v="intransitive"/>
    <s v="passive"/>
    <s v="positive"/>
    <n v="1"/>
    <n v="1"/>
    <s v="S (Speech)"/>
    <n v="0"/>
    <s v="overt"/>
    <s v="n/a"/>
    <s v="n/a"/>
    <s v="n/a"/>
    <n v="0"/>
    <n v="0"/>
    <s v="n/a"/>
    <s v="main"/>
    <n v="0"/>
    <n v="0"/>
    <s v="n/a"/>
    <s v="n/a"/>
    <n v="0"/>
    <x v="2"/>
    <x v="7"/>
    <m/>
    <s v="ds"/>
    <s v="ds"/>
    <s v="topic-drop"/>
    <s v="all given"/>
    <m/>
    <m/>
    <n v="1"/>
    <x v="1"/>
    <s v="Yes"/>
    <n v="4"/>
    <s v="te"/>
    <n v="1"/>
    <n v="1"/>
    <x v="1"/>
    <s v="overt"/>
    <s v="overt"/>
    <n v="0"/>
    <n v="0"/>
  </r>
  <r>
    <s v="Heike 2.15"/>
    <s v="忠盛この由を伝へ聞きて (Tadamori kono yoshi o tsutae kikite)"/>
    <s v="Tadamori, on hearing of this"/>
    <s v="伝へ聞きて"/>
    <s v="indicative"/>
    <s v="perception"/>
    <s v="verb(compound)"/>
    <s v="transitive"/>
    <s v="active"/>
    <s v="positive"/>
    <n v="1"/>
    <n v="2"/>
    <s v="OBJ"/>
    <n v="0"/>
    <s v="overt"/>
    <n v="3"/>
    <s v="overt"/>
    <s v="n/a"/>
    <n v="0"/>
    <n v="0"/>
    <s v="n/a"/>
    <s v="te"/>
    <n v="0"/>
    <n v="0"/>
    <s v="n/a"/>
    <s v="n/a"/>
    <n v="0"/>
    <x v="1"/>
    <x v="3"/>
    <s v="te_initial"/>
    <s v="ds"/>
    <s v="ds"/>
    <s v="topic-shift"/>
    <s v="all given"/>
    <m/>
    <m/>
    <n v="2"/>
    <x v="0"/>
    <s v="Yes"/>
    <n v="5"/>
    <m/>
    <n v="1"/>
    <n v="2"/>
    <x v="0"/>
    <s v="overt"/>
    <s v="n/a"/>
    <n v="0"/>
    <n v="0"/>
  </r>
  <r>
    <s v="Heike 2.16"/>
    <s v="我右弼の身にあらず (ware ubitsu no mi ni a-razu)"/>
    <s v="I am not a civil official"/>
    <s v="あらず"/>
    <s v="indicative"/>
    <s v="other"/>
    <s v="copula"/>
    <s v="intransitive"/>
    <s v="active"/>
    <s v="negative"/>
    <n v="1"/>
    <n v="1"/>
    <s v="SUB"/>
    <n v="0"/>
    <s v="overt"/>
    <n v="1"/>
    <s v="n/a"/>
    <s v="n/a"/>
    <n v="0"/>
    <n v="0"/>
    <s v="n/a"/>
    <s v="subordinate"/>
    <n v="0"/>
    <n v="0"/>
    <s v="n/a"/>
    <s v="n/a"/>
    <n v="0"/>
    <x v="1"/>
    <x v="2"/>
    <m/>
    <s v="ds"/>
    <s v="ss"/>
    <s v="topic-shift"/>
    <s v="contains_new"/>
    <m/>
    <m/>
    <n v="1"/>
    <x v="0"/>
    <s v="Yes"/>
    <n v="5"/>
    <s v="te"/>
    <n v="1"/>
    <n v="3"/>
    <x v="1"/>
    <s v="zero_recoverable"/>
    <s v="n/a"/>
    <n v="1"/>
    <n v="0"/>
  </r>
  <r>
    <s v="Heike 2.17"/>
    <s v="武勇の家に生れて (buyū no ie ni umarete)"/>
    <s v="being born of a line of warriors"/>
    <s v="生れて"/>
    <s v="indicative"/>
    <s v="other"/>
    <s v="verb"/>
    <s v="intransitive"/>
    <s v="active"/>
    <s v="positive"/>
    <n v="1"/>
    <n v="1"/>
    <s v="SUB"/>
    <n v="1"/>
    <s v="zero_recoverable"/>
    <n v="1"/>
    <s v="n/a"/>
    <s v="n/a"/>
    <n v="0"/>
    <n v="0"/>
    <s v="n/a"/>
    <s v="te"/>
    <n v="0"/>
    <n v="0"/>
    <s v="n/a"/>
    <s v="n/a"/>
    <n v="0"/>
    <x v="1"/>
    <x v="4"/>
    <s v="te_medial"/>
    <s v="ss"/>
    <s v="ss"/>
    <s v="topic-drop"/>
    <s v="contains_new"/>
    <m/>
    <m/>
    <n v="1"/>
    <x v="0"/>
    <s v="Yes"/>
    <n v="5"/>
    <s v="relative"/>
    <n v="1"/>
    <m/>
    <x v="1"/>
    <s v="zero_recoverable"/>
    <s v="n/a"/>
    <n v="0"/>
    <n v="0"/>
  </r>
  <r>
    <s v="Heike 2.18"/>
    <s v="今不慮の恥に遇はん (ima furyo no haji ni awan)"/>
    <s v="for myself and my house at this unexpected shame"/>
    <s v="遇はん"/>
    <s v="epistemic"/>
    <s v="other"/>
    <s v="verb"/>
    <s v="intransitive"/>
    <s v="active"/>
    <s v="positive"/>
    <n v="1"/>
    <n v="1"/>
    <s v="IO"/>
    <n v="1"/>
    <s v="zero_recoverable"/>
    <s v="n/a"/>
    <s v="n/a"/>
    <s v="overt"/>
    <n v="0"/>
    <n v="1"/>
    <s v="n/a"/>
    <s v="relative"/>
    <n v="0"/>
    <n v="0"/>
    <s v="n/a"/>
    <s v="n/a"/>
    <n v="0"/>
    <x v="2"/>
    <x v="2"/>
    <m/>
    <s v="ss"/>
    <s v="ds"/>
    <s v="topic-drop"/>
    <s v="contains_new"/>
    <m/>
    <m/>
    <n v="1"/>
    <x v="0"/>
    <s v="Yes"/>
    <n v="5"/>
    <s v="main"/>
    <n v="0"/>
    <n v="4"/>
    <x v="1"/>
    <s v="overt"/>
    <s v="n/a"/>
    <n v="0"/>
    <n v="0"/>
  </r>
  <r>
    <s v="Heike 2.19"/>
    <s v="事家の為身の為心憂かるべし (koto ie no tame mi no tame kokoroukarubeshi)"/>
    <s v="I am troubled in my heart"/>
    <s v="憂かるべし"/>
    <s v="epistemic"/>
    <s v="psych-state"/>
    <s v="adjectival predicate"/>
    <s v="intransitive"/>
    <s v="active"/>
    <s v="positive"/>
    <n v="1"/>
    <n v="1"/>
    <s v="SUB"/>
    <n v="1"/>
    <s v="overt"/>
    <n v="3"/>
    <s v="n/a"/>
    <s v="n/a"/>
    <n v="0"/>
    <n v="0"/>
    <s v="n/a"/>
    <s v="main"/>
    <n v="0"/>
    <n v="0"/>
    <s v="n/a"/>
    <s v="n/a"/>
    <n v="0"/>
    <x v="2"/>
    <x v="1"/>
    <m/>
    <s v="ds"/>
    <n v="0"/>
    <s v="topic-drop"/>
    <s v="contains_new"/>
    <m/>
    <m/>
    <n v="1"/>
    <x v="0"/>
    <s v="Yes"/>
    <n v="5"/>
    <m/>
    <n v="1"/>
    <n v="1"/>
    <x v="1"/>
    <m/>
    <m/>
    <n v="0"/>
    <n v="0"/>
  </r>
  <r>
    <s v="Heike 2.20"/>
    <s v="詮ずるところ (senzuru tokoro)"/>
    <s v="finally, as for what is to be done"/>
    <s v="詮ずる"/>
    <s v="indicative"/>
    <s v="other"/>
    <m/>
    <m/>
    <m/>
    <m/>
    <m/>
    <m/>
    <m/>
    <m/>
    <m/>
    <m/>
    <s v="n/a"/>
    <s v="n/a"/>
    <m/>
    <m/>
    <m/>
    <m/>
    <m/>
    <m/>
    <m/>
    <m/>
    <m/>
    <x v="5"/>
    <x v="3"/>
    <m/>
    <m/>
    <s v="ss"/>
    <m/>
    <m/>
    <m/>
    <m/>
    <m/>
    <x v="0"/>
    <s v="Yes"/>
    <n v="6"/>
    <m/>
    <n v="1"/>
    <n v="2"/>
    <x v="1"/>
    <s v="zero_recoverable"/>
    <s v="overt"/>
    <n v="0"/>
    <n v="0"/>
  </r>
  <r>
    <s v="Heike 2.21"/>
    <s v="身を全うして (mi o mattō shite)"/>
    <s v="with all your might"/>
    <s v="全うして"/>
    <s v="indicative"/>
    <s v="other"/>
    <s v="LVC"/>
    <s v="transitive"/>
    <s v="active"/>
    <s v="positive"/>
    <n v="1"/>
    <n v="1"/>
    <s v="OBJ"/>
    <n v="0"/>
    <s v="zero_recoverable"/>
    <n v="1"/>
    <s v="overt"/>
    <s v="n/a"/>
    <n v="0"/>
    <n v="0"/>
    <s v="n/a"/>
    <s v="te"/>
    <n v="0"/>
    <n v="0"/>
    <s v="n/a"/>
    <s v="n/a"/>
    <n v="0"/>
    <x v="1"/>
    <x v="8"/>
    <s v="te_medial"/>
    <s v="ss"/>
    <s v="ss"/>
    <s v="topic-drop"/>
    <s v="contains_new"/>
    <m/>
    <m/>
    <n v="1"/>
    <x v="1"/>
    <s v="Yes"/>
    <n v="6"/>
    <s v="complement"/>
    <n v="1"/>
    <n v="3"/>
    <x v="1"/>
    <s v="zero_exalt"/>
    <s v="n/a"/>
    <n v="0"/>
    <n v="0"/>
  </r>
  <r>
    <s v="Heike 2.22"/>
    <s v="君に仕へ奉れ"/>
    <s v=" kimi ni tsukae tatematsure"/>
    <s v="仕へ奉れ"/>
    <s v="imperative"/>
    <s v="action"/>
    <s v="verb"/>
    <s v="intransitive"/>
    <s v="active"/>
    <s v="positive"/>
    <n v="1"/>
    <n v="1"/>
    <s v="IO"/>
    <n v="0"/>
    <s v="zero_exalt"/>
    <n v="1"/>
    <s v="n/a"/>
    <s v="overt"/>
    <n v="0"/>
    <n v="0"/>
    <s v="n/a"/>
    <s v="complement"/>
    <n v="1"/>
    <n v="1"/>
    <s v="sub"/>
    <s v="lexical_humble_verb"/>
    <n v="0"/>
    <x v="2"/>
    <x v="2"/>
    <m/>
    <s v="ss"/>
    <s v="ds"/>
    <s v="topic-drop"/>
    <s v="contains_new"/>
    <m/>
    <m/>
    <n v="1"/>
    <x v="0"/>
    <s v="Yes"/>
    <n v="6"/>
    <s v="main"/>
    <n v="1"/>
    <n v="4"/>
    <x v="1"/>
    <s v="overt"/>
    <s v="n/a"/>
    <n v="0"/>
    <n v="0"/>
  </r>
  <r>
    <s v="Heike 2.23"/>
    <s v="といふ本文あり (to iu honbun ari)"/>
    <s v="so goes the original passage"/>
    <s v="あり"/>
    <s v="indicative"/>
    <s v="stative"/>
    <s v="existential verb"/>
    <s v="intransitive"/>
    <s v="active"/>
    <s v="positive"/>
    <n v="1"/>
    <n v="1"/>
    <s v="SUB"/>
    <n v="1"/>
    <s v="overt"/>
    <n v="3"/>
    <s v="n/a"/>
    <s v="n/a"/>
    <n v="0"/>
    <n v="0"/>
    <s v="n/a"/>
    <s v="main"/>
    <n v="0"/>
    <n v="0"/>
    <s v="n/a"/>
    <s v="n/a"/>
    <n v="0"/>
    <x v="2"/>
    <x v="7"/>
    <m/>
    <s v="ds"/>
    <s v="ss"/>
    <s v="topic-drop"/>
    <s v="contains_new"/>
    <s v="frame predicate"/>
    <m/>
    <n v="1"/>
    <x v="0"/>
    <s v="Yes"/>
    <n v="6"/>
    <s v="inf"/>
    <n v="1"/>
    <n v="1"/>
    <x v="1"/>
    <s v="zero_recoverable"/>
    <s v="overt"/>
    <n v="1"/>
    <n v="0"/>
  </r>
  <r>
    <s v="Heike 2.24"/>
    <s v="参内の初めより大なる鞘巻を用意し (sannai no hajime yori ō-naru sayamaki o yōi shi)"/>
    <s v="Before entering the Court he provided himself with a long dirk"/>
    <s v="用意し"/>
    <s v="indicative"/>
    <s v="other"/>
    <s v="LVC"/>
    <s v="transitive"/>
    <s v="active"/>
    <s v="positive"/>
    <n v="1"/>
    <n v="1"/>
    <s v="OBJ"/>
    <n v="1"/>
    <s v="zero_recoverable"/>
    <n v="3"/>
    <s v="overt"/>
    <s v="n/a"/>
    <n v="0"/>
    <n v="0"/>
    <s v="n/a"/>
    <s v="inf"/>
    <n v="0"/>
    <n v="0"/>
    <s v="n/a"/>
    <s v="n/a"/>
    <n v="0"/>
    <x v="2"/>
    <x v="3"/>
    <m/>
    <s v="ss"/>
    <s v="ss"/>
    <s v="topic-drop"/>
    <s v="contains_new"/>
    <m/>
    <m/>
    <n v="1"/>
    <x v="1"/>
    <s v="Yes"/>
    <n v="7"/>
    <s v="inf"/>
    <n v="1"/>
    <n v="2"/>
    <x v="0"/>
    <s v="zero_recoverable"/>
    <s v="zero_recoverable"/>
    <n v="0"/>
    <n v="1"/>
  </r>
  <r>
    <s v="Heike 2.25"/>
    <s v="束帯の下にしどけなげに差し (sokutai no shita ni shidokenage ni sashi)"/>
    <s v="which he girt on under his long court dress"/>
    <s v="差し"/>
    <s v="indicative"/>
    <s v="other"/>
    <s v="verb"/>
    <s v="transitive"/>
    <s v="active"/>
    <s v="positive"/>
    <n v="1"/>
    <n v="1"/>
    <s v="IO"/>
    <n v="1"/>
    <s v="zero_recoverable"/>
    <n v="3"/>
    <s v="zero_recoverable"/>
    <s v="overt"/>
    <n v="0"/>
    <n v="0"/>
    <s v="n/a"/>
    <s v="inf"/>
    <n v="0"/>
    <n v="0"/>
    <s v="n/a"/>
    <s v="n/a"/>
    <n v="0"/>
    <x v="2"/>
    <x v="6"/>
    <m/>
    <s v="ss"/>
    <s v="ss"/>
    <s v="topic-drop"/>
    <s v="contains_new"/>
    <m/>
    <m/>
    <n v="1"/>
    <x v="0"/>
    <s v="Yes"/>
    <n v="7"/>
    <s v="te"/>
    <n v="1"/>
    <n v="3"/>
    <x v="1"/>
    <s v="zero_recoverable"/>
    <s v="n/a"/>
    <n v="0"/>
    <n v="0"/>
  </r>
  <r>
    <s v="Heike 2.26"/>
    <s v="火の仄暗き方に向かつて (hi no hokuraki kata ni mukatte)"/>
    <s v="and turning aside to a dimly lit place"/>
    <s v="向かつて"/>
    <s v="indicative"/>
    <s v="other"/>
    <s v="verb"/>
    <s v="intransitive"/>
    <s v="active"/>
    <s v="positive"/>
    <n v="1"/>
    <n v="1"/>
    <s v="IO"/>
    <n v="1"/>
    <s v="zero_recoverable"/>
    <n v="3"/>
    <s v="n/a"/>
    <s v="overt"/>
    <n v="0"/>
    <n v="0"/>
    <s v="n/a"/>
    <s v="te"/>
    <n v="0"/>
    <n v="0"/>
    <s v="n/a"/>
    <s v="n/a"/>
    <n v="0"/>
    <x v="1"/>
    <x v="6"/>
    <s v="te_medial"/>
    <s v="ss"/>
    <s v="ss"/>
    <s v="topic-drop"/>
    <s v="contains_new"/>
    <m/>
    <m/>
    <n v="1"/>
    <x v="0"/>
    <s v="Yes"/>
    <n v="7"/>
    <m/>
    <n v="1"/>
    <n v="4"/>
    <x v="1"/>
    <s v="zero_recoverable"/>
    <s v="overt"/>
    <n v="0"/>
    <n v="0"/>
  </r>
  <r>
    <s v="Heike 2.27"/>
    <s v="やはらこの刀を抜き出でて (yahara kono katana o nuki-idete)"/>
    <s v="slowly drew the blade"/>
    <s v="抜き出でて"/>
    <s v="indicative"/>
    <s v="motion"/>
    <s v="verb(compound)"/>
    <s v="transitive"/>
    <s v="active"/>
    <s v="positive"/>
    <n v="1"/>
    <n v="1"/>
    <s v="OBJ"/>
    <n v="0"/>
    <s v="zero_recoverable"/>
    <n v="3"/>
    <s v="overt"/>
    <s v="n/a"/>
    <n v="0"/>
    <n v="0"/>
    <s v="n/a"/>
    <s v="te"/>
    <n v="0"/>
    <n v="0"/>
    <s v="n/a"/>
    <s v="n/a"/>
    <n v="0"/>
    <x v="1"/>
    <x v="2"/>
    <s v="te_medial"/>
    <s v="ss"/>
    <s v="ss"/>
    <s v="topic-drop"/>
    <s v="all given"/>
    <s v="&quot;kono katana&quot; refers to the &quot;sayamaki&quot;, so all given"/>
    <m/>
    <n v="1"/>
    <x v="0"/>
    <s v="Yes"/>
    <n v="7"/>
    <m/>
    <n v="1"/>
    <n v="5"/>
    <x v="1"/>
    <s v="zero_exalt"/>
    <s v="zero_recoverable"/>
    <n v="0"/>
    <n v="1"/>
  </r>
  <r>
    <s v="Heike 2.28"/>
    <s v="鬢に引き当てられたりけるが (kami ni hiki-ate raretarikeru ga)"/>
    <s v="and passed it through the hair of his head"/>
    <s v="引き当てられたりける"/>
    <s v="indicative"/>
    <s v="motion"/>
    <s v="verb"/>
    <s v="transitive"/>
    <s v="active"/>
    <s v="positive"/>
    <n v="1"/>
    <n v="1"/>
    <s v="IO"/>
    <n v="0"/>
    <s v="zero_exalt"/>
    <n v="3"/>
    <s v="zero_recoverable"/>
    <s v="overt"/>
    <n v="0"/>
    <n v="0"/>
    <s v="n/a"/>
    <s v="subordinate"/>
    <n v="0"/>
    <n v="1"/>
    <s v="sub"/>
    <s v="honorific_aux"/>
    <n v="0"/>
    <x v="6"/>
    <x v="2"/>
    <m/>
    <s v="ss"/>
    <s v="ds"/>
    <s v="topic-drop"/>
    <s v="contains_new"/>
    <s v="should the -to part be considered a clausal subject?"/>
    <m/>
    <n v="1"/>
    <x v="0"/>
    <s v="Yes"/>
    <n v="7"/>
    <m/>
    <n v="1"/>
    <m/>
    <x v="1"/>
    <s v="zero_recoverable"/>
    <s v="n/a"/>
    <n v="0"/>
    <n v="0"/>
  </r>
  <r>
    <s v="Heike 2.29"/>
    <s v="余所よりは氷などのやうにぞ見えたりける (yoso yori wa kōri nado no yō ni zo mieta rikeru)"/>
    <s v="so that it gleamed afar off with an icy sheen"/>
    <s v="見えたりける"/>
    <s v="indicative"/>
    <s v="perception"/>
    <s v="verb"/>
    <s v="intransitive"/>
    <s v="resultative"/>
    <s v="positive"/>
    <n v="1"/>
    <n v="0"/>
    <s v="n/a"/>
    <n v="2"/>
    <s v="zero_recoverable"/>
    <n v="3"/>
    <s v="n/a"/>
    <s v="n/a"/>
    <n v="0"/>
    <n v="0"/>
    <s v="n/a"/>
    <s v="relative"/>
    <n v="0"/>
    <n v="0"/>
    <s v="n/a"/>
    <s v="n/a"/>
    <n v="0"/>
    <x v="2"/>
    <x v="4"/>
    <m/>
    <s v="ds"/>
    <s v="ss"/>
    <s v="topic-drop"/>
    <s v="no_overt_NP"/>
    <m/>
    <m/>
    <n v="0"/>
    <x v="0"/>
    <s v="Yes"/>
    <n v="7"/>
    <m/>
    <n v="0"/>
    <n v="6"/>
    <x v="1"/>
    <s v="zero_recoverable"/>
    <s v="overt"/>
    <n v="0"/>
    <n v="0"/>
  </r>
  <r>
    <s v="Heike 2.30"/>
    <s v="諸人目を澄ましけり (morobito me o sumashikeri)"/>
    <s v="causing all to stare open-eyed"/>
    <s v="澄ましけり"/>
    <s v="indicative"/>
    <s v="other"/>
    <s v="verb"/>
    <s v="transitive"/>
    <s v="active"/>
    <s v="positive"/>
    <n v="1"/>
    <n v="2"/>
    <s v="O+IO"/>
    <n v="0"/>
    <s v="zero_recoverable"/>
    <n v="3"/>
    <s v="overt"/>
    <s v="overt"/>
    <n v="0"/>
    <n v="0"/>
    <s v="n/a"/>
    <s v="main"/>
    <n v="0"/>
    <n v="0"/>
    <s v="n/a"/>
    <s v="n/a"/>
    <n v="0"/>
    <x v="2"/>
    <x v="1"/>
    <m/>
    <s v="ss"/>
    <s v="ds"/>
    <s v="topic-drop"/>
    <s v="contains_new"/>
    <m/>
    <m/>
    <n v="2"/>
    <x v="0"/>
    <s v="Yes"/>
    <n v="7"/>
    <s v="relative"/>
    <n v="1"/>
    <m/>
    <x v="0"/>
    <s v="overt"/>
    <s v="n/a"/>
    <n v="0"/>
    <n v="0"/>
  </r>
  <r>
    <s v="Heike 2.31"/>
    <s v="また忠盛の郎等元は一門たりし( mata Tadamori no rōtō moto wa ichimon tarishi) "/>
    <s v="Moreover a retainer of Tadamori ... "/>
    <s v="たりし"/>
    <s v="indicative"/>
    <s v="other"/>
    <s v="copula"/>
    <s v="intransitive"/>
    <s v="active"/>
    <s v="positive"/>
    <n v="1"/>
    <n v="1"/>
    <s v="SUB"/>
    <n v="1"/>
    <s v="overt"/>
    <n v="3"/>
    <s v="n/a"/>
    <s v="n/a"/>
    <n v="0"/>
    <n v="0"/>
    <s v="REL"/>
    <s v="relative"/>
    <n v="0"/>
    <n v="0"/>
    <s v="n/a"/>
    <s v="n/a"/>
    <n v="0"/>
    <x v="6"/>
    <x v="3"/>
    <m/>
    <s v="ds"/>
    <s v="ss"/>
    <s v="topic-introduced"/>
    <s v="contains_new"/>
    <m/>
    <m/>
    <n v="1"/>
    <x v="0"/>
    <s v="Yes"/>
    <n v="8"/>
    <s v="main"/>
    <n v="0"/>
    <n v="1"/>
    <x v="1"/>
    <s v="overt"/>
    <s v="n/a"/>
    <n v="0"/>
    <n v="0"/>
  </r>
  <r>
    <s v="Heike 2.32"/>
    <s v="木工助平貞光が孫新四郎太夫家房が子に左兵衛尉家貞といふ者あり (Moku no suke Sadamitsu ga mago Shinshirō Tayū Iefusa ga ko ni Sahyōe no jō Iesada to iu mono ari)"/>
    <s v="there was one named Sahyoe-no-jo Iesada"/>
    <s v="あり"/>
    <s v="indicative"/>
    <s v="other"/>
    <s v="existential verb"/>
    <s v="intransitive"/>
    <s v="active"/>
    <s v="positive"/>
    <n v="1"/>
    <n v="1"/>
    <s v="SUB"/>
    <n v="2"/>
    <s v="overt"/>
    <n v="3"/>
    <s v="n/a"/>
    <s v="n/a"/>
    <n v="0"/>
    <n v="0"/>
    <s v="n/a"/>
    <s v="main"/>
    <n v="0"/>
    <n v="0"/>
    <s v="n/a"/>
    <s v="n/a"/>
    <n v="0"/>
    <x v="2"/>
    <x v="1"/>
    <m/>
    <s v="ss"/>
    <s v="ss"/>
    <s v="topic-introduced"/>
    <s v="contains_new"/>
    <s v="frame predicate"/>
    <m/>
    <n v="1"/>
    <x v="0"/>
    <s v="Yes"/>
    <n v="8"/>
    <s v="inf"/>
    <n v="1"/>
    <n v="1"/>
    <x v="0"/>
    <s v="zero_recoverable"/>
    <s v="overt"/>
    <n v="1"/>
    <n v="0"/>
  </r>
  <r>
    <s v="Heike 2.33"/>
    <s v="薄青の狩衣の下に萌黄威の腹巻を着 (usuao no kariginu no shita ni moegi-odoshi no haramaki o ki)"/>
    <s v="wearing a body armour laced with bright green under a light green &quot;kariginu&quot;"/>
    <s v="着"/>
    <s v="indicative"/>
    <s v="other"/>
    <s v="verb"/>
    <s v="transitive"/>
    <s v="active"/>
    <s v="positive"/>
    <n v="1"/>
    <n v="1"/>
    <s v="OBJ"/>
    <n v="1"/>
    <s v="zero_recoverable"/>
    <n v="3"/>
    <s v="overt"/>
    <s v="n/a"/>
    <n v="0"/>
    <n v="0"/>
    <s v="n/a"/>
    <s v="inf"/>
    <n v="0"/>
    <n v="0"/>
    <s v="n/a"/>
    <s v="n/a"/>
    <n v="0"/>
    <x v="2"/>
    <x v="3"/>
    <m/>
    <s v="ss"/>
    <s v="ss"/>
    <s v="topic-drop"/>
    <s v="contains_new"/>
    <m/>
    <m/>
    <n v="1"/>
    <x v="0"/>
    <s v="Yes"/>
    <n v="9"/>
    <s v="relative"/>
    <n v="1"/>
    <m/>
    <x v="1"/>
    <s v="zero_recoverable"/>
    <s v="overt"/>
    <n v="0"/>
    <n v="0"/>
  </r>
  <r>
    <s v="Heike 2.34"/>
    <s v="柄弦袋付けたる ezurubukuro tsuketaru "/>
    <s v="with a bowstring bag attached"/>
    <s v="付けたる"/>
    <s v="indicative"/>
    <s v="other"/>
    <s v="verb"/>
    <s v="transitive"/>
    <s v="active"/>
    <s v="positive"/>
    <n v="1"/>
    <n v="1"/>
    <s v="OBJ"/>
    <n v="0"/>
    <s v="zero_recoverable"/>
    <n v="3"/>
    <s v="overt"/>
    <s v="n/a"/>
    <n v="1"/>
    <n v="0"/>
    <s v="REL"/>
    <s v="relative"/>
    <n v="0"/>
    <n v="0"/>
    <s v="n/a"/>
    <s v="n/a"/>
    <n v="0"/>
    <x v="2"/>
    <x v="6"/>
    <m/>
    <s v="ss"/>
    <s v="ss"/>
    <s v="topic-drop"/>
    <s v="contains_new"/>
    <m/>
    <m/>
    <n v="1"/>
    <x v="0"/>
    <s v="Yes"/>
    <n v="9"/>
    <s v="te"/>
    <n v="0"/>
    <n v="2"/>
    <x v="1"/>
    <s v="zero_recoverable"/>
    <s v="overt"/>
    <n v="0"/>
    <n v="0"/>
  </r>
  <r>
    <s v="Heike 2.35"/>
    <s v="太刀脇挟んで (tachi wakihasande)"/>
    <s v="and carrying under his arm a &quot;tachi&quot; "/>
    <s v="挟んで"/>
    <s v="indicative"/>
    <s v="other"/>
    <s v="verb"/>
    <s v="transitive"/>
    <s v="active"/>
    <s v="positive"/>
    <n v="1"/>
    <n v="2"/>
    <s v="O+IO"/>
    <n v="0"/>
    <s v="zero_recoverable"/>
    <n v="3"/>
    <s v="overt"/>
    <s v="overt"/>
    <n v="0"/>
    <n v="0"/>
    <s v="n/a"/>
    <s v="te"/>
    <n v="0"/>
    <n v="0"/>
    <s v="n/a"/>
    <s v="n/a"/>
    <n v="0"/>
    <x v="2"/>
    <x v="1"/>
    <s v="te_medial"/>
    <s v="ss"/>
    <s v="ss"/>
    <s v="topic-drop"/>
    <s v="contains_new"/>
    <m/>
    <m/>
    <n v="2"/>
    <x v="0"/>
    <s v="Yes"/>
    <n v="9"/>
    <m/>
    <n v="1"/>
    <n v="3"/>
    <x v="1"/>
    <s v="zero_recoverable"/>
    <s v="n/a"/>
    <n v="0"/>
    <n v="0"/>
  </r>
  <r>
    <s v="Heike 2.36"/>
    <s v="殿上の小庭に畏つてぞ候ひける (tenjō no koniwa ni kashikomatte zo soroikyeru)"/>
    <s v="was waiting in the &quot;koniwa,&quot; the small court by the Seiryoden"/>
    <s v="畏つて候ひける"/>
    <s v="indicative"/>
    <s v="other"/>
    <s v="verb(complex)"/>
    <s v="intransitive"/>
    <s v="active"/>
    <s v="positive"/>
    <n v="1"/>
    <n v="0"/>
    <s v="n/a"/>
    <n v="1"/>
    <s v="zero_recoverable"/>
    <n v="3"/>
    <s v="n/a"/>
    <s v="n/a"/>
    <n v="0"/>
    <n v="0"/>
    <s v="n/a"/>
    <s v="main"/>
    <n v="0"/>
    <n v="1"/>
    <s v="sub"/>
    <s v="lexical_humble_verb"/>
    <n v="0"/>
    <x v="2"/>
    <x v="2"/>
    <m/>
    <s v="ss"/>
    <s v="ds"/>
    <s v="topic-drop"/>
    <s v="no_overt_NP"/>
    <m/>
    <m/>
    <n v="0"/>
    <x v="0"/>
    <s v="Yes"/>
    <n v="9"/>
    <m/>
    <n v="1"/>
    <n v="1"/>
    <x v="1"/>
    <s v="overt"/>
    <s v="overt"/>
    <n v="0"/>
    <n v="0"/>
  </r>
  <r>
    <s v="Heike 2.37"/>
    <s v="貫首以下怪しみをなして (kanshu ika ayashimi o nashite)"/>
    <s v="Now the Kurando-no-to and others, thinking it strange,"/>
    <s v="なして"/>
    <s v="indicative"/>
    <s v="other"/>
    <s v="LVC (inf)"/>
    <s v="transitive"/>
    <s v="active"/>
    <s v="negative"/>
    <n v="1"/>
    <n v="2"/>
    <s v="S+O"/>
    <n v="0"/>
    <s v="overt"/>
    <n v="3"/>
    <s v="overt"/>
    <s v="n/a"/>
    <n v="0"/>
    <n v="0"/>
    <s v="n/a"/>
    <s v="te"/>
    <n v="0"/>
    <n v="0"/>
    <s v="n/a"/>
    <s v="n/a"/>
    <n v="0"/>
    <x v="1"/>
    <x v="3"/>
    <s v="te_initial"/>
    <s v="ds"/>
    <s v="ss"/>
    <s v="topic-shift"/>
    <s v="contains_new"/>
    <m/>
    <m/>
    <n v="2"/>
    <x v="1"/>
    <s v="Yes"/>
    <n v="10"/>
    <s v="nominalised"/>
    <n v="1"/>
    <m/>
    <x v="1"/>
    <s v="overt"/>
    <s v="n/a"/>
    <n v="0"/>
    <n v="0"/>
  </r>
  <r>
    <s v="Heike 2.38"/>
    <s v="空柱より内鈴の綱の辺に布衣の者の候ふ  (sorabashira yori uchisuzu no tsuna no hen ni hoi no mono no soroou)"/>
    <s v="that one wearing unsuitable costume should be within the balustrade of the steps of the Court near the bell-rope of the library, "/>
    <s v="候ふ"/>
    <s v="indicative"/>
    <s v="other"/>
    <s v="verb"/>
    <s v="intransitive"/>
    <s v="active"/>
    <s v="positive"/>
    <n v="1"/>
    <n v="1"/>
    <s v="SUB"/>
    <n v="1"/>
    <s v="overt"/>
    <n v="3"/>
    <s v="n/a"/>
    <s v="n/a"/>
    <n v="0"/>
    <n v="0"/>
    <s v="SUB"/>
    <s v="nominalised"/>
    <n v="1"/>
    <n v="0"/>
    <s v="sub"/>
    <s v="lexical_humble_verb"/>
    <n v="0"/>
    <x v="2"/>
    <x v="2"/>
    <m/>
    <s v="ss"/>
    <s v="ss"/>
    <s v="topic-shift"/>
    <s v="contains_new"/>
    <s v="internally headed"/>
    <m/>
    <n v="1"/>
    <x v="0"/>
    <s v="Yes"/>
    <n v="10"/>
    <m/>
    <n v="0"/>
    <n v="2"/>
    <x v="1"/>
    <s v="overt"/>
    <s v="n/a"/>
    <n v="0"/>
    <n v="0"/>
  </r>
  <r>
    <s v="Heike 2.39"/>
    <s v="は何者ぞ  wa nani mono zo"/>
    <s v="and wondering who he was."/>
    <s v="何者ぞ  "/>
    <s v="indicative"/>
    <s v="other"/>
    <s v="copula"/>
    <s v="intransitive"/>
    <s v="active"/>
    <s v="positive"/>
    <n v="1"/>
    <n v="1"/>
    <s v="SUB"/>
    <n v="0"/>
    <s v="overt"/>
    <n v="3"/>
    <s v="n/a"/>
    <s v="n/a"/>
    <n v="0"/>
    <n v="0"/>
    <s v="n/a"/>
    <s v="main"/>
    <n v="0"/>
    <n v="0"/>
    <s v="n/a"/>
    <s v="n/a"/>
    <n v="0"/>
    <x v="2"/>
    <x v="5"/>
    <m/>
    <s v="ss"/>
    <s v="ss"/>
    <s v="topic-continued"/>
    <s v="all given"/>
    <m/>
    <m/>
    <n v="1"/>
    <x v="0"/>
    <s v="Yes"/>
    <n v="10"/>
    <m/>
    <n v="1"/>
    <n v="1"/>
    <x v="1"/>
    <s v="zero_other"/>
    <s v="n/a"/>
    <n v="1"/>
    <n v="0"/>
  </r>
  <r>
    <s v="Heike 2.40"/>
    <s v="狼藉なり (rōzaku nari)"/>
    <s v="&quot;[He is] disorderly&quot;"/>
    <s v="なり"/>
    <s v="indicative"/>
    <s v="stative"/>
    <s v="copula"/>
    <s v="intransitive"/>
    <s v="active"/>
    <s v="positive"/>
    <n v="1"/>
    <n v="0"/>
    <s v="n/a"/>
    <n v="0"/>
    <s v="zero_other"/>
    <n v="3"/>
    <s v="n/a"/>
    <s v="n/a"/>
    <n v="0"/>
    <n v="0"/>
    <s v="n/a"/>
    <s v="main"/>
    <n v="0"/>
    <n v="0"/>
    <s v="n/a"/>
    <s v="n/a"/>
    <n v="0"/>
    <x v="2"/>
    <x v="3"/>
    <m/>
    <s v="ss"/>
    <s v="ss"/>
    <s v="topic-drop"/>
    <s v="no_overt_NP"/>
    <m/>
    <m/>
    <n v="0"/>
    <x v="0"/>
    <s v="Yes"/>
    <n v="11"/>
    <s v="complement"/>
    <n v="1"/>
    <n v="1"/>
    <x v="0"/>
    <s v="zero_recoverable"/>
    <s v="n/a"/>
    <n v="0"/>
    <n v="0"/>
  </r>
  <r>
    <s v="Heike 2.41"/>
    <s v="疾う疾う罷り出でよと (tōtō makari ideyo to)"/>
    <s v="&quot;Depart quickly&quot;"/>
    <s v="罷り出でよ"/>
    <s v="imperative"/>
    <s v="motion"/>
    <s v="verb"/>
    <s v="intransitive"/>
    <s v="active"/>
    <s v="positive"/>
    <n v="1"/>
    <n v="0"/>
    <s v="n/a"/>
    <n v="0"/>
    <s v="zero_recoverable"/>
    <n v="2"/>
    <s v="n/a"/>
    <s v="n/a"/>
    <n v="0"/>
    <n v="0"/>
    <s v="n/a"/>
    <s v="complement"/>
    <n v="0"/>
    <n v="1"/>
    <s v="sub"/>
    <s v="lexical_humble_verb"/>
    <n v="0"/>
    <x v="4"/>
    <x v="3"/>
    <m/>
    <s v="ss"/>
    <s v="ss"/>
    <s v="topic-drop"/>
    <s v="no_overt_NP"/>
    <s v="embedded"/>
    <m/>
    <n v="0"/>
    <x v="0"/>
    <s v="Yes"/>
    <n v="12"/>
    <m/>
    <n v="1"/>
    <n v="2"/>
    <x v="0"/>
    <s v="zero_recoverable"/>
    <s v="overt"/>
    <n v="0"/>
    <n v="0"/>
  </r>
  <r>
    <s v="Heike 2.42"/>
    <s v="六位を以て云はせられたりければ (to roku-i o motte iwaseraretarikereba)"/>
    <s v="an official of the sixth rank ordered him to depart quickly."/>
    <s v="云はせられたりければ"/>
    <s v="indicative"/>
    <s v="stative"/>
    <s v="verb"/>
    <s v="intransitive"/>
    <s v="causative-passive-resultative"/>
    <s v="positive"/>
    <n v="1"/>
    <n v="2"/>
    <s v="O (Speech) +IO"/>
    <n v="1"/>
    <s v="zero_recoverable"/>
    <n v="3"/>
    <s v="overt"/>
    <s v="n/a"/>
    <n v="0"/>
    <n v="0"/>
    <s v="n/a"/>
    <s v="subordinate"/>
    <n v="1"/>
    <n v="0"/>
    <s v="n/a"/>
    <s v="honorific_aux"/>
    <n v="0"/>
    <x v="2"/>
    <x v="7"/>
    <m/>
    <s v="ss"/>
    <s v="ss"/>
    <s v="topic-drop"/>
    <s v="contains_new"/>
    <m/>
    <m/>
    <n v="2"/>
    <x v="0"/>
    <s v="Yes"/>
    <n v="12"/>
    <m/>
    <n v="1"/>
    <n v="3"/>
    <x v="1"/>
    <s v="overt"/>
    <s v="zero_other"/>
    <n v="0"/>
    <n v="1"/>
  </r>
  <r>
    <s v="Heike 2.43"/>
    <s v="家貞畏つて申しけるは (Iesada kashikomatte mōshikeru wa)"/>
    <s v="But Iesada thus replied:"/>
    <s v="申しける"/>
    <s v="indicative"/>
    <s v="action"/>
    <s v="verb"/>
    <s v="transitive"/>
    <s v="active"/>
    <s v="positive"/>
    <n v="1"/>
    <n v="1"/>
    <s v="SUB"/>
    <n v="0"/>
    <s v="overt"/>
    <n v="3"/>
    <s v="zero_other"/>
    <s v="n/a"/>
    <n v="1"/>
    <n v="0"/>
    <s v="SUB"/>
    <s v="subordinate"/>
    <n v="1"/>
    <n v="0"/>
    <s v="sub"/>
    <s v="lexical_humble_verb"/>
    <n v="0"/>
    <x v="2"/>
    <x v="4"/>
    <m/>
    <s v="ss"/>
    <s v="ds"/>
    <s v="topic-continued"/>
    <s v="all given"/>
    <s v="internally headed"/>
    <m/>
    <n v="1"/>
    <x v="0"/>
    <s v="Yes"/>
    <n v="12"/>
    <m/>
    <n v="1"/>
    <m/>
    <x v="1"/>
    <s v="overt"/>
    <s v="n/a"/>
    <n v="0"/>
    <n v="0"/>
  </r>
  <r>
    <s v="Heike 2.44"/>
    <s v="相伝の主備前守殿今夜闇討にせられ給ふべき (sōden no aruji Bizen no kami-dono kon'ya yamiuchi ni serare-tamō beki) "/>
    <s v="tonight they will try to kill my Lord Bizen-no-kami dono&quot;"/>
    <s v="闇討にせられ給ふ"/>
    <s v="indicative"/>
    <s v="other"/>
    <s v="LVC"/>
    <s v="intransitive"/>
    <s v="passive"/>
    <s v="positive"/>
    <n v="1"/>
    <n v="1"/>
    <s v="SUB"/>
    <n v="1"/>
    <s v="overt"/>
    <n v="3"/>
    <s v="n/a"/>
    <s v="n/a"/>
    <n v="0"/>
    <n v="1"/>
    <s v="REL"/>
    <s v="relative"/>
    <n v="1"/>
    <n v="0"/>
    <s v="sub"/>
    <s v="lexical_honorific_verb"/>
    <n v="0"/>
    <x v="2"/>
    <x v="4"/>
    <m/>
    <s v="ds"/>
    <s v="ss"/>
    <s v="topic-shift"/>
    <s v="contains_new"/>
    <m/>
    <m/>
    <n v="1"/>
    <x v="1"/>
    <s v="Yes"/>
    <n v="12"/>
    <s v="te"/>
    <n v="0"/>
    <n v="4"/>
    <x v="1"/>
    <s v="zero_recoverable"/>
    <s v="overt"/>
    <n v="1"/>
    <n v="0"/>
  </r>
  <r>
    <s v="Heike 2.45"/>
    <s v="由伝へ承つて(yoshi tsutae uketamawatte) "/>
    <s v="Because I have heard that"/>
    <s v="伝へ承つて"/>
    <s v="indicative"/>
    <s v="communication"/>
    <s v="verb"/>
    <s v="transitive"/>
    <s v="active"/>
    <s v="positive"/>
    <n v="1"/>
    <n v="1"/>
    <s v="OBJ"/>
    <n v="0"/>
    <s v="zero_recoverable"/>
    <n v="1"/>
    <s v="overt"/>
    <s v="n/a"/>
    <n v="0"/>
    <n v="0"/>
    <s v="n/a"/>
    <s v="te"/>
    <n v="0"/>
    <n v="1"/>
    <s v="sub"/>
    <s v="honorific_aux"/>
    <n v="0"/>
    <x v="1"/>
    <x v="1"/>
    <s v="te_medial"/>
    <s v="ss"/>
    <s v="ds"/>
    <s v="topic-drop"/>
    <s v="contains_new"/>
    <m/>
    <m/>
    <n v="1"/>
    <x v="0"/>
    <s v="Yes"/>
    <n v="12"/>
    <m/>
    <n v="1"/>
    <m/>
    <x v="1"/>
    <s v="overt"/>
    <s v="n/a"/>
    <n v="0"/>
    <n v="0"/>
  </r>
  <r>
    <s v="Heike 2.46"/>
    <s v="それならん  (sore naran )"/>
    <s v="&quot;whether it is so&quot;"/>
    <s v="ならん "/>
    <s v="epistemic"/>
    <s v="other"/>
    <s v="verb"/>
    <s v="intransitive"/>
    <s v="active"/>
    <s v="positive"/>
    <n v="1"/>
    <n v="1"/>
    <s v="SUB"/>
    <n v="0"/>
    <s v="overt"/>
    <n v="3"/>
    <s v="n/a"/>
    <s v="n/a"/>
    <n v="0"/>
    <n v="1"/>
    <s v="REL"/>
    <s v="relative"/>
    <n v="0"/>
    <n v="0"/>
    <s v="n/a"/>
    <s v="n/a"/>
    <n v="0"/>
    <x v="2"/>
    <x v="2"/>
    <m/>
    <s v="ds"/>
    <s v="ds"/>
    <s v="topic-continued"/>
    <s v="all given"/>
    <m/>
    <m/>
    <n v="1"/>
    <x v="0"/>
    <s v="Yes"/>
    <n v="12"/>
    <m/>
    <n v="0"/>
    <n v="5"/>
    <x v="1"/>
    <s v="zero_recoverable"/>
    <s v="overt"/>
    <n v="1"/>
    <n v="0"/>
  </r>
  <r>
    <s v="Heike 2.47"/>
    <s v="やうを見んとて (yō o min to te)"/>
    <s v="and in order to see "/>
    <s v="見ん"/>
    <s v="dynamic"/>
    <s v="perception"/>
    <s v="verb"/>
    <s v="transitive"/>
    <s v="active"/>
    <s v="positive"/>
    <n v="1"/>
    <n v="1"/>
    <s v="OBJ"/>
    <n v="0"/>
    <s v="zero_recoverable"/>
    <n v="1"/>
    <s v="overt"/>
    <s v="n/a"/>
    <n v="0"/>
    <n v="0"/>
    <s v="REL"/>
    <s v="subordinate"/>
    <n v="0"/>
    <n v="0"/>
    <s v="n/a"/>
    <s v="n/a"/>
    <n v="0"/>
    <x v="7"/>
    <x v="1"/>
    <m/>
    <s v="ds"/>
    <s v="ss"/>
    <s v="topic-drop"/>
    <s v="contains_new"/>
    <m/>
    <m/>
    <n v="1"/>
    <x v="0"/>
    <s v="Yes"/>
    <n v="12"/>
    <m/>
    <n v="1"/>
    <n v="6"/>
    <x v="1"/>
    <s v="zero_exalt"/>
    <s v="n/a"/>
    <n v="0"/>
    <n v="0"/>
  </r>
  <r>
    <s v="Heike 2.48"/>
    <s v="かくて候ふなり (kakute soro fu nari)"/>
    <s v="&quot;have come and am thus waiting&quot;"/>
    <s v="候ふなり"/>
    <s v="indicative"/>
    <s v="stative"/>
    <s v="verb(complex)"/>
    <s v="intransitive"/>
    <s v="active"/>
    <s v="positive"/>
    <n v="1"/>
    <n v="0"/>
    <s v="n/a"/>
    <n v="1"/>
    <s v="zero_exalt"/>
    <n v="1"/>
    <s v="n/a"/>
    <s v="n/a"/>
    <n v="0"/>
    <n v="0"/>
    <s v="n/a"/>
    <s v="main"/>
    <n v="0"/>
    <n v="1"/>
    <s v="sub"/>
    <s v="lexical_humble_verb"/>
    <n v="0"/>
    <x v="2"/>
    <x v="4"/>
    <m/>
    <s v="ss"/>
    <s v="ss"/>
    <s v="topic-drop"/>
    <s v="no_overt_NP"/>
    <m/>
    <m/>
    <n v="0"/>
    <x v="0"/>
    <s v="Yes"/>
    <n v="12"/>
    <s v="main"/>
    <n v="1"/>
    <n v="1"/>
    <x v="1"/>
    <s v="zero_exalt"/>
    <s v="n/a"/>
    <n v="0"/>
    <n v="0"/>
  </r>
  <r>
    <s v="Heike 2.49"/>
    <s v="えこそ出でまじう候へ (e koso idema jiu soro e)"/>
    <s v="&quot;I cannot possibly go out&quot;"/>
    <s v="出でまじう候へ"/>
    <s v="dynamic"/>
    <s v="motion"/>
    <s v="verb"/>
    <s v="intransitive"/>
    <s v="active"/>
    <s v="negative"/>
    <n v="1"/>
    <n v="0"/>
    <s v="n/a"/>
    <n v="0"/>
    <s v="zero_exalt"/>
    <n v="1"/>
    <s v="n/a"/>
    <s v="n/a"/>
    <n v="0"/>
    <n v="0"/>
    <s v="n/a"/>
    <s v="main"/>
    <n v="0"/>
    <n v="1"/>
    <s v="sub"/>
    <s v="polite_aux"/>
    <n v="0"/>
    <x v="2"/>
    <x v="3"/>
    <m/>
    <s v="ss"/>
    <s v="ds"/>
    <s v="topic-drop"/>
    <s v="no_overt_NP"/>
    <m/>
    <m/>
    <n v="0"/>
    <x v="0"/>
    <s v="Yes"/>
    <n v="13"/>
    <m/>
    <n v="1"/>
    <n v="1"/>
    <x v="0"/>
    <s v="overt"/>
    <s v="n/a"/>
    <n v="0"/>
    <n v="0"/>
  </r>
  <r>
    <s v="Heike 2.50"/>
    <s v="これらを由なしとや (korera o yoshi nashi to ya)"/>
    <s v=" there was nothing more to be done;"/>
    <s v="なし"/>
    <s v="indicative"/>
    <s v="stative"/>
    <s v="existential verb"/>
    <s v="intransitive"/>
    <s v="active"/>
    <s v="negative"/>
    <n v="1"/>
    <n v="1"/>
    <s v="SUB"/>
    <n v="1"/>
    <s v="overt"/>
    <n v="3"/>
    <s v="n/a"/>
    <s v="n/a"/>
    <n v="0"/>
    <n v="0"/>
    <s v="n/a"/>
    <s v="complement"/>
    <n v="0"/>
    <n v="0"/>
    <s v="n/a"/>
    <s v="n/a"/>
    <n v="0"/>
    <x v="4"/>
    <x v="3"/>
    <m/>
    <s v="ds"/>
    <m/>
    <s v="topic-continued"/>
    <s v="contains_new"/>
    <m/>
    <m/>
    <n v="1"/>
    <x v="0"/>
    <s v="Yes"/>
    <n v="14"/>
    <s v="main"/>
    <n v="1"/>
    <n v="2"/>
    <x v="1"/>
    <s v="zero_exalt"/>
    <s v="overt"/>
    <n v="1"/>
    <n v="0"/>
  </r>
  <r>
    <m/>
    <s v="思はれけん (omowareken)"/>
    <s v="And they saw that"/>
    <s v="思はれけん"/>
    <s v="epistemic"/>
    <s v="psych-state"/>
    <s v="verb"/>
    <s v="transitive"/>
    <s v="active"/>
    <s v="positive"/>
    <n v="1"/>
    <n v="1"/>
    <s v="O (Speech)"/>
    <n v="0"/>
    <s v="zero_exalt"/>
    <n v="3"/>
    <s v="overt"/>
    <s v="n/a"/>
    <n v="0"/>
    <n v="0"/>
    <s v="n/a"/>
    <s v="main"/>
    <n v="0"/>
    <n v="1"/>
    <s v="sub"/>
    <s v="honorific_aux"/>
    <n v="0"/>
    <x v="8"/>
    <x v="0"/>
    <m/>
    <s v="ds"/>
    <m/>
    <s v="topic-drop"/>
    <s v="contains_new"/>
    <m/>
    <m/>
    <n v="1"/>
    <x v="0"/>
    <s v="Yes"/>
    <n v="14"/>
    <m/>
    <n v="1"/>
    <n v="1"/>
    <x v="1"/>
    <s v="overt"/>
    <s v="n/a"/>
    <n v="0"/>
    <n v="0"/>
  </r>
  <r>
    <s v="Heike 2.51"/>
    <s v="その夜の闇討なかりけり (sono yo no yamiuchi nakarikeri)"/>
    <s v="and thus the attempt did not take place."/>
    <s v="なかりけり"/>
    <s v="indicative"/>
    <s v="aux/modal"/>
    <s v="verb"/>
    <s v="intransitive"/>
    <s v="active"/>
    <s v="negative"/>
    <n v="1"/>
    <n v="1"/>
    <s v="SUB"/>
    <n v="0"/>
    <s v="overt"/>
    <s v="inanimate"/>
    <s v="n/a"/>
    <s v="n/a"/>
    <n v="0"/>
    <n v="0"/>
    <s v="n/a"/>
    <s v="main"/>
    <n v="0"/>
    <n v="0"/>
    <s v="n/a"/>
    <s v="n/a"/>
    <n v="0"/>
    <x v="2"/>
    <x v="3"/>
    <m/>
    <s v="ss"/>
    <s v="ds"/>
    <s v="topic-shift"/>
    <s v="contains_new"/>
    <m/>
    <m/>
    <n v="1"/>
    <x v="0"/>
    <s v="Yes"/>
    <n v="15"/>
    <s v="subordinate"/>
    <n v="1"/>
    <n v="1"/>
    <x v="0"/>
    <s v="overt"/>
    <s v="n/a"/>
    <n v="0"/>
    <n v="0"/>
  </r>
  <r>
    <s v="Heike 2.52"/>
    <s v="忠盛また御前の召しに舞はれけるに (Tadamori mata gozen no meshi ni mawarekeru ni)"/>
    <s v="But when Tadamori danced in the August presence of the Mikado at his Imperial wish,"/>
    <s v="舞はれける"/>
    <s v="indicative"/>
    <s v="action"/>
    <s v="verb"/>
    <s v="intransitive"/>
    <s v="active"/>
    <s v="positive"/>
    <n v="1"/>
    <n v="1"/>
    <s v="SUB"/>
    <n v="1"/>
    <s v="overt"/>
    <n v="3"/>
    <s v="n/a"/>
    <s v="n/a"/>
    <n v="0"/>
    <n v="0"/>
    <s v="REL"/>
    <s v="subordinate"/>
    <n v="1"/>
    <n v="0"/>
    <s v="sub"/>
    <s v="honorific_aux"/>
    <n v="0"/>
    <x v="0"/>
    <x v="3"/>
    <m/>
    <s v="ds"/>
    <s v="ds"/>
    <s v="topic-shift"/>
    <s v="contains_new"/>
    <m/>
    <m/>
    <n v="1"/>
    <x v="0"/>
    <s v="Yes"/>
    <n v="16"/>
    <s v="te"/>
    <n v="1"/>
    <n v="2"/>
    <x v="1"/>
    <s v="overt"/>
    <s v="overt"/>
    <n v="0"/>
    <n v="0"/>
  </r>
  <r>
    <s v="Heike 2.53"/>
    <s v="人々拍子を変へて (hitobito hyōshi o kaete)"/>
    <s v="the others mocked at him, changing the words of the music"/>
    <s v="変へて"/>
    <s v="indicative"/>
    <s v="other"/>
    <s v="verb"/>
    <s v="transitive"/>
    <s v="active"/>
    <s v="positive"/>
    <n v="1"/>
    <n v="2"/>
    <s v="S+O"/>
    <n v="0"/>
    <s v="overt"/>
    <n v="3"/>
    <s v="overt"/>
    <s v="n/a"/>
    <n v="0"/>
    <n v="0"/>
    <s v="n/a"/>
    <s v="te"/>
    <n v="0"/>
    <n v="0"/>
    <s v="n/a"/>
    <s v="n/a"/>
    <n v="0"/>
    <x v="1"/>
    <x v="4"/>
    <s v="te_medial"/>
    <s v="ds"/>
    <s v="ds"/>
    <s v="topic-shift"/>
    <s v="contains_new"/>
    <m/>
    <m/>
    <n v="2"/>
    <x v="0"/>
    <s v="Yes"/>
    <n v="16"/>
    <s v="complement"/>
    <n v="1"/>
    <n v="3"/>
    <x v="1"/>
    <s v="overt"/>
    <s v="n/a"/>
    <n v="0"/>
    <n v="0"/>
  </r>
  <r>
    <s v="Heike 2.54"/>
    <s v="伊勢へいじはすがめなりけりとぞ (Ise heiji wa sugame narikeri)"/>
    <s v="&quot;the winepot of Ise has turned into a vinegar jar&quot;"/>
    <s v="なりけり"/>
    <s v="indicative"/>
    <s v="stative"/>
    <s v="copula"/>
    <s v="intransitive"/>
    <s v="active"/>
    <s v="positive"/>
    <n v="1"/>
    <n v="1"/>
    <s v="SUB"/>
    <n v="0"/>
    <s v="overt"/>
    <n v="3"/>
    <s v="n/a"/>
    <s v="n/a"/>
    <n v="0"/>
    <n v="0"/>
    <s v="n/a"/>
    <s v="complement"/>
    <n v="0"/>
    <n v="0"/>
    <s v="n/a"/>
    <s v="n/a"/>
    <n v="0"/>
    <x v="4"/>
    <x v="2"/>
    <m/>
    <s v="ds"/>
    <s v="ss"/>
    <s v="topic-introduced"/>
    <s v="contains_new"/>
    <m/>
    <m/>
    <n v="1"/>
    <x v="0"/>
    <s v="Yes"/>
    <n v="16"/>
    <s v="main"/>
    <n v="1"/>
    <n v="4"/>
    <x v="1"/>
    <s v="zero_exalt"/>
    <s v="overt"/>
    <n v="1"/>
    <n v="0"/>
  </r>
  <r>
    <s v="Heike 2.55"/>
    <s v="囃されける (to zo hayasarekeru)"/>
    <s v="they sang in mockery"/>
    <s v="囃されける"/>
    <s v="indicative"/>
    <s v="action"/>
    <s v="verb"/>
    <s v="transitive"/>
    <s v="active"/>
    <s v="positive"/>
    <n v="1"/>
    <n v="1"/>
    <s v="O (Speech)"/>
    <n v="0"/>
    <s v="zero_exalt"/>
    <n v="3"/>
    <s v="overt"/>
    <s v="n/a"/>
    <n v="0"/>
    <n v="0"/>
    <s v="kakari-musubi"/>
    <s v="main"/>
    <n v="0"/>
    <n v="1"/>
    <s v="sub"/>
    <s v="honorific_aux"/>
    <n v="0"/>
    <x v="8"/>
    <x v="7"/>
    <m/>
    <s v="ss"/>
    <s v="ss"/>
    <s v="topic-drop"/>
    <s v="contains_new"/>
    <m/>
    <m/>
    <n v="1"/>
    <x v="0"/>
    <s v="Yes"/>
    <n v="16"/>
    <s v="subordinate"/>
    <n v="1"/>
    <n v="1"/>
    <x v="1"/>
    <s v="overt"/>
    <s v="overt"/>
    <n v="0"/>
    <n v="0"/>
  </r>
  <r>
    <s v="Heike 2.56"/>
    <s v="かけまくも忝くこの人々は柏原天皇の御末とは申しながら (kakemakumo katabokaku kono hitobito wa Kashiwabara Tennō no o-sue to wa mōshinagara)"/>
    <s v="In thus mentioning the vessels of his province they punned on his title..."/>
    <s v="申しながら"/>
    <s v="indicative"/>
    <s v="communication"/>
    <s v="verb"/>
    <s v="transitive"/>
    <s v="active"/>
    <s v="positive"/>
    <n v="1"/>
    <n v="2"/>
    <s v="S+O (Speech)"/>
    <n v="1"/>
    <s v="overt"/>
    <n v="3"/>
    <s v="overt"/>
    <s v="n/a"/>
    <n v="0"/>
    <n v="0"/>
    <s v="n/a"/>
    <s v="subordinate"/>
    <n v="1"/>
    <n v="0"/>
    <s v="sub"/>
    <s v="lexical_humble_verb"/>
    <n v="0"/>
    <x v="0"/>
    <x v="3"/>
    <m/>
    <s v="ss"/>
    <s v="ds"/>
    <s v="topic-shift"/>
    <s v="contains_new"/>
    <m/>
    <m/>
    <n v="2"/>
    <x v="0"/>
    <s v="Yes"/>
    <n v="17"/>
    <s v="main"/>
    <n v="1"/>
    <n v="2"/>
    <x v="0"/>
    <s v="overt"/>
    <s v="n/a"/>
    <n v="0"/>
    <n v="0"/>
  </r>
  <r>
    <s v="Heike 2.57"/>
    <s v="中比は都の住まひも疎々しく (chūbi wa miyako no sumai mo utoutoshiku)"/>
    <s v="and since lately his family had lived away from the capital,"/>
    <s v="疎々しく"/>
    <s v="indicative"/>
    <s v="psych-state"/>
    <s v="adjectival predicate"/>
    <s v="intransitive"/>
    <s v="active"/>
    <s v="positive"/>
    <n v="1"/>
    <n v="1"/>
    <s v="SUB"/>
    <n v="1"/>
    <s v="overt"/>
    <n v="3"/>
    <s v="n/a"/>
    <s v="n/a"/>
    <n v="0"/>
    <n v="0"/>
    <s v="n/a"/>
    <s v="main"/>
    <n v="0"/>
    <n v="0"/>
    <s v="n/a"/>
    <s v="n/a"/>
    <n v="0"/>
    <x v="2"/>
    <x v="4"/>
    <m/>
    <s v="ds"/>
    <s v="ss"/>
    <s v="topic-shift"/>
    <s v="contains_new"/>
    <m/>
    <m/>
    <n v="1"/>
    <x v="0"/>
    <s v="Yes"/>
    <n v="17"/>
    <s v="te"/>
    <n v="1"/>
    <n v="1"/>
    <x v="1"/>
    <s v="zero_recoverable"/>
    <s v="n/a"/>
    <n v="1"/>
    <n v="0"/>
  </r>
  <r>
    <s v="Heike 2.58"/>
    <s v="地下にのみ振舞ひなつて ( jige ni nomi furumai natte)"/>
    <s v=" behaving as mere provincial folk"/>
    <s v="振舞ひなつて"/>
    <s v="indicative"/>
    <s v="other"/>
    <s v="verb(compound)"/>
    <s v="intransitive"/>
    <s v="active"/>
    <s v="positive"/>
    <n v="1"/>
    <n v="1"/>
    <s v="IO"/>
    <n v="0"/>
    <s v="zero_recoverable"/>
    <n v="3"/>
    <s v="n/a"/>
    <s v="overt"/>
    <n v="0"/>
    <n v="0"/>
    <s v="n/a"/>
    <s v="te"/>
    <n v="0"/>
    <n v="0"/>
    <s v="n/a"/>
    <s v="n/a"/>
    <n v="0"/>
    <x v="1"/>
    <x v="3"/>
    <s v="te_medial"/>
    <s v="ss"/>
    <s v="ss"/>
    <s v="topic-drop"/>
    <s v="contains_new"/>
    <m/>
    <m/>
    <n v="1"/>
    <x v="0"/>
    <s v="Yes"/>
    <n v="18"/>
    <s v="subordinate"/>
    <n v="1"/>
    <n v="2"/>
    <x v="1"/>
    <s v="zero_recoverable"/>
    <s v="n/a"/>
    <n v="0"/>
    <n v="0"/>
  </r>
  <r>
    <s v="Heike 2.59"/>
    <s v="伊勢国に住国深かりしかば  (Ise no kuni ni sumikoku fukakarishikaba)"/>
    <s v="and as they lived deep in Ise province, they likened him to the vessels of that province"/>
    <s v="深かりしかば"/>
    <s v="indicative"/>
    <s v="psych-state"/>
    <s v="adjectival predicate"/>
    <s v="intransitive"/>
    <s v="active"/>
    <s v="positive"/>
    <n v="1"/>
    <n v="1"/>
    <s v="SUB"/>
    <n v="1"/>
    <s v="zero_recoverable"/>
    <n v="3"/>
    <s v="n/a"/>
    <s v="n/a"/>
    <n v="0"/>
    <n v="0"/>
    <s v="n/a"/>
    <s v="subordinate"/>
    <n v="0"/>
    <n v="0"/>
    <s v="n/a"/>
    <s v="n/a"/>
    <n v="0"/>
    <x v="3"/>
    <x v="2"/>
    <m/>
    <s v="ss"/>
    <s v="ds"/>
    <s v="topic-drop"/>
    <s v="contains_new"/>
    <m/>
    <m/>
    <n v="1"/>
    <x v="0"/>
    <s v="Yes"/>
    <n v="18"/>
    <s v="te"/>
    <n v="1"/>
    <n v="3"/>
    <x v="1"/>
    <s v="zero_uncertain"/>
    <s v="zero_uncertain"/>
    <n v="0"/>
    <n v="0"/>
  </r>
  <r>
    <s v="Heike 2.60"/>
    <s v="その国の器に言寄せて"/>
    <s v="sono kuni no utsuwa ni kotoyosete)"/>
    <s v="言寄せて"/>
    <s v="indicative"/>
    <s v="communication"/>
    <s v="verb"/>
    <s v="ditransitive"/>
    <s v="active"/>
    <s v="positive"/>
    <n v="1"/>
    <n v="1"/>
    <s v="IO"/>
    <n v="0"/>
    <s v="zero_uncertain"/>
    <n v="3"/>
    <s v="zero_uncertain"/>
    <s v="overt"/>
    <n v="0"/>
    <n v="0"/>
    <s v="n/a"/>
    <s v="te"/>
    <n v="0"/>
    <n v="0"/>
    <s v="n/a"/>
    <s v="n/a"/>
    <n v="0"/>
    <x v="1"/>
    <x v="4"/>
    <s v="te_medial"/>
    <s v="ds"/>
    <s v="ss"/>
    <s v="topic-drop"/>
    <s v="contains_new"/>
    <m/>
    <m/>
    <n v="1"/>
    <x v="0"/>
    <s v="Yes"/>
    <n v="18"/>
    <s v="main"/>
    <n v="1"/>
    <n v="4"/>
    <x v="1"/>
    <s v="zero_recoverable"/>
    <s v="n/a"/>
    <n v="0"/>
    <n v="0"/>
  </r>
  <r>
    <s v="Heike 2.61"/>
    <s v="伊勢平氏とぞ囃されける (Ise Heishi to zo hayasarekeru)"/>
    <s v="so they mocked him as 'Ise Heishi'"/>
    <s v="囃されける"/>
    <s v="indicative"/>
    <s v="action"/>
    <s v="verb"/>
    <s v="intransitive"/>
    <s v="passive"/>
    <s v="positive"/>
    <n v="1"/>
    <n v="1"/>
    <s v="O (Speech)"/>
    <n v="0"/>
    <s v="zero_recoverable"/>
    <n v="3"/>
    <s v="n/a"/>
    <s v="overt"/>
    <n v="0"/>
    <n v="0"/>
    <s v="kakari-musubi"/>
    <s v="main"/>
    <n v="0"/>
    <n v="0"/>
    <s v="n/a"/>
    <s v="n/a"/>
    <n v="0"/>
    <x v="2"/>
    <x v="2"/>
    <m/>
    <s v="ss"/>
    <s v="ds"/>
    <s v="topic-drop"/>
    <s v="contains_new"/>
    <m/>
    <m/>
    <n v="1"/>
    <x v="0"/>
    <s v="Yes"/>
    <n v="18"/>
    <s v="subordinate"/>
    <n v="1"/>
    <n v="1"/>
    <x v="1"/>
    <s v="overt"/>
    <s v="n/a"/>
    <n v="0"/>
    <n v="0"/>
  </r>
  <r>
    <s v="Heike 2.62"/>
    <s v="その上忠盛目の眇まれたりける故にこそ (sono ue Tadamori me no sugamaretari keru yue ni koso)"/>
    <s v="moreover, because Tadamori's eyes were squinted, "/>
    <s v="眇まれたりける"/>
    <s v="indicative"/>
    <s v="action"/>
    <s v="verb"/>
    <s v="intransitive"/>
    <s v="active"/>
    <s v="positive"/>
    <n v="1"/>
    <n v="1"/>
    <s v="SUB"/>
    <n v="1"/>
    <s v="overt"/>
    <n v="3"/>
    <s v="n/a"/>
    <s v="n/a"/>
    <n v="0"/>
    <n v="1"/>
    <s v="REL"/>
    <s v="subordinate"/>
    <n v="0"/>
    <n v="0"/>
    <s v="n/a"/>
    <s v="n/a"/>
    <n v="0"/>
    <x v="3"/>
    <x v="3"/>
    <m/>
    <s v="ds"/>
    <s v="ss"/>
    <s v="topic-continued"/>
    <s v="contains_new"/>
    <m/>
    <m/>
    <n v="1"/>
    <x v="0"/>
    <s v="Yes"/>
    <n v="19"/>
    <m/>
    <n v="1"/>
    <n v="2"/>
    <x v="0"/>
    <s v="zero_recoverable"/>
    <s v="n/a"/>
    <n v="1"/>
    <n v="0"/>
  </r>
  <r>
    <s v="Heike 2.63"/>
    <s v="かやうには囃されけるなれ  (kayō ni wa hayasarekeru nare)"/>
    <s v="he was mocked in such a way"/>
    <s v="囃されけるなれ"/>
    <s v="indicative"/>
    <s v="other"/>
    <s v="verb"/>
    <s v="intransitive"/>
    <s v="passive"/>
    <s v="positive"/>
    <n v="1"/>
    <n v="0"/>
    <s v="n/a"/>
    <n v="0"/>
    <s v="zero_recoverable"/>
    <n v="3"/>
    <s v="n/a"/>
    <s v="n/a"/>
    <n v="0"/>
    <n v="0"/>
    <s v="kakari-musubi"/>
    <s v="main"/>
    <n v="0"/>
    <n v="0"/>
    <s v="n/a"/>
    <s v="n/a"/>
    <n v="0"/>
    <x v="2"/>
    <x v="4"/>
    <m/>
    <s v="ss"/>
    <s v="ss"/>
    <s v="topic-drop"/>
    <s v="no_overt_NP"/>
    <m/>
    <m/>
    <n v="0"/>
    <x v="0"/>
    <s v="Yes"/>
    <n v="19"/>
    <m/>
    <n v="1"/>
    <n v="1"/>
    <x v="1"/>
    <s v="overt"/>
    <s v="overt"/>
    <n v="0"/>
    <n v="0"/>
  </r>
  <r>
    <s v="Heike 2.64"/>
    <s v="忠盛何とすべきやうもなくして (Tadamori nan to subeki yō mo nakushite)"/>
    <s v="Tadamori, having no way of dealing with the situation,"/>
    <s v="なくして"/>
    <s v="indicative"/>
    <s v="other"/>
    <s v="verb"/>
    <s v="transitive"/>
    <s v="active"/>
    <s v="negative"/>
    <n v="1"/>
    <n v="2"/>
    <s v="S+O"/>
    <n v="0"/>
    <s v="overt"/>
    <n v="3"/>
    <s v="overt"/>
    <s v="n/a"/>
    <n v="0"/>
    <n v="0"/>
    <s v="n/a"/>
    <s v="te"/>
    <n v="0"/>
    <n v="0"/>
    <s v="n/a"/>
    <s v="n/a"/>
    <n v="0"/>
    <x v="1"/>
    <x v="3"/>
    <s v="te_initial"/>
    <s v="ss"/>
    <s v="ds"/>
    <s v="topic-continued"/>
    <s v="contains_new"/>
    <m/>
    <m/>
    <n v="2"/>
    <x v="0"/>
    <s v="Yes"/>
    <n v="20"/>
    <s v="subordinate"/>
    <n v="1"/>
    <n v="2"/>
    <x v="0"/>
    <s v="overt"/>
    <s v="n/a"/>
    <n v="0"/>
    <n v="0"/>
  </r>
  <r>
    <s v="Heike 2.65"/>
    <s v="御遊も未だ終らざる前に (gyoyū mo mada owarazaru mae ni)"/>
    <s v="before the entertainment had ended,"/>
    <s v="終らざる"/>
    <s v="indicative"/>
    <s v="other"/>
    <s v="verb"/>
    <s v="intransitive"/>
    <s v="active"/>
    <s v="negative"/>
    <n v="1"/>
    <n v="1"/>
    <s v="SUB"/>
    <n v="1"/>
    <s v="overt"/>
    <n v="3"/>
    <s v="n/a"/>
    <s v="n/a"/>
    <n v="0"/>
    <n v="1"/>
    <s v="REL"/>
    <s v="subordinate"/>
    <n v="0"/>
    <n v="0"/>
    <s v="n/a"/>
    <s v="n/a"/>
    <n v="0"/>
    <x v="0"/>
    <x v="2"/>
    <m/>
    <s v="ds"/>
    <s v="ds"/>
    <s v="topic-drop"/>
    <s v="contains_new"/>
    <m/>
    <m/>
    <n v="1"/>
    <x v="0"/>
    <s v="Yes"/>
    <n v="20"/>
    <m/>
    <n v="1"/>
    <n v="3"/>
    <x v="1"/>
    <s v="zero_exalt"/>
    <s v="n/a"/>
    <n v="1"/>
    <n v="0"/>
  </r>
  <r>
    <s v="Heike 2.66"/>
    <s v="密かに罷り出でらるとて (hisokani makari ideraru tote)"/>
    <s v="he secretly left the Presence,"/>
    <s v="罷り出でらる"/>
    <s v="indicative"/>
    <s v="motion"/>
    <s v="verb"/>
    <s v="intransitive"/>
    <s v="active"/>
    <s v="positive"/>
    <n v="1"/>
    <n v="0"/>
    <s v="n/a"/>
    <n v="1"/>
    <s v="zero_exalt"/>
    <n v="3"/>
    <s v="n/a"/>
    <s v="n/a"/>
    <n v="0"/>
    <n v="0"/>
    <s v="REL"/>
    <s v="subordinate"/>
    <n v="0"/>
    <n v="1"/>
    <s v="sub"/>
    <s v="honorific_aux+lexical_honorific_verb"/>
    <n v="0"/>
    <x v="0"/>
    <x v="4"/>
    <m/>
    <s v="ds"/>
    <s v="ss"/>
    <s v="topic-drop"/>
    <s v="no_overt_NP"/>
    <m/>
    <m/>
    <n v="0"/>
    <x v="0"/>
    <s v="Yes"/>
    <n v="20"/>
    <s v="te"/>
    <n v="1"/>
    <n v="4"/>
    <x v="1"/>
    <s v="zero_recoverable"/>
    <s v="n/a"/>
    <n v="0"/>
    <n v="0"/>
  </r>
  <r>
    <s v="Heike 2.67"/>
    <s v="紫宸殿の御後にして (Shishinden no o-ato ni shite)"/>
    <s v="and going behind the Shishinden,"/>
    <s v="後にして"/>
    <s v="indicative"/>
    <s v="other"/>
    <s v="LVC (j)"/>
    <s v="intransitive"/>
    <s v="active"/>
    <s v="positive"/>
    <n v="1"/>
    <n v="0"/>
    <s v="n/a"/>
    <n v="1"/>
    <s v="zero_recoverable"/>
    <n v="3"/>
    <s v="n/a"/>
    <s v="n/a"/>
    <n v="0"/>
    <n v="0"/>
    <s v="n/a"/>
    <s v="te"/>
    <n v="0"/>
    <n v="0"/>
    <s v="n/a"/>
    <s v="n/a"/>
    <n v="0"/>
    <x v="1"/>
    <x v="4"/>
    <s v="te_medial"/>
    <s v="ss"/>
    <s v="ds"/>
    <s v="topic-drop"/>
    <s v="no_overt_NP"/>
    <m/>
    <m/>
    <n v="0"/>
    <x v="1"/>
    <s v="Yes"/>
    <n v="20"/>
    <m/>
    <n v="1"/>
    <m/>
    <x v="1"/>
    <s v="overt"/>
    <s v="zero_recoverable"/>
    <n v="0"/>
    <n v="0"/>
  </r>
  <r>
    <s v="Heike 2.68"/>
    <s v="かたへの殿上人の見られける (kata e no tenjōbito no mirarekeru)"/>
    <s v=" the court nobles could see him,"/>
    <s v="見られける"/>
    <s v="indicative"/>
    <s v="action"/>
    <s v="verb"/>
    <s v="transitive"/>
    <s v="active"/>
    <s v="positive"/>
    <n v="1"/>
    <n v="1"/>
    <s v="SUB"/>
    <n v="0"/>
    <s v="overt"/>
    <n v="3"/>
    <s v="zero_recoverable"/>
    <s v="n/a"/>
    <n v="0"/>
    <n v="1"/>
    <s v="REL"/>
    <s v="relative"/>
    <n v="1"/>
    <n v="0"/>
    <s v="sub"/>
    <s v="honorific_aux"/>
    <n v="0"/>
    <x v="2"/>
    <x v="2"/>
    <m/>
    <s v="ds"/>
    <s v="ss"/>
    <s v="topic-introduced"/>
    <s v="contains_new"/>
    <m/>
    <m/>
    <n v="1"/>
    <x v="0"/>
    <s v="Yes"/>
    <n v="20"/>
    <s v="te"/>
    <n v="0"/>
    <n v="5"/>
    <x v="1"/>
    <s v="zero_exalt"/>
    <s v="overt"/>
    <n v="1"/>
    <n v="0"/>
  </r>
  <r>
    <s v="Heike 2.69"/>
    <s v="所にて主殿司を召して (tokoro nite tonomotsukasa o meshite azukeokite zo iderarekeru)"/>
    <s v="in a place where… he summoned the Tonomotsukasa, "/>
    <s v="召して "/>
    <s v="indicative"/>
    <s v="action"/>
    <s v="verb"/>
    <s v="transitive"/>
    <s v="active"/>
    <s v="positive"/>
    <n v="1"/>
    <n v="1"/>
    <s v="OBJ"/>
    <n v="1"/>
    <s v="zero_exalt"/>
    <n v="3"/>
    <s v="overt"/>
    <s v="n/a"/>
    <n v="0"/>
    <n v="0"/>
    <s v="n/a"/>
    <s v="te"/>
    <n v="0"/>
    <n v="1"/>
    <s v="sub"/>
    <s v="lexical_honorific_verb"/>
    <n v="0"/>
    <x v="1"/>
    <x v="1"/>
    <s v="te_medial"/>
    <s v="ss"/>
    <s v="ss"/>
    <s v="topic-drop"/>
    <s v="contains_new"/>
    <m/>
    <m/>
    <n v="1"/>
    <x v="0"/>
    <s v="Yes"/>
    <n v="20"/>
    <m/>
    <n v="1"/>
    <n v="6"/>
    <x v="1"/>
    <s v="zero_recoverable"/>
    <s v="zero_recoverable"/>
    <n v="0"/>
    <n v="1"/>
  </r>
  <r>
    <s v="Heike 2.70"/>
    <s v="預け置きてぞ"/>
    <s v=" entrusted [his sword]"/>
    <s v="預け置きて"/>
    <s v="indicative"/>
    <s v="other"/>
    <s v="verb"/>
    <s v="transitive"/>
    <s v="active"/>
    <s v="positive"/>
    <n v="1"/>
    <n v="0"/>
    <s v="n/a"/>
    <n v="0"/>
    <s v="zero_recoverable"/>
    <n v="3"/>
    <s v="zero_recoverable"/>
    <s v="n/a"/>
    <n v="0"/>
    <n v="0"/>
    <s v="n/a"/>
    <s v="te"/>
    <n v="0"/>
    <n v="0"/>
    <s v="n/a"/>
    <s v="n/a"/>
    <n v="0"/>
    <x v="2"/>
    <x v="2"/>
    <s v="te_medial"/>
    <s v="ss"/>
    <s v="ss"/>
    <s v="topic-drop"/>
    <s v="no_overt_NP"/>
    <m/>
    <m/>
    <n v="0"/>
    <x v="0"/>
    <s v="Yes"/>
    <n v="20"/>
    <s v="main"/>
    <n v="1"/>
    <n v="7"/>
    <x v="1"/>
    <s v="zero_exalt"/>
    <s v="n/a"/>
    <n v="0"/>
    <n v="0"/>
  </r>
  <r>
    <s v="Heike 2.71"/>
    <s v="出でられける"/>
    <s v="and left,"/>
    <s v="出でられける"/>
    <s v="indicative"/>
    <s v="motion"/>
    <s v="verb"/>
    <s v="intransitive"/>
    <s v="active"/>
    <s v="positive"/>
    <n v="1"/>
    <n v="0"/>
    <s v="n/a"/>
    <n v="0"/>
    <s v="zero_exalt"/>
    <n v="3"/>
    <s v="n/a"/>
    <s v="n/a"/>
    <n v="0"/>
    <n v="0"/>
    <s v="n/a"/>
    <s v="main"/>
    <n v="0"/>
    <n v="1"/>
    <s v="sub"/>
    <s v="honorific_aux"/>
    <n v="0"/>
    <x v="2"/>
    <x v="2"/>
    <m/>
    <s v="ss"/>
    <s v="ds"/>
    <s v="topic-drop"/>
    <s v="no_overt_NP"/>
    <m/>
    <m/>
    <n v="0"/>
    <x v="0"/>
    <s v="Yes"/>
    <n v="20"/>
    <m/>
    <n v="1"/>
    <n v="1"/>
    <x v="1"/>
    <s v="overt"/>
    <s v="zero_recoverable"/>
    <n v="0"/>
    <n v="0"/>
  </r>
  <r>
    <s v="Heike 2.72"/>
    <s v="家貞待ち受け奉りて (Iesada machi-uke tatemawari-te)"/>
    <s v="Iesada, who was waiting for his lord,"/>
    <s v="待ち受け奉りて"/>
    <s v="indicative"/>
    <s v="action"/>
    <s v="verb(complex)"/>
    <s v="transitive"/>
    <s v="active"/>
    <s v="positive"/>
    <n v="1"/>
    <n v="1"/>
    <s v="SUB"/>
    <n v="0"/>
    <s v="overt"/>
    <n v="3"/>
    <s v="zero_recoverable"/>
    <s v="n/a"/>
    <n v="0"/>
    <n v="0"/>
    <s v="n/a"/>
    <s v="te"/>
    <n v="1"/>
    <n v="0"/>
    <s v="sub"/>
    <s v="lexical_humble_verb"/>
    <n v="0"/>
    <x v="1"/>
    <x v="3"/>
    <s v="te_initial"/>
    <s v="ds"/>
    <s v="ss"/>
    <s v="topic-shift"/>
    <s v="contains_new"/>
    <m/>
    <m/>
    <n v="1"/>
    <x v="0"/>
    <s v="Yes"/>
    <n v="21"/>
    <m/>
    <n v="1"/>
    <n v="2"/>
    <x v="0"/>
    <s v="zero_other"/>
    <s v="n/a"/>
    <n v="1"/>
    <n v="0"/>
  </r>
  <r>
    <s v="Heike 2.73"/>
    <s v="さていかが候ひつると (sate ikaga soroitsuru to)"/>
    <s v="&quot;What has happened?&quot; he asked."/>
    <s v="候ひつる"/>
    <s v="indicative"/>
    <s v="other"/>
    <s v="verb"/>
    <s v="intransitive"/>
    <s v="active"/>
    <s v="positive"/>
    <n v="1"/>
    <n v="0"/>
    <s v="n/a"/>
    <n v="1"/>
    <s v="zero_other"/>
    <n v="3"/>
    <s v="n/a"/>
    <s v="n/a"/>
    <n v="0"/>
    <n v="0"/>
    <s v="REL"/>
    <s v="complement"/>
    <n v="0"/>
    <n v="0"/>
    <s v="n/a"/>
    <s v="polite_aux"/>
    <n v="0"/>
    <x v="4"/>
    <x v="2"/>
    <m/>
    <s v="ss"/>
    <s v="ss"/>
    <s v="topic-drop"/>
    <s v="no_overt_NP"/>
    <m/>
    <m/>
    <n v="0"/>
    <x v="0"/>
    <s v="Yes"/>
    <n v="21"/>
    <m/>
    <n v="1"/>
    <n v="3"/>
    <x v="1"/>
    <s v="zero_exalt"/>
    <s v="overt"/>
    <n v="0"/>
    <n v="0"/>
  </r>
  <r>
    <s v="Heike 2.74"/>
    <s v="申されければ (mōsarekeru ba)"/>
    <s v="he was asked,"/>
    <s v="申されける"/>
    <s v="indicative"/>
    <s v="action"/>
    <s v="verb"/>
    <s v="intransitive"/>
    <s v="passive"/>
    <s v="positive"/>
    <n v="1"/>
    <n v="1"/>
    <s v="O (Speech)"/>
    <n v="0"/>
    <s v="zero_exalt"/>
    <n v="3"/>
    <s v="overt"/>
    <s v="n/a"/>
    <n v="0"/>
    <n v="0"/>
    <s v="n/a"/>
    <s v="main"/>
    <n v="0"/>
    <n v="1"/>
    <s v="sub"/>
    <s v="honorific_aux+lexical_humble_verb"/>
    <n v="0"/>
    <x v="0"/>
    <x v="7"/>
    <m/>
    <s v="ss"/>
    <s v="ss"/>
    <s v="topic-drop"/>
    <s v="contains_new"/>
    <m/>
    <m/>
    <n v="1"/>
    <x v="0"/>
    <s v="Yes"/>
    <n v="21"/>
    <m/>
    <n v="1"/>
    <n v="1"/>
    <x v="1"/>
    <s v="zero_other"/>
    <s v="not_applicable"/>
    <n v="0"/>
    <n v="0"/>
  </r>
  <r>
    <s v="Heike 2.75"/>
    <s v="かくとも云はまほしう"/>
    <s v="to tell him"/>
    <s v="云はまほしう"/>
    <s v="desiderative"/>
    <s v="other"/>
    <s v="verb"/>
    <s v="intransitive"/>
    <s v="active"/>
    <s v="positive"/>
    <n v="1"/>
    <n v="0"/>
    <s v="n/a"/>
    <n v="1"/>
    <s v="zero_other"/>
    <n v="3"/>
    <s v="n/a"/>
    <s v="n/a"/>
    <n v="0"/>
    <n v="0"/>
    <s v="n/a"/>
    <s v="main"/>
    <n v="0"/>
    <n v="0"/>
    <s v="n/a"/>
    <s v="n/a"/>
    <n v="0"/>
    <x v="2"/>
    <x v="3"/>
    <m/>
    <s v="ss"/>
    <s v="ss"/>
    <s v="topic-drop"/>
    <s v="no_overt_NP"/>
    <m/>
    <m/>
    <n v="0"/>
    <x v="0"/>
    <s v="Yes"/>
    <n v="22"/>
    <m/>
    <n v="1"/>
    <n v="1"/>
    <x v="1"/>
    <s v="zero_other"/>
    <s v="overt"/>
    <n v="0"/>
    <n v="0"/>
  </r>
  <r>
    <s v="Heike 2.76"/>
    <s v="思はれけれども (kakutomo iwamahoshū omowarekeredomo)"/>
    <s v="although he greatly wished,"/>
    <s v="思はれけれども"/>
    <s v="indicative"/>
    <s v="psych-state"/>
    <s v="verb"/>
    <s v="transitive"/>
    <s v="active"/>
    <s v="positive"/>
    <n v="1"/>
    <n v="1"/>
    <s v="O (Speech)"/>
    <n v="1"/>
    <s v="zero_other"/>
    <n v="3"/>
    <s v="overt"/>
    <s v="n/a"/>
    <n v="0"/>
    <n v="0"/>
    <s v="n/a"/>
    <s v="main"/>
    <n v="0"/>
    <n v="0"/>
    <s v="n/a"/>
    <s v="n/a"/>
    <n v="0"/>
    <x v="9"/>
    <x v="3"/>
    <m/>
    <s v="ss"/>
    <s v="ss"/>
    <s v="topic-drop"/>
    <s v="contains_new"/>
    <s v="Psych predicate; かくとも as adjunct."/>
    <m/>
    <n v="1"/>
    <x v="0"/>
    <s v="Yes"/>
    <n v="23"/>
    <m/>
    <n v="1"/>
    <n v="1"/>
    <x v="1"/>
    <s v="zero_other"/>
    <s v="zero_recoverable"/>
    <n v="0"/>
    <n v="1"/>
  </r>
  <r>
    <s v="Heike 2.77"/>
    <s v="云ひつるほどならば (iitsuru hodo naraba)"/>
    <s v="seeing that, if he told him,"/>
    <s v="云ひつる"/>
    <s v="indicative"/>
    <s v="other"/>
    <s v="verb"/>
    <s v="transitive"/>
    <s v="active"/>
    <s v="positive"/>
    <n v="1"/>
    <n v="0"/>
    <s v="n/a"/>
    <n v="0"/>
    <s v="zero_other"/>
    <n v="3"/>
    <s v="zero_recoverable"/>
    <s v="n/a"/>
    <n v="0"/>
    <n v="1"/>
    <s v="REL"/>
    <s v="subordinate"/>
    <n v="0"/>
    <n v="0"/>
    <s v="n/a"/>
    <s v="n/a"/>
    <n v="0"/>
    <x v="10"/>
    <x v="3"/>
    <m/>
    <s v="ss"/>
    <s v="ds"/>
    <s v="topic-drop"/>
    <s v="no_overt_NP"/>
    <m/>
    <m/>
    <n v="0"/>
    <x v="0"/>
    <s v="Yes"/>
    <n v="24"/>
    <s v="relative"/>
    <n v="1"/>
    <m/>
    <x v="1"/>
    <s v="zero_recoverable"/>
    <s v="n/a"/>
    <n v="0"/>
    <n v="0"/>
  </r>
  <r>
    <s v="Heike 2.78"/>
    <s v="やがて殿上までも斬り上らんずる  yagate tenjō made mo kiriagaranzuru "/>
    <s v="who would even do violence in the Palace itself,"/>
    <s v="斬り上らんずる"/>
    <s v="dynamic"/>
    <s v="other"/>
    <s v="verb"/>
    <s v="intransitive"/>
    <s v="active"/>
    <s v="positive"/>
    <n v="1"/>
    <n v="0"/>
    <s v="n/a"/>
    <n v="2"/>
    <s v="zero_recoverable"/>
    <n v="3"/>
    <s v="n/a"/>
    <s v="n/a"/>
    <n v="1"/>
    <n v="0"/>
    <s v="REL"/>
    <s v="relative"/>
    <n v="0"/>
    <n v="0"/>
    <s v="n/a"/>
    <s v="n/a"/>
    <n v="0"/>
    <x v="2"/>
    <x v="4"/>
    <m/>
    <s v="ds"/>
    <s v="ss"/>
    <s v="topic-drop"/>
    <s v="no_overt_NP"/>
    <m/>
    <m/>
    <n v="0"/>
    <x v="0"/>
    <s v="Yes"/>
    <n v="24"/>
    <s v="subordinate"/>
    <n v="0"/>
    <n v="2"/>
    <x v="1"/>
    <s v="zero_recoverable"/>
    <s v="n/a"/>
    <n v="0"/>
    <n v="0"/>
  </r>
  <r>
    <s v="Heike 2.79"/>
    <s v="者の面魂にてある間 mono no omodamashii nite aru aida"/>
    <s v="he appeared as one "/>
    <s v="にてある"/>
    <s v="indicative"/>
    <s v="other"/>
    <s v="copula"/>
    <s v="intransitive"/>
    <s v="active"/>
    <s v="positive"/>
    <n v="1"/>
    <n v="0"/>
    <s v="n/a"/>
    <n v="0"/>
    <s v="zero_recoverable"/>
    <n v="3"/>
    <s v="n/a"/>
    <s v="n/a"/>
    <n v="0"/>
    <n v="0"/>
    <s v="REL"/>
    <s v="subordinate"/>
    <n v="0"/>
    <n v="0"/>
    <s v="n/a"/>
    <s v="n/a"/>
    <n v="0"/>
    <x v="0"/>
    <x v="1"/>
    <m/>
    <s v="ss"/>
    <s v="ds"/>
    <s v="topic-drop"/>
    <s v="no_overt_NP"/>
    <m/>
    <m/>
    <n v="0"/>
    <x v="0"/>
    <s v="Yes"/>
    <n v="24"/>
    <m/>
    <n v="1"/>
    <n v="3"/>
    <x v="1"/>
    <s v="overt"/>
    <s v="n/a"/>
    <n v="0"/>
    <n v="0"/>
  </r>
  <r>
    <s v="Heike 2.80"/>
    <s v="別の事なし (betsu no koto nashi)"/>
    <s v="nothing out of the ordinary had taken place."/>
    <s v="なし"/>
    <s v="indicative"/>
    <s v="other"/>
    <s v="existential verb"/>
    <s v="intransitive"/>
    <s v="active"/>
    <s v="negative"/>
    <n v="1"/>
    <n v="1"/>
    <s v="SUB"/>
    <n v="0"/>
    <s v="overt"/>
    <n v="3"/>
    <s v="n/a"/>
    <s v="n/a"/>
    <n v="0"/>
    <n v="0"/>
    <s v="n/a"/>
    <s v="main"/>
    <n v="0"/>
    <n v="0"/>
    <s v="n/a"/>
    <s v="n/a"/>
    <n v="0"/>
    <x v="2"/>
    <x v="4"/>
    <m/>
    <s v="ds"/>
    <s v="ds"/>
    <s v="topic-drop"/>
    <s v="contains_new"/>
    <s v="Subject = 別の事."/>
    <m/>
    <n v="1"/>
    <x v="0"/>
    <s v="Yes"/>
    <n v="24"/>
    <s v="subordinate"/>
    <n v="1"/>
    <n v="1"/>
    <x v="1"/>
    <s v="zero_exalt"/>
    <s v="overt"/>
    <n v="1"/>
    <n v="0"/>
  </r>
  <r>
    <s v="Heike 2.81"/>
    <s v="五節には白薄様濃染紙の紙巻上の筆巴書いたる筆の軸など様々かやうに面白き事をのみこそ歌ひ舞はるるに (gosechi ni wa shirauzusama kozomegami no kamimaki ue no fude tomoe kaitaru fude no jiku nado samazama kayō ni omoshiroki koto o nomi koso utai mawaruru ni)"/>
    <s v="In the Go-sechie festival only such pleasing things as white paper, Shuzenji paper, wrapped brushes, or writing brushes with a tomoe on the stem were customarily sung and danced,"/>
    <s v="歌ひ舞はるる"/>
    <s v="indicative"/>
    <s v="other"/>
    <s v="verb(compound)"/>
    <s v="transitive"/>
    <s v="active"/>
    <s v="positive"/>
    <n v="1"/>
    <n v="1"/>
    <s v="OBJ"/>
    <n v="2"/>
    <s v="zero_exalt"/>
    <n v="3"/>
    <s v="overt"/>
    <s v="n/a"/>
    <n v="0"/>
    <n v="0"/>
    <s v="REL"/>
    <s v="subordinate"/>
    <n v="0"/>
    <n v="1"/>
    <s v="sub"/>
    <s v="honorific_aux"/>
    <n v="0"/>
    <x v="9"/>
    <x v="3"/>
    <m/>
    <s v="ds"/>
    <s v="ds"/>
    <s v="topic-shift"/>
    <s v="contains_new"/>
    <s v="Passive/respect; subject omitted; object 面白き事を overt."/>
    <m/>
    <n v="1"/>
    <x v="0"/>
    <s v="Yes"/>
    <n v="25"/>
    <s v="main"/>
    <n v="1"/>
    <n v="2"/>
    <x v="0"/>
    <s v="overt"/>
    <s v="n/a"/>
    <n v="0"/>
    <n v="0"/>
  </r>
  <r>
    <s v="Heike 2.82"/>
    <s v="中比太宰権帥季仲卿といふ人ありけり (chūbi Dazai gon no so Sukechika kyō to iu hito arikeri)"/>
    <s v="but there was a certain Dazai Gon-no-sotsu Suenaka no Kyo,"/>
    <s v="ありけり"/>
    <s v="indicative"/>
    <s v="stative"/>
    <s v="existential verb"/>
    <s v="intransitive"/>
    <s v="active"/>
    <s v="positive"/>
    <n v="1"/>
    <n v="1"/>
    <s v="SUB"/>
    <n v="1"/>
    <s v="overt"/>
    <n v="3"/>
    <s v="n/a"/>
    <s v="n/a"/>
    <n v="0"/>
    <n v="0"/>
    <s v="n/a"/>
    <s v="main"/>
    <n v="0"/>
    <n v="0"/>
    <s v="n/a"/>
    <s v="n/a"/>
    <n v="0"/>
    <x v="2"/>
    <x v="4"/>
    <m/>
    <s v="ds"/>
    <s v="ds"/>
    <s v="topic-introduced"/>
    <s v="contains_new"/>
    <s v="frame predicate"/>
    <m/>
    <n v="1"/>
    <x v="0"/>
    <s v="Yes"/>
    <n v="25"/>
    <s v="subordinate"/>
    <n v="1"/>
    <n v="1"/>
    <x v="1"/>
    <s v="overt"/>
    <s v="n/a"/>
    <n v="0"/>
    <n v="0"/>
  </r>
  <r>
    <s v="Heike 2.83"/>
    <s v="あまりに色の黒かりければ (amari ni iro no kurokarikereba)"/>
    <s v="who was of so dark a complexion that"/>
    <s v="黒かりければ"/>
    <s v="indicative"/>
    <s v="other"/>
    <s v="adjectival predicate"/>
    <s v="intransitive"/>
    <s v="active"/>
    <s v="positive"/>
    <n v="1"/>
    <n v="1"/>
    <s v="SUB"/>
    <n v="1"/>
    <s v="overt"/>
    <n v="3"/>
    <s v="n/a"/>
    <s v="n/a"/>
    <n v="0"/>
    <n v="0"/>
    <s v="n/a"/>
    <s v="subordinate"/>
    <n v="0"/>
    <n v="0"/>
    <s v="n/a"/>
    <s v="n/a"/>
    <n v="0"/>
    <x v="3"/>
    <x v="3"/>
    <m/>
    <s v="ds"/>
    <s v="ds"/>
    <s v="topic-drop"/>
    <s v="contains_new"/>
    <s v="Adjectival predicate; subject = 色."/>
    <m/>
    <n v="1"/>
    <x v="0"/>
    <s v="Yes"/>
    <n v="26"/>
    <s v="main"/>
    <n v="1"/>
    <n v="2"/>
    <x v="1"/>
    <s v="overt"/>
    <s v="overt"/>
    <n v="0"/>
    <n v="0"/>
  </r>
  <r>
    <s v="Heike 2.84"/>
    <s v="見る人黒帥とぞ申しける (miru hito kurosotsu to zo mōshikeru)"/>
    <s v="people called him 'kuro-sotsu',"/>
    <s v="申しける"/>
    <s v="indicative"/>
    <s v="action"/>
    <s v="verb"/>
    <s v="transitive"/>
    <s v="active"/>
    <s v="positive"/>
    <n v="1"/>
    <n v="2"/>
    <s v="S+O"/>
    <n v="0"/>
    <s v="overt"/>
    <n v="3"/>
    <s v="overt"/>
    <s v="n/a"/>
    <n v="0"/>
    <n v="0"/>
    <s v="n/a"/>
    <s v="main"/>
    <n v="1"/>
    <n v="0"/>
    <s v="n/a"/>
    <s v="lexical_humble_verb"/>
    <n v="0"/>
    <x v="2"/>
    <x v="4"/>
    <m/>
    <s v="ds"/>
    <s v="ss"/>
    <s v="topic-drop"/>
    <s v="contains_new"/>
    <s v="申す humble; subject overt; counted as EXALT INSIG."/>
    <m/>
    <n v="2"/>
    <x v="0"/>
    <s v="Yes"/>
    <n v="26"/>
    <m/>
    <n v="1"/>
    <n v="1"/>
    <x v="1"/>
    <s v="overt"/>
    <s v="n/a"/>
    <n v="0"/>
    <n v="0"/>
  </r>
  <r>
    <s v="Heike 2.85"/>
    <s v="その人未だ蔵人頭たりし時 (sono hito imada kurōdo no tō tarishi toki)"/>
    <s v="and while he was still Kurando-no-to, "/>
    <s v="たりし"/>
    <s v="indicative"/>
    <s v="stative"/>
    <s v="copula"/>
    <s v="intransitive"/>
    <s v="active"/>
    <s v="positive"/>
    <n v="1"/>
    <n v="1"/>
    <s v="SUB"/>
    <n v="0"/>
    <s v="overt"/>
    <n v="3"/>
    <s v="n/a"/>
    <s v="n/a"/>
    <n v="0"/>
    <n v="0"/>
    <s v="REL"/>
    <s v="subordinate"/>
    <n v="0"/>
    <n v="0"/>
    <s v="n/a"/>
    <s v="honorific_aux"/>
    <n v="0"/>
    <x v="0"/>
    <x v="3"/>
    <m/>
    <s v="ss"/>
    <s v="ss"/>
    <s v="topic-continued"/>
    <s v="no_overt_NP"/>
    <m/>
    <m/>
    <n v="1"/>
    <x v="0"/>
    <s v="Yes"/>
    <n v="27"/>
    <s v="subordinate"/>
    <n v="1"/>
    <n v="2"/>
    <x v="1"/>
    <s v="zero_exalt"/>
    <s v="n/a"/>
    <n v="1"/>
    <n v="0"/>
  </r>
  <r>
    <s v="Heike 2.86"/>
    <s v="五節に舞はれけるに gosechi ni mawarekeru ni"/>
    <s v="when he danced at the Go-sechie,"/>
    <s v="舞はれける"/>
    <s v="indicative"/>
    <s v="action"/>
    <s v="verb"/>
    <s v="intransitive"/>
    <s v="active"/>
    <s v="positive"/>
    <n v="1"/>
    <n v="0"/>
    <s v="n/a"/>
    <n v="0"/>
    <s v="zero_exalt"/>
    <n v="3"/>
    <s v="n/a"/>
    <s v="n/a"/>
    <n v="0"/>
    <n v="0"/>
    <s v="REL"/>
    <s v="subordinate"/>
    <n v="0"/>
    <n v="1"/>
    <s v="sub"/>
    <s v="lexical_honorific_verb"/>
    <n v="0"/>
    <x v="0"/>
    <x v="4"/>
    <m/>
    <s v="ss"/>
    <s v="ds"/>
    <s v="topic-drop"/>
    <s v="no_overt_NP"/>
    <m/>
    <m/>
    <n v="0"/>
    <x v="0"/>
    <s v="Yes"/>
    <n v="27"/>
    <m/>
    <n v="1"/>
    <n v="3"/>
    <x v="1"/>
    <s v="overt"/>
    <s v="overt"/>
    <n v="0"/>
    <n v="0"/>
  </r>
  <r>
    <s v="Heike 2.87"/>
    <s v="人々拍子を変へて (hitobito hyōshi o kaete)"/>
    <s v="they changed the rhythm of the music"/>
    <s v="変へて"/>
    <s v="indicative"/>
    <s v="other"/>
    <s v="verb"/>
    <s v="transitive"/>
    <s v="active"/>
    <s v="positive"/>
    <n v="1"/>
    <n v="2"/>
    <s v="S+O"/>
    <n v="0"/>
    <s v="overt"/>
    <n v="3"/>
    <s v="overt"/>
    <s v="n/a"/>
    <n v="0"/>
    <n v="0"/>
    <s v="n/a"/>
    <s v="te"/>
    <n v="0"/>
    <n v="0"/>
    <s v="n/a"/>
    <s v="n/a"/>
    <n v="0"/>
    <x v="1"/>
    <x v="4"/>
    <s v="te_medial"/>
    <s v="ds"/>
    <s v="ss"/>
    <s v="topic-drop"/>
    <s v="contains_new"/>
    <m/>
    <m/>
    <n v="2"/>
    <x v="0"/>
    <s v="Yes"/>
    <n v="27"/>
    <s v="main"/>
    <n v="1"/>
    <n v="4"/>
    <x v="1"/>
    <s v="overt"/>
    <s v="n/a"/>
    <n v="0"/>
    <n v="0"/>
  </r>
  <r>
    <s v="Heike 2.88"/>
    <s v="あなくろくろ黒き頭かな (ana kuro kuro kuroki atama kana)"/>
    <s v="&quot;Oh what a black, black head!&quot;"/>
    <s v="N/A (exclamatory nominal clause)"/>
    <s v="indicative"/>
    <s v="other"/>
    <s v="none"/>
    <s v="intransitive"/>
    <m/>
    <m/>
    <n v="0"/>
    <n v="1"/>
    <s v="SUB"/>
    <n v="0"/>
    <s v="overt"/>
    <n v="3"/>
    <s v="n/a"/>
    <s v="n/a"/>
    <n v="0"/>
    <n v="0"/>
    <s v="n/a"/>
    <s v="main"/>
    <n v="0"/>
    <n v="0"/>
    <s v="n/a"/>
    <s v="n/a"/>
    <n v="0"/>
    <x v="2"/>
    <x v="2"/>
    <m/>
    <s v="ss"/>
    <s v="ds"/>
    <s v="topic-drop"/>
    <s v="contains_new"/>
    <m/>
    <m/>
    <m/>
    <x v="0"/>
    <s v="Yes"/>
    <n v="27"/>
    <s v="complement"/>
    <n v="1"/>
    <n v="1"/>
    <x v="1"/>
    <s v="overt"/>
    <s v="overt"/>
    <n v="0"/>
    <n v="0"/>
  </r>
  <r>
    <s v="Heike 2.89"/>
    <s v="いかなる人の漆塗りけんとぞ (ikanaru hito no urushinuriken to zo )"/>
    <s v="&quot;someone must have painted him with lacquer&quot;"/>
    <s v="漆塗りけん"/>
    <s v="epistemic"/>
    <s v="other"/>
    <s v="verb"/>
    <s v="transitive"/>
    <s v="active"/>
    <s v="positive"/>
    <n v="1"/>
    <n v="2"/>
    <s v="S+O"/>
    <n v="0"/>
    <s v="overt"/>
    <n v="3"/>
    <s v="overt"/>
    <s v="n/a"/>
    <n v="0"/>
    <n v="0"/>
    <s v="n/a"/>
    <s v="complement"/>
    <n v="0"/>
    <n v="0"/>
    <s v="n/a"/>
    <s v="n/a"/>
    <n v="0"/>
    <x v="4"/>
    <x v="3"/>
    <m/>
    <s v="ds"/>
    <s v="ds"/>
    <s v="topic-drop"/>
    <s v="contains_new"/>
    <m/>
    <m/>
    <n v="2"/>
    <x v="0"/>
    <s v="Yes"/>
    <n v="28"/>
    <m/>
    <n v="1"/>
    <n v="2"/>
    <x v="0"/>
    <s v="zero_exalt"/>
    <s v="overt"/>
    <n v="1"/>
    <n v="0"/>
  </r>
  <r>
    <s v="Heike 2.90"/>
    <s v="囃されける (hayasarekeru)"/>
    <s v="they sang in mockery."/>
    <s v="囃されける"/>
    <s v="indicative"/>
    <s v="communication"/>
    <s v="verb"/>
    <s v="transitive"/>
    <s v="active"/>
    <s v="positive"/>
    <n v="1"/>
    <n v="1"/>
    <s v="O (Speech)"/>
    <n v="0"/>
    <s v="zero_exalt"/>
    <n v="3"/>
    <s v="overt"/>
    <s v="n/a"/>
    <n v="0"/>
    <n v="0"/>
    <s v="n/a"/>
    <s v="main"/>
    <n v="0"/>
    <n v="1"/>
    <s v="sub"/>
    <s v="honorific_aux"/>
    <n v="0"/>
    <x v="2"/>
    <x v="7"/>
    <m/>
    <s v="ds"/>
    <s v="ds"/>
    <s v="topic-drop"/>
    <s v="no_overt_NP"/>
    <m/>
    <m/>
    <n v="1"/>
    <x v="0"/>
    <s v="Yes"/>
    <n v="28"/>
    <m/>
    <n v="1"/>
    <n v="1"/>
    <x v="1"/>
    <s v="overt"/>
    <s v="n/a"/>
    <n v="0"/>
    <n v="0"/>
  </r>
  <r>
    <s v="Heike 2.91"/>
    <s v="また花山院前太政大臣忠雅公未だ十歳と申しし時 (mata Kazanin no saki no Daijōdaijin Tadamasa kō imada jissai to mōshi shi toki)"/>
    <s v="Also, when Prince Tadamasa of the Kazan-in, the former Prime Minister, was only ten years old,"/>
    <s v="申しし"/>
    <s v="indicative"/>
    <s v="action"/>
    <s v="verb"/>
    <s v="intransitive"/>
    <s v="active"/>
    <s v="positive"/>
    <n v="1"/>
    <n v="1"/>
    <s v="SUB"/>
    <n v="1"/>
    <s v="overt"/>
    <n v="3"/>
    <s v="n/a"/>
    <s v="n/a"/>
    <n v="0"/>
    <n v="0"/>
    <s v="n/a"/>
    <s v="subordinate"/>
    <n v="1"/>
    <n v="0"/>
    <s v="sub"/>
    <s v="lexical_humble_verb"/>
    <n v="0"/>
    <x v="0"/>
    <x v="3"/>
    <m/>
    <s v="ds"/>
    <s v="ss"/>
    <s v="topic-introduced"/>
    <s v="contains_new"/>
    <m/>
    <m/>
    <n v="1"/>
    <x v="0"/>
    <s v="Yes"/>
    <n v="29"/>
    <s v="te"/>
    <n v="1"/>
    <n v="2"/>
    <x v="0"/>
    <s v="zero_exalt"/>
    <s v="n/a"/>
    <n v="1"/>
    <n v="0"/>
  </r>
  <r>
    <s v="Heike 2.92"/>
    <s v="父中納言忠宗卿に後れ給ひて (chichi Chūnagon Tadamune kyō ni okure tamai te)"/>
    <s v="having lost his father, Chunagon Tadamune,"/>
    <s v="後れ給ひて"/>
    <s v="indicative"/>
    <s v="action"/>
    <s v="verb"/>
    <s v="intransitive"/>
    <s v="active"/>
    <s v="positive"/>
    <n v="1"/>
    <n v="1"/>
    <s v="IO"/>
    <n v="0"/>
    <s v="zero_exalt"/>
    <n v="3"/>
    <s v="n/a"/>
    <s v="overt"/>
    <n v="0"/>
    <n v="0"/>
    <s v="n/a"/>
    <s v="te"/>
    <n v="0"/>
    <n v="1"/>
    <s v="sub"/>
    <s v="lexical_honorific_verb"/>
    <n v="0"/>
    <x v="1"/>
    <x v="4"/>
    <s v="te_medial"/>
    <s v="ss"/>
    <s v="ss"/>
    <s v="topic-introduced"/>
    <s v="contains_new"/>
    <m/>
    <m/>
    <n v="1"/>
    <x v="0"/>
    <s v="Yes"/>
    <n v="29"/>
    <s v="subordinate"/>
    <n v="1"/>
    <n v="3"/>
    <x v="1"/>
    <s v="zero_exalt"/>
    <s v="n/a"/>
    <n v="0"/>
    <n v="0"/>
  </r>
  <r>
    <s v="Heike 2.93"/>
    <s v="孤子にておはせしを (koji nite ohaseshi o)"/>
    <s v="and being left an orphan,"/>
    <s v="おはせし"/>
    <s v="indicative"/>
    <s v="action"/>
    <s v="existential verb"/>
    <s v="intransitive"/>
    <s v="active"/>
    <s v="positive"/>
    <n v="1"/>
    <n v="0"/>
    <s v="n/a"/>
    <n v="0"/>
    <s v="zero_exalt"/>
    <n v="3"/>
    <s v="n/a"/>
    <s v="n/a"/>
    <n v="0"/>
    <n v="0"/>
    <s v="REL"/>
    <s v="subordinate"/>
    <n v="0"/>
    <n v="1"/>
    <s v="sub"/>
    <s v="lexical_honorific_verb"/>
    <n v="0"/>
    <x v="9"/>
    <x v="2"/>
    <m/>
    <s v="ss"/>
    <s v="ds"/>
    <s v="topic-drop"/>
    <s v="contains_new"/>
    <m/>
    <m/>
    <n v="0"/>
    <x v="0"/>
    <s v="Yes"/>
    <n v="29"/>
    <s v="subordinate"/>
    <n v="1"/>
    <n v="4"/>
    <x v="1"/>
    <s v="overt"/>
    <s v="n/a"/>
    <n v="0"/>
    <n v="0"/>
  </r>
  <r>
    <s v="Heike 2.94"/>
    <s v="故中御門藤中納言家成卿未だ播磨守にておはしけるが ko-Nakamikado Fuji Chūnagon Ienari kyō imada Harima no kami nite ohasikeru ga"/>
    <s v=" by Fuji Chūnagon Ienari, then Harima no Kami,"/>
    <s v="おはしける"/>
    <s v="indicative"/>
    <s v="stative"/>
    <s v="copula"/>
    <s v="intransitive"/>
    <s v="active"/>
    <s v="positive"/>
    <n v="1"/>
    <n v="1"/>
    <s v="SUB"/>
    <n v="1"/>
    <s v="overt"/>
    <n v="3"/>
    <s v="n/a"/>
    <s v="n/a"/>
    <n v="0"/>
    <n v="0"/>
    <s v="REL"/>
    <s v="subordinate"/>
    <n v="1"/>
    <n v="0"/>
    <s v="sub"/>
    <s v="lexical_honorific_verb"/>
    <n v="0"/>
    <x v="9"/>
    <x v="4"/>
    <m/>
    <s v="ds"/>
    <s v="ss"/>
    <s v="topic-introduced"/>
    <s v="contains_new"/>
    <m/>
    <m/>
    <n v="1"/>
    <x v="0"/>
    <s v="Yes"/>
    <n v="29"/>
    <s v="te"/>
    <n v="1"/>
    <n v="5"/>
    <x v="1"/>
    <s v="zero_recoverable"/>
    <s v="zero_recoverable"/>
    <n v="1"/>
    <n v="0"/>
  </r>
  <r>
    <s v="Heike 2.95"/>
    <s v="聟に取りて muko ni torite "/>
    <s v="he was taken as son-in-law"/>
    <s v="取りて"/>
    <s v="indicative"/>
    <s v="action"/>
    <s v="verb"/>
    <s v="transitive"/>
    <s v="active"/>
    <s v="positive"/>
    <n v="1"/>
    <n v="1"/>
    <s v="IO"/>
    <n v="0"/>
    <s v="zero_recoverable"/>
    <n v="3"/>
    <s v="zero_recoverable"/>
    <s v="overt"/>
    <n v="0"/>
    <n v="0"/>
    <s v="n/a"/>
    <s v="te"/>
    <n v="0"/>
    <n v="0"/>
    <s v="n/a"/>
    <s v="n/a"/>
    <n v="0"/>
    <x v="2"/>
    <x v="4"/>
    <s v="te_medial"/>
    <s v="ss"/>
    <s v="ss"/>
    <s v="topic-drop"/>
    <s v="contains_new"/>
    <m/>
    <m/>
    <n v="1"/>
    <x v="0"/>
    <s v="Yes"/>
    <n v="29"/>
    <s v="subordinate"/>
    <n v="1"/>
    <n v="6"/>
    <x v="1"/>
    <s v="zero_recoverable"/>
    <s v="n/a"/>
    <n v="0"/>
    <n v="0"/>
  </r>
  <r>
    <s v="Heike 2.96"/>
    <s v="華やかにもてなされければ  hanayaka ni motenasarekereba"/>
    <s v="and splendidly welcomed,"/>
    <s v="もてなされければ"/>
    <s v="indicative"/>
    <s v="action"/>
    <s v="verb"/>
    <s v="intransitive"/>
    <s v="passive"/>
    <s v="positive"/>
    <n v="1"/>
    <n v="0"/>
    <s v="n/a"/>
    <n v="0"/>
    <s v="zero_recoverable"/>
    <n v="3"/>
    <s v="n/a"/>
    <s v="zero_recoverable"/>
    <n v="0"/>
    <n v="0"/>
    <s v="n/a"/>
    <s v="subordinate"/>
    <n v="0"/>
    <n v="0"/>
    <s v="n/a"/>
    <s v="n/a"/>
    <n v="0"/>
    <x v="3"/>
    <x v="2"/>
    <m/>
    <s v="ss"/>
    <s v="ds"/>
    <s v="topic-drop"/>
    <s v="contains_new"/>
    <s v="verbal sequence"/>
    <m/>
    <n v="0"/>
    <x v="0"/>
    <s v="Yes"/>
    <n v="29"/>
    <s v="complement"/>
    <n v="1"/>
    <n v="7"/>
    <x v="1"/>
    <s v="overt"/>
    <s v="overt"/>
    <n v="0"/>
    <n v="0"/>
  </r>
  <r>
    <s v="Heike 2.97"/>
    <s v="これも五節には播磨の米は木賊か椋の葉か人の綺羅を磨くはとぞ (kore mo gosechi ni wa Harima no kome wa tokusa ka mukuno ha ka hito no kira o migaku wa to zo)"/>
    <s v="at that Go-sechie with the refrain ‘The rice of Harima...’"/>
    <s v="磨く"/>
    <s v="indicative"/>
    <s v="action"/>
    <s v="verb"/>
    <s v="transitive"/>
    <s v="active"/>
    <s v="positive"/>
    <n v="1"/>
    <n v="2"/>
    <s v="S+O"/>
    <n v="1"/>
    <s v="overt"/>
    <n v="3"/>
    <s v="overt"/>
    <s v="n/a"/>
    <n v="0"/>
    <n v="0"/>
    <s v="REL"/>
    <s v="complement"/>
    <n v="0"/>
    <n v="0"/>
    <s v="n/a"/>
    <s v="honorific_aux"/>
    <n v="0"/>
    <x v="2"/>
    <x v="4"/>
    <m/>
    <s v="ds"/>
    <s v="ds"/>
    <s v="topic-drop"/>
    <s v="contains_new"/>
    <m/>
    <m/>
    <n v="2"/>
    <x v="0"/>
    <s v="Yes"/>
    <n v="29"/>
    <m/>
    <n v="1"/>
    <n v="8"/>
    <x v="1"/>
    <s v="zero_recoverable"/>
    <s v="n/a"/>
    <n v="1"/>
    <n v="0"/>
  </r>
  <r>
    <s v="Heike 2.98"/>
    <s v="囃されける hayasarekeru"/>
    <s v=" they also japed at him"/>
    <s v="囃されける"/>
    <s v="indicative"/>
    <s v="action"/>
    <s v="verb"/>
    <s v="intransitive"/>
    <s v="passive"/>
    <s v="positive"/>
    <n v="1"/>
    <n v="0"/>
    <s v="n/a"/>
    <n v="1"/>
    <s v="zero_recoverable"/>
    <n v="3"/>
    <s v="n/a"/>
    <s v="n/a"/>
    <n v="0"/>
    <n v="0"/>
    <s v="kakari-musubi"/>
    <s v="main"/>
    <n v="0"/>
    <n v="0"/>
    <s v="n/a"/>
    <s v="n/a"/>
    <n v="0"/>
    <x v="4"/>
    <x v="7"/>
    <m/>
    <s v="ds"/>
    <s v="ds"/>
    <s v="topic-drop"/>
    <s v="no_overt_NP"/>
    <m/>
    <m/>
    <n v="0"/>
    <x v="0"/>
    <s v="Yes"/>
    <n v="29"/>
    <m/>
    <n v="1"/>
    <n v="1"/>
    <x v="1"/>
    <s v="zero_uncertain"/>
    <s v="n/a"/>
    <n v="0"/>
    <n v="0"/>
  </r>
  <r>
    <s v="Heike 2.99"/>
    <s v="上古にはかやうにありしかども (jōko ni wa kayō ni arishikadomo )"/>
    <s v="Long ago such things had happened, "/>
    <s v="ありし / 出で来ず"/>
    <s v="indicative"/>
    <s v="action"/>
    <s v="existential verb"/>
    <s v="intransitive"/>
    <s v="active"/>
    <s v="positive"/>
    <n v="1"/>
    <n v="0"/>
    <s v="n/a"/>
    <n v="2"/>
    <s v="zero_uncertain"/>
    <n v="0"/>
    <s v="n/a"/>
    <s v="n/a"/>
    <n v="0"/>
    <n v="0"/>
    <s v="n/a"/>
    <s v="subordinate"/>
    <n v="0"/>
    <n v="0"/>
    <s v="n/a"/>
    <s v="n/a"/>
    <n v="0"/>
    <x v="9"/>
    <x v="3"/>
    <m/>
    <s v="ds"/>
    <s v="ds"/>
    <s v="topic-shift"/>
    <s v="contains_new"/>
    <m/>
    <m/>
    <n v="0"/>
    <x v="0"/>
    <s v="Yes"/>
    <n v="30"/>
    <s v="subordinate"/>
    <n v="1"/>
    <n v="2"/>
    <x v="0"/>
    <s v="overt"/>
    <s v="n/a"/>
    <n v="0"/>
    <n v="0"/>
  </r>
  <r>
    <s v="Heike 2.100"/>
    <s v="事出で来ず koto idekozu"/>
    <s v="but nothing had come of them,"/>
    <s v="出で来ず"/>
    <s v="indicative"/>
    <s v="stative"/>
    <s v="idiom"/>
    <s v="intransitive"/>
    <s v="active"/>
    <s v="negative"/>
    <n v="1"/>
    <n v="1"/>
    <s v="SUB"/>
    <n v="0"/>
    <s v="overt"/>
    <n v="3"/>
    <s v="n/a"/>
    <s v="n/a"/>
    <n v="0"/>
    <n v="0"/>
    <s v="n/a"/>
    <s v="subordinate"/>
    <n v="0"/>
    <n v="0"/>
    <s v="n/a"/>
    <s v="n/a"/>
    <n v="0"/>
    <x v="2"/>
    <x v="4"/>
    <m/>
    <s v="ds"/>
    <n v="0"/>
    <s v="topic-drop"/>
    <s v="contains_new"/>
    <m/>
    <m/>
    <n v="1"/>
    <x v="0"/>
    <s v="Yes"/>
    <n v="30"/>
    <m/>
    <n v="1"/>
    <n v="3"/>
    <x v="1"/>
    <m/>
    <m/>
    <n v="0"/>
    <n v="0"/>
  </r>
  <r>
    <s v="Heike 2.101"/>
    <s v="末代いかがあらんずらん (matsudai ikaga aranzuran obotsukanashi)"/>
    <s v="and people said that what was to be done"/>
    <s v="あらんずらん"/>
    <s v="epistemic"/>
    <s v="stative"/>
    <s v="idiom"/>
    <m/>
    <m/>
    <m/>
    <m/>
    <m/>
    <m/>
    <m/>
    <m/>
    <m/>
    <s v="n/a"/>
    <s v="n/a"/>
    <m/>
    <m/>
    <m/>
    <m/>
    <m/>
    <m/>
    <s v="n/a"/>
    <s v="n/a"/>
    <m/>
    <x v="5"/>
    <x v="4"/>
    <m/>
    <m/>
    <s v="ds"/>
    <m/>
    <m/>
    <m/>
    <m/>
    <m/>
    <x v="0"/>
    <s v="Yes"/>
    <n v="30"/>
    <m/>
    <n v="1"/>
    <n v="4"/>
    <x v="1"/>
    <s v="zero_uncertain"/>
    <s v="n/a"/>
    <n v="0"/>
    <n v="0"/>
  </r>
  <r>
    <s v="Heike 2.102"/>
    <s v="覚束なし"/>
    <s v="was doubtful"/>
    <s v="覚束なし"/>
    <s v="indicative"/>
    <s v="psych-state"/>
    <s v="adjectival predicate"/>
    <s v="intransitive"/>
    <s v="active"/>
    <s v="negative"/>
    <n v="1"/>
    <n v="0"/>
    <s v="n/a"/>
    <n v="0"/>
    <s v="zero_uncertain"/>
    <n v="0"/>
    <s v="n/a"/>
    <s v="n/a"/>
    <n v="0"/>
    <n v="0"/>
    <s v="n/a"/>
    <s v="main"/>
    <n v="0"/>
    <n v="0"/>
    <s v="n/a"/>
    <s v="n/a"/>
    <n v="0"/>
    <x v="2"/>
    <x v="8"/>
    <m/>
    <s v="ds"/>
    <s v="ds"/>
    <s v="topic-drop"/>
    <s v="no_overt_NP"/>
    <m/>
    <m/>
    <n v="0"/>
    <x v="0"/>
    <s v="Yes"/>
    <n v="30"/>
    <m/>
    <n v="1"/>
    <n v="1"/>
    <x v="1"/>
    <s v="overt"/>
    <s v="n/a"/>
    <n v="0"/>
    <n v="0"/>
  </r>
  <r>
    <s v="Heike 2.103"/>
    <s v="案の如く五節果てにしかば (an no gotoku gosechi hate ni shikaba)"/>
    <s v="As he had expected, after the conclusion of the festival,"/>
    <s v="果てにしかば"/>
    <s v="indicative"/>
    <s v="other"/>
    <s v="verb"/>
    <s v="intransitive"/>
    <s v="active"/>
    <s v="positive"/>
    <n v="1"/>
    <n v="1"/>
    <s v="SUB"/>
    <n v="1"/>
    <s v="overt"/>
    <n v="3"/>
    <s v="n/a"/>
    <s v="n/a"/>
    <n v="0"/>
    <n v="0"/>
    <s v="n/a"/>
    <s v="subordinate"/>
    <n v="0"/>
    <n v="0"/>
    <s v="n/a"/>
    <s v="n/a"/>
    <n v="0"/>
    <x v="0"/>
    <x v="3"/>
    <m/>
    <s v="ds"/>
    <s v="ds"/>
    <s v="topic-shift"/>
    <s v="contains_new"/>
    <m/>
    <m/>
    <n v="1"/>
    <x v="0"/>
    <s v="Yes"/>
    <n v="31"/>
    <s v="subordinate"/>
    <n v="1"/>
    <n v="2"/>
    <x v="0"/>
    <s v="overt"/>
    <s v="zero_other"/>
    <n v="0"/>
    <n v="0"/>
  </r>
  <r>
    <s v="Heike 2.104"/>
    <s v="殿上人一同に訴へ申されけるは (tenjōbito ichidō ni uttaemōsarekeru wa)"/>
    <s v="all the courtiers and officials together appealed,"/>
    <s v="訴へ申されける"/>
    <s v="indicative"/>
    <s v="other"/>
    <s v="verb"/>
    <s v="transitive"/>
    <s v="active"/>
    <s v="positive"/>
    <n v="1"/>
    <n v="1"/>
    <s v="SUB"/>
    <n v="1"/>
    <s v="overt"/>
    <n v="3"/>
    <s v="zero_other"/>
    <s v="n/a"/>
    <n v="0"/>
    <n v="0"/>
    <s v="SUB"/>
    <s v="subordinate"/>
    <n v="1"/>
    <n v="0"/>
    <s v="sub"/>
    <s v="honorific_aux+lexical_humble_verb"/>
    <n v="0"/>
    <x v="2"/>
    <x v="4"/>
    <m/>
    <s v="ds"/>
    <s v="ds"/>
    <s v="topic-drop"/>
    <s v="contains_new"/>
    <s v="nominalisation"/>
    <m/>
    <n v="1"/>
    <x v="0"/>
    <s v="Yes"/>
    <n v="31"/>
    <s v="te"/>
    <n v="1"/>
    <n v="3"/>
    <x v="1"/>
    <s v="zero_recoverable"/>
    <s v="overt"/>
    <n v="1"/>
    <n v="0"/>
  </r>
  <r>
    <s v="Heike 2.105"/>
    <s v="それ雄剣を帯して (sore yūken o tai shitei)"/>
    <s v="that wearing a sword"/>
    <s v="帯して "/>
    <s v="indicative"/>
    <s v="action"/>
    <s v="LVC"/>
    <s v="transitive"/>
    <s v="active"/>
    <s v="positive"/>
    <n v="1"/>
    <n v="1"/>
    <s v="OBJ"/>
    <n v="0"/>
    <s v="zero_recoverable"/>
    <n v="3"/>
    <s v="overt"/>
    <s v="n/a"/>
    <n v="0"/>
    <n v="0"/>
    <s v="n/a"/>
    <s v="te"/>
    <n v="0"/>
    <n v="0"/>
    <s v="n/a"/>
    <s v="n/a"/>
    <n v="0"/>
    <x v="2"/>
    <x v="4"/>
    <s v="te_medial"/>
    <s v="ds"/>
    <s v="ss"/>
    <s v="topic-drop"/>
    <s v="contains_new"/>
    <m/>
    <m/>
    <n v="1"/>
    <x v="1"/>
    <s v="Yes"/>
    <n v="31"/>
    <s v="te"/>
    <n v="1"/>
    <n v="4"/>
    <x v="1"/>
    <s v="zero_recoverable"/>
    <s v="none"/>
    <n v="0"/>
    <n v="0"/>
  </r>
  <r>
    <s v="Heike 2.106"/>
    <s v="公宴に列し  kōen ni res shi"/>
    <s v=" coming to a Court entertainment "/>
    <s v="列し"/>
    <s v="indicative"/>
    <s v="motion"/>
    <s v="LVC"/>
    <s v="intransitive"/>
    <s v="active"/>
    <s v="positive"/>
    <n v="1"/>
    <n v="1"/>
    <s v="IO"/>
    <n v="0"/>
    <s v="zero_recoverable"/>
    <n v="3"/>
    <s v="n/a"/>
    <s v="overt"/>
    <n v="0"/>
    <n v="0"/>
    <s v="n/a"/>
    <s v="te"/>
    <n v="0"/>
    <n v="0"/>
    <s v="n/a"/>
    <s v="n/a"/>
    <n v="0"/>
    <x v="2"/>
    <x v="2"/>
    <s v="te_medial"/>
    <s v="ss"/>
    <s v="ss"/>
    <s v="topic-drop"/>
    <s v="contains_new"/>
    <m/>
    <m/>
    <n v="1"/>
    <x v="1"/>
    <s v="Yes"/>
    <n v="31"/>
    <s v="te"/>
    <n v="1"/>
    <n v="5"/>
    <x v="1"/>
    <s v="zero_exalt"/>
    <s v="overt"/>
    <n v="0"/>
    <n v="0"/>
  </r>
  <r>
    <s v="Heike 2.107"/>
    <s v="兵仗を賜はりて  hyōjō o tamawari te "/>
    <s v="and bearing arms "/>
    <s v="賜はりて"/>
    <s v="indicative"/>
    <s v="action"/>
    <s v="verb"/>
    <s v="transitive"/>
    <s v="active"/>
    <s v="positive"/>
    <n v="1"/>
    <n v="1"/>
    <s v="OBJ"/>
    <n v="0"/>
    <s v="zero_exalt"/>
    <n v="3"/>
    <s v="overt"/>
    <s v="n/a"/>
    <n v="0"/>
    <n v="0"/>
    <s v="n/a"/>
    <s v="te"/>
    <n v="0"/>
    <n v="1"/>
    <s v="sub"/>
    <s v="lexical_humble_verb"/>
    <n v="0"/>
    <x v="2"/>
    <x v="2"/>
    <s v="te_medial"/>
    <s v="ss"/>
    <s v="ss"/>
    <s v="topic-drop"/>
    <s v="contains_new"/>
    <m/>
    <m/>
    <n v="1"/>
    <x v="0"/>
    <s v="Yes"/>
    <n v="31"/>
    <s v="subordinate"/>
    <n v="1"/>
    <n v="6"/>
    <x v="1"/>
    <s v="zero_recoverable"/>
    <s v="overt"/>
    <n v="0"/>
    <n v="0"/>
  </r>
  <r>
    <s v="Heike 2.108"/>
    <s v="宮中を出入りするは kyūchū o ideiri suru wa "/>
    <s v="when passing in and out of the Palace"/>
    <s v="出入りする"/>
    <s v="indicative"/>
    <s v="motion"/>
    <s v="verb"/>
    <s v="transitive"/>
    <s v="active"/>
    <s v="positive"/>
    <n v="1"/>
    <n v="1"/>
    <s v="OBJ"/>
    <n v="0"/>
    <s v="zero_recoverable"/>
    <n v="3"/>
    <s v="overt"/>
    <s v="n/a"/>
    <n v="0"/>
    <n v="0"/>
    <s v="SUB"/>
    <s v="subordinate"/>
    <n v="0"/>
    <n v="0"/>
    <s v="n/a"/>
    <s v="n/a"/>
    <n v="0"/>
    <x v="2"/>
    <x v="2"/>
    <m/>
    <s v="ss"/>
    <s v="ds"/>
    <s v="topic-drop"/>
    <s v="contains_new"/>
    <s v="nominalisation"/>
    <m/>
    <n v="1"/>
    <x v="0"/>
    <s v="Yes"/>
    <n v="31"/>
    <s v="relative"/>
    <n v="1"/>
    <m/>
    <x v="1"/>
    <s v="overt"/>
    <s v="overt"/>
    <n v="0"/>
    <n v="0"/>
  </r>
  <r>
    <s v="Heike 2.109"/>
    <s v="皆格式の礼を守る mina kakushiki no rei o mamoru"/>
    <s v=" is according to ancient precedent,"/>
    <s v="守る"/>
    <s v="indicative"/>
    <s v="action"/>
    <s v="verb"/>
    <s v="transitive"/>
    <s v="active"/>
    <s v="positive"/>
    <n v="1"/>
    <n v="2"/>
    <s v="S+O"/>
    <n v="0"/>
    <s v="overt"/>
    <n v="3"/>
    <s v="overt"/>
    <s v="n/a"/>
    <n v="0"/>
    <n v="1"/>
    <s v="REL"/>
    <s v="relative"/>
    <n v="0"/>
    <n v="0"/>
    <s v="n/a"/>
    <s v="n/a"/>
    <n v="0"/>
    <x v="2"/>
    <x v="4"/>
    <m/>
    <s v="ds"/>
    <s v="ds"/>
    <s v="topic-drop"/>
    <s v="contains_new"/>
    <m/>
    <m/>
    <n v="2"/>
    <x v="0"/>
    <s v="Yes"/>
    <n v="31"/>
    <s v="relative"/>
    <n v="0"/>
    <m/>
    <x v="1"/>
    <s v="overt"/>
    <s v="n/a"/>
    <n v="0"/>
    <n v="0"/>
  </r>
  <r>
    <s v="Heike 2.110"/>
    <s v="綸命由ある  rinmei yoshi aru "/>
    <m/>
    <s v="ある"/>
    <s v="indicative"/>
    <s v="stative"/>
    <s v="existential verb"/>
    <s v="intransitive"/>
    <s v="active"/>
    <s v="positive"/>
    <n v="1"/>
    <n v="1"/>
    <s v="SUB"/>
    <n v="0"/>
    <s v="overt"/>
    <n v="3"/>
    <s v="n/a"/>
    <s v="n/a"/>
    <n v="0"/>
    <n v="1"/>
    <s v="REL"/>
    <s v="relative"/>
    <n v="0"/>
    <n v="0"/>
    <s v="n/a"/>
    <s v="n/a"/>
    <n v="0"/>
    <x v="2"/>
    <x v="1"/>
    <m/>
    <s v="ds"/>
    <s v="n/a"/>
    <s v="topic-drop"/>
    <s v="contains_new"/>
    <m/>
    <m/>
    <n v="1"/>
    <x v="0"/>
    <s v="Yes"/>
    <n v="31"/>
    <m/>
    <n v="0"/>
    <n v="7"/>
    <x v="1"/>
    <s v="none"/>
    <s v="n/a"/>
    <n v="0"/>
    <n v="0"/>
  </r>
  <r>
    <s v="Heike 2.111"/>
    <s v="先規なり senki nari"/>
    <m/>
    <s v="なり"/>
    <s v="indicative"/>
    <s v="stative"/>
    <s v="copula"/>
    <s v="intransitive"/>
    <s v="active"/>
    <s v="positive"/>
    <n v="1"/>
    <n v="0"/>
    <s v="n/a"/>
    <n v="0"/>
    <s v="none"/>
    <n v="0"/>
    <s v="n/a"/>
    <s v="n/a"/>
    <n v="0"/>
    <n v="0"/>
    <s v="n/a"/>
    <s v="none"/>
    <n v="0"/>
    <n v="0"/>
    <s v="n/a"/>
    <s v="n/a"/>
    <n v="0"/>
    <x v="2"/>
    <x v="1"/>
    <m/>
    <s v="n/a"/>
    <s v="ds"/>
    <s v="topic-drop"/>
    <s v="no_overt_NP"/>
    <m/>
    <m/>
    <n v="0"/>
    <x v="0"/>
    <s v="Yes"/>
    <n v="31"/>
    <m/>
    <n v="1"/>
    <n v="8"/>
    <x v="1"/>
    <s v="overt"/>
    <s v="overt"/>
    <n v="0"/>
    <n v="0"/>
  </r>
  <r>
    <s v="Heike 2.112"/>
    <s v="然るを忠盛朝臣或いは相伝の郎従と号して (shikaru o Tadamori ason arui wa sōden no rōjū to gō shite)"/>
    <s v="but Ason Tadamori, calling a certain common soldier his hereditary retainer,"/>
    <s v="号して"/>
    <s v="indicative"/>
    <s v="action"/>
    <s v="verb"/>
    <s v="transitive"/>
    <s v="active"/>
    <s v="positive"/>
    <n v="1"/>
    <n v="2"/>
    <s v="S+O"/>
    <n v="1"/>
    <s v="overt"/>
    <n v="3"/>
    <s v="overt"/>
    <s v="n/a"/>
    <n v="0"/>
    <n v="0"/>
    <s v="n/a"/>
    <s v="te"/>
    <n v="0"/>
    <n v="0"/>
    <s v="n/a"/>
    <s v="n/a"/>
    <n v="0"/>
    <x v="9"/>
    <x v="9"/>
    <s v="te_medial"/>
    <s v="ds"/>
    <s v="ss"/>
    <s v="topic-shift"/>
    <s v="contains_new"/>
    <m/>
    <m/>
    <n v="2"/>
    <x v="0"/>
    <s v="Yes"/>
    <n v="31"/>
    <s v="inf"/>
    <n v="1"/>
    <n v="9"/>
    <x v="0"/>
    <s v="zero_exalt"/>
    <s v="overt"/>
    <n v="1"/>
    <n v="0"/>
  </r>
  <r>
    <s v="Heike 2.113"/>
    <s v="布衣の兵を殿上の小庭に召し置き (hoi no hyō o tenjō no koniwa ni meshioki)"/>
    <s v=" and placing him in the small courtyard of the Palace,"/>
    <s v="召し置き"/>
    <s v="indicative"/>
    <s v="action"/>
    <s v="verb"/>
    <s v="transitive"/>
    <s v="active"/>
    <s v="positive"/>
    <n v="1"/>
    <n v="2"/>
    <s v="O+IO"/>
    <n v="0"/>
    <s v="zero_exalt"/>
    <n v="3"/>
    <s v="overt"/>
    <s v="overt"/>
    <n v="0"/>
    <n v="0"/>
    <s v="n/a"/>
    <s v="inf"/>
    <n v="0"/>
    <n v="1"/>
    <s v="sub"/>
    <s v="lexical_honorific_verb"/>
    <n v="0"/>
    <x v="2"/>
    <x v="2"/>
    <m/>
    <s v="ss"/>
    <s v="ss"/>
    <s v="topic-drop"/>
    <s v="contains_new"/>
    <m/>
    <m/>
    <n v="2"/>
    <x v="0"/>
    <s v="Yes"/>
    <n v="31"/>
    <s v="te"/>
    <n v="1"/>
    <n v="10"/>
    <x v="1"/>
    <s v="overt"/>
    <s v="overt"/>
    <n v="0"/>
    <n v="0"/>
  </r>
  <r>
    <s v="Heike 2.114"/>
    <s v="或いは腰の刀を横へ差いて (arui wa koshi no katana o yokoe saite)"/>
    <s v="wearing a sword at his side,"/>
    <s v="差いて"/>
    <s v="indicative"/>
    <s v="other"/>
    <s v="verb"/>
    <s v="transitive"/>
    <s v="active"/>
    <s v="positive"/>
    <n v="1"/>
    <n v="3"/>
    <s v="S+O+IO"/>
    <n v="2"/>
    <s v="overt"/>
    <n v="3"/>
    <s v="overt"/>
    <s v="overt"/>
    <n v="0"/>
    <n v="0"/>
    <s v="n/a"/>
    <s v="te"/>
    <n v="0"/>
    <n v="0"/>
    <s v="n/a"/>
    <s v="n/a"/>
    <n v="0"/>
    <x v="2"/>
    <x v="6"/>
    <s v="te_medial"/>
    <s v="ss"/>
    <s v="ss"/>
    <s v="topic-drop"/>
    <s v="contains_new"/>
    <m/>
    <m/>
    <n v="3"/>
    <x v="0"/>
    <s v="Yes"/>
    <n v="31"/>
    <s v="relative"/>
    <n v="1"/>
    <m/>
    <x v="1"/>
    <s v="zero_recoverable"/>
    <s v="none"/>
    <n v="1"/>
    <n v="0"/>
  </r>
  <r>
    <s v="Heike 2.115"/>
    <s v="節会の座に列なる setsue no za ni tsuranaru"/>
    <s v="and coming to the festival seat "/>
    <s v="列なる"/>
    <s v="indicative"/>
    <s v="other"/>
    <s v="verb"/>
    <s v="intransitive"/>
    <s v="active"/>
    <s v="positive"/>
    <n v="1"/>
    <n v="1"/>
    <s v="IO"/>
    <n v="0"/>
    <s v="zero_recoverable"/>
    <n v="3"/>
    <s v="n/a"/>
    <s v="overt"/>
    <n v="0"/>
    <n v="1"/>
    <s v="REL"/>
    <s v="relative"/>
    <n v="0"/>
    <n v="0"/>
    <s v="n/a"/>
    <s v="n/a"/>
    <n v="0"/>
    <x v="2"/>
    <x v="2"/>
    <m/>
    <s v="ss"/>
    <s v="n/a"/>
    <s v="topic-drop"/>
    <s v="contains_new"/>
    <m/>
    <m/>
    <n v="1"/>
    <x v="0"/>
    <s v="Yes"/>
    <n v="31"/>
    <s v="relative"/>
    <n v="0"/>
    <m/>
    <x v="1"/>
    <s v="zero_other"/>
    <s v="n/a"/>
    <n v="0"/>
    <n v="0"/>
  </r>
  <r>
    <s v="Heike 2.116"/>
    <s v="[両条稀代]未だ聞かざる (ryōjō kidai imada kikazaru)"/>
    <s v="both acts are unheard-of,"/>
    <s v="聞かざる"/>
    <s v="indicative"/>
    <s v="action"/>
    <s v="verb"/>
    <s v="transitive"/>
    <s v="active"/>
    <s v="negative"/>
    <n v="1"/>
    <n v="0"/>
    <s v="n/a"/>
    <n v="1"/>
    <s v="zero_other"/>
    <n v="3"/>
    <s v="n/a"/>
    <s v="n/a"/>
    <n v="1"/>
    <n v="0"/>
    <s v="REL"/>
    <s v="relative"/>
    <n v="0"/>
    <n v="0"/>
    <s v="n/a"/>
    <s v="n/a"/>
    <n v="0"/>
    <x v="2"/>
    <x v="1"/>
    <m/>
    <s v="n/a"/>
    <s v="ds"/>
    <s v="topic-drop"/>
    <s v="contains_new"/>
    <m/>
    <m/>
    <n v="0"/>
    <x v="0"/>
    <s v="Yes"/>
    <n v="31"/>
    <s v="main"/>
    <n v="0"/>
    <n v="11"/>
    <x v="1"/>
    <s v="overt"/>
    <s v="n/a"/>
    <n v="0"/>
    <n v="0"/>
  </r>
  <r>
    <s v="Heike 2.117"/>
    <s v="狼藉なり rōzaku nari"/>
    <s v="disorderliness"/>
    <s v="狼藉なり"/>
    <s v="indicative"/>
    <s v="stative"/>
    <s v="copula"/>
    <s v="intransitive"/>
    <s v="active"/>
    <s v="positive"/>
    <n v="1"/>
    <n v="1"/>
    <s v="SUB"/>
    <n v="0"/>
    <s v="overt"/>
    <n v="3"/>
    <s v="n/a"/>
    <s v="n/a"/>
    <n v="0"/>
    <n v="0"/>
    <s v="n/a"/>
    <s v="main"/>
    <n v="0"/>
    <n v="0"/>
    <s v="n/a"/>
    <s v="n/a"/>
    <n v="0"/>
    <x v="2"/>
    <x v="1"/>
    <m/>
    <s v="ds"/>
    <s v="ds"/>
    <s v="topic-drop"/>
    <s v="contains_new"/>
    <m/>
    <m/>
    <n v="1"/>
    <x v="0"/>
    <s v="Yes"/>
    <n v="31"/>
    <m/>
    <n v="1"/>
    <n v="1"/>
    <x v="1"/>
    <s v="overt"/>
    <s v="n/a"/>
    <n v="0"/>
    <n v="0"/>
  </r>
  <r>
    <s v="Heike 2.118"/>
    <s v="事既に重畳せり (koto sudeni chōjō seri)"/>
    <s v="indeed, one crime piled on another,"/>
    <s v="重畳せり"/>
    <s v="indicative"/>
    <s v="other"/>
    <s v="LVC"/>
    <s v="intransitive"/>
    <s v="active"/>
    <s v="positive"/>
    <n v="1"/>
    <n v="1"/>
    <s v="SUB"/>
    <n v="1"/>
    <s v="overt"/>
    <n v="3"/>
    <s v="n/a"/>
    <s v="n/a"/>
    <n v="0"/>
    <n v="0"/>
    <s v="n/a"/>
    <s v="inf"/>
    <n v="0"/>
    <n v="0"/>
    <s v="n/a"/>
    <s v="n/a"/>
    <n v="0"/>
    <x v="2"/>
    <x v="3"/>
    <m/>
    <s v="ds"/>
    <s v="ss"/>
    <s v="topic-drop"/>
    <s v="all given"/>
    <m/>
    <m/>
    <n v="1"/>
    <x v="1"/>
    <s v="Yes"/>
    <n v="32"/>
    <m/>
    <n v="1"/>
    <n v="2"/>
    <x v="0"/>
    <s v="overt"/>
    <s v="overt"/>
    <n v="0"/>
    <n v="0"/>
  </r>
  <r>
    <s v="Heike 2.119"/>
    <s v="罪科尤も遁れ難し (tsumitoga mottomo nogaregatashi)"/>
    <s v="a charge he would find difficult to escape."/>
    <s v="遁れ難し"/>
    <s v="dynamic"/>
    <s v="stative"/>
    <s v="verb"/>
    <s v="transitive"/>
    <s v="active"/>
    <s v="positive"/>
    <n v="1"/>
    <n v="1"/>
    <s v="SUB"/>
    <n v="0"/>
    <s v="overt"/>
    <n v="3"/>
    <s v="overt"/>
    <s v="n/a"/>
    <n v="0"/>
    <n v="0"/>
    <s v="n/a"/>
    <s v="main"/>
    <n v="0"/>
    <n v="0"/>
    <s v="n/a"/>
    <s v="n/a"/>
    <n v="0"/>
    <x v="2"/>
    <x v="6"/>
    <m/>
    <s v="ss"/>
    <s v="ds"/>
    <s v="topic-drop"/>
    <s v="contains_new"/>
    <m/>
    <m/>
    <n v="1"/>
    <x v="0"/>
    <s v="Yes"/>
    <n v="32"/>
    <s v="te"/>
    <n v="1"/>
    <n v="1"/>
    <x v="1"/>
    <s v="zero_other"/>
    <s v="overt"/>
    <n v="1"/>
    <n v="0"/>
  </r>
  <r>
    <s v="Heike 2.120"/>
    <s v="早く殿上の御札を削りて (hayaku tenjō no mifuda o kezurite)"/>
    <s v="they petitioned that his name be erased from the list of Courtiers"/>
    <s v="削りて "/>
    <s v="indicative"/>
    <s v="action"/>
    <s v="verb"/>
    <s v="transitive"/>
    <s v="active"/>
    <s v="positive"/>
    <n v="1"/>
    <n v="1"/>
    <s v="OBJ"/>
    <n v="0"/>
    <s v="zero_other"/>
    <n v="3"/>
    <s v="overt"/>
    <s v="n/a"/>
    <n v="0"/>
    <n v="0"/>
    <s v="n/a"/>
    <s v="te"/>
    <n v="0"/>
    <n v="0"/>
    <s v="n/a"/>
    <s v="n/a"/>
    <n v="0"/>
    <x v="2"/>
    <x v="3"/>
    <s v="te_medial"/>
    <s v="ds"/>
    <s v="ss"/>
    <s v="topic-drop"/>
    <s v="contains_new"/>
    <m/>
    <m/>
    <n v="1"/>
    <x v="0"/>
    <s v="Yes"/>
    <n v="33"/>
    <m/>
    <n v="1"/>
    <m/>
    <x v="1"/>
    <s v="zero_recoverable"/>
    <s v="n/a"/>
    <n v="0"/>
    <n v="0"/>
  </r>
  <r>
    <s v="Heike 2.121"/>
    <s v="欠官停任せらるべき (kekkan teinin seraru beki yoshi)"/>
    <s v=" and he be deprived of rank and office,"/>
    <s v="停任せらるべき"/>
    <s v="deontic"/>
    <s v="action"/>
    <s v="LVC"/>
    <s v="intransitive"/>
    <s v="passive"/>
    <s v="positive"/>
    <n v="1"/>
    <n v="0"/>
    <s v="n/a"/>
    <n v="0"/>
    <s v="zero_recoverable"/>
    <n v="3"/>
    <s v="n/a"/>
    <s v="n/a"/>
    <n v="0"/>
    <n v="1"/>
    <s v="REL"/>
    <s v="relative"/>
    <n v="0"/>
    <n v="0"/>
    <s v="n/a"/>
    <s v="n/a"/>
    <n v="0"/>
    <x v="2"/>
    <x v="2"/>
    <m/>
    <s v="ss"/>
    <s v="ds"/>
    <s v="topic-drop"/>
    <s v="no_overt_NP"/>
    <m/>
    <m/>
    <n v="0"/>
    <x v="1"/>
    <s v="Yes"/>
    <n v="33"/>
    <m/>
    <n v="0"/>
    <n v="2"/>
    <x v="1"/>
    <s v="overt"/>
    <s v="overt"/>
    <n v="0"/>
    <n v="0"/>
  </r>
  <r>
    <s v="Heike 2.122"/>
    <s v="由諸卿一同に訴へ申されければ (yoshi shokyō ichidō ni uttaemōsarekereba)"/>
    <s v="and all the Court Nobles together petitioned,"/>
    <s v="訴へ申されければ"/>
    <s v="indicative"/>
    <s v="action"/>
    <s v="verb"/>
    <s v="transitive"/>
    <s v="active"/>
    <s v="positive"/>
    <n v="1"/>
    <n v="2"/>
    <s v="S+O"/>
    <n v="1"/>
    <s v="overt"/>
    <n v="3"/>
    <s v="overt"/>
    <s v="n/a"/>
    <n v="0"/>
    <n v="0"/>
    <s v="n/a"/>
    <s v="subordinate"/>
    <n v="1"/>
    <n v="0"/>
    <s v="sub"/>
    <s v="honorific_aux+lexical_honorific_verb"/>
    <n v="0"/>
    <x v="0"/>
    <x v="1"/>
    <m/>
    <s v="ds"/>
    <s v="ds"/>
    <s v="topic-drop"/>
    <s v="contains_new"/>
    <m/>
    <m/>
    <n v="2"/>
    <x v="0"/>
    <s v="Yes"/>
    <n v="33"/>
    <s v="te"/>
    <n v="1"/>
    <n v="3"/>
    <x v="1"/>
    <s v="overt"/>
    <s v="n/a"/>
    <n v="0"/>
    <n v="0"/>
  </r>
  <r>
    <s v="Heike 2.123"/>
    <s v="上皇大きに驚かせ給ひて (Jōkō ōki ni odorokase tamai te)"/>
    <s v="His Majesty the Mikado, greatly surprised,"/>
    <s v="驚かせ給ひて"/>
    <s v="indicative"/>
    <s v="action"/>
    <s v="verb"/>
    <s v="intransitive"/>
    <s v="active"/>
    <s v="positive"/>
    <n v="1"/>
    <n v="1"/>
    <s v="SUB"/>
    <n v="0"/>
    <s v="overt"/>
    <n v="3"/>
    <s v="n/a"/>
    <s v="n/a"/>
    <n v="0"/>
    <n v="0"/>
    <s v="n/a"/>
    <s v="te"/>
    <n v="1"/>
    <n v="0"/>
    <s v="sub"/>
    <s v="honorific_aux+lexical_honorific_verb"/>
    <n v="0"/>
    <x v="2"/>
    <x v="4"/>
    <s v="te_medial"/>
    <s v="ds"/>
    <s v="ss"/>
    <s v="topic-drop"/>
    <s v="contains_new"/>
    <m/>
    <m/>
    <n v="1"/>
    <x v="0"/>
    <s v="Yes"/>
    <n v="33"/>
    <s v="te"/>
    <n v="1"/>
    <n v="4"/>
    <x v="1"/>
    <s v="zero_exalt"/>
    <s v="overt"/>
    <n v="1"/>
    <n v="0"/>
  </r>
  <r>
    <s v="Heike 2.124"/>
    <s v="忠盛を召して (Tadamori o meshite)"/>
    <s v="ordered Tadamori into his Presence,"/>
    <s v="召して"/>
    <s v="indicative"/>
    <s v="action"/>
    <s v="verb"/>
    <s v="intransitive"/>
    <s v="active"/>
    <s v="positive"/>
    <n v="1"/>
    <n v="1"/>
    <s v="OBJ"/>
    <n v="0"/>
    <s v="zero_exalt"/>
    <n v="3"/>
    <s v="overt"/>
    <s v="n/a"/>
    <n v="0"/>
    <n v="0"/>
    <s v="n/a"/>
    <s v="te"/>
    <n v="0"/>
    <n v="1"/>
    <s v="sub"/>
    <s v="lexical_honorific_verb"/>
    <n v="0"/>
    <x v="2"/>
    <x v="2"/>
    <s v="te_medial"/>
    <s v="ss"/>
    <s v="ds"/>
    <s v="topic-drop"/>
    <s v="contains_new"/>
    <m/>
    <m/>
    <n v="1"/>
    <x v="0"/>
    <s v="Yes"/>
    <n v="33"/>
    <s v="main"/>
    <n v="1"/>
    <n v="5"/>
    <x v="1"/>
    <s v="overt"/>
    <s v="n/a"/>
    <n v="0"/>
    <n v="0"/>
  </r>
  <r>
    <s v="Heike 2.125"/>
    <s v="御尋ねあり o-tazune ari"/>
    <s v=" to make examination into the affair"/>
    <s v="御尋ねあり"/>
    <s v="indicative"/>
    <s v="action"/>
    <s v="verb"/>
    <s v="intransitive"/>
    <s v="active"/>
    <s v="positive"/>
    <n v="1"/>
    <n v="1"/>
    <s v="SUB"/>
    <n v="0"/>
    <s v="overt"/>
    <n v="3"/>
    <s v="n/a"/>
    <s v="n/a"/>
    <n v="0"/>
    <n v="0"/>
    <s v="n/a"/>
    <s v="main"/>
    <n v="1"/>
    <n v="0"/>
    <s v="sub"/>
    <s v="honorific prefix"/>
    <n v="1"/>
    <x v="2"/>
    <x v="2"/>
    <m/>
    <s v="ds"/>
    <s v="ds"/>
    <s v="topic-drop"/>
    <s v="contains_new"/>
    <m/>
    <m/>
    <n v="1"/>
    <x v="0"/>
    <s v="Yes"/>
    <n v="33"/>
    <m/>
    <n v="1"/>
    <n v="1"/>
    <x v="1"/>
    <s v="zero_exalt"/>
    <s v="zero_other"/>
    <n v="1"/>
    <n v="0"/>
  </r>
  <r>
    <s v="Heike 2.126"/>
    <s v="陳じ申されけるは (chinji mōsarekeru wa)"/>
    <s v="in his reply he stated that,"/>
    <s v="申されける"/>
    <s v="indicative"/>
    <s v="action"/>
    <s v="verb"/>
    <s v="transitive"/>
    <s v="active"/>
    <s v="positive"/>
    <n v="1"/>
    <n v="0"/>
    <s v="n/a"/>
    <n v="0"/>
    <s v="zero_exalt"/>
    <n v="3"/>
    <s v="zero_other"/>
    <s v="n/a"/>
    <n v="0"/>
    <n v="0"/>
    <s v="SUB"/>
    <s v="subordinate"/>
    <n v="0"/>
    <n v="1"/>
    <s v="sub"/>
    <s v="honorific_aux+lexical_humble_verb"/>
    <n v="0"/>
    <x v="2"/>
    <x v="3"/>
    <m/>
    <s v="ds"/>
    <s v="ss"/>
    <s v="topic-drop"/>
    <s v="no_overt_NP"/>
    <s v="nominalisation"/>
    <m/>
    <n v="0"/>
    <x v="0"/>
    <s v="Yes"/>
    <n v="34"/>
    <m/>
    <n v="1"/>
    <n v="2"/>
    <x v="0"/>
    <s v="zero_exalt"/>
    <s v="overt"/>
    <n v="0"/>
    <n v="0"/>
  </r>
  <r>
    <s v="Heike 2.127"/>
    <s v="まづ郎従小庭に伺候の由全く覚悟仕らず (mazu rōjū koniwa ni shikō no yoshi mattaku kakugo tsukamatsurazu)"/>
    <s v="as to the presence of his retainer in the Palace, he certainly knew nothing about it,"/>
    <s v="覚悟仕らず"/>
    <s v="indicative"/>
    <s v="action"/>
    <s v="LVC"/>
    <s v="transitive"/>
    <s v="active"/>
    <s v="negative"/>
    <n v="1"/>
    <n v="1"/>
    <s v="OBJ"/>
    <n v="2"/>
    <s v="zero_exalt"/>
    <n v="3"/>
    <s v="overt"/>
    <s v="n/a"/>
    <n v="0"/>
    <n v="0"/>
    <s v="n/a"/>
    <s v="subordinate"/>
    <n v="0"/>
    <n v="1"/>
    <s v="sub"/>
    <s v="lexical_humble_verb"/>
    <n v="0"/>
    <x v="2"/>
    <x v="4"/>
    <m/>
    <s v="ss"/>
    <s v="ds"/>
    <s v="topic-drop"/>
    <s v="contains_new"/>
    <m/>
    <m/>
    <n v="1"/>
    <x v="1"/>
    <s v="Yes"/>
    <n v="34"/>
    <s v="relative"/>
    <n v="1"/>
    <m/>
    <x v="0"/>
    <s v="overt"/>
    <s v="zero_other"/>
    <n v="0"/>
    <n v="1"/>
  </r>
  <r>
    <s v="Heike 2.128"/>
    <s v="但し近日人々相巧まるる (tadashi kinjitsu hitobito ai-takuramaruru)"/>
    <s v=" [...]  the designs that people were plotting,"/>
    <s v="巧まるる"/>
    <s v="indicative"/>
    <s v="action"/>
    <s v="verb"/>
    <s v="transitive"/>
    <s v="active"/>
    <s v="positive"/>
    <n v="1"/>
    <n v="1"/>
    <s v="SUB"/>
    <n v="1"/>
    <s v="overt"/>
    <n v="3"/>
    <s v="zero_other"/>
    <s v="n/a"/>
    <n v="0"/>
    <n v="0"/>
    <s v="REL"/>
    <s v="relative"/>
    <n v="1"/>
    <n v="0"/>
    <s v="sub"/>
    <s v="honorific_aux"/>
    <n v="0"/>
    <x v="2"/>
    <x v="4"/>
    <m/>
    <s v="ds"/>
    <s v="ds"/>
    <s v="topic-drop"/>
    <s v="contains_new"/>
    <m/>
    <m/>
    <n v="1"/>
    <x v="0"/>
    <s v="Yes"/>
    <n v="34"/>
    <s v="subordinate"/>
    <n v="0"/>
    <n v="3"/>
    <x v="1"/>
    <s v="overt"/>
    <s v="n/a"/>
    <n v="0"/>
    <n v="0"/>
  </r>
  <r>
    <s v="Heike 2.129"/>
    <s v="旨子細あるかの間 mune shisai aru ka no aida "/>
    <s v="[…] had lately heard of"/>
    <s v="ある"/>
    <s v="indicative"/>
    <s v="stative"/>
    <s v="existential verb"/>
    <s v="intransitive"/>
    <s v="active"/>
    <s v="positive"/>
    <n v="1"/>
    <n v="1"/>
    <s v="SUB"/>
    <n v="1"/>
    <s v="overt"/>
    <n v="3"/>
    <s v="n/a"/>
    <s v="n/a"/>
    <n v="0"/>
    <n v="0"/>
    <s v="n/a"/>
    <s v="subordinate"/>
    <n v="0"/>
    <n v="0"/>
    <s v="n/a"/>
    <s v="n/a"/>
    <n v="0"/>
    <x v="0"/>
    <x v="1"/>
    <m/>
    <s v="ds"/>
    <s v="ss"/>
    <s v="topic-drop"/>
    <s v="contains_new"/>
    <m/>
    <m/>
    <n v="1"/>
    <x v="0"/>
    <s v="Yes"/>
    <n v="34"/>
    <s v="subordinate"/>
    <n v="1"/>
    <n v="4"/>
    <x v="1"/>
    <s v="overt"/>
    <s v="overt"/>
    <n v="0"/>
    <n v="0"/>
  </r>
  <r>
    <s v="Heike 2.130"/>
    <s v="年来の家人事を伝へ聞くかによつて (nenrai no kenin goto o tsutae kiku ka ni yotte)"/>
    <s v=" if his retainers"/>
    <s v="伝へ聞く"/>
    <s v="indicative"/>
    <s v="perception"/>
    <s v="compound verb"/>
    <s v="transitive"/>
    <s v="active"/>
    <s v="positive"/>
    <n v="1"/>
    <n v="2"/>
    <s v="S+O"/>
    <n v="1"/>
    <s v="overt"/>
    <n v="3"/>
    <s v="overt"/>
    <s v="n/a"/>
    <n v="0"/>
    <n v="0"/>
    <s v="n/a"/>
    <s v="subordinate"/>
    <n v="0"/>
    <n v="0"/>
    <s v="n/a"/>
    <s v="n/a"/>
    <n v="0"/>
    <x v="1"/>
    <x v="4"/>
    <m/>
    <s v="ss"/>
    <s v="ss"/>
    <s v="topic-drop"/>
    <s v="contains_new"/>
    <m/>
    <m/>
    <n v="2"/>
    <x v="0"/>
    <s v="Yes"/>
    <n v="34"/>
    <s v="subordinate"/>
    <n v="1"/>
    <n v="5"/>
    <x v="1"/>
    <s v="zero_recoverable"/>
    <s v="overt"/>
    <n v="1"/>
    <n v="0"/>
  </r>
  <r>
    <s v="Heike 2.131"/>
    <s v="その恥を助けんが為に (sono haji o tasuken ga tame ni)"/>
    <s v="and in order to help him against such dishonour,  intending to prevent dishonour,"/>
    <s v="助けん"/>
    <s v="dynamic"/>
    <s v="other"/>
    <s v="verb"/>
    <s v="transitive"/>
    <s v="active"/>
    <s v="positive"/>
    <n v="1"/>
    <n v="1"/>
    <s v="OBJ"/>
    <n v="0"/>
    <s v="zero_recoverable"/>
    <n v="3"/>
    <s v="overt"/>
    <s v="n/a"/>
    <n v="0"/>
    <n v="0"/>
    <s v="n/a"/>
    <s v="subordinate"/>
    <n v="0"/>
    <n v="0"/>
    <s v="n/a"/>
    <s v="n/a"/>
    <n v="0"/>
    <x v="7"/>
    <x v="4"/>
    <m/>
    <s v="ss"/>
    <s v="ss"/>
    <s v="topic-drop"/>
    <s v="contains_new"/>
    <m/>
    <m/>
    <n v="1"/>
    <x v="0"/>
    <s v="Yes"/>
    <n v="34"/>
    <s v="te"/>
    <n v="1"/>
    <n v="6"/>
    <x v="1"/>
    <s v="zero_recoverable"/>
    <s v="zero_recoverable"/>
    <n v="0"/>
    <n v="1"/>
  </r>
  <r>
    <s v="Heike 2.132"/>
    <s v="忠盛には知らせずして Tadamori ni wa shirasazu shite"/>
    <s v=" without informing him,  "/>
    <s v="知らせず"/>
    <s v="indicative"/>
    <s v="other"/>
    <s v="verb"/>
    <s v="ditransitive"/>
    <s v="active"/>
    <s v="negative"/>
    <n v="1"/>
    <n v="2"/>
    <s v="IO"/>
    <n v="1"/>
    <s v="zero_recoverable"/>
    <n v="3"/>
    <s v="zero_recoverable"/>
    <s v="overt"/>
    <n v="0"/>
    <n v="0"/>
    <s v="n/a"/>
    <s v="te"/>
    <n v="0"/>
    <n v="0"/>
    <s v="n/a"/>
    <s v="n/a"/>
    <n v="0"/>
    <x v="1"/>
    <x v="4"/>
    <s v="te_medial"/>
    <s v="ss"/>
    <n v="0"/>
    <s v="topic-continued"/>
    <s v="contains_new"/>
    <m/>
    <m/>
    <n v="2"/>
    <x v="0"/>
    <s v="Yes"/>
    <n v="34"/>
    <m/>
    <n v="1"/>
    <n v="7"/>
    <x v="1"/>
    <m/>
    <m/>
    <n v="0"/>
    <n v="0"/>
  </r>
  <r>
    <s v="Heike 2.133"/>
    <s v="密かに参候の条 (hisoka ni sankō no jō)"/>
    <s v="his retainers had come hither secretly"/>
    <s v="N/A (nominal clause)"/>
    <s v="indicative"/>
    <s v="other"/>
    <s v="none"/>
    <m/>
    <m/>
    <m/>
    <m/>
    <m/>
    <m/>
    <m/>
    <m/>
    <m/>
    <s v="n/a"/>
    <s v="n/a"/>
    <m/>
    <m/>
    <m/>
    <m/>
    <m/>
    <m/>
    <s v="n/a"/>
    <s v="n/a"/>
    <m/>
    <x v="5"/>
    <x v="2"/>
    <m/>
    <m/>
    <s v="ds"/>
    <m/>
    <m/>
    <s v="not sure if I should treat this as a nominal or verbal predicate or whether there is predication at all"/>
    <m/>
    <m/>
    <x v="0"/>
    <s v="Yes"/>
    <n v="34"/>
    <m/>
    <n v="1"/>
    <m/>
    <x v="1"/>
    <s v="overt"/>
    <s v="n/a"/>
    <n v="0"/>
    <n v="0"/>
  </r>
  <r>
    <s v="Heike 2.134"/>
    <s v="力及ばざる chikara oyobazaru"/>
    <s v="his retainers had come hither secretly"/>
    <s v="及ばざる"/>
    <s v="indicative"/>
    <s v="other"/>
    <s v="verb"/>
    <s v="intransitive"/>
    <s v="active"/>
    <s v="negative"/>
    <n v="1"/>
    <n v="1"/>
    <s v="SUB"/>
    <n v="0"/>
    <s v="overt"/>
    <n v="3"/>
    <s v="n/a"/>
    <s v="n/a"/>
    <n v="0"/>
    <n v="1"/>
    <s v="REL"/>
    <s v="relative"/>
    <n v="0"/>
    <n v="0"/>
    <s v="n/a"/>
    <s v="n/a"/>
    <n v="0"/>
    <x v="2"/>
    <x v="8"/>
    <m/>
    <s v="ds"/>
    <s v="ds"/>
    <s v="topic-drop"/>
    <s v="contains_new"/>
    <m/>
    <m/>
    <n v="1"/>
    <x v="0"/>
    <s v="Yes"/>
    <n v="34"/>
    <m/>
    <n v="0"/>
    <n v="8"/>
    <x v="1"/>
    <s v="zero_recoverable"/>
    <s v="n/a"/>
    <n v="1"/>
    <n v="0"/>
  </r>
  <r>
    <s v="Heike 2.135"/>
    <s v="次第なり"/>
    <s v="shidai nari"/>
    <s v="なり"/>
    <s v="indicative"/>
    <s v="stative"/>
    <s v="copula"/>
    <s v="intransitive"/>
    <s v="active"/>
    <s v="positive"/>
    <n v="1"/>
    <n v="0"/>
    <s v="n/a"/>
    <n v="0"/>
    <s v="zero_recoverable"/>
    <n v="3"/>
    <s v="n/a"/>
    <s v="n/a"/>
    <n v="0"/>
    <n v="0"/>
    <s v="n/a"/>
    <s v="main"/>
    <n v="0"/>
    <n v="0"/>
    <s v="n/a"/>
    <s v="n/a"/>
    <n v="0"/>
    <x v="2"/>
    <x v="1"/>
    <m/>
    <s v="ds"/>
    <s v="ds"/>
    <s v="topic-drop"/>
    <s v="no_overt_NP"/>
    <m/>
    <m/>
    <n v="0"/>
    <x v="0"/>
    <s v="Yes"/>
    <n v="34"/>
    <m/>
    <n v="1"/>
    <n v="1"/>
    <x v="1"/>
    <s v="overt"/>
    <s v="n/a"/>
    <n v="0"/>
    <n v="0"/>
  </r>
  <r>
    <s v="Heike 2.136"/>
    <s v="もしその咎あるべくば (moshi sono toga arubekuba)"/>
    <s v="&quot;if there be any blame, "/>
    <s v="ある"/>
    <s v="indicative"/>
    <s v="stative"/>
    <s v="existential verb"/>
    <s v="intransitive"/>
    <s v="active"/>
    <s v="positive"/>
    <n v="1"/>
    <n v="1"/>
    <s v="SUB"/>
    <n v="0"/>
    <s v="overt"/>
    <n v="3"/>
    <s v="n/a"/>
    <s v="n/a"/>
    <n v="0"/>
    <n v="0"/>
    <s v="n/a"/>
    <s v="subordinate"/>
    <n v="0"/>
    <n v="0"/>
    <s v="n/a"/>
    <s v="n/a"/>
    <n v="0"/>
    <x v="10"/>
    <x v="3"/>
    <m/>
    <s v="ds"/>
    <s v="ds"/>
    <s v="topic-shift"/>
    <s v="contains_new"/>
    <m/>
    <m/>
    <n v="1"/>
    <x v="0"/>
    <s v="Yes"/>
    <n v="35"/>
    <s v="main"/>
    <n v="1"/>
    <n v="2"/>
    <x v="0"/>
    <s v="zero_exalt"/>
    <s v="overt"/>
    <n v="1"/>
    <n v="0"/>
  </r>
  <r>
    <s v="Heike 2.137"/>
    <s v="かの身を召し進ずべきか  ka no mi o meshi shinzu beki ka"/>
    <s v="do I not yield my body herewith?&quot;"/>
    <s v="召し進ずべき"/>
    <s v="deontic"/>
    <s v="action"/>
    <s v="LVC"/>
    <m/>
    <s v="active"/>
    <s v="positive"/>
    <n v="1"/>
    <n v="1"/>
    <s v="OBJ"/>
    <n v="0"/>
    <s v="zero_exalt"/>
    <n v="1"/>
    <s v="overt"/>
    <s v="n/a"/>
    <n v="0"/>
    <n v="0"/>
    <s v="n/a"/>
    <s v="main"/>
    <n v="0"/>
    <n v="1"/>
    <s v="sub"/>
    <s v="lexical_honorific_verb"/>
    <n v="0"/>
    <x v="2"/>
    <x v="4"/>
    <m/>
    <s v="ds"/>
    <s v="ss"/>
    <s v="topic-drop"/>
    <s v="contains_new"/>
    <m/>
    <m/>
    <n v="1"/>
    <x v="1"/>
    <s v="Yes"/>
    <n v="35"/>
    <s v="main"/>
    <n v="1"/>
    <n v="1"/>
    <x v="1"/>
    <s v="zero_recoverable"/>
    <s v="overt"/>
    <n v="0"/>
    <n v="0"/>
  </r>
  <r>
    <s v="Heike 2.138"/>
    <s v="次に刀の事は主殿司に預け置き候ひ畢んぬ (tsugi ni katana no koto wa tonomotsukasa ni azukeoki soroiowannu)"/>
    <s v="as for the sword, I deposited it in the Tonomotsukasa,"/>
    <s v="預け置き / 候ひ畢んぬ"/>
    <s v="indicative"/>
    <s v="action"/>
    <s v="compound verb"/>
    <s v="transitive"/>
    <s v="active"/>
    <s v="positive"/>
    <n v="1"/>
    <n v="2"/>
    <s v="O+IO"/>
    <n v="0"/>
    <s v="zero_recoverable"/>
    <n v="1"/>
    <s v="overt"/>
    <s v="overt"/>
    <n v="0"/>
    <n v="0"/>
    <s v="n/a"/>
    <s v="main"/>
    <n v="0"/>
    <n v="0"/>
    <s v="n/a"/>
    <s v="polite_aux"/>
    <n v="0"/>
    <x v="2"/>
    <x v="3"/>
    <m/>
    <s v="ss"/>
    <s v="ds"/>
    <s v="topic-shift"/>
    <s v="contains_new"/>
    <m/>
    <m/>
    <n v="2"/>
    <x v="0"/>
    <s v="Yes"/>
    <n v="36"/>
    <m/>
    <n v="1"/>
    <n v="1"/>
    <x v="1"/>
    <s v="zero_exalt"/>
    <s v="zero_recoverable"/>
    <n v="0"/>
    <n v="1"/>
  </r>
  <r>
    <s v="Heike 2.139"/>
    <s v="召し出だされ (meshi idasare)"/>
    <s v="if it be brought out from thence,"/>
    <s v="召し出だされ "/>
    <s v="indicative"/>
    <s v="action"/>
    <s v="verb"/>
    <s v="intransitive"/>
    <s v="passive"/>
    <s v="positive"/>
    <n v="1"/>
    <n v="0"/>
    <s v="n/a"/>
    <n v="0"/>
    <s v="zero_exalt"/>
    <n v="3"/>
    <s v="zero_recoverable"/>
    <s v="zero_recoverable"/>
    <n v="0"/>
    <n v="0"/>
    <s v="n/a"/>
    <s v="main"/>
    <n v="0"/>
    <n v="1"/>
    <s v="sub"/>
    <s v="lexical_honorific_verb"/>
    <n v="0"/>
    <x v="2"/>
    <x v="3"/>
    <m/>
    <s v="ds"/>
    <s v="ss"/>
    <s v="topic-drop"/>
    <s v="no_overt_NP"/>
    <m/>
    <m/>
    <n v="0"/>
    <x v="0"/>
    <s v="Yes"/>
    <n v="37"/>
    <m/>
    <n v="1"/>
    <n v="1"/>
    <x v="1"/>
    <s v="overt"/>
    <s v="n/a"/>
    <n v="0"/>
    <n v="0"/>
  </r>
  <r>
    <s v="Heike 2.140"/>
    <s v="刀の実否に付きて咎の左右あるべきか  katana no jippi ni tsukite toga no sayū aru beki ka"/>
    <s v=" it may be seen if it be a real sword or not,"/>
    <s v="あるべき"/>
    <s v="deontic"/>
    <s v="stative"/>
    <s v="existential verb"/>
    <s v="intransitive"/>
    <s v="active"/>
    <s v="positive"/>
    <n v="1"/>
    <n v="1"/>
    <s v="SUB"/>
    <n v="1"/>
    <s v="overt"/>
    <n v="3"/>
    <s v="n/a"/>
    <s v="n/a"/>
    <n v="0"/>
    <n v="0"/>
    <s v="n/a"/>
    <s v="main"/>
    <n v="0"/>
    <n v="0"/>
    <s v="n/a"/>
    <s v="n/a"/>
    <n v="0"/>
    <x v="2"/>
    <x v="3"/>
    <m/>
    <s v="ss"/>
    <s v="ds"/>
    <s v="topic-drop"/>
    <s v="contains_new"/>
    <m/>
    <m/>
    <n v="1"/>
    <x v="0"/>
    <s v="Yes"/>
    <n v="38"/>
    <s v="subordinate"/>
    <n v="1"/>
    <n v="1"/>
    <x v="0"/>
    <s v="overt"/>
    <s v="n/a"/>
    <n v="0"/>
    <n v="0"/>
  </r>
  <r>
    <s v="Heike 2.141"/>
    <s v="この儀尤も然るべしとて (kono gi motto mo shikarubeshi tote)"/>
    <s v="&quot;This seems quite reasonable,&quot;"/>
    <s v="然るべし"/>
    <s v="deontic"/>
    <s v="stative"/>
    <s v="adjectival predicate"/>
    <s v="intransitive"/>
    <s v="active"/>
    <s v="positive"/>
    <n v="1"/>
    <n v="1"/>
    <s v="SUB"/>
    <n v="0"/>
    <s v="overt"/>
    <n v="3"/>
    <s v="n/a"/>
    <s v="n/a"/>
    <n v="0"/>
    <n v="0"/>
    <s v="n/a"/>
    <s v="subordinate"/>
    <n v="0"/>
    <n v="0"/>
    <s v="n/a"/>
    <s v="n/a"/>
    <n v="0"/>
    <x v="3"/>
    <x v="3"/>
    <m/>
    <s v="ds"/>
    <s v="ds"/>
    <s v="topic-drop"/>
    <s v="contains_new"/>
    <m/>
    <m/>
    <n v="1"/>
    <x v="0"/>
    <s v="Yes"/>
    <n v="39"/>
    <m/>
    <n v="1"/>
    <n v="2"/>
    <x v="1"/>
    <s v="zero_exalt"/>
    <s v="overt"/>
    <n v="1"/>
    <n v="0"/>
  </r>
  <r>
    <s v="Heike 2.142"/>
    <s v="かの刀を召し出でて (kano katana o meshi-idete)"/>
    <s v="and they hastened to bring forth the sword,"/>
    <s v="召し出でて"/>
    <s v="indicative"/>
    <s v="action"/>
    <s v="verb"/>
    <s v="transitive"/>
    <s v="active"/>
    <s v="positive"/>
    <n v="1"/>
    <n v="1"/>
    <s v="OBJ"/>
    <n v="1"/>
    <s v="zero_exalt"/>
    <n v="3"/>
    <s v="overt"/>
    <s v="n/a"/>
    <n v="0"/>
    <n v="0"/>
    <s v="n/a"/>
    <s v="te"/>
    <n v="0"/>
    <n v="1"/>
    <s v="sub"/>
    <s v="lexical_honorific_verb"/>
    <n v="0"/>
    <x v="1"/>
    <x v="4"/>
    <s v="te_medial"/>
    <s v="ds"/>
    <s v="ss"/>
    <s v="topic-continued"/>
    <s v="all given"/>
    <m/>
    <m/>
    <n v="1"/>
    <x v="0"/>
    <s v="Yes"/>
    <n v="39"/>
    <m/>
    <n v="1"/>
    <n v="3"/>
    <x v="1"/>
    <s v="zero_exalt"/>
    <s v="zero_recoverable"/>
    <n v="0"/>
    <n v="1"/>
  </r>
  <r>
    <s v="Heike 2.143"/>
    <s v="叡覧あるに (eiran aru ni)"/>
    <s v="and exhibit it before His Majesty,"/>
    <s v="叡覧ある"/>
    <s v="indicative"/>
    <s v="action"/>
    <s v="LVC"/>
    <s v="transitive"/>
    <s v="active"/>
    <s v="positive"/>
    <n v="1"/>
    <n v="0"/>
    <s v="n/a"/>
    <n v="0"/>
    <s v="zero_exalt"/>
    <n v="3"/>
    <s v="zero_recoverable"/>
    <s v="n/a"/>
    <n v="0"/>
    <n v="0"/>
    <s v="n/a"/>
    <s v="subordinate"/>
    <n v="0"/>
    <n v="1"/>
    <s v="sub"/>
    <s v="lexical_honorific_verb"/>
    <n v="0"/>
    <x v="0"/>
    <x v="2"/>
    <m/>
    <s v="ss"/>
    <s v="ds"/>
    <s v="topic-drop"/>
    <s v="no_overt_NP"/>
    <m/>
    <m/>
    <n v="0"/>
    <x v="1"/>
    <s v="Yes"/>
    <n v="39"/>
    <m/>
    <n v="1"/>
    <n v="4"/>
    <x v="1"/>
    <s v="overt"/>
    <s v="n/a"/>
    <n v="0"/>
    <n v="0"/>
  </r>
  <r>
    <s v="Heike 2.144"/>
    <s v="上は鞘巻の黒う塗つたりけるが (ue wa sayamaki no kuro u nuttari keru ga)"/>
    <s v="its outside was that of a dirk in a black lacquer sheath,"/>
    <s v="塗つたりける"/>
    <s v="indicative"/>
    <s v="stative"/>
    <s v="verb"/>
    <s v="intransitive"/>
    <s v="resultative"/>
    <s v="positive"/>
    <n v="1"/>
    <n v="1"/>
    <s v="SUB"/>
    <n v="0"/>
    <s v="overt"/>
    <n v="3"/>
    <s v="n/a"/>
    <s v="n/a"/>
    <n v="0"/>
    <n v="0"/>
    <s v="n/a"/>
    <s v="subordinate"/>
    <n v="0"/>
    <n v="0"/>
    <s v="n/a"/>
    <s v="n/a"/>
    <n v="0"/>
    <x v="9"/>
    <x v="4"/>
    <m/>
    <s v="ds"/>
    <s v="ds"/>
    <s v="topic-drop"/>
    <s v="contains_new"/>
    <m/>
    <m/>
    <n v="1"/>
    <x v="0"/>
    <s v="Yes"/>
    <n v="39"/>
    <s v="main"/>
    <n v="1"/>
    <n v="5"/>
    <x v="1"/>
    <s v="overt"/>
    <s v="overt"/>
    <n v="0"/>
    <n v="0"/>
  </r>
  <r>
    <s v="Heike 2.145"/>
    <s v="中は木刀に銀薄をぞ押したりける (naka wa bokutō ni gin-haku o zo oshitari keru)"/>
    <s v="but within was only a wooden blade covered with silver."/>
    <s v="押したりける"/>
    <s v="indicative"/>
    <s v="stative"/>
    <s v="verb"/>
    <s v="transitive"/>
    <s v="resultative"/>
    <s v="positive"/>
    <n v="1"/>
    <n v="3"/>
    <s v="S+O+IO"/>
    <n v="0"/>
    <s v="overt"/>
    <n v="3"/>
    <s v="overt"/>
    <s v="overt"/>
    <n v="0"/>
    <n v="0"/>
    <s v="n/a"/>
    <s v="main"/>
    <n v="0"/>
    <n v="0"/>
    <s v="n/a"/>
    <s v="n/a"/>
    <n v="0"/>
    <x v="2"/>
    <x v="4"/>
    <m/>
    <s v="ds"/>
    <s v="ds"/>
    <s v="topic-drop"/>
    <s v="contains_new"/>
    <m/>
    <m/>
    <n v="3"/>
    <x v="0"/>
    <s v="Yes"/>
    <n v="39"/>
    <s v="subordinate"/>
    <n v="1"/>
    <n v="1"/>
    <x v="1"/>
    <s v="zero_recoverable"/>
    <s v="overt"/>
    <n v="1"/>
    <n v="0"/>
  </r>
  <r>
    <s v="Heike 2.146"/>
    <s v="当座の恥辱を遁れんが為に (tōza no chijoku o nogaren ga tame ni)"/>
    <s v=" to avoid dishonour at the moment,"/>
    <s v="遁れん "/>
    <s v="dynamic"/>
    <s v="other"/>
    <s v="verb"/>
    <s v="transitive"/>
    <s v="active"/>
    <s v="positive"/>
    <n v="1"/>
    <n v="1"/>
    <s v="OBJ"/>
    <n v="0"/>
    <s v="zero_recoverable"/>
    <n v="3"/>
    <s v="overt"/>
    <s v="n/a"/>
    <n v="0"/>
    <n v="0"/>
    <s v="n/a"/>
    <s v="subordinate"/>
    <n v="0"/>
    <n v="0"/>
    <s v="n/a"/>
    <s v="n/a"/>
    <n v="0"/>
    <x v="7"/>
    <x v="3"/>
    <m/>
    <s v="ds"/>
    <s v="ss"/>
    <s v="topic-drop"/>
    <s v="contains_new"/>
    <m/>
    <m/>
    <n v="1"/>
    <x v="0"/>
    <s v="Yes"/>
    <n v="40"/>
    <m/>
    <n v="1"/>
    <m/>
    <x v="1"/>
    <s v="zero_recoverable"/>
    <s v="overt"/>
    <n v="0"/>
    <n v="0"/>
  </r>
  <r>
    <s v="Heike 2.147"/>
    <s v="刀を帯する katana o taisuru "/>
    <s v="Although he had displayed "/>
    <s v="帯する"/>
    <s v="indicative"/>
    <s v="other"/>
    <s v="LVC"/>
    <s v="transitive"/>
    <s v="active"/>
    <s v="positive"/>
    <n v="1"/>
    <n v="1"/>
    <s v="OBJ"/>
    <n v="0"/>
    <s v="zero_recoverable"/>
    <n v="3"/>
    <s v="overt"/>
    <s v="n/a"/>
    <n v="0"/>
    <n v="1"/>
    <s v="REL"/>
    <s v="relative"/>
    <n v="0"/>
    <n v="0"/>
    <s v="n/a"/>
    <s v="n/a"/>
    <n v="0"/>
    <x v="2"/>
    <x v="4"/>
    <m/>
    <s v="ss"/>
    <s v="ss"/>
    <s v="topic-drop"/>
    <s v="all given"/>
    <m/>
    <m/>
    <n v="1"/>
    <x v="1"/>
    <s v="Yes"/>
    <n v="40"/>
    <m/>
    <n v="0"/>
    <n v="2"/>
    <x v="1"/>
    <s v="zero_recoverable"/>
    <s v="overt"/>
    <n v="0"/>
    <n v="0"/>
  </r>
  <r>
    <s v="Heike 2.148"/>
    <s v="由顕すといへども yoshi arawasu to iedomo"/>
    <s v="the appearance of a sword"/>
    <s v="顕す"/>
    <s v="indicative"/>
    <s v="other"/>
    <s v="verb"/>
    <s v="transitive"/>
    <s v="active"/>
    <s v="positive"/>
    <n v="1"/>
    <n v="1"/>
    <s v="OBJ"/>
    <n v="0"/>
    <s v="zero_recoverable"/>
    <n v="3"/>
    <s v="overt"/>
    <s v="n/a"/>
    <n v="0"/>
    <n v="0"/>
    <s v="n/a"/>
    <s v="subordinate"/>
    <n v="0"/>
    <n v="0"/>
    <s v="n/a"/>
    <s v="n/a"/>
    <n v="0"/>
    <x v="9"/>
    <x v="1"/>
    <m/>
    <s v="ss"/>
    <s v="ss"/>
    <s v="topic-drop"/>
    <s v="contains_new"/>
    <m/>
    <m/>
    <n v="1"/>
    <x v="0"/>
    <s v="Yes"/>
    <n v="40"/>
    <s v="te"/>
    <n v="1"/>
    <n v="3"/>
    <x v="1"/>
    <s v="zero_exalt"/>
    <s v="overt"/>
    <n v="0"/>
    <n v="0"/>
  </r>
  <r>
    <s v="Heike 2.149"/>
    <s v="後日の訴訟を存じて (gojitsu no soshō o zonjite)"/>
    <s v="his substitution of a wooden blade as a precaution against an after accusation was exceedingly praiseworthy."/>
    <s v="存じて"/>
    <s v="indicative"/>
    <s v="perception"/>
    <s v="LVC"/>
    <s v="transitive"/>
    <s v="active"/>
    <s v="positive"/>
    <n v="1"/>
    <n v="1"/>
    <s v="OBJ"/>
    <n v="0"/>
    <s v="zero_exalt"/>
    <n v="3"/>
    <s v="overt"/>
    <s v="n/a"/>
    <n v="0"/>
    <n v="0"/>
    <s v="n/a"/>
    <s v="te"/>
    <n v="0"/>
    <n v="1"/>
    <s v="sub"/>
    <s v="lexical_humble_verb"/>
    <n v="0"/>
    <x v="2"/>
    <x v="4"/>
    <s v="te_medial"/>
    <s v="ss"/>
    <s v="ss"/>
    <s v="topic-drop"/>
    <s v="contains_new"/>
    <m/>
    <m/>
    <n v="1"/>
    <x v="1"/>
    <s v="Yes"/>
    <n v="40"/>
    <s v="relative"/>
    <n v="1"/>
    <m/>
    <x v="1"/>
    <s v="zero_recoverable"/>
    <s v="overt"/>
    <n v="0"/>
    <n v="0"/>
  </r>
  <r>
    <s v="Heike 2.150"/>
    <s v="木刀を帯したる"/>
    <s v=" bokutō o tachitaru "/>
    <s v="帯したる"/>
    <s v="indicative"/>
    <s v="action"/>
    <s v="LVC"/>
    <s v="transitive"/>
    <s v="active"/>
    <s v="positive"/>
    <n v="1"/>
    <n v="1"/>
    <s v="OBJ"/>
    <n v="0"/>
    <s v="zero_recoverable"/>
    <n v="3"/>
    <s v="overt"/>
    <s v="n/a"/>
    <n v="0"/>
    <n v="1"/>
    <s v="REL"/>
    <s v="relative"/>
    <n v="0"/>
    <n v="0"/>
    <s v="n/a"/>
    <s v="n/a"/>
    <n v="0"/>
    <x v="2"/>
    <x v="2"/>
    <m/>
    <s v="ss"/>
    <s v="ds"/>
    <s v="topic-drop"/>
    <s v="contains_new"/>
    <m/>
    <m/>
    <n v="1"/>
    <x v="1"/>
    <s v="Yes"/>
    <n v="40"/>
    <s v="main"/>
    <n v="0"/>
    <n v="4"/>
    <x v="1"/>
    <s v="overt"/>
    <s v="n/a"/>
    <n v="0"/>
    <n v="0"/>
  </r>
  <r>
    <s v="Heike 2.151"/>
    <s v="用意のほどこそ神妙なれ yōi no hodo koso shinmyō nare"/>
    <m/>
    <s v="なれ"/>
    <s v="indicative"/>
    <s v="stative"/>
    <s v="copula"/>
    <s v="intransitive"/>
    <s v="active"/>
    <s v="positive"/>
    <n v="1"/>
    <n v="1"/>
    <s v="SUB"/>
    <n v="0"/>
    <s v="overt"/>
    <n v="3"/>
    <s v="n/a"/>
    <s v="n/a"/>
    <n v="0"/>
    <n v="0"/>
    <s v="n/a"/>
    <s v="main"/>
    <n v="0"/>
    <n v="0"/>
    <s v="n/a"/>
    <s v="n/a"/>
    <n v="0"/>
    <x v="2"/>
    <x v="1"/>
    <m/>
    <s v="ds"/>
    <s v="ds"/>
    <s v="topic-drop"/>
    <s v="contains_new"/>
    <m/>
    <m/>
    <n v="1"/>
    <x v="0"/>
    <s v="Yes"/>
    <n v="40"/>
    <s v="relative"/>
    <n v="1"/>
    <m/>
    <x v="1"/>
    <s v="zero_recoverable"/>
    <s v="n/a"/>
    <n v="1"/>
    <n v="0"/>
  </r>
  <r>
    <s v="Heike 2.152"/>
    <s v="弓箭に携らん (yumiya ni tazusaran)"/>
    <s v="Such prudence is most commendable in a warrior."/>
    <s v="携らん"/>
    <s v="dynamic"/>
    <s v="action"/>
    <s v="verb"/>
    <s v="intransitive"/>
    <s v="active"/>
    <s v="positive"/>
    <n v="1"/>
    <n v="1"/>
    <s v="IO"/>
    <n v="0"/>
    <s v="zero_recoverable"/>
    <n v="3"/>
    <s v="n/a"/>
    <s v="overt"/>
    <n v="1"/>
    <n v="0"/>
    <s v="REL"/>
    <s v="relative"/>
    <n v="0"/>
    <n v="0"/>
    <s v="n/a"/>
    <s v="n/a"/>
    <n v="0"/>
    <x v="2"/>
    <x v="3"/>
    <m/>
    <s v="ds"/>
    <s v="ds"/>
    <s v="topic-shift"/>
    <s v="contains_new"/>
    <m/>
    <m/>
    <n v="1"/>
    <x v="0"/>
    <s v="Yes"/>
    <n v="41"/>
    <s v="main"/>
    <n v="0"/>
    <n v="1"/>
    <x v="0"/>
    <s v="overt"/>
    <s v="n/a"/>
    <n v="0"/>
    <n v="0"/>
  </r>
  <r>
    <s v="Heike 2.153"/>
    <s v="ほどの者の謀は尤もかうこそあらまほしけれ hodo no mono no hakarigoto wa motto mo kō koso aramahoshikere"/>
    <m/>
    <s v="あらまほしけれ"/>
    <s v="desiderative"/>
    <s v="psych-state"/>
    <s v="adjectival predicate"/>
    <s v="intransitive"/>
    <s v="active"/>
    <s v="positive"/>
    <n v="1"/>
    <n v="1"/>
    <s v="SUB"/>
    <n v="1"/>
    <s v="overt"/>
    <n v="3"/>
    <s v="n/a"/>
    <s v="n/a"/>
    <n v="0"/>
    <n v="0"/>
    <s v="n/a"/>
    <s v="main"/>
    <n v="0"/>
    <n v="0"/>
    <s v="n/a"/>
    <s v="n/a"/>
    <n v="0"/>
    <x v="2"/>
    <x v="1"/>
    <m/>
    <s v="ds"/>
    <s v="ds"/>
    <s v="topic-shift"/>
    <s v="contains_new"/>
    <m/>
    <m/>
    <n v="1"/>
    <x v="0"/>
    <s v="Yes"/>
    <n v="41"/>
    <s v="main"/>
    <n v="1"/>
    <n v="1"/>
    <x v="1"/>
    <s v="overt"/>
    <s v="n/a"/>
    <n v="0"/>
    <n v="0"/>
  </r>
  <r>
    <s v="Heike 2.154"/>
    <s v="予てはまた郎従小庭に伺候の由 (kanete wa mata rōjū koniwa ni shikō no yoshi) 且つは武士の郎等の習ひなり (katsu wa bushi no rōtō no narai nari)"/>
    <s v="As for his retainer being in the small court, that too is the custom of the retainers of the warrior class, "/>
    <s v="なり"/>
    <s v="indicative"/>
    <s v="stative"/>
    <s v="copula"/>
    <s v="intransitive"/>
    <s v="active"/>
    <s v="positive"/>
    <n v="1"/>
    <n v="1"/>
    <s v="SUB"/>
    <n v="3"/>
    <s v="overt"/>
    <n v="3"/>
    <s v="n/a"/>
    <s v="n/a"/>
    <n v="0"/>
    <n v="0"/>
    <s v="n/a"/>
    <s v="main"/>
    <n v="0"/>
    <n v="0"/>
    <s v="n/a"/>
    <s v="n/a"/>
    <n v="0"/>
    <x v="2"/>
    <x v="3"/>
    <m/>
    <s v="ds"/>
    <s v="ds"/>
    <s v="topic-shift"/>
    <s v="contains_new"/>
    <m/>
    <m/>
    <n v="1"/>
    <x v="0"/>
    <s v="Yes"/>
    <n v="42"/>
    <s v="subordinate"/>
    <n v="1"/>
    <n v="1"/>
    <x v="0"/>
    <s v="overt"/>
    <s v="n/a"/>
    <n v="0"/>
    <n v="0"/>
  </r>
  <r>
    <s v="Heike 2.155"/>
    <s v="忠盛が咎にはあらずとて (Tadamori ga toga ni wa arazu tote)"/>
    <s v="and no fault was found in Tadamori."/>
    <s v="あらず"/>
    <s v="indicative"/>
    <s v="stative"/>
    <s v="copula"/>
    <s v="intransitive"/>
    <s v="active"/>
    <s v="negative"/>
    <n v="1"/>
    <n v="1"/>
    <s v="SUB"/>
    <n v="0"/>
    <s v="overt"/>
    <n v="3"/>
    <s v="n/a"/>
    <s v="n/a"/>
    <n v="0"/>
    <n v="0"/>
    <s v="n/a"/>
    <s v="subordinate"/>
    <n v="0"/>
    <n v="0"/>
    <s v="n/a"/>
    <s v="n/a"/>
    <n v="0"/>
    <x v="3"/>
    <x v="3"/>
    <m/>
    <s v="ds"/>
    <s v="ss"/>
    <s v="topic-shift"/>
    <s v="contains_new"/>
    <m/>
    <m/>
    <n v="1"/>
    <x v="0"/>
    <s v="Yes"/>
    <n v="43"/>
    <s v="subordinate"/>
    <n v="1"/>
    <n v="2"/>
    <x v="1"/>
    <s v="zero_recoverable"/>
    <s v="n/a"/>
    <n v="1"/>
    <n v="0"/>
  </r>
  <r>
    <s v="Heike 2.156"/>
    <s v="却つて叡感に預かりし上は (kaette eikan ni azukarishi ue wa)"/>
    <s v="and on the contrary, his conduct was greatly admired,"/>
    <s v="預かりし"/>
    <s v="indicative"/>
    <s v="action"/>
    <s v="verb"/>
    <s v="intransitive"/>
    <s v="active"/>
    <s v="positive"/>
    <n v="1"/>
    <n v="1"/>
    <s v="IO"/>
    <n v="1"/>
    <s v="zero_recoverable"/>
    <n v="3"/>
    <s v="n/a"/>
    <s v="overt"/>
    <n v="0"/>
    <n v="0"/>
    <s v="REL"/>
    <s v="subordinate"/>
    <n v="0"/>
    <n v="0"/>
    <s v="n/a"/>
    <s v="n/a"/>
    <n v="1"/>
    <x v="6"/>
    <x v="4"/>
    <m/>
    <s v="ss"/>
    <s v="ds"/>
    <s v="topic-drop"/>
    <s v="contains_new"/>
    <m/>
    <m/>
    <n v="1"/>
    <x v="0"/>
    <s v="Yes"/>
    <n v="43"/>
    <s v="main"/>
    <n v="1"/>
    <n v="3"/>
    <x v="1"/>
    <s v="overt"/>
    <s v="n/a"/>
    <n v="0"/>
    <n v="0"/>
  </r>
  <r>
    <s v="Heike 2.157"/>
    <s v="敢へて罪科の沙汰はなかりけり aete tsumikado no sata wa nakarikeri"/>
    <s v="and he was pronounced guiltless."/>
    <s v="なかりけり"/>
    <s v="indicative"/>
    <s v="aux/modal"/>
    <s v="verb"/>
    <s v="intransitive"/>
    <s v="active"/>
    <s v="negative"/>
    <n v="1"/>
    <n v="1"/>
    <s v="SUB"/>
    <n v="1"/>
    <s v="overt"/>
    <n v="3"/>
    <s v="n/a"/>
    <s v="n/a"/>
    <n v="0"/>
    <n v="0"/>
    <s v="n/a"/>
    <s v="main"/>
    <n v="0"/>
    <n v="0"/>
    <s v="n/a"/>
    <s v="n/a"/>
    <n v="0"/>
    <x v="8"/>
    <x v="4"/>
    <m/>
    <s v="ds"/>
    <n v="0"/>
    <s v="topic-drop"/>
    <s v="contains_new"/>
    <m/>
    <m/>
    <n v="1"/>
    <x v="0"/>
    <s v="No"/>
    <n v="43"/>
    <m/>
    <n v="1"/>
    <m/>
    <x v="1"/>
    <m/>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7E2E5-F5F1-654B-9CE5-B091B150BBF1}"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36:P41" firstHeaderRow="1" firstDataRow="1" firstDataCol="1"/>
  <pivotFields count="34">
    <pivotField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pivotField axis="axisRow"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3"/>
  </rowFields>
  <rowItems count="5">
    <i>
      <x/>
    </i>
    <i>
      <x v="1"/>
    </i>
    <i>
      <x v="2"/>
    </i>
    <i>
      <x v="3"/>
    </i>
    <i t="grand">
      <x/>
    </i>
  </rowItems>
  <colItems count="1">
    <i/>
  </colItems>
  <dataFields count="1">
    <dataField name="Average of RD2" fld="33" subtotal="average" baseField="0" baseItem="0"/>
  </dataFields>
  <formats count="12">
    <format dxfId="1083">
      <pivotArea type="all" dataOnly="0" outline="0" fieldPosition="0"/>
    </format>
    <format dxfId="1082">
      <pivotArea outline="0" collapsedLevelsAreSubtotals="1" fieldPosition="0"/>
    </format>
    <format dxfId="1081">
      <pivotArea field="23" type="button" dataOnly="0" labelOnly="1" outline="0" axis="axisRow" fieldPosition="0"/>
    </format>
    <format dxfId="1080">
      <pivotArea dataOnly="0" labelOnly="1" outline="0" fieldPosition="0">
        <references count="1">
          <reference field="23" count="0"/>
        </references>
      </pivotArea>
    </format>
    <format dxfId="1079">
      <pivotArea dataOnly="0" labelOnly="1" grandRow="1" outline="0" fieldPosition="0"/>
    </format>
    <format dxfId="1078">
      <pivotArea dataOnly="0" labelOnly="1" outline="0" axis="axisValues" fieldPosition="0"/>
    </format>
    <format dxfId="855">
      <pivotArea type="all" dataOnly="0" outline="0" fieldPosition="0"/>
    </format>
    <format dxfId="854">
      <pivotArea outline="0" collapsedLevelsAreSubtotals="1" fieldPosition="0"/>
    </format>
    <format dxfId="853">
      <pivotArea field="23" type="button" dataOnly="0" labelOnly="1" outline="0" axis="axisRow" fieldPosition="0"/>
    </format>
    <format dxfId="852">
      <pivotArea dataOnly="0" labelOnly="1" outline="0" fieldPosition="0">
        <references count="1">
          <reference field="23" count="0"/>
        </references>
      </pivotArea>
    </format>
    <format dxfId="851">
      <pivotArea dataOnly="0" labelOnly="1" grandRow="1" outline="0" fieldPosition="0"/>
    </format>
    <format dxfId="8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99740A-D558-8B40-98E5-622341F8F6AA}" name="PivotTable1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04:L108" firstHeaderRow="1" firstDataRow="2" firstDataCol="1"/>
  <pivotFields count="3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h="1" x="3"/>
        <item x="0"/>
        <item h="1" x="4"/>
        <item x="1"/>
        <item h="1" x="2"/>
        <item t="default"/>
      </items>
    </pivotField>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s>
  <rowFields count="1">
    <field x="7"/>
  </rowFields>
  <rowItems count="3">
    <i>
      <x v="1"/>
    </i>
    <i>
      <x v="3"/>
    </i>
    <i t="grand">
      <x/>
    </i>
  </rowItems>
  <colFields count="1">
    <field x="36"/>
  </colFields>
  <colItems count="3">
    <i>
      <x/>
    </i>
    <i>
      <x v="1"/>
    </i>
    <i t="grand">
      <x/>
    </i>
  </colItems>
  <dataFields count="1">
    <dataField name="Count of Clause_ID" fld="0" subtotal="count" baseField="0" baseItem="0" numFmtId="1"/>
  </dataFields>
  <formats count="23">
    <format dxfId="1151">
      <pivotArea outline="0" collapsedLevelsAreSubtotals="1" fieldPosition="0"/>
    </format>
    <format dxfId="1150">
      <pivotArea outline="0" fieldPosition="0">
        <references count="2">
          <reference field="7" count="1" selected="0">
            <x v="3"/>
          </reference>
          <reference field="36" count="1" selected="0">
            <x v="0"/>
          </reference>
        </references>
      </pivotArea>
    </format>
    <format dxfId="1149">
      <pivotArea outline="0" fieldPosition="0">
        <references count="2">
          <reference field="7" count="1" selected="0">
            <x v="1"/>
          </reference>
          <reference field="36" count="1" selected="0">
            <x v="1"/>
          </reference>
        </references>
      </pivotArea>
    </format>
    <format dxfId="1076">
      <pivotArea type="all" dataOnly="0" outline="0" fieldPosition="0"/>
    </format>
    <format dxfId="1075">
      <pivotArea outline="0" collapsedLevelsAreSubtotals="1" fieldPosition="0"/>
    </format>
    <format dxfId="1074">
      <pivotArea type="origin" dataOnly="0" labelOnly="1" outline="0" fieldPosition="0"/>
    </format>
    <format dxfId="1073">
      <pivotArea field="36" type="button" dataOnly="0" labelOnly="1" outline="0" axis="axisCol" fieldPosition="0"/>
    </format>
    <format dxfId="1072">
      <pivotArea type="topRight" dataOnly="0" labelOnly="1" outline="0" fieldPosition="0"/>
    </format>
    <format dxfId="1071">
      <pivotArea field="7" type="button" dataOnly="0" labelOnly="1" outline="0" axis="axisRow" fieldPosition="0"/>
    </format>
    <format dxfId="1070">
      <pivotArea dataOnly="0" labelOnly="1" outline="0" fieldPosition="0">
        <references count="1">
          <reference field="7" count="0"/>
        </references>
      </pivotArea>
    </format>
    <format dxfId="1069">
      <pivotArea dataOnly="0" labelOnly="1" grandRow="1" outline="0" fieldPosition="0"/>
    </format>
    <format dxfId="1068">
      <pivotArea dataOnly="0" labelOnly="1" outline="0" fieldPosition="0">
        <references count="1">
          <reference field="36" count="2">
            <x v="0"/>
            <x v="1"/>
          </reference>
        </references>
      </pivotArea>
    </format>
    <format dxfId="1067">
      <pivotArea dataOnly="0" labelOnly="1" grandCol="1" outline="0" fieldPosition="0"/>
    </format>
    <format dxfId="848">
      <pivotArea type="all" dataOnly="0" outline="0" fieldPosition="0"/>
    </format>
    <format dxfId="847">
      <pivotArea outline="0" collapsedLevelsAreSubtotals="1" fieldPosition="0"/>
    </format>
    <format dxfId="846">
      <pivotArea type="origin" dataOnly="0" labelOnly="1" outline="0" fieldPosition="0"/>
    </format>
    <format dxfId="845">
      <pivotArea field="36" type="button" dataOnly="0" labelOnly="1" outline="0" axis="axisCol" fieldPosition="0"/>
    </format>
    <format dxfId="844">
      <pivotArea type="topRight" dataOnly="0" labelOnly="1" outline="0" fieldPosition="0"/>
    </format>
    <format dxfId="843">
      <pivotArea field="7" type="button" dataOnly="0" labelOnly="1" outline="0" axis="axisRow" fieldPosition="0"/>
    </format>
    <format dxfId="842">
      <pivotArea dataOnly="0" labelOnly="1" outline="0" fieldPosition="0">
        <references count="1">
          <reference field="7" count="0"/>
        </references>
      </pivotArea>
    </format>
    <format dxfId="841">
      <pivotArea dataOnly="0" labelOnly="1" grandRow="1" outline="0" fieldPosition="0"/>
    </format>
    <format dxfId="840">
      <pivotArea dataOnly="0" labelOnly="1" outline="0" fieldPosition="0">
        <references count="1">
          <reference field="36" count="2">
            <x v="0"/>
            <x v="1"/>
          </reference>
        </references>
      </pivotArea>
    </format>
    <format dxfId="8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AAE881-841F-734A-BF55-18B908B53107}"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6:K48" firstHeaderRow="1" firstDataRow="2" firstDataCol="1"/>
  <pivotFields count="34">
    <pivotField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3">
        <item x="5"/>
        <item h="1" x="2"/>
        <item x="9"/>
        <item x="8"/>
        <item x="7"/>
        <item x="1"/>
        <item x="4"/>
        <item x="3"/>
        <item x="10"/>
        <item x="11"/>
        <item x="0"/>
        <item h="1"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items count="5">
        <item x="0"/>
        <item x="1"/>
        <item x="3"/>
        <item x="2"/>
        <item t="default"/>
      </items>
    </pivotField>
    <pivotField axis="axisCol"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2"/>
  </rowFields>
  <rowItems count="11">
    <i>
      <x/>
    </i>
    <i>
      <x v="2"/>
    </i>
    <i>
      <x v="3"/>
    </i>
    <i>
      <x v="4"/>
    </i>
    <i>
      <x v="5"/>
    </i>
    <i>
      <x v="6"/>
    </i>
    <i>
      <x v="7"/>
    </i>
    <i>
      <x v="8"/>
    </i>
    <i>
      <x v="9"/>
    </i>
    <i>
      <x v="10"/>
    </i>
    <i t="grand">
      <x/>
    </i>
  </rowItems>
  <colFields count="1">
    <field x="23"/>
  </colFields>
  <colItems count="3">
    <i>
      <x/>
    </i>
    <i>
      <x v="1"/>
    </i>
    <i t="grand">
      <x/>
    </i>
  </colItems>
  <dataFields count="1">
    <dataField name="Average of RD2" fld="33" subtotal="average" baseField="0" baseItem="0" numFmtId="164"/>
  </dataFields>
  <formats count="24">
    <format dxfId="1155">
      <pivotArea outline="0" fieldPosition="0">
        <references count="2">
          <reference field="12" count="1" selected="0">
            <x v="10"/>
          </reference>
          <reference field="23" count="1" selected="0">
            <x v="0"/>
          </reference>
        </references>
      </pivotArea>
    </format>
    <format dxfId="1154">
      <pivotArea outline="0" fieldPosition="0">
        <references count="2">
          <reference field="12" count="1" selected="0">
            <x v="7"/>
          </reference>
          <reference field="23" count="1" selected="0">
            <x v="0"/>
          </reference>
        </references>
      </pivotArea>
    </format>
    <format dxfId="1153">
      <pivotArea outline="0" fieldPosition="0">
        <references count="2">
          <reference field="12" count="1" selected="0">
            <x v="5"/>
          </reference>
          <reference field="23" count="1" selected="0">
            <x v="0"/>
          </reference>
        </references>
      </pivotArea>
    </format>
    <format dxfId="1152">
      <pivotArea outline="0" collapsedLevelsAreSubtotals="1" fieldPosition="0"/>
    </format>
    <format dxfId="1066">
      <pivotArea type="all" dataOnly="0" outline="0" fieldPosition="0"/>
    </format>
    <format dxfId="1065">
      <pivotArea outline="0" collapsedLevelsAreSubtotals="1" fieldPosition="0"/>
    </format>
    <format dxfId="1064">
      <pivotArea type="origin" dataOnly="0" labelOnly="1" outline="0" fieldPosition="0"/>
    </format>
    <format dxfId="1063">
      <pivotArea field="23" type="button" dataOnly="0" labelOnly="1" outline="0" axis="axisCol" fieldPosition="0"/>
    </format>
    <format dxfId="1062">
      <pivotArea type="topRight" dataOnly="0" labelOnly="1" outline="0" fieldPosition="0"/>
    </format>
    <format dxfId="1061">
      <pivotArea field="12" type="button" dataOnly="0" labelOnly="1" outline="0" axis="axisRow" fieldPosition="0"/>
    </format>
    <format dxfId="1060">
      <pivotArea dataOnly="0" labelOnly="1" outline="0" fieldPosition="0">
        <references count="1">
          <reference field="12" count="0"/>
        </references>
      </pivotArea>
    </format>
    <format dxfId="1059">
      <pivotArea dataOnly="0" labelOnly="1" grandRow="1" outline="0" fieldPosition="0"/>
    </format>
    <format dxfId="1058">
      <pivotArea dataOnly="0" labelOnly="1" outline="0" fieldPosition="0">
        <references count="1">
          <reference field="23" count="2">
            <x v="0"/>
            <x v="1"/>
          </reference>
        </references>
      </pivotArea>
    </format>
    <format dxfId="1057">
      <pivotArea dataOnly="0" labelOnly="1" grandCol="1" outline="0" fieldPosition="0"/>
    </format>
    <format dxfId="838">
      <pivotArea type="all" dataOnly="0" outline="0" fieldPosition="0"/>
    </format>
    <format dxfId="837">
      <pivotArea outline="0" collapsedLevelsAreSubtotals="1" fieldPosition="0"/>
    </format>
    <format dxfId="836">
      <pivotArea type="origin" dataOnly="0" labelOnly="1" outline="0" fieldPosition="0"/>
    </format>
    <format dxfId="835">
      <pivotArea field="23" type="button" dataOnly="0" labelOnly="1" outline="0" axis="axisCol" fieldPosition="0"/>
    </format>
    <format dxfId="834">
      <pivotArea type="topRight" dataOnly="0" labelOnly="1" outline="0" fieldPosition="0"/>
    </format>
    <format dxfId="833">
      <pivotArea field="12" type="button" dataOnly="0" labelOnly="1" outline="0" axis="axisRow" fieldPosition="0"/>
    </format>
    <format dxfId="832">
      <pivotArea dataOnly="0" labelOnly="1" outline="0" fieldPosition="0">
        <references count="1">
          <reference field="12" count="0"/>
        </references>
      </pivotArea>
    </format>
    <format dxfId="831">
      <pivotArea dataOnly="0" labelOnly="1" grandRow="1" outline="0" fieldPosition="0"/>
    </format>
    <format dxfId="830">
      <pivotArea dataOnly="0" labelOnly="1" outline="0" fieldPosition="0">
        <references count="1">
          <reference field="23" count="2">
            <x v="0"/>
            <x v="1"/>
          </reference>
        </references>
      </pivotArea>
    </format>
    <format dxfId="82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CC6073-7725-3F48-AAC6-B4FE69FF4A10}" name="PivotTable19"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53:R57" firstHeaderRow="1" firstDataRow="2" firstDataCol="1"/>
  <pivotFields count="38">
    <pivotField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5">
        <item x="5"/>
        <item x="12"/>
        <item x="0"/>
        <item x="7"/>
        <item x="11"/>
        <item x="3"/>
        <item x="8"/>
        <item x="9"/>
        <item x="10"/>
        <item x="1"/>
        <item x="13"/>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1"/>
        <item x="3"/>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Col" compact="0" outline="0" showAll="0">
      <items count="4">
        <item x="1"/>
        <item x="0"/>
        <item h="1" x="2"/>
        <item t="default"/>
      </items>
    </pivotField>
  </pivotFields>
  <rowFields count="1">
    <field x="23"/>
  </rowFields>
  <rowItems count="3">
    <i>
      <x/>
    </i>
    <i>
      <x v="1"/>
    </i>
    <i t="grand">
      <x/>
    </i>
  </rowItems>
  <colFields count="1">
    <field x="37"/>
  </colFields>
  <colItems count="3">
    <i>
      <x/>
    </i>
    <i>
      <x v="1"/>
    </i>
    <i t="grand">
      <x/>
    </i>
  </colItems>
  <dataFields count="1">
    <dataField name="Average of RD2" fld="35" subtotal="average" baseField="0" baseItem="0"/>
  </dataFields>
  <formats count="24">
    <format dxfId="1159">
      <pivotArea outline="0" fieldPosition="0">
        <references count="2">
          <reference field="23" count="1" selected="0">
            <x v="0"/>
          </reference>
          <reference field="37" count="1" selected="0">
            <x v="1"/>
          </reference>
        </references>
      </pivotArea>
    </format>
    <format dxfId="1158">
      <pivotArea outline="0" fieldPosition="0">
        <references count="2">
          <reference field="23" count="1" selected="0">
            <x v="0"/>
          </reference>
          <reference field="37" count="1" selected="0">
            <x v="1"/>
          </reference>
        </references>
      </pivotArea>
    </format>
    <format dxfId="1157">
      <pivotArea field="23" grandCol="1" outline="0" axis="axisRow" fieldPosition="0">
        <references count="1">
          <reference field="23" count="2" selected="0">
            <x v="0"/>
            <x v="1"/>
          </reference>
        </references>
      </pivotArea>
    </format>
    <format dxfId="1156">
      <pivotArea outline="0" fieldPosition="0">
        <references count="2">
          <reference field="23" count="2" selected="0">
            <x v="0"/>
            <x v="1"/>
          </reference>
          <reference field="37" count="0" selected="0"/>
        </references>
      </pivotArea>
    </format>
    <format dxfId="1056">
      <pivotArea type="all" dataOnly="0" outline="0" fieldPosition="0"/>
    </format>
    <format dxfId="1055">
      <pivotArea outline="0" collapsedLevelsAreSubtotals="1" fieldPosition="0"/>
    </format>
    <format dxfId="1054">
      <pivotArea type="origin" dataOnly="0" labelOnly="1" outline="0" fieldPosition="0"/>
    </format>
    <format dxfId="1053">
      <pivotArea field="37" type="button" dataOnly="0" labelOnly="1" outline="0" axis="axisCol" fieldPosition="0"/>
    </format>
    <format dxfId="1052">
      <pivotArea type="topRight" dataOnly="0" labelOnly="1" outline="0" fieldPosition="0"/>
    </format>
    <format dxfId="1051">
      <pivotArea field="23" type="button" dataOnly="0" labelOnly="1" outline="0" axis="axisRow" fieldPosition="0"/>
    </format>
    <format dxfId="1050">
      <pivotArea dataOnly="0" labelOnly="1" outline="0" fieldPosition="0">
        <references count="1">
          <reference field="23" count="2">
            <x v="0"/>
            <x v="1"/>
          </reference>
        </references>
      </pivotArea>
    </format>
    <format dxfId="1049">
      <pivotArea dataOnly="0" labelOnly="1" grandRow="1" outline="0" fieldPosition="0"/>
    </format>
    <format dxfId="1048">
      <pivotArea dataOnly="0" labelOnly="1" outline="0" fieldPosition="0">
        <references count="1">
          <reference field="37" count="0"/>
        </references>
      </pivotArea>
    </format>
    <format dxfId="1047">
      <pivotArea dataOnly="0" labelOnly="1" grandCol="1" outline="0" fieldPosition="0"/>
    </format>
    <format dxfId="828">
      <pivotArea type="all" dataOnly="0" outline="0" fieldPosition="0"/>
    </format>
    <format dxfId="827">
      <pivotArea outline="0" collapsedLevelsAreSubtotals="1" fieldPosition="0"/>
    </format>
    <format dxfId="826">
      <pivotArea type="origin" dataOnly="0" labelOnly="1" outline="0" fieldPosition="0"/>
    </format>
    <format dxfId="825">
      <pivotArea field="37" type="button" dataOnly="0" labelOnly="1" outline="0" axis="axisCol" fieldPosition="0"/>
    </format>
    <format dxfId="824">
      <pivotArea type="topRight" dataOnly="0" labelOnly="1" outline="0" fieldPosition="0"/>
    </format>
    <format dxfId="823">
      <pivotArea field="23" type="button" dataOnly="0" labelOnly="1" outline="0" axis="axisRow" fieldPosition="0"/>
    </format>
    <format dxfId="822">
      <pivotArea dataOnly="0" labelOnly="1" outline="0" fieldPosition="0">
        <references count="1">
          <reference field="23" count="2">
            <x v="0"/>
            <x v="1"/>
          </reference>
        </references>
      </pivotArea>
    </format>
    <format dxfId="821">
      <pivotArea dataOnly="0" labelOnly="1" grandRow="1" outline="0" fieldPosition="0"/>
    </format>
    <format dxfId="820">
      <pivotArea dataOnly="0" labelOnly="1" outline="0" fieldPosition="0">
        <references count="1">
          <reference field="37" count="0"/>
        </references>
      </pivotArea>
    </format>
    <format dxfId="8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62FF82-9117-FE41-864A-8CE39A63D472}"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3:G84" firstHeaderRow="1" firstDataRow="3" firstDataCol="1"/>
  <pivotFields count="36">
    <pivotField dataField="1"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h="1" x="9"/>
        <item x="6"/>
        <item x="5"/>
        <item x="2"/>
        <item x="4"/>
        <item x="8"/>
        <item x="0"/>
        <item x="3"/>
        <item x="1"/>
        <item h="1" x="7"/>
        <item t="default"/>
      </items>
    </pivotField>
    <pivotField compact="0" outline="0" showAll="0"/>
    <pivotField compact="0" outline="0" showAll="0"/>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pivotField compact="0" outline="0" showAll="0"/>
    <pivotField axis="axisCol" compact="0" outline="0" showAll="0">
      <items count="6">
        <item h="1" x="2"/>
        <item x="1"/>
        <item h="1" x="4"/>
        <item x="0"/>
        <item h="1" x="3"/>
        <item t="default"/>
      </items>
    </pivotField>
    <pivotField compact="0" outline="0" showAll="0"/>
    <pivotField compact="0" outline="0" showAll="0"/>
    <pivotField compact="0" outline="0" showAll="0"/>
    <pivotField compact="0" outline="0" showAll="0"/>
    <pivotField compact="0" outline="0" showAll="0"/>
  </pivotFields>
  <rowFields count="1">
    <field x="21"/>
  </rowFields>
  <rowItems count="9">
    <i>
      <x v="1"/>
    </i>
    <i>
      <x v="2"/>
    </i>
    <i>
      <x v="3"/>
    </i>
    <i>
      <x v="4"/>
    </i>
    <i>
      <x v="5"/>
    </i>
    <i>
      <x v="6"/>
    </i>
    <i>
      <x v="7"/>
    </i>
    <i>
      <x v="8"/>
    </i>
    <i t="grand">
      <x/>
    </i>
  </rowItems>
  <colFields count="2">
    <field x="30"/>
    <field x="-2"/>
  </colFields>
  <colItems count="6">
    <i>
      <x v="1"/>
      <x/>
    </i>
    <i r="1" i="1">
      <x v="1"/>
    </i>
    <i>
      <x v="3"/>
      <x/>
    </i>
    <i r="1" i="1">
      <x v="1"/>
    </i>
    <i t="grand">
      <x/>
    </i>
    <i t="grand" i="1">
      <x/>
    </i>
  </colItems>
  <dataFields count="2">
    <dataField name="Count of Clause_ID" fld="0" subtotal="count" showDataAs="percentOfRow" baseField="0" baseItem="0" numFmtId="10"/>
    <dataField name="Count of Clause_ID2" fld="0" subtotal="count" baseField="0" baseItem="0"/>
  </dataFields>
  <formats count="40">
    <format dxfId="1171">
      <pivotArea outline="0" fieldPosition="0">
        <references count="2">
          <reference field="21" count="1" selected="0">
            <x v="2"/>
          </reference>
          <reference field="30" count="1" selected="0">
            <x v="3"/>
          </reference>
        </references>
      </pivotArea>
    </format>
    <format dxfId="1170">
      <pivotArea outline="0" fieldPosition="0">
        <references count="2">
          <reference field="21" count="1" selected="0">
            <x v="8"/>
          </reference>
          <reference field="30" count="1" selected="0">
            <x v="3"/>
          </reference>
        </references>
      </pivotArea>
    </format>
    <format dxfId="1169">
      <pivotArea outline="0" fieldPosition="0">
        <references count="2">
          <reference field="21" count="1" selected="0">
            <x v="8"/>
          </reference>
          <reference field="30" count="1" selected="0">
            <x v="3"/>
          </reference>
        </references>
      </pivotArea>
    </format>
    <format dxfId="1168">
      <pivotArea outline="0" fieldPosition="0">
        <references count="2">
          <reference field="21" count="1" selected="0">
            <x v="2"/>
          </reference>
          <reference field="30" count="1" selected="0">
            <x v="3"/>
          </reference>
        </references>
      </pivotArea>
    </format>
    <format dxfId="1167">
      <pivotArea outline="0" fieldPosition="0">
        <references count="2">
          <reference field="21" count="1" selected="0">
            <x v="7"/>
          </reference>
          <reference field="30" count="1" selected="0">
            <x v="1"/>
          </reference>
        </references>
      </pivotArea>
    </format>
    <format dxfId="1166">
      <pivotArea outline="0" fieldPosition="0">
        <references count="2">
          <reference field="21" count="1" selected="0">
            <x v="3"/>
          </reference>
          <reference field="30" count="1" selected="0">
            <x v="1"/>
          </reference>
        </references>
      </pivotArea>
    </format>
    <format dxfId="1165">
      <pivotArea outline="0" fieldPosition="0">
        <references count="1">
          <reference field="21" count="0" selected="0"/>
        </references>
      </pivotArea>
    </format>
    <format dxfId="1164">
      <pivotArea outline="0" fieldPosition="0">
        <references count="1">
          <reference field="21" count="0" selected="0"/>
        </references>
      </pivotArea>
    </format>
    <format dxfId="1163">
      <pivotArea outline="0" fieldPosition="0">
        <references count="1">
          <reference field="4294967294" count="1">
            <x v="0"/>
          </reference>
        </references>
      </pivotArea>
    </format>
    <format dxfId="1162">
      <pivotArea outline="0" fieldPosition="0">
        <references count="2">
          <reference field="4294967294" count="1" selected="0">
            <x v="0"/>
          </reference>
          <reference field="30" count="1" selected="0">
            <x v="1"/>
          </reference>
        </references>
      </pivotArea>
    </format>
    <format dxfId="1161">
      <pivotArea outline="0" fieldPosition="0">
        <references count="2">
          <reference field="4294967294" count="1" selected="0">
            <x v="0"/>
          </reference>
          <reference field="30" count="1" selected="0">
            <x v="3"/>
          </reference>
        </references>
      </pivotArea>
    </format>
    <format dxfId="1160">
      <pivotArea field="30" grandCol="1" outline="0" axis="axisCol" fieldPosition="0">
        <references count="1">
          <reference field="4294967294" count="1" selected="0">
            <x v="0"/>
          </reference>
        </references>
      </pivotArea>
    </format>
    <format dxfId="1046">
      <pivotArea type="all" dataOnly="0" outline="0" fieldPosition="0"/>
    </format>
    <format dxfId="1045">
      <pivotArea outline="0" collapsedLevelsAreSubtotals="1" fieldPosition="0"/>
    </format>
    <format dxfId="1044">
      <pivotArea type="origin" dataOnly="0" labelOnly="1" outline="0" fieldPosition="0"/>
    </format>
    <format dxfId="1043">
      <pivotArea field="30" type="button" dataOnly="0" labelOnly="1" outline="0" axis="axisCol" fieldPosition="0"/>
    </format>
    <format dxfId="1042">
      <pivotArea field="-2" type="button" dataOnly="0" labelOnly="1" outline="0" axis="axisCol" fieldPosition="1"/>
    </format>
    <format dxfId="1041">
      <pivotArea type="topRight" dataOnly="0" labelOnly="1" outline="0" fieldPosition="0"/>
    </format>
    <format dxfId="1040">
      <pivotArea field="21" type="button" dataOnly="0" labelOnly="1" outline="0" axis="axisRow" fieldPosition="0"/>
    </format>
    <format dxfId="1039">
      <pivotArea dataOnly="0" labelOnly="1" outline="0" fieldPosition="0">
        <references count="1">
          <reference field="21" count="0"/>
        </references>
      </pivotArea>
    </format>
    <format dxfId="1038">
      <pivotArea dataOnly="0" labelOnly="1" grandRow="1" outline="0" fieldPosition="0"/>
    </format>
    <format dxfId="1037">
      <pivotArea dataOnly="0" labelOnly="1" outline="0" fieldPosition="0">
        <references count="1">
          <reference field="30" count="0"/>
        </references>
      </pivotArea>
    </format>
    <format dxfId="1036">
      <pivotArea field="30" dataOnly="0" labelOnly="1" grandCol="1" outline="0" axis="axisCol" fieldPosition="0">
        <references count="1">
          <reference field="4294967294" count="1" selected="0">
            <x v="0"/>
          </reference>
        </references>
      </pivotArea>
    </format>
    <format dxfId="1034">
      <pivotArea field="30" dataOnly="0" labelOnly="1" grandCol="1" outline="0" axis="axisCol" fieldPosition="0">
        <references count="1">
          <reference field="4294967294" count="1" selected="0">
            <x v="1"/>
          </reference>
        </references>
      </pivotArea>
    </format>
    <format dxfId="1032">
      <pivotArea dataOnly="0" labelOnly="1" outline="0" fieldPosition="0">
        <references count="2">
          <reference field="4294967294" count="2">
            <x v="0"/>
            <x v="1"/>
          </reference>
          <reference field="30" count="1" selected="0">
            <x v="1"/>
          </reference>
        </references>
      </pivotArea>
    </format>
    <format dxfId="1031">
      <pivotArea dataOnly="0" labelOnly="1" outline="0" fieldPosition="0">
        <references count="2">
          <reference field="4294967294" count="2">
            <x v="0"/>
            <x v="1"/>
          </reference>
          <reference field="30" count="1" selected="0">
            <x v="3"/>
          </reference>
        </references>
      </pivotArea>
    </format>
    <format dxfId="818">
      <pivotArea type="all" dataOnly="0" outline="0" fieldPosition="0"/>
    </format>
    <format dxfId="817">
      <pivotArea outline="0" collapsedLevelsAreSubtotals="1" fieldPosition="0"/>
    </format>
    <format dxfId="816">
      <pivotArea type="origin" dataOnly="0" labelOnly="1" outline="0" fieldPosition="0"/>
    </format>
    <format dxfId="815">
      <pivotArea field="30" type="button" dataOnly="0" labelOnly="1" outline="0" axis="axisCol" fieldPosition="0"/>
    </format>
    <format dxfId="814">
      <pivotArea field="-2" type="button" dataOnly="0" labelOnly="1" outline="0" axis="axisCol" fieldPosition="1"/>
    </format>
    <format dxfId="813">
      <pivotArea type="topRight" dataOnly="0" labelOnly="1" outline="0" fieldPosition="0"/>
    </format>
    <format dxfId="812">
      <pivotArea field="21" type="button" dataOnly="0" labelOnly="1" outline="0" axis="axisRow" fieldPosition="0"/>
    </format>
    <format dxfId="811">
      <pivotArea dataOnly="0" labelOnly="1" outline="0" fieldPosition="0">
        <references count="1">
          <reference field="21" count="0"/>
        </references>
      </pivotArea>
    </format>
    <format dxfId="810">
      <pivotArea dataOnly="0" labelOnly="1" grandRow="1" outline="0" fieldPosition="0"/>
    </format>
    <format dxfId="809">
      <pivotArea dataOnly="0" labelOnly="1" outline="0" fieldPosition="0">
        <references count="1">
          <reference field="30" count="0"/>
        </references>
      </pivotArea>
    </format>
    <format dxfId="808">
      <pivotArea field="30" dataOnly="0" labelOnly="1" grandCol="1" outline="0" axis="axisCol" fieldPosition="0">
        <references count="1">
          <reference field="4294967294" count="1" selected="0">
            <x v="0"/>
          </reference>
        </references>
      </pivotArea>
    </format>
    <format dxfId="806">
      <pivotArea field="30" dataOnly="0" labelOnly="1" grandCol="1" outline="0" axis="axisCol" fieldPosition="0">
        <references count="1">
          <reference field="4294967294" count="1" selected="0">
            <x v="1"/>
          </reference>
        </references>
      </pivotArea>
    </format>
    <format dxfId="804">
      <pivotArea dataOnly="0" labelOnly="1" outline="0" fieldPosition="0">
        <references count="2">
          <reference field="4294967294" count="2">
            <x v="0"/>
            <x v="1"/>
          </reference>
          <reference field="30" count="1" selected="0">
            <x v="1"/>
          </reference>
        </references>
      </pivotArea>
    </format>
    <format dxfId="803">
      <pivotArea dataOnly="0" labelOnly="1" outline="0" fieldPosition="0">
        <references count="2">
          <reference field="4294967294" count="2">
            <x v="0"/>
            <x v="1"/>
          </reference>
          <reference field="3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000FCB-7601-2A4D-81D9-0A5CC2AA5C55}"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43:P48" firstHeaderRow="1" firstDataRow="1" firstDataCol="1"/>
  <pivotFields count="34">
    <pivotField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axis="axisRow" compact="0" outline="0" showAll="0">
      <items count="5">
        <item x="0"/>
        <item x="1"/>
        <item x="3"/>
        <item x="2"/>
        <item t="default"/>
      </items>
    </pivotField>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2"/>
  </rowFields>
  <rowItems count="5">
    <i>
      <x/>
    </i>
    <i>
      <x v="1"/>
    </i>
    <i>
      <x v="2"/>
    </i>
    <i>
      <x v="3"/>
    </i>
    <i t="grand">
      <x/>
    </i>
  </rowItems>
  <colItems count="1">
    <i/>
  </colItems>
  <dataFields count="1">
    <dataField name="Average of RD2" fld="33" subtotal="average" baseField="0" baseItem="0"/>
  </dataFields>
  <formats count="12">
    <format dxfId="1030">
      <pivotArea type="all" dataOnly="0" outline="0" fieldPosition="0"/>
    </format>
    <format dxfId="1029">
      <pivotArea outline="0" collapsedLevelsAreSubtotals="1" fieldPosition="0"/>
    </format>
    <format dxfId="1028">
      <pivotArea field="22" type="button" dataOnly="0" labelOnly="1" outline="0" axis="axisRow" fieldPosition="0"/>
    </format>
    <format dxfId="1027">
      <pivotArea dataOnly="0" labelOnly="1" outline="0" fieldPosition="0">
        <references count="1">
          <reference field="22" count="0"/>
        </references>
      </pivotArea>
    </format>
    <format dxfId="1026">
      <pivotArea dataOnly="0" labelOnly="1" grandRow="1" outline="0" fieldPosition="0"/>
    </format>
    <format dxfId="1025">
      <pivotArea dataOnly="0" labelOnly="1" outline="0" axis="axisValues" fieldPosition="0"/>
    </format>
    <format dxfId="802">
      <pivotArea type="all" dataOnly="0" outline="0" fieldPosition="0"/>
    </format>
    <format dxfId="801">
      <pivotArea outline="0" collapsedLevelsAreSubtotals="1" fieldPosition="0"/>
    </format>
    <format dxfId="800">
      <pivotArea field="22" type="button" dataOnly="0" labelOnly="1" outline="0" axis="axisRow" fieldPosition="0"/>
    </format>
    <format dxfId="799">
      <pivotArea dataOnly="0" labelOnly="1" outline="0" fieldPosition="0">
        <references count="1">
          <reference field="22" count="0"/>
        </references>
      </pivotArea>
    </format>
    <format dxfId="798">
      <pivotArea dataOnly="0" labelOnly="1" grandRow="1" outline="0" fieldPosition="0"/>
    </format>
    <format dxfId="7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C28DF3-6402-6947-AA03-486F424510C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11" firstHeaderRow="0" firstDataRow="1" firstDataCol="1"/>
  <pivotFields count="34">
    <pivotField dataField="1"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x="7"/>
        <item x="6"/>
        <item x="0"/>
        <item x="2"/>
        <item x="4"/>
        <item x="1"/>
        <item x="5"/>
        <item x="3"/>
        <item t="default"/>
      </items>
    </pivotField>
    <pivotField compact="0" outline="0" showAll="0"/>
    <pivotField axis="axisRow" compact="0" outline="0" showAll="0">
      <items count="10">
        <item h="1" x="8"/>
        <item x="0"/>
        <item h="1" x="7"/>
        <item x="2"/>
        <item x="1"/>
        <item x="5"/>
        <item x="3"/>
        <item x="6"/>
        <item h="1" x="4"/>
        <item t="default"/>
      </items>
    </pivotField>
    <pivotField compact="0" outline="0" showAll="0"/>
    <pivotField compact="0" outline="0" showAll="0"/>
    <pivotField compact="0" outline="0" showAll="0"/>
    <pivotField compact="0" outline="0" showAll="0"/>
    <pivotField compact="0" outline="0" showAll="0">
      <items count="11">
        <item h="1" x="9"/>
        <item x="6"/>
        <item x="5"/>
        <item x="2"/>
        <item x="4"/>
        <item h="1" x="8"/>
        <item x="0"/>
        <item x="3"/>
        <item x="1"/>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6"/>
  </rowFields>
  <rowItems count="7">
    <i>
      <x v="1"/>
    </i>
    <i>
      <x v="3"/>
    </i>
    <i>
      <x v="4"/>
    </i>
    <i>
      <x v="5"/>
    </i>
    <i>
      <x v="6"/>
    </i>
    <i>
      <x v="7"/>
    </i>
    <i t="grand">
      <x/>
    </i>
  </rowItems>
  <colFields count="1">
    <field x="-2"/>
  </colFields>
  <colItems count="2">
    <i>
      <x/>
    </i>
    <i i="1">
      <x v="1"/>
    </i>
  </colItems>
  <dataFields count="2">
    <dataField name="Average of RD2" fld="33" subtotal="average" baseField="0" baseItem="0" numFmtId="164"/>
    <dataField name="Count of Clause_ID" fld="0" subtotal="count" baseField="0" baseItem="0"/>
  </dataFields>
  <formats count="20">
    <format dxfId="1179">
      <pivotArea type="all" dataOnly="0" outline="0" fieldPosition="0"/>
    </format>
    <format dxfId="1178">
      <pivotArea outline="0" collapsedLevelsAreSubtotals="1" fieldPosition="0"/>
    </format>
    <format dxfId="1177">
      <pivotArea type="origin" dataOnly="0" labelOnly="1" outline="0" fieldPosition="0"/>
    </format>
    <format dxfId="1176">
      <pivotArea field="21" type="button" dataOnly="0" labelOnly="1" outline="0"/>
    </format>
    <format dxfId="1175">
      <pivotArea type="topRight" dataOnly="0" labelOnly="1" outline="0" fieldPosition="0"/>
    </format>
    <format dxfId="1174">
      <pivotArea field="14" type="button" dataOnly="0" labelOnly="1" outline="0"/>
    </format>
    <format dxfId="1173">
      <pivotArea dataOnly="0" labelOnly="1" grandRow="1" outline="0" fieldPosition="0"/>
    </format>
    <format dxfId="1172">
      <pivotArea dataOnly="0" labelOnly="1" grandCol="1" outline="0" fieldPosition="0"/>
    </format>
    <format dxfId="1023">
      <pivotArea type="all" dataOnly="0" outline="0" fieldPosition="0"/>
    </format>
    <format dxfId="1022">
      <pivotArea outline="0" collapsedLevelsAreSubtotals="1" fieldPosition="0"/>
    </format>
    <format dxfId="1021">
      <pivotArea field="16" type="button" dataOnly="0" labelOnly="1" outline="0" axis="axisRow" fieldPosition="0"/>
    </format>
    <format dxfId="1020">
      <pivotArea dataOnly="0" labelOnly="1" outline="0" fieldPosition="0">
        <references count="1">
          <reference field="16" count="0"/>
        </references>
      </pivotArea>
    </format>
    <format dxfId="1019">
      <pivotArea dataOnly="0" labelOnly="1" grandRow="1" outline="0" fieldPosition="0"/>
    </format>
    <format dxfId="1018">
      <pivotArea dataOnly="0" labelOnly="1" outline="0" fieldPosition="0">
        <references count="1">
          <reference field="4294967294" count="2">
            <x v="0"/>
            <x v="1"/>
          </reference>
        </references>
      </pivotArea>
    </format>
    <format dxfId="795">
      <pivotArea type="all" dataOnly="0" outline="0" fieldPosition="0"/>
    </format>
    <format dxfId="794">
      <pivotArea outline="0" collapsedLevelsAreSubtotals="1" fieldPosition="0"/>
    </format>
    <format dxfId="793">
      <pivotArea field="16" type="button" dataOnly="0" labelOnly="1" outline="0" axis="axisRow" fieldPosition="0"/>
    </format>
    <format dxfId="792">
      <pivotArea dataOnly="0" labelOnly="1" outline="0" fieldPosition="0">
        <references count="1">
          <reference field="16" count="0"/>
        </references>
      </pivotArea>
    </format>
    <format dxfId="791">
      <pivotArea dataOnly="0" labelOnly="1" grandRow="1" outline="0" fieldPosition="0"/>
    </format>
    <format dxfId="7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D362B3-599F-DD44-BF5C-6F02A3581C03}" name="PivotTable15"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04:G109" firstHeaderRow="1" firstDataRow="2" firstDataCol="1"/>
  <pivotFields count="38">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0"/>
        <item h="1" x="4"/>
        <item x="1"/>
        <item h="1" x="2"/>
        <item t="default"/>
      </items>
    </pivotField>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showAll="0">
      <items count="4">
        <item x="1"/>
        <item x="0"/>
        <item x="2"/>
        <item t="default"/>
      </items>
    </pivotField>
    <pivotField compact="0" outline="0" showAll="0"/>
  </pivotFields>
  <rowFields count="1">
    <field x="7"/>
  </rowFields>
  <rowItems count="4">
    <i>
      <x/>
    </i>
    <i>
      <x v="1"/>
    </i>
    <i>
      <x v="3"/>
    </i>
    <i t="grand">
      <x/>
    </i>
  </rowItems>
  <colFields count="1">
    <field x="36"/>
  </colFields>
  <colItems count="3">
    <i>
      <x/>
    </i>
    <i>
      <x v="1"/>
    </i>
    <i t="grand">
      <x/>
    </i>
  </colItems>
  <dataFields count="1">
    <dataField name="Average of RD2" fld="35" subtotal="average" baseField="0" baseItem="0" numFmtId="2"/>
  </dataFields>
  <formats count="21">
    <format dxfId="1180">
      <pivotArea outline="0" collapsedLevelsAreSubtotals="1" fieldPosition="0"/>
    </format>
    <format dxfId="1017">
      <pivotArea type="all" dataOnly="0" outline="0" fieldPosition="0"/>
    </format>
    <format dxfId="1016">
      <pivotArea outline="0" collapsedLevelsAreSubtotals="1" fieldPosition="0"/>
    </format>
    <format dxfId="1015">
      <pivotArea type="origin" dataOnly="0" labelOnly="1" outline="0" fieldPosition="0"/>
    </format>
    <format dxfId="1014">
      <pivotArea field="36" type="button" dataOnly="0" labelOnly="1" outline="0" axis="axisCol" fieldPosition="0"/>
    </format>
    <format dxfId="1013">
      <pivotArea type="topRight" dataOnly="0" labelOnly="1" outline="0" fieldPosition="0"/>
    </format>
    <format dxfId="1012">
      <pivotArea field="7" type="button" dataOnly="0" labelOnly="1" outline="0" axis="axisRow" fieldPosition="0"/>
    </format>
    <format dxfId="1011">
      <pivotArea dataOnly="0" labelOnly="1" outline="0" fieldPosition="0">
        <references count="1">
          <reference field="7" count="0"/>
        </references>
      </pivotArea>
    </format>
    <format dxfId="1010">
      <pivotArea dataOnly="0" labelOnly="1" grandRow="1" outline="0" fieldPosition="0"/>
    </format>
    <format dxfId="1009">
      <pivotArea dataOnly="0" labelOnly="1" outline="0" fieldPosition="0">
        <references count="1">
          <reference field="36" count="2">
            <x v="0"/>
            <x v="1"/>
          </reference>
        </references>
      </pivotArea>
    </format>
    <format dxfId="1008">
      <pivotArea dataOnly="0" labelOnly="1" grandCol="1" outline="0" fieldPosition="0"/>
    </format>
    <format dxfId="789">
      <pivotArea type="all" dataOnly="0" outline="0" fieldPosition="0"/>
    </format>
    <format dxfId="788">
      <pivotArea outline="0" collapsedLevelsAreSubtotals="1" fieldPosition="0"/>
    </format>
    <format dxfId="787">
      <pivotArea type="origin" dataOnly="0" labelOnly="1" outline="0" fieldPosition="0"/>
    </format>
    <format dxfId="786">
      <pivotArea field="36" type="button" dataOnly="0" labelOnly="1" outline="0" axis="axisCol" fieldPosition="0"/>
    </format>
    <format dxfId="785">
      <pivotArea type="topRight" dataOnly="0" labelOnly="1" outline="0" fieldPosition="0"/>
    </format>
    <format dxfId="784">
      <pivotArea field="7" type="button" dataOnly="0" labelOnly="1" outline="0" axis="axisRow" fieldPosition="0"/>
    </format>
    <format dxfId="783">
      <pivotArea dataOnly="0" labelOnly="1" outline="0" fieldPosition="0">
        <references count="1">
          <reference field="7" count="0"/>
        </references>
      </pivotArea>
    </format>
    <format dxfId="782">
      <pivotArea dataOnly="0" labelOnly="1" grandRow="1" outline="0" fieldPosition="0"/>
    </format>
    <format dxfId="781">
      <pivotArea dataOnly="0" labelOnly="1" outline="0" fieldPosition="0">
        <references count="1">
          <reference field="36" count="2">
            <x v="0"/>
            <x v="1"/>
          </reference>
        </references>
      </pivotArea>
    </format>
    <format dxfId="78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0B54DE-662E-C143-9F8B-9831C46EFFC7}"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7:E22" firstHeaderRow="1" firstDataRow="1" firstDataCol="1"/>
  <pivotFields count="34">
    <pivotField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axis="axisRow"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7"/>
  </rowFields>
  <rowItems count="5">
    <i>
      <x/>
    </i>
    <i>
      <x v="1"/>
    </i>
    <i>
      <x v="2"/>
    </i>
    <i>
      <x v="3"/>
    </i>
    <i t="grand">
      <x/>
    </i>
  </rowItems>
  <colItems count="1">
    <i/>
  </colItems>
  <dataFields count="1">
    <dataField name="Average of RD2" fld="33" subtotal="average" baseField="0" baseItem="0" numFmtId="164"/>
  </dataFields>
  <formats count="19">
    <format dxfId="1187">
      <pivotArea outline="0" fieldPosition="0">
        <references count="1">
          <reference field="7" count="1" selected="0">
            <x v="2"/>
          </reference>
        </references>
      </pivotArea>
    </format>
    <format dxfId="1186">
      <pivotArea type="all" dataOnly="0" outline="0" fieldPosition="0"/>
    </format>
    <format dxfId="1185">
      <pivotArea outline="0" collapsedLevelsAreSubtotals="1" fieldPosition="0"/>
    </format>
    <format dxfId="1184">
      <pivotArea field="7" type="button" dataOnly="0" labelOnly="1" outline="0" axis="axisRow" fieldPosition="0"/>
    </format>
    <format dxfId="1183">
      <pivotArea dataOnly="0" labelOnly="1" outline="0" fieldPosition="0">
        <references count="1">
          <reference field="7" count="0"/>
        </references>
      </pivotArea>
    </format>
    <format dxfId="1182">
      <pivotArea dataOnly="0" labelOnly="1" grandRow="1" outline="0" fieldPosition="0"/>
    </format>
    <format dxfId="1181">
      <pivotArea dataOnly="0" labelOnly="1" outline="0" axis="axisValues" fieldPosition="0"/>
    </format>
    <format dxfId="1007">
      <pivotArea type="all" dataOnly="0" outline="0" fieldPosition="0"/>
    </format>
    <format dxfId="1006">
      <pivotArea outline="0" collapsedLevelsAreSubtotals="1" fieldPosition="0"/>
    </format>
    <format dxfId="1005">
      <pivotArea field="7" type="button" dataOnly="0" labelOnly="1" outline="0" axis="axisRow" fieldPosition="0"/>
    </format>
    <format dxfId="1004">
      <pivotArea dataOnly="0" labelOnly="1" outline="0" fieldPosition="0">
        <references count="1">
          <reference field="7" count="0"/>
        </references>
      </pivotArea>
    </format>
    <format dxfId="1003">
      <pivotArea dataOnly="0" labelOnly="1" grandRow="1" outline="0" fieldPosition="0"/>
    </format>
    <format dxfId="1002">
      <pivotArea dataOnly="0" labelOnly="1" outline="0" axis="axisValues" fieldPosition="0"/>
    </format>
    <format dxfId="779">
      <pivotArea type="all" dataOnly="0" outline="0" fieldPosition="0"/>
    </format>
    <format dxfId="778">
      <pivotArea outline="0" collapsedLevelsAreSubtotals="1" fieldPosition="0"/>
    </format>
    <format dxfId="777">
      <pivotArea field="7" type="button" dataOnly="0" labelOnly="1" outline="0" axis="axisRow" fieldPosition="0"/>
    </format>
    <format dxfId="776">
      <pivotArea dataOnly="0" labelOnly="1" outline="0" fieldPosition="0">
        <references count="1">
          <reference field="7" count="0"/>
        </references>
      </pivotArea>
    </format>
    <format dxfId="775">
      <pivotArea dataOnly="0" labelOnly="1" grandRow="1" outline="0" fieldPosition="0"/>
    </format>
    <format dxfId="7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F5F45F-68D4-924E-9855-18E9FE0FAA00}" name="PivotTable9"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8:M98" firstHeaderRow="1" firstDataRow="3" firstDataCol="1"/>
  <pivotFields count="36">
    <pivotField dataField="1"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9">
        <item h="1" x="7"/>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h="1" x="9"/>
        <item x="6"/>
        <item x="5"/>
        <item x="2"/>
        <item x="4"/>
        <item h="1" x="8"/>
        <item x="0"/>
        <item x="3"/>
        <item x="1"/>
        <item h="1" x="7"/>
        <item t="default"/>
      </items>
    </pivotField>
    <pivotField compact="0" outline="0" showAll="0"/>
    <pivotField compact="0" outline="0" showAll="0"/>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pivotField compact="0" outline="0" showAll="0"/>
    <pivotField compact="0" outline="0" showAll="0">
      <items count="6">
        <item x="2"/>
        <item x="1"/>
        <item x="4"/>
        <item x="0"/>
        <item x="3"/>
        <item t="default"/>
      </items>
    </pivotField>
    <pivotField compact="0" outline="0" showAll="0"/>
    <pivotField compact="0" outline="0" showAll="0"/>
    <pivotField compact="0" outline="0" showAll="0"/>
    <pivotField compact="0" outline="0" showAll="0"/>
    <pivotField compact="0" outline="0" showAll="0"/>
  </pivotFields>
  <rowFields count="1">
    <field x="21"/>
  </rowFields>
  <rowItems count="8">
    <i>
      <x v="1"/>
    </i>
    <i>
      <x v="2"/>
    </i>
    <i>
      <x v="3"/>
    </i>
    <i>
      <x v="4"/>
    </i>
    <i>
      <x v="6"/>
    </i>
    <i>
      <x v="7"/>
    </i>
    <i>
      <x v="8"/>
    </i>
    <i t="grand">
      <x/>
    </i>
  </rowItems>
  <colFields count="2">
    <field x="14"/>
    <field x="-2"/>
  </colFields>
  <colItems count="12">
    <i>
      <x v="2"/>
      <x/>
    </i>
    <i r="1" i="1">
      <x v="1"/>
    </i>
    <i>
      <x v="3"/>
      <x/>
    </i>
    <i r="1" i="1">
      <x v="1"/>
    </i>
    <i>
      <x v="4"/>
      <x/>
    </i>
    <i r="1" i="1">
      <x v="1"/>
    </i>
    <i>
      <x v="5"/>
      <x/>
    </i>
    <i r="1" i="1">
      <x v="1"/>
    </i>
    <i>
      <x v="6"/>
      <x/>
    </i>
    <i r="1" i="1">
      <x v="1"/>
    </i>
    <i t="grand">
      <x/>
    </i>
    <i t="grand" i="1">
      <x/>
    </i>
  </colItems>
  <dataFields count="2">
    <dataField name="Count of Clause_ID" fld="0" subtotal="count" showDataAs="percentOfRow" baseField="0" baseItem="0" numFmtId="10"/>
    <dataField name="Count of Clause_ID2" fld="0" subtotal="count" baseField="0" baseItem="0"/>
  </dataFields>
  <formats count="39">
    <format dxfId="1192">
      <pivotArea outline="0" fieldPosition="0">
        <references count="2">
          <reference field="14" count="1" selected="0">
            <x v="2"/>
          </reference>
          <reference field="21" count="1" selected="0">
            <x v="3"/>
          </reference>
        </references>
      </pivotArea>
    </format>
    <format dxfId="1191">
      <pivotArea outline="0" fieldPosition="0">
        <references count="2">
          <reference field="14" count="1" selected="0">
            <x v="2"/>
          </reference>
          <reference field="21" count="1" selected="0">
            <x v="7"/>
          </reference>
        </references>
      </pivotArea>
    </format>
    <format dxfId="1190">
      <pivotArea outline="0" fieldPosition="0">
        <references count="2">
          <reference field="14" count="1" selected="0">
            <x v="5"/>
          </reference>
          <reference field="21" count="1" selected="0">
            <x v="8"/>
          </reference>
        </references>
      </pivotArea>
    </format>
    <format dxfId="1189">
      <pivotArea outline="0" fieldPosition="0">
        <references count="2">
          <reference field="14" count="1" selected="0">
            <x v="2"/>
          </reference>
          <reference field="21" count="1" selected="0">
            <x v="6"/>
          </reference>
        </references>
      </pivotArea>
    </format>
    <format dxfId="1188">
      <pivotArea outline="0" fieldPosition="0">
        <references count="1">
          <reference field="4294967294" count="1">
            <x v="0"/>
          </reference>
        </references>
      </pivotArea>
    </format>
    <format dxfId="1000">
      <pivotArea type="all" dataOnly="0" outline="0" fieldPosition="0"/>
    </format>
    <format dxfId="999">
      <pivotArea outline="0" collapsedLevelsAreSubtotals="1" fieldPosition="0"/>
    </format>
    <format dxfId="998">
      <pivotArea type="origin" dataOnly="0" labelOnly="1" outline="0" fieldPosition="0"/>
    </format>
    <format dxfId="997">
      <pivotArea field="14" type="button" dataOnly="0" labelOnly="1" outline="0" axis="axisCol" fieldPosition="0"/>
    </format>
    <format dxfId="996">
      <pivotArea field="-2" type="button" dataOnly="0" labelOnly="1" outline="0" axis="axisCol" fieldPosition="1"/>
    </format>
    <format dxfId="995">
      <pivotArea type="topRight" dataOnly="0" labelOnly="1" outline="0" fieldPosition="0"/>
    </format>
    <format dxfId="994">
      <pivotArea field="21" type="button" dataOnly="0" labelOnly="1" outline="0" axis="axisRow" fieldPosition="0"/>
    </format>
    <format dxfId="993">
      <pivotArea dataOnly="0" labelOnly="1" outline="0" fieldPosition="0">
        <references count="1">
          <reference field="21" count="0"/>
        </references>
      </pivotArea>
    </format>
    <format dxfId="992">
      <pivotArea dataOnly="0" labelOnly="1" grandRow="1" outline="0" fieldPosition="0"/>
    </format>
    <format dxfId="991">
      <pivotArea dataOnly="0" labelOnly="1" outline="0" fieldPosition="0">
        <references count="1">
          <reference field="14" count="0"/>
        </references>
      </pivotArea>
    </format>
    <format dxfId="990">
      <pivotArea field="14" dataOnly="0" labelOnly="1" grandCol="1" outline="0" axis="axisCol" fieldPosition="0">
        <references count="1">
          <reference field="4294967294" count="1" selected="0">
            <x v="0"/>
          </reference>
        </references>
      </pivotArea>
    </format>
    <format dxfId="988">
      <pivotArea field="14" dataOnly="0" labelOnly="1" grandCol="1" outline="0" axis="axisCol" fieldPosition="0">
        <references count="1">
          <reference field="4294967294" count="1" selected="0">
            <x v="1"/>
          </reference>
        </references>
      </pivotArea>
    </format>
    <format dxfId="986">
      <pivotArea dataOnly="0" labelOnly="1" outline="0" fieldPosition="0">
        <references count="2">
          <reference field="4294967294" count="2">
            <x v="0"/>
            <x v="1"/>
          </reference>
          <reference field="14" count="1" selected="0">
            <x v="2"/>
          </reference>
        </references>
      </pivotArea>
    </format>
    <format dxfId="985">
      <pivotArea dataOnly="0" labelOnly="1" outline="0" fieldPosition="0">
        <references count="2">
          <reference field="4294967294" count="2">
            <x v="0"/>
            <x v="1"/>
          </reference>
          <reference field="14" count="1" selected="0">
            <x v="3"/>
          </reference>
        </references>
      </pivotArea>
    </format>
    <format dxfId="984">
      <pivotArea dataOnly="0" labelOnly="1" outline="0" fieldPosition="0">
        <references count="2">
          <reference field="4294967294" count="2">
            <x v="0"/>
            <x v="1"/>
          </reference>
          <reference field="14" count="1" selected="0">
            <x v="4"/>
          </reference>
        </references>
      </pivotArea>
    </format>
    <format dxfId="983">
      <pivotArea dataOnly="0" labelOnly="1" outline="0" fieldPosition="0">
        <references count="2">
          <reference field="4294967294" count="2">
            <x v="0"/>
            <x v="1"/>
          </reference>
          <reference field="14" count="1" selected="0">
            <x v="5"/>
          </reference>
        </references>
      </pivotArea>
    </format>
    <format dxfId="982">
      <pivotArea dataOnly="0" labelOnly="1" outline="0" fieldPosition="0">
        <references count="2">
          <reference field="4294967294" count="2">
            <x v="0"/>
            <x v="1"/>
          </reference>
          <reference field="14" count="1" selected="0">
            <x v="6"/>
          </reference>
        </references>
      </pivotArea>
    </format>
    <format dxfId="772">
      <pivotArea type="all" dataOnly="0" outline="0" fieldPosition="0"/>
    </format>
    <format dxfId="771">
      <pivotArea outline="0" collapsedLevelsAreSubtotals="1" fieldPosition="0"/>
    </format>
    <format dxfId="770">
      <pivotArea type="origin" dataOnly="0" labelOnly="1" outline="0" fieldPosition="0"/>
    </format>
    <format dxfId="769">
      <pivotArea field="14" type="button" dataOnly="0" labelOnly="1" outline="0" axis="axisCol" fieldPosition="0"/>
    </format>
    <format dxfId="768">
      <pivotArea field="-2" type="button" dataOnly="0" labelOnly="1" outline="0" axis="axisCol" fieldPosition="1"/>
    </format>
    <format dxfId="767">
      <pivotArea type="topRight" dataOnly="0" labelOnly="1" outline="0" fieldPosition="0"/>
    </format>
    <format dxfId="766">
      <pivotArea field="21" type="button" dataOnly="0" labelOnly="1" outline="0" axis="axisRow" fieldPosition="0"/>
    </format>
    <format dxfId="765">
      <pivotArea dataOnly="0" labelOnly="1" outline="0" fieldPosition="0">
        <references count="1">
          <reference field="21" count="0"/>
        </references>
      </pivotArea>
    </format>
    <format dxfId="764">
      <pivotArea dataOnly="0" labelOnly="1" grandRow="1" outline="0" fieldPosition="0"/>
    </format>
    <format dxfId="763">
      <pivotArea dataOnly="0" labelOnly="1" outline="0" fieldPosition="0">
        <references count="1">
          <reference field="14" count="0"/>
        </references>
      </pivotArea>
    </format>
    <format dxfId="762">
      <pivotArea field="14" dataOnly="0" labelOnly="1" grandCol="1" outline="0" axis="axisCol" fieldPosition="0">
        <references count="1">
          <reference field="4294967294" count="1" selected="0">
            <x v="0"/>
          </reference>
        </references>
      </pivotArea>
    </format>
    <format dxfId="760">
      <pivotArea field="14" dataOnly="0" labelOnly="1" grandCol="1" outline="0" axis="axisCol" fieldPosition="0">
        <references count="1">
          <reference field="4294967294" count="1" selected="0">
            <x v="1"/>
          </reference>
        </references>
      </pivotArea>
    </format>
    <format dxfId="758">
      <pivotArea dataOnly="0" labelOnly="1" outline="0" fieldPosition="0">
        <references count="2">
          <reference field="4294967294" count="2">
            <x v="0"/>
            <x v="1"/>
          </reference>
          <reference field="14" count="1" selected="0">
            <x v="2"/>
          </reference>
        </references>
      </pivotArea>
    </format>
    <format dxfId="757">
      <pivotArea dataOnly="0" labelOnly="1" outline="0" fieldPosition="0">
        <references count="2">
          <reference field="4294967294" count="2">
            <x v="0"/>
            <x v="1"/>
          </reference>
          <reference field="14" count="1" selected="0">
            <x v="3"/>
          </reference>
        </references>
      </pivotArea>
    </format>
    <format dxfId="756">
      <pivotArea dataOnly="0" labelOnly="1" outline="0" fieldPosition="0">
        <references count="2">
          <reference field="4294967294" count="2">
            <x v="0"/>
            <x v="1"/>
          </reference>
          <reference field="14" count="1" selected="0">
            <x v="4"/>
          </reference>
        </references>
      </pivotArea>
    </format>
    <format dxfId="755">
      <pivotArea dataOnly="0" labelOnly="1" outline="0" fieldPosition="0">
        <references count="2">
          <reference field="4294967294" count="2">
            <x v="0"/>
            <x v="1"/>
          </reference>
          <reference field="14" count="1" selected="0">
            <x v="5"/>
          </reference>
        </references>
      </pivotArea>
    </format>
    <format dxfId="754">
      <pivotArea dataOnly="0" labelOnly="1" outline="0" fieldPosition="0">
        <references count="2">
          <reference field="4294967294" count="2">
            <x v="0"/>
            <x v="1"/>
          </reference>
          <reference field="1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F636A3-2C1D-CE45-AE00-28B4F0A69318}"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D48" firstHeaderRow="1" firstDataRow="2" firstDataCol="1"/>
  <pivotFields count="34">
    <pivotField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3">
        <item x="5"/>
        <item h="1"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axis="axisCol" compact="0" outline="0" showAll="0">
      <items count="5">
        <item x="0"/>
        <item x="1"/>
        <item h="1" x="3"/>
        <item h="1" x="2"/>
        <item t="default"/>
      </items>
    </pivotField>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2"/>
  </rowFields>
  <rowItems count="11">
    <i>
      <x/>
    </i>
    <i>
      <x v="2"/>
    </i>
    <i>
      <x v="3"/>
    </i>
    <i>
      <x v="4"/>
    </i>
    <i>
      <x v="5"/>
    </i>
    <i>
      <x v="6"/>
    </i>
    <i>
      <x v="7"/>
    </i>
    <i>
      <x v="8"/>
    </i>
    <i>
      <x v="9"/>
    </i>
    <i>
      <x v="10"/>
    </i>
    <i t="grand">
      <x/>
    </i>
  </rowItems>
  <colFields count="1">
    <field x="22"/>
  </colFields>
  <colItems count="3">
    <i>
      <x/>
    </i>
    <i>
      <x v="1"/>
    </i>
    <i t="grand">
      <x/>
    </i>
  </colItems>
  <dataFields count="1">
    <dataField name="Average of RD2" fld="33" subtotal="average" baseField="0" baseItem="0" numFmtId="164"/>
  </dataFields>
  <formats count="24">
    <format dxfId="1196">
      <pivotArea outline="0" fieldPosition="0">
        <references count="2">
          <reference field="12" count="1" selected="0">
            <x v="10"/>
          </reference>
          <reference field="22" count="1" selected="0">
            <x v="1"/>
          </reference>
        </references>
      </pivotArea>
    </format>
    <format dxfId="1195">
      <pivotArea outline="0" fieldPosition="0">
        <references count="2">
          <reference field="12" count="1" selected="0">
            <x v="7"/>
          </reference>
          <reference field="22" count="1" selected="0">
            <x v="1"/>
          </reference>
        </references>
      </pivotArea>
    </format>
    <format dxfId="1194">
      <pivotArea field="12" grandCol="1" outline="0" axis="axisRow" fieldPosition="0">
        <references count="1">
          <reference field="12" count="1" selected="0">
            <x v="5"/>
          </reference>
        </references>
      </pivotArea>
    </format>
    <format dxfId="1193">
      <pivotArea outline="0" collapsedLevelsAreSubtotals="1" fieldPosition="0"/>
    </format>
    <format dxfId="981">
      <pivotArea type="all" dataOnly="0" outline="0" fieldPosition="0"/>
    </format>
    <format dxfId="980">
      <pivotArea outline="0" collapsedLevelsAreSubtotals="1" fieldPosition="0"/>
    </format>
    <format dxfId="979">
      <pivotArea type="origin" dataOnly="0" labelOnly="1" outline="0" fieldPosition="0"/>
    </format>
    <format dxfId="978">
      <pivotArea field="22" type="button" dataOnly="0" labelOnly="1" outline="0" axis="axisCol" fieldPosition="0"/>
    </format>
    <format dxfId="977">
      <pivotArea type="topRight" dataOnly="0" labelOnly="1" outline="0" fieldPosition="0"/>
    </format>
    <format dxfId="976">
      <pivotArea field="12" type="button" dataOnly="0" labelOnly="1" outline="0" axis="axisRow" fieldPosition="0"/>
    </format>
    <format dxfId="975">
      <pivotArea dataOnly="0" labelOnly="1" outline="0" fieldPosition="0">
        <references count="1">
          <reference field="12" count="10">
            <x v="0"/>
            <x v="2"/>
            <x v="3"/>
            <x v="4"/>
            <x v="5"/>
            <x v="6"/>
            <x v="7"/>
            <x v="8"/>
            <x v="9"/>
            <x v="10"/>
          </reference>
        </references>
      </pivotArea>
    </format>
    <format dxfId="974">
      <pivotArea dataOnly="0" labelOnly="1" grandRow="1" outline="0" fieldPosition="0"/>
    </format>
    <format dxfId="973">
      <pivotArea dataOnly="0" labelOnly="1" outline="0" fieldPosition="0">
        <references count="1">
          <reference field="22" count="0"/>
        </references>
      </pivotArea>
    </format>
    <format dxfId="972">
      <pivotArea dataOnly="0" labelOnly="1" grandCol="1" outline="0" fieldPosition="0"/>
    </format>
    <format dxfId="753">
      <pivotArea type="all" dataOnly="0" outline="0" fieldPosition="0"/>
    </format>
    <format dxfId="752">
      <pivotArea outline="0" collapsedLevelsAreSubtotals="1" fieldPosition="0"/>
    </format>
    <format dxfId="751">
      <pivotArea type="origin" dataOnly="0" labelOnly="1" outline="0" fieldPosition="0"/>
    </format>
    <format dxfId="750">
      <pivotArea field="22" type="button" dataOnly="0" labelOnly="1" outline="0" axis="axisCol" fieldPosition="0"/>
    </format>
    <format dxfId="749">
      <pivotArea type="topRight" dataOnly="0" labelOnly="1" outline="0" fieldPosition="0"/>
    </format>
    <format dxfId="748">
      <pivotArea field="12" type="button" dataOnly="0" labelOnly="1" outline="0" axis="axisRow" fieldPosition="0"/>
    </format>
    <format dxfId="747">
      <pivotArea dataOnly="0" labelOnly="1" outline="0" fieldPosition="0">
        <references count="1">
          <reference field="12" count="10">
            <x v="0"/>
            <x v="2"/>
            <x v="3"/>
            <x v="4"/>
            <x v="5"/>
            <x v="6"/>
            <x v="7"/>
            <x v="8"/>
            <x v="9"/>
            <x v="10"/>
          </reference>
        </references>
      </pivotArea>
    </format>
    <format dxfId="746">
      <pivotArea dataOnly="0" labelOnly="1" grandRow="1" outline="0" fieldPosition="0"/>
    </format>
    <format dxfId="745">
      <pivotArea dataOnly="0" labelOnly="1" outline="0" fieldPosition="0">
        <references count="1">
          <reference field="22" count="0"/>
        </references>
      </pivotArea>
    </format>
    <format dxfId="74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C41100-FDE1-0043-9727-2246E277CA7E}"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63:K68" firstHeaderRow="1" firstDataRow="2" firstDataCol="1"/>
  <pivotFields count="34">
    <pivotField dataField="1"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items count="5">
        <item x="0"/>
        <item x="1"/>
        <item x="3"/>
        <item x="2"/>
        <item t="default"/>
      </items>
    </pivotField>
    <pivotField axis="axisCol" compact="0" outline="0" showAll="0">
      <items count="5">
        <item x="0"/>
        <item x="1"/>
        <item x="3"/>
        <item x="2"/>
        <item t="default"/>
      </items>
    </pivotField>
    <pivotField compact="0" outline="0" showAll="0">
      <items count="7">
        <item x="5"/>
        <item x="3"/>
        <item x="0"/>
        <item x="1"/>
        <item x="2"/>
        <item x="4"/>
        <item t="default"/>
      </items>
    </pivotField>
    <pivotField compact="0" outline="0" showAll="0"/>
    <pivotField compact="0" outline="0" showAll="0"/>
    <pivotField compact="0" outline="0" showAll="0"/>
    <pivotField compact="0" outline="0" showAll="0">
      <items count="6">
        <item x="2"/>
        <item x="4"/>
        <item x="0"/>
        <item x="1"/>
        <item x="3"/>
        <item t="default"/>
      </items>
    </pivotField>
    <pivotField compact="0" outline="0" showAll="0">
      <items count="6">
        <item x="3"/>
        <item x="1"/>
        <item x="0"/>
        <item x="2"/>
        <item x="4"/>
        <item t="default"/>
      </items>
    </pivotField>
    <pivotField axis="axisRow" compact="0" outline="0" showAll="0">
      <items count="5">
        <item x="2"/>
        <item x="0"/>
        <item x="1"/>
        <item h="1" x="3"/>
        <item t="default"/>
      </items>
    </pivotField>
    <pivotField compact="0" outline="0" showAll="0"/>
    <pivotField compact="0" outline="0" showAll="0"/>
    <pivotField compact="0" outline="0" showAll="0"/>
  </pivotFields>
  <rowFields count="1">
    <field x="30"/>
  </rowFields>
  <rowItems count="4">
    <i>
      <x/>
    </i>
    <i>
      <x v="1"/>
    </i>
    <i>
      <x v="2"/>
    </i>
    <i t="grand">
      <x/>
    </i>
  </rowItems>
  <colFields count="1">
    <field x="23"/>
  </colFields>
  <colItems count="3">
    <i>
      <x/>
    </i>
    <i>
      <x v="1"/>
    </i>
    <i t="grand">
      <x/>
    </i>
  </colItems>
  <dataFields count="1">
    <dataField name="Count of Clause_ID" fld="0" subtotal="count" baseField="0" baseItem="0"/>
  </dataFields>
  <formats count="20">
    <format dxfId="971">
      <pivotArea type="all" dataOnly="0" outline="0" fieldPosition="0"/>
    </format>
    <format dxfId="970">
      <pivotArea outline="0" collapsedLevelsAreSubtotals="1" fieldPosition="0"/>
    </format>
    <format dxfId="969">
      <pivotArea type="origin" dataOnly="0" labelOnly="1" outline="0" fieldPosition="0"/>
    </format>
    <format dxfId="968">
      <pivotArea field="23" type="button" dataOnly="0" labelOnly="1" outline="0" axis="axisCol" fieldPosition="0"/>
    </format>
    <format dxfId="967">
      <pivotArea type="topRight" dataOnly="0" labelOnly="1" outline="0" fieldPosition="0"/>
    </format>
    <format dxfId="966">
      <pivotArea field="30" type="button" dataOnly="0" labelOnly="1" outline="0" axis="axisRow" fieldPosition="0"/>
    </format>
    <format dxfId="965">
      <pivotArea dataOnly="0" labelOnly="1" outline="0" fieldPosition="0">
        <references count="1">
          <reference field="30" count="0"/>
        </references>
      </pivotArea>
    </format>
    <format dxfId="964">
      <pivotArea dataOnly="0" labelOnly="1" grandRow="1" outline="0" fieldPosition="0"/>
    </format>
    <format dxfId="963">
      <pivotArea dataOnly="0" labelOnly="1" outline="0" fieldPosition="0">
        <references count="1">
          <reference field="23" count="2">
            <x v="0"/>
            <x v="1"/>
          </reference>
        </references>
      </pivotArea>
    </format>
    <format dxfId="962">
      <pivotArea dataOnly="0" labelOnly="1" grandCol="1" outline="0" fieldPosition="0"/>
    </format>
    <format dxfId="743">
      <pivotArea type="all" dataOnly="0" outline="0" fieldPosition="0"/>
    </format>
    <format dxfId="742">
      <pivotArea outline="0" collapsedLevelsAreSubtotals="1" fieldPosition="0"/>
    </format>
    <format dxfId="741">
      <pivotArea type="origin" dataOnly="0" labelOnly="1" outline="0" fieldPosition="0"/>
    </format>
    <format dxfId="740">
      <pivotArea field="23" type="button" dataOnly="0" labelOnly="1" outline="0" axis="axisCol" fieldPosition="0"/>
    </format>
    <format dxfId="739">
      <pivotArea type="topRight" dataOnly="0" labelOnly="1" outline="0" fieldPosition="0"/>
    </format>
    <format dxfId="738">
      <pivotArea field="30" type="button" dataOnly="0" labelOnly="1" outline="0" axis="axisRow" fieldPosition="0"/>
    </format>
    <format dxfId="737">
      <pivotArea dataOnly="0" labelOnly="1" outline="0" fieldPosition="0">
        <references count="1">
          <reference field="30" count="0"/>
        </references>
      </pivotArea>
    </format>
    <format dxfId="736">
      <pivotArea dataOnly="0" labelOnly="1" grandRow="1" outline="0" fieldPosition="0"/>
    </format>
    <format dxfId="735">
      <pivotArea dataOnly="0" labelOnly="1" outline="0" fieldPosition="0">
        <references count="1">
          <reference field="23" count="2">
            <x v="0"/>
            <x v="1"/>
          </reference>
        </references>
      </pivotArea>
    </format>
    <format dxfId="73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8A33A2-3FD0-FF41-9F44-72D94A7D12C0}" name="PivotTable2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3:B106" firstHeaderRow="1" firstDataRow="1" firstDataCol="1"/>
  <pivotFields count="3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4">
        <item x="1"/>
        <item x="0"/>
        <item h="1" x="2"/>
        <item t="default"/>
      </items>
    </pivotField>
    <pivotField compact="0" outline="0" showAll="0"/>
  </pivotFields>
  <rowFields count="1">
    <field x="36"/>
  </rowFields>
  <rowItems count="3">
    <i>
      <x/>
    </i>
    <i>
      <x v="1"/>
    </i>
    <i t="grand">
      <x/>
    </i>
  </rowItems>
  <colItems count="1">
    <i/>
  </colItems>
  <dataFields count="1">
    <dataField name="Average of RD2" fld="35" subtotal="average" baseField="0" baseItem="0" numFmtId="2"/>
  </dataFields>
  <formats count="13">
    <format dxfId="1197">
      <pivotArea outline="0" collapsedLevelsAreSubtotals="1" fieldPosition="0"/>
    </format>
    <format dxfId="961">
      <pivotArea type="all" dataOnly="0" outline="0" fieldPosition="0"/>
    </format>
    <format dxfId="960">
      <pivotArea outline="0" collapsedLevelsAreSubtotals="1" fieldPosition="0"/>
    </format>
    <format dxfId="959">
      <pivotArea field="36" type="button" dataOnly="0" labelOnly="1" outline="0" axis="axisRow" fieldPosition="0"/>
    </format>
    <format dxfId="958">
      <pivotArea dataOnly="0" labelOnly="1" outline="0" fieldPosition="0">
        <references count="1">
          <reference field="36" count="0"/>
        </references>
      </pivotArea>
    </format>
    <format dxfId="957">
      <pivotArea dataOnly="0" labelOnly="1" grandRow="1" outline="0" fieldPosition="0"/>
    </format>
    <format dxfId="956">
      <pivotArea dataOnly="0" labelOnly="1" outline="0" axis="axisValues" fieldPosition="0"/>
    </format>
    <format dxfId="733">
      <pivotArea type="all" dataOnly="0" outline="0" fieldPosition="0"/>
    </format>
    <format dxfId="732">
      <pivotArea outline="0" collapsedLevelsAreSubtotals="1" fieldPosition="0"/>
    </format>
    <format dxfId="731">
      <pivotArea field="36" type="button" dataOnly="0" labelOnly="1" outline="0" axis="axisRow" fieldPosition="0"/>
    </format>
    <format dxfId="730">
      <pivotArea dataOnly="0" labelOnly="1" outline="0" fieldPosition="0">
        <references count="1">
          <reference field="36" count="0"/>
        </references>
      </pivotArea>
    </format>
    <format dxfId="729">
      <pivotArea dataOnly="0" labelOnly="1" grandRow="1" outline="0" fieldPosition="0"/>
    </format>
    <format dxfId="7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C3A374-9DE3-0347-9947-9D70368E77DD}" name="PivotTable8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62:U69" firstHeaderRow="1" firstDataRow="3" firstDataCol="1"/>
  <pivotFields count="34">
    <pivotField dataField="1"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items count="5">
        <item x="0"/>
        <item x="1"/>
        <item x="3"/>
        <item x="2"/>
        <item t="default"/>
      </items>
    </pivotField>
    <pivotField axis="axisCol" compact="0" outline="0" showAll="0">
      <items count="5">
        <item x="0"/>
        <item x="1"/>
        <item h="1" x="3"/>
        <item h="1" x="2"/>
        <item t="default"/>
      </items>
    </pivotField>
    <pivotField compact="0" outline="0" showAll="0">
      <items count="7">
        <item x="5"/>
        <item x="3"/>
        <item x="0"/>
        <item x="1"/>
        <item x="2"/>
        <item x="4"/>
        <item t="default"/>
      </items>
    </pivotField>
    <pivotField compact="0" outline="0" showAll="0"/>
    <pivotField compact="0" outline="0" showAll="0"/>
    <pivotField compact="0" outline="0" showAll="0"/>
    <pivotField compact="0" outline="0" showAll="0">
      <items count="6">
        <item x="2"/>
        <item x="4"/>
        <item x="0"/>
        <item x="1"/>
        <item x="3"/>
        <item t="default"/>
      </items>
    </pivotField>
    <pivotField axis="axisRow" compact="0" outline="0" showAll="0">
      <items count="6">
        <item x="3"/>
        <item x="1"/>
        <item x="0"/>
        <item x="2"/>
        <item h="1" x="4"/>
        <item t="default"/>
      </items>
    </pivotField>
    <pivotField compact="0" outline="0" showAll="0"/>
    <pivotField compact="0" outline="0" showAll="0"/>
    <pivotField compact="0" outline="0" showAll="0"/>
    <pivotField compact="0" outline="0" showAll="0"/>
  </pivotFields>
  <rowFields count="1">
    <field x="29"/>
  </rowFields>
  <rowItems count="5">
    <i>
      <x/>
    </i>
    <i>
      <x v="1"/>
    </i>
    <i>
      <x v="2"/>
    </i>
    <i>
      <x v="3"/>
    </i>
    <i t="grand">
      <x/>
    </i>
  </rowItems>
  <colFields count="2">
    <field x="23"/>
    <field x="-2"/>
  </colFields>
  <colItems count="6">
    <i>
      <x/>
      <x/>
    </i>
    <i r="1" i="1">
      <x v="1"/>
    </i>
    <i>
      <x v="1"/>
      <x/>
    </i>
    <i r="1" i="1">
      <x v="1"/>
    </i>
    <i t="grand">
      <x/>
    </i>
    <i t="grand" i="1">
      <x/>
    </i>
  </colItems>
  <dataFields count="2">
    <dataField name="Count of Clause_ID" fld="0" subtotal="count" showDataAs="percentOfRow" baseField="0" baseItem="0" numFmtId="10"/>
    <dataField name="Count of Clause_ID2" fld="0" subtotal="count" baseField="0" baseItem="0"/>
  </dataFields>
  <formats count="35">
    <format dxfId="1204">
      <pivotArea outline="0" fieldPosition="0">
        <references count="2">
          <reference field="23" count="2" selected="0">
            <x v="0"/>
            <x v="1"/>
          </reference>
          <reference field="29" count="1" selected="0">
            <x v="1"/>
          </reference>
        </references>
      </pivotArea>
    </format>
    <format dxfId="1203">
      <pivotArea dataOnly="0" labelOnly="1" outline="0" fieldPosition="0">
        <references count="2">
          <reference field="4294967294" count="1">
            <x v="0"/>
          </reference>
          <reference field="23" count="1" selected="0">
            <x v="0"/>
          </reference>
        </references>
      </pivotArea>
    </format>
    <format dxfId="1202">
      <pivotArea outline="0" fieldPosition="0">
        <references count="1">
          <reference field="4294967294" count="1">
            <x v="0"/>
          </reference>
        </references>
      </pivotArea>
    </format>
    <format dxfId="1201">
      <pivotArea outline="0" fieldPosition="0">
        <references count="2">
          <reference field="4294967294" count="1" selected="0">
            <x v="0"/>
          </reference>
          <reference field="23" count="1" selected="0">
            <x v="0"/>
          </reference>
        </references>
      </pivotArea>
    </format>
    <format dxfId="1200">
      <pivotArea outline="0" fieldPosition="0">
        <references count="2">
          <reference field="4294967294" count="1" selected="0">
            <x v="0"/>
          </reference>
          <reference field="23" count="1" selected="0">
            <x v="1"/>
          </reference>
        </references>
      </pivotArea>
    </format>
    <format dxfId="1199">
      <pivotArea field="23" grandCol="1" outline="0" axis="axisCol" fieldPosition="0">
        <references count="1">
          <reference field="4294967294" count="1" selected="0">
            <x v="0"/>
          </reference>
        </references>
      </pivotArea>
    </format>
    <format dxfId="1198">
      <pivotArea outline="0" fieldPosition="0">
        <references count="3">
          <reference field="4294967294" count="2" selected="0">
            <x v="0"/>
            <x v="1"/>
          </reference>
          <reference field="23" count="0" selected="0"/>
          <reference field="29" count="1" selected="0">
            <x v="1"/>
          </reference>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23" type="button" dataOnly="0" labelOnly="1" outline="0" axis="axisCol" fieldPosition="0"/>
    </format>
    <format dxfId="950">
      <pivotArea field="-2" type="button" dataOnly="0" labelOnly="1" outline="0" axis="axisCol" fieldPosition="1"/>
    </format>
    <format dxfId="949">
      <pivotArea type="topRight" dataOnly="0" labelOnly="1" outline="0" fieldPosition="0"/>
    </format>
    <format dxfId="948">
      <pivotArea field="29" type="button" dataOnly="0" labelOnly="1" outline="0" axis="axisRow" fieldPosition="0"/>
    </format>
    <format dxfId="947">
      <pivotArea dataOnly="0" labelOnly="1" outline="0" fieldPosition="0">
        <references count="1">
          <reference field="29" count="0"/>
        </references>
      </pivotArea>
    </format>
    <format dxfId="946">
      <pivotArea dataOnly="0" labelOnly="1" grandRow="1" outline="0" fieldPosition="0"/>
    </format>
    <format dxfId="945">
      <pivotArea dataOnly="0" labelOnly="1" outline="0" fieldPosition="0">
        <references count="1">
          <reference field="23" count="0"/>
        </references>
      </pivotArea>
    </format>
    <format dxfId="944">
      <pivotArea field="23" dataOnly="0" labelOnly="1" grandCol="1" outline="0" axis="axisCol" fieldPosition="0">
        <references count="1">
          <reference field="4294967294" count="1" selected="0">
            <x v="0"/>
          </reference>
        </references>
      </pivotArea>
    </format>
    <format dxfId="942">
      <pivotArea field="23" dataOnly="0" labelOnly="1" grandCol="1" outline="0" axis="axisCol" fieldPosition="0">
        <references count="1">
          <reference field="4294967294" count="1" selected="0">
            <x v="1"/>
          </reference>
        </references>
      </pivotArea>
    </format>
    <format dxfId="940">
      <pivotArea dataOnly="0" labelOnly="1" outline="0" fieldPosition="0">
        <references count="2">
          <reference field="4294967294" count="2">
            <x v="0"/>
            <x v="1"/>
          </reference>
          <reference field="23" count="1" selected="0">
            <x v="0"/>
          </reference>
        </references>
      </pivotArea>
    </format>
    <format dxfId="939">
      <pivotArea dataOnly="0" labelOnly="1" outline="0" fieldPosition="0">
        <references count="2">
          <reference field="4294967294" count="2">
            <x v="0"/>
            <x v="1"/>
          </reference>
          <reference field="23" count="1" selected="0">
            <x v="1"/>
          </reference>
        </references>
      </pivotArea>
    </format>
    <format dxfId="726">
      <pivotArea type="all" dataOnly="0" outline="0" fieldPosition="0"/>
    </format>
    <format dxfId="725">
      <pivotArea outline="0" collapsedLevelsAreSubtotals="1" fieldPosition="0"/>
    </format>
    <format dxfId="724">
      <pivotArea type="origin" dataOnly="0" labelOnly="1" outline="0" fieldPosition="0"/>
    </format>
    <format dxfId="723">
      <pivotArea field="23" type="button" dataOnly="0" labelOnly="1" outline="0" axis="axisCol" fieldPosition="0"/>
    </format>
    <format dxfId="722">
      <pivotArea field="-2" type="button" dataOnly="0" labelOnly="1" outline="0" axis="axisCol" fieldPosition="1"/>
    </format>
    <format dxfId="721">
      <pivotArea type="topRight" dataOnly="0" labelOnly="1" outline="0" fieldPosition="0"/>
    </format>
    <format dxfId="720">
      <pivotArea field="29" type="button" dataOnly="0" labelOnly="1" outline="0" axis="axisRow" fieldPosition="0"/>
    </format>
    <format dxfId="719">
      <pivotArea dataOnly="0" labelOnly="1" outline="0" fieldPosition="0">
        <references count="1">
          <reference field="29" count="0"/>
        </references>
      </pivotArea>
    </format>
    <format dxfId="718">
      <pivotArea dataOnly="0" labelOnly="1" grandRow="1" outline="0" fieldPosition="0"/>
    </format>
    <format dxfId="717">
      <pivotArea dataOnly="0" labelOnly="1" outline="0" fieldPosition="0">
        <references count="1">
          <reference field="23" count="0"/>
        </references>
      </pivotArea>
    </format>
    <format dxfId="716">
      <pivotArea field="23" dataOnly="0" labelOnly="1" grandCol="1" outline="0" axis="axisCol" fieldPosition="0">
        <references count="1">
          <reference field="4294967294" count="1" selected="0">
            <x v="0"/>
          </reference>
        </references>
      </pivotArea>
    </format>
    <format dxfId="714">
      <pivotArea field="23" dataOnly="0" labelOnly="1" grandCol="1" outline="0" axis="axisCol" fieldPosition="0">
        <references count="1">
          <reference field="4294967294" count="1" selected="0">
            <x v="1"/>
          </reference>
        </references>
      </pivotArea>
    </format>
    <format dxfId="712">
      <pivotArea dataOnly="0" labelOnly="1" outline="0" fieldPosition="0">
        <references count="2">
          <reference field="4294967294" count="2">
            <x v="0"/>
            <x v="1"/>
          </reference>
          <reference field="23" count="1" selected="0">
            <x v="0"/>
          </reference>
        </references>
      </pivotArea>
    </format>
    <format dxfId="711">
      <pivotArea dataOnly="0" labelOnly="1" outline="0" fieldPosition="0">
        <references count="2">
          <reference field="4294967294" count="2">
            <x v="0"/>
            <x v="1"/>
          </reference>
          <reference field="2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FAD604-DCDB-3746-8902-82C67D297A7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7:K27" firstHeaderRow="1" firstDataRow="2" firstDataCol="1"/>
  <pivotFields count="34">
    <pivotField compact="0" outline="0" showAll="0"/>
    <pivotField compact="0" outline="0" showAll="0"/>
    <pivotField compact="0" outline="0" showAll="0"/>
    <pivotField compact="0" outline="0" showAll="0"/>
    <pivotField compact="0" outline="0" showAll="0"/>
    <pivotField axis="axisRow" compact="0" outline="0" showAll="0">
      <items count="10">
        <item x="2"/>
        <item x="7"/>
        <item x="5"/>
        <item x="3"/>
        <item x="1"/>
        <item x="6"/>
        <item x="4"/>
        <item x="0"/>
        <item h="1" x="8"/>
        <item t="default"/>
      </items>
    </pivotField>
    <pivotField compact="0" outline="0" showAll="0">
      <items count="14">
        <item x="5"/>
        <item x="12"/>
        <item x="0"/>
        <item x="7"/>
        <item x="11"/>
        <item x="3"/>
        <item x="8"/>
        <item x="9"/>
        <item x="10"/>
        <item x="1"/>
        <item x="2"/>
        <item x="4"/>
        <item x="6"/>
        <item t="default"/>
      </items>
    </pivotField>
    <pivotField axis="axisCol" compact="0" outline="0" showAll="0">
      <items count="5">
        <item x="3"/>
        <item x="0"/>
        <item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5"/>
  </rowFields>
  <rowItems count="9">
    <i>
      <x/>
    </i>
    <i>
      <x v="1"/>
    </i>
    <i>
      <x v="2"/>
    </i>
    <i>
      <x v="3"/>
    </i>
    <i>
      <x v="4"/>
    </i>
    <i>
      <x v="5"/>
    </i>
    <i>
      <x v="6"/>
    </i>
    <i>
      <x v="7"/>
    </i>
    <i t="grand">
      <x/>
    </i>
  </rowItems>
  <colFields count="1">
    <field x="7"/>
  </colFields>
  <colItems count="4">
    <i>
      <x/>
    </i>
    <i>
      <x v="1"/>
    </i>
    <i>
      <x v="2"/>
    </i>
    <i t="grand">
      <x/>
    </i>
  </colItems>
  <dataFields count="1">
    <dataField name="Sum of RD2" fld="33" baseField="0" baseItem="0" numFmtId="164"/>
  </dataFields>
  <formats count="35">
    <format dxfId="1219">
      <pivotArea outline="0" fieldPosition="0">
        <references count="2">
          <reference field="5" count="1" selected="0">
            <x v="0"/>
          </reference>
          <reference field="7" count="1" selected="0">
            <x v="2"/>
          </reference>
        </references>
      </pivotArea>
    </format>
    <format dxfId="1218">
      <pivotArea outline="0" fieldPosition="0">
        <references count="2">
          <reference field="5" count="1" selected="0">
            <x v="4"/>
          </reference>
          <reference field="7" count="1" selected="0">
            <x v="2"/>
          </reference>
        </references>
      </pivotArea>
    </format>
    <format dxfId="1217">
      <pivotArea outline="0" fieldPosition="0">
        <references count="2">
          <reference field="5" count="1" selected="0">
            <x v="7"/>
          </reference>
          <reference field="7" count="1" selected="0">
            <x v="1"/>
          </reference>
        </references>
      </pivotArea>
    </format>
    <format dxfId="1216">
      <pivotArea field="5" grandCol="1" outline="0" axis="axisRow" fieldPosition="0">
        <references count="1">
          <reference field="5" count="1" selected="0">
            <x v="2"/>
          </reference>
        </references>
      </pivotArea>
    </format>
    <format dxfId="1215">
      <pivotArea field="5" grandCol="1" outline="0" axis="axisRow" fieldPosition="0">
        <references count="1">
          <reference field="5" count="1" selected="0">
            <x v="2"/>
          </reference>
        </references>
      </pivotArea>
    </format>
    <format dxfId="1214">
      <pivotArea type="all" dataOnly="0" outline="0" fieldPosition="0"/>
    </format>
    <format dxfId="1213">
      <pivotArea outline="0" collapsedLevelsAreSubtotals="1" fieldPosition="0"/>
    </format>
    <format dxfId="1212">
      <pivotArea type="origin" dataOnly="0" labelOnly="1" outline="0" fieldPosition="0"/>
    </format>
    <format dxfId="1211">
      <pivotArea field="7" type="button" dataOnly="0" labelOnly="1" outline="0" axis="axisCol" fieldPosition="0"/>
    </format>
    <format dxfId="1210">
      <pivotArea type="topRight" dataOnly="0" labelOnly="1" outline="0" fieldPosition="0"/>
    </format>
    <format dxfId="1209">
      <pivotArea field="5" type="button" dataOnly="0" labelOnly="1" outline="0" axis="axisRow" fieldPosition="0"/>
    </format>
    <format dxfId="1208">
      <pivotArea dataOnly="0" labelOnly="1" outline="0" fieldPosition="0">
        <references count="1">
          <reference field="5" count="0"/>
        </references>
      </pivotArea>
    </format>
    <format dxfId="1207">
      <pivotArea dataOnly="0" labelOnly="1" grandRow="1" outline="0" fieldPosition="0"/>
    </format>
    <format dxfId="1206">
      <pivotArea dataOnly="0" labelOnly="1" outline="0" fieldPosition="0">
        <references count="1">
          <reference field="7" count="0"/>
        </references>
      </pivotArea>
    </format>
    <format dxfId="1205">
      <pivotArea dataOnly="0" labelOnly="1" grandCol="1" outline="0" fieldPosition="0"/>
    </format>
    <format dxfId="938">
      <pivotArea type="all" dataOnly="0" outline="0" fieldPosition="0"/>
    </format>
    <format dxfId="937">
      <pivotArea outline="0" collapsedLevelsAreSubtotals="1" fieldPosition="0"/>
    </format>
    <format dxfId="936">
      <pivotArea type="origin" dataOnly="0" labelOnly="1" outline="0" fieldPosition="0"/>
    </format>
    <format dxfId="935">
      <pivotArea field="7" type="button" dataOnly="0" labelOnly="1" outline="0" axis="axisCol" fieldPosition="0"/>
    </format>
    <format dxfId="934">
      <pivotArea type="topRight" dataOnly="0" labelOnly="1" outline="0" fieldPosition="0"/>
    </format>
    <format dxfId="933">
      <pivotArea field="5" type="button" dataOnly="0" labelOnly="1" outline="0" axis="axisRow" fieldPosition="0"/>
    </format>
    <format dxfId="932">
      <pivotArea dataOnly="0" labelOnly="1" outline="0" fieldPosition="0">
        <references count="1">
          <reference field="5" count="0"/>
        </references>
      </pivotArea>
    </format>
    <format dxfId="931">
      <pivotArea dataOnly="0" labelOnly="1" grandRow="1" outline="0" fieldPosition="0"/>
    </format>
    <format dxfId="930">
      <pivotArea dataOnly="0" labelOnly="1" outline="0" fieldPosition="0">
        <references count="1">
          <reference field="7" count="0"/>
        </references>
      </pivotArea>
    </format>
    <format dxfId="929">
      <pivotArea dataOnly="0" labelOnly="1" grandCol="1" outline="0" fieldPosition="0"/>
    </format>
    <format dxfId="710">
      <pivotArea type="all" dataOnly="0" outline="0" fieldPosition="0"/>
    </format>
    <format dxfId="709">
      <pivotArea outline="0" collapsedLevelsAreSubtotals="1" fieldPosition="0"/>
    </format>
    <format dxfId="708">
      <pivotArea type="origin" dataOnly="0" labelOnly="1" outline="0" fieldPosition="0"/>
    </format>
    <format dxfId="707">
      <pivotArea field="7" type="button" dataOnly="0" labelOnly="1" outline="0" axis="axisCol" fieldPosition="0"/>
    </format>
    <format dxfId="706">
      <pivotArea type="topRight" dataOnly="0" labelOnly="1" outline="0" fieldPosition="0"/>
    </format>
    <format dxfId="705">
      <pivotArea field="5" type="button" dataOnly="0" labelOnly="1" outline="0" axis="axisRow" fieldPosition="0"/>
    </format>
    <format dxfId="704">
      <pivotArea dataOnly="0" labelOnly="1" outline="0" fieldPosition="0">
        <references count="1">
          <reference field="5" count="0"/>
        </references>
      </pivotArea>
    </format>
    <format dxfId="703">
      <pivotArea dataOnly="0" labelOnly="1" grandRow="1" outline="0" fieldPosition="0"/>
    </format>
    <format dxfId="702">
      <pivotArea dataOnly="0" labelOnly="1" outline="0" fieldPosition="0">
        <references count="1">
          <reference field="7" count="0"/>
        </references>
      </pivotArea>
    </format>
    <format dxfId="7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86D7FC-5D98-4547-BDAB-2CFFBCE5AAE3}" name="PivotTable30"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4:E126" firstHeaderRow="1" firstDataRow="2" firstDataCol="1"/>
  <pivotFields count="38">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5"/>
        <item x="12"/>
        <item x="0"/>
        <item x="7"/>
        <item x="11"/>
        <item x="3"/>
        <item x="8"/>
        <item x="9"/>
        <item x="10"/>
        <item x="1"/>
        <item x="13"/>
        <item x="2"/>
        <item x="4"/>
        <item x="6"/>
        <item t="default"/>
      </items>
    </pivotField>
    <pivotField compact="0" outline="0" showAll="0">
      <items count="6">
        <item h="1" x="3"/>
        <item x="0"/>
        <item h="1" x="4"/>
        <item x="1"/>
        <item h="1" x="2"/>
        <item t="default"/>
      </items>
    </pivotField>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9"/>
        <item x="6"/>
        <item x="5"/>
        <item x="2"/>
        <item x="4"/>
        <item x="8"/>
        <item x="0"/>
        <item x="3"/>
        <item x="1"/>
        <item x="7"/>
        <item t="default"/>
      </items>
    </pivotField>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s>
  <rowFields count="1">
    <field x="21"/>
  </rowFields>
  <rowItems count="11">
    <i>
      <x/>
    </i>
    <i>
      <x v="1"/>
    </i>
    <i>
      <x v="2"/>
    </i>
    <i>
      <x v="3"/>
    </i>
    <i>
      <x v="4"/>
    </i>
    <i>
      <x v="5"/>
    </i>
    <i>
      <x v="6"/>
    </i>
    <i>
      <x v="7"/>
    </i>
    <i>
      <x v="8"/>
    </i>
    <i>
      <x v="9"/>
    </i>
    <i t="grand">
      <x/>
    </i>
  </rowItems>
  <colFields count="1">
    <field x="36"/>
  </colFields>
  <colItems count="4">
    <i>
      <x/>
    </i>
    <i>
      <x v="1"/>
    </i>
    <i>
      <x v="2"/>
    </i>
    <i t="grand">
      <x/>
    </i>
  </colItems>
  <dataFields count="1">
    <dataField name="Count of Clause_ID" fld="0" subtotal="count" baseField="0" baseItem="0" numFmtId="1"/>
  </dataFields>
  <formats count="21">
    <format dxfId="1220">
      <pivotArea outline="0" collapsedLevelsAreSubtotals="1" fieldPosition="0"/>
    </format>
    <format dxfId="928">
      <pivotArea type="all" dataOnly="0" outline="0" fieldPosition="0"/>
    </format>
    <format dxfId="927">
      <pivotArea outline="0" collapsedLevelsAreSubtotals="1" fieldPosition="0"/>
    </format>
    <format dxfId="926">
      <pivotArea type="origin" dataOnly="0" labelOnly="1" outline="0" fieldPosition="0"/>
    </format>
    <format dxfId="925">
      <pivotArea field="36" type="button" dataOnly="0" labelOnly="1" outline="0" axis="axisCol" fieldPosition="0"/>
    </format>
    <format dxfId="924">
      <pivotArea type="topRight" dataOnly="0" labelOnly="1" outline="0" fieldPosition="0"/>
    </format>
    <format dxfId="923">
      <pivotArea field="21" type="button" dataOnly="0" labelOnly="1" outline="0" axis="axisRow" fieldPosition="0"/>
    </format>
    <format dxfId="922">
      <pivotArea dataOnly="0" labelOnly="1" outline="0" fieldPosition="0">
        <references count="1">
          <reference field="21" count="0"/>
        </references>
      </pivotArea>
    </format>
    <format dxfId="921">
      <pivotArea dataOnly="0" labelOnly="1" grandRow="1" outline="0" fieldPosition="0"/>
    </format>
    <format dxfId="920">
      <pivotArea dataOnly="0" labelOnly="1" outline="0" fieldPosition="0">
        <references count="1">
          <reference field="36" count="0"/>
        </references>
      </pivotArea>
    </format>
    <format dxfId="919">
      <pivotArea dataOnly="0" labelOnly="1" grandCol="1" outline="0" fieldPosition="0"/>
    </format>
    <format dxfId="700">
      <pivotArea type="all" dataOnly="0" outline="0" fieldPosition="0"/>
    </format>
    <format dxfId="699">
      <pivotArea outline="0" collapsedLevelsAreSubtotals="1" fieldPosition="0"/>
    </format>
    <format dxfId="698">
      <pivotArea type="origin" dataOnly="0" labelOnly="1" outline="0" fieldPosition="0"/>
    </format>
    <format dxfId="697">
      <pivotArea field="36" type="button" dataOnly="0" labelOnly="1" outline="0" axis="axisCol" fieldPosition="0"/>
    </format>
    <format dxfId="696">
      <pivotArea type="topRight" dataOnly="0" labelOnly="1" outline="0" fieldPosition="0"/>
    </format>
    <format dxfId="695">
      <pivotArea field="21" type="button" dataOnly="0" labelOnly="1" outline="0" axis="axisRow" fieldPosition="0"/>
    </format>
    <format dxfId="694">
      <pivotArea dataOnly="0" labelOnly="1" outline="0" fieldPosition="0">
        <references count="1">
          <reference field="21" count="0"/>
        </references>
      </pivotArea>
    </format>
    <format dxfId="693">
      <pivotArea dataOnly="0" labelOnly="1" grandRow="1" outline="0" fieldPosition="0"/>
    </format>
    <format dxfId="692">
      <pivotArea dataOnly="0" labelOnly="1" outline="0" fieldPosition="0">
        <references count="1">
          <reference field="36" count="0"/>
        </references>
      </pivotArea>
    </format>
    <format dxfId="69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86FCB09-7289-C54D-95CE-D10442769A5A}"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3:G58" firstHeaderRow="1" firstDataRow="3" firstDataCol="1"/>
  <pivotFields count="34">
    <pivotField dataField="1"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items count="5">
        <item x="0"/>
        <item x="1"/>
        <item x="3"/>
        <item x="2"/>
        <item t="default"/>
      </items>
    </pivotField>
    <pivotField axis="axisCol" compact="0" outline="0" showAll="0">
      <items count="5">
        <item x="0"/>
        <item x="1"/>
        <item x="3"/>
        <item x="2"/>
        <item t="default"/>
      </items>
    </pivotField>
    <pivotField compact="0" outline="0" showAll="0"/>
    <pivotField compact="0" outline="0" showAll="0"/>
    <pivotField compact="0" outline="0" showAll="0"/>
    <pivotField compact="0" outline="0" showAll="0"/>
    <pivotField axis="axisRow" compact="0" outline="0" showAll="0">
      <items count="6">
        <item x="2"/>
        <item h="1" x="4"/>
        <item h="1" x="0"/>
        <item x="1"/>
        <item h="1" x="3"/>
        <item t="default"/>
      </items>
    </pivotField>
    <pivotField compact="0" outline="0" showAll="0"/>
    <pivotField compact="0" outline="0" showAll="0"/>
    <pivotField compact="0" outline="0" showAll="0"/>
    <pivotField compact="0" outline="0" showAll="0"/>
    <pivotField compact="0" outline="0" showAll="0"/>
  </pivotFields>
  <rowFields count="1">
    <field x="28"/>
  </rowFields>
  <rowItems count="3">
    <i>
      <x/>
    </i>
    <i>
      <x v="3"/>
    </i>
    <i t="grand">
      <x/>
    </i>
  </rowItems>
  <colFields count="2">
    <field x="23"/>
    <field x="-2"/>
  </colFields>
  <colItems count="6">
    <i>
      <x/>
      <x/>
    </i>
    <i r="1" i="1">
      <x v="1"/>
    </i>
    <i>
      <x v="1"/>
      <x/>
    </i>
    <i r="1" i="1">
      <x v="1"/>
    </i>
    <i t="grand">
      <x/>
    </i>
    <i t="grand" i="1">
      <x/>
    </i>
  </colItems>
  <dataFields count="2">
    <dataField name="Count of Clause_ID" fld="0" subtotal="count" showDataAs="percentOfRow" baseField="0" baseItem="0" numFmtId="10"/>
    <dataField name="Count of Clause_ID2" fld="0" subtotal="count" baseField="0" baseItem="0"/>
  </dataFields>
  <formats count="38">
    <format dxfId="1230">
      <pivotArea outline="0" fieldPosition="0">
        <references count="2">
          <reference field="23" count="1" selected="0">
            <x v="0"/>
          </reference>
          <reference field="28" count="1" selected="0">
            <x v="3"/>
          </reference>
        </references>
      </pivotArea>
    </format>
    <format dxfId="1229">
      <pivotArea outline="0" fieldPosition="0">
        <references count="2">
          <reference field="23" count="1" selected="0">
            <x v="0"/>
          </reference>
          <reference field="28" count="1" selected="0">
            <x v="0"/>
          </reference>
        </references>
      </pivotArea>
    </format>
    <format dxfId="1228">
      <pivotArea outline="0" fieldPosition="0">
        <references count="2">
          <reference field="23" count="1" selected="0">
            <x v="0"/>
          </reference>
          <reference field="28" count="1" selected="0">
            <x v="0"/>
          </reference>
        </references>
      </pivotArea>
    </format>
    <format dxfId="1227">
      <pivotArea outline="0" fieldPosition="0">
        <references count="2">
          <reference field="23" count="1" selected="0">
            <x v="0"/>
          </reference>
          <reference field="28" count="1" selected="0">
            <x v="0"/>
          </reference>
        </references>
      </pivotArea>
    </format>
    <format dxfId="1226">
      <pivotArea outline="0" fieldPosition="0">
        <references count="2">
          <reference field="23" count="1" selected="0">
            <x v="0"/>
          </reference>
          <reference field="28" count="1" selected="0">
            <x v="3"/>
          </reference>
        </references>
      </pivotArea>
    </format>
    <format dxfId="1225">
      <pivotArea outline="0" fieldPosition="0">
        <references count="1">
          <reference field="4294967294" count="1">
            <x v="0"/>
          </reference>
        </references>
      </pivotArea>
    </format>
    <format dxfId="1224">
      <pivotArea outline="0" fieldPosition="0">
        <references count="2">
          <reference field="4294967294" count="1" selected="0">
            <x v="0"/>
          </reference>
          <reference field="23" count="1" selected="0">
            <x v="0"/>
          </reference>
        </references>
      </pivotArea>
    </format>
    <format dxfId="1223">
      <pivotArea outline="0" fieldPosition="0">
        <references count="2">
          <reference field="4294967294" count="1" selected="0">
            <x v="0"/>
          </reference>
          <reference field="23" count="1" selected="0">
            <x v="1"/>
          </reference>
        </references>
      </pivotArea>
    </format>
    <format dxfId="1222">
      <pivotArea field="23" grandCol="1" outline="0" axis="axisCol" fieldPosition="0">
        <references count="1">
          <reference field="4294967294" count="1" selected="0">
            <x v="0"/>
          </reference>
        </references>
      </pivotArea>
    </format>
    <format dxfId="1221">
      <pivotArea type="all" dataOnly="0" outline="0" fieldPosition="0"/>
    </format>
    <format dxfId="918">
      <pivotArea type="all" dataOnly="0" outline="0" fieldPosition="0"/>
    </format>
    <format dxfId="917">
      <pivotArea outline="0" collapsedLevelsAreSubtotals="1" fieldPosition="0"/>
    </format>
    <format dxfId="916">
      <pivotArea type="origin" dataOnly="0" labelOnly="1" outline="0" fieldPosition="0"/>
    </format>
    <format dxfId="915">
      <pivotArea field="23" type="button" dataOnly="0" labelOnly="1" outline="0" axis="axisCol" fieldPosition="0"/>
    </format>
    <format dxfId="914">
      <pivotArea field="-2" type="button" dataOnly="0" labelOnly="1" outline="0" axis="axisCol" fieldPosition="1"/>
    </format>
    <format dxfId="913">
      <pivotArea type="topRight" dataOnly="0" labelOnly="1" outline="0" fieldPosition="0"/>
    </format>
    <format dxfId="912">
      <pivotArea field="28" type="button" dataOnly="0" labelOnly="1" outline="0" axis="axisRow" fieldPosition="0"/>
    </format>
    <format dxfId="911">
      <pivotArea dataOnly="0" labelOnly="1" outline="0" fieldPosition="0">
        <references count="1">
          <reference field="28" count="0"/>
        </references>
      </pivotArea>
    </format>
    <format dxfId="910">
      <pivotArea dataOnly="0" labelOnly="1" grandRow="1" outline="0" fieldPosition="0"/>
    </format>
    <format dxfId="909">
      <pivotArea dataOnly="0" labelOnly="1" outline="0" fieldPosition="0">
        <references count="1">
          <reference field="23" count="2">
            <x v="0"/>
            <x v="1"/>
          </reference>
        </references>
      </pivotArea>
    </format>
    <format dxfId="908">
      <pivotArea field="23" dataOnly="0" labelOnly="1" grandCol="1" outline="0" axis="axisCol" fieldPosition="0">
        <references count="1">
          <reference field="4294967294" count="1" selected="0">
            <x v="0"/>
          </reference>
        </references>
      </pivotArea>
    </format>
    <format dxfId="906">
      <pivotArea field="23" dataOnly="0" labelOnly="1" grandCol="1" outline="0" axis="axisCol" fieldPosition="0">
        <references count="1">
          <reference field="4294967294" count="1" selected="0">
            <x v="1"/>
          </reference>
        </references>
      </pivotArea>
    </format>
    <format dxfId="904">
      <pivotArea dataOnly="0" labelOnly="1" outline="0" fieldPosition="0">
        <references count="2">
          <reference field="4294967294" count="2">
            <x v="0"/>
            <x v="1"/>
          </reference>
          <reference field="23" count="1" selected="0">
            <x v="0"/>
          </reference>
        </references>
      </pivotArea>
    </format>
    <format dxfId="903">
      <pivotArea dataOnly="0" labelOnly="1" outline="0" fieldPosition="0">
        <references count="2">
          <reference field="4294967294" count="2">
            <x v="0"/>
            <x v="1"/>
          </reference>
          <reference field="23" count="1" selected="0">
            <x v="1"/>
          </reference>
        </references>
      </pivotArea>
    </format>
    <format dxfId="690">
      <pivotArea type="all" dataOnly="0" outline="0" fieldPosition="0"/>
    </format>
    <format dxfId="689">
      <pivotArea outline="0" collapsedLevelsAreSubtotals="1" fieldPosition="0"/>
    </format>
    <format dxfId="688">
      <pivotArea type="origin" dataOnly="0" labelOnly="1" outline="0" fieldPosition="0"/>
    </format>
    <format dxfId="687">
      <pivotArea field="23" type="button" dataOnly="0" labelOnly="1" outline="0" axis="axisCol" fieldPosition="0"/>
    </format>
    <format dxfId="686">
      <pivotArea field="-2" type="button" dataOnly="0" labelOnly="1" outline="0" axis="axisCol" fieldPosition="1"/>
    </format>
    <format dxfId="685">
      <pivotArea type="topRight" dataOnly="0" labelOnly="1" outline="0" fieldPosition="0"/>
    </format>
    <format dxfId="684">
      <pivotArea field="28" type="button" dataOnly="0" labelOnly="1" outline="0" axis="axisRow" fieldPosition="0"/>
    </format>
    <format dxfId="683">
      <pivotArea dataOnly="0" labelOnly="1" outline="0" fieldPosition="0">
        <references count="1">
          <reference field="28" count="0"/>
        </references>
      </pivotArea>
    </format>
    <format dxfId="682">
      <pivotArea dataOnly="0" labelOnly="1" grandRow="1" outline="0" fieldPosition="0"/>
    </format>
    <format dxfId="681">
      <pivotArea dataOnly="0" labelOnly="1" outline="0" fieldPosition="0">
        <references count="1">
          <reference field="23" count="2">
            <x v="0"/>
            <x v="1"/>
          </reference>
        </references>
      </pivotArea>
    </format>
    <format dxfId="680">
      <pivotArea field="23" dataOnly="0" labelOnly="1" grandCol="1" outline="0" axis="axisCol" fieldPosition="0">
        <references count="1">
          <reference field="4294967294" count="1" selected="0">
            <x v="0"/>
          </reference>
        </references>
      </pivotArea>
    </format>
    <format dxfId="678">
      <pivotArea field="23" dataOnly="0" labelOnly="1" grandCol="1" outline="0" axis="axisCol" fieldPosition="0">
        <references count="1">
          <reference field="4294967294" count="1" selected="0">
            <x v="1"/>
          </reference>
        </references>
      </pivotArea>
    </format>
    <format dxfId="676">
      <pivotArea dataOnly="0" labelOnly="1" outline="0" fieldPosition="0">
        <references count="2">
          <reference field="4294967294" count="2">
            <x v="0"/>
            <x v="1"/>
          </reference>
          <reference field="23" count="1" selected="0">
            <x v="0"/>
          </reference>
        </references>
      </pivotArea>
    </format>
    <format dxfId="675">
      <pivotArea dataOnly="0" labelOnly="1" outline="0" fieldPosition="0">
        <references count="2">
          <reference field="4294967294" count="2">
            <x v="0"/>
            <x v="1"/>
          </reference>
          <reference field="2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D0E769B-1228-D645-903F-9E961593257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B29" firstHeaderRow="1" firstDataRow="1" firstDataCol="1"/>
  <pivotFields count="34">
    <pivotField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3">
        <item x="5"/>
        <item x="2"/>
        <item x="9"/>
        <item x="8"/>
        <item x="7"/>
        <item x="1"/>
        <item x="4"/>
        <item x="3"/>
        <item x="10"/>
        <item x="11"/>
        <item x="0"/>
        <item x="6"/>
        <item t="default"/>
      </items>
    </pivotField>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9"/>
        <item x="6"/>
        <item x="5"/>
        <item x="2"/>
        <item x="4"/>
        <item x="8"/>
        <item x="0"/>
        <item x="3"/>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2"/>
  </rowFields>
  <rowItems count="13">
    <i>
      <x/>
    </i>
    <i>
      <x v="1"/>
    </i>
    <i>
      <x v="2"/>
    </i>
    <i>
      <x v="3"/>
    </i>
    <i>
      <x v="4"/>
    </i>
    <i>
      <x v="5"/>
    </i>
    <i>
      <x v="6"/>
    </i>
    <i>
      <x v="7"/>
    </i>
    <i>
      <x v="8"/>
    </i>
    <i>
      <x v="9"/>
    </i>
    <i>
      <x v="10"/>
    </i>
    <i>
      <x v="11"/>
    </i>
    <i t="grand">
      <x/>
    </i>
  </rowItems>
  <colItems count="1">
    <i/>
  </colItems>
  <dataFields count="1">
    <dataField name="Average of RD2" fld="33" subtotal="average" baseField="0" baseItem="0" numFmtId="164"/>
  </dataFields>
  <formats count="21">
    <format dxfId="1239">
      <pivotArea outline="0" fieldPosition="0">
        <references count="1">
          <reference field="12" count="1" selected="0">
            <x v="10"/>
          </reference>
        </references>
      </pivotArea>
    </format>
    <format dxfId="1238">
      <pivotArea outline="0" fieldPosition="0">
        <references count="1">
          <reference field="12" count="1" selected="0">
            <x v="5"/>
          </reference>
        </references>
      </pivotArea>
    </format>
    <format dxfId="1237">
      <pivotArea outline="0" fieldPosition="0">
        <references count="1">
          <reference field="12" count="1" selected="0">
            <x v="7"/>
          </reference>
        </references>
      </pivotArea>
    </format>
    <format dxfId="1236">
      <pivotArea type="all" dataOnly="0" outline="0" fieldPosition="0"/>
    </format>
    <format dxfId="1235">
      <pivotArea outline="0" collapsedLevelsAreSubtotals="1" fieldPosition="0"/>
    </format>
    <format dxfId="1234">
      <pivotArea field="12" type="button" dataOnly="0" labelOnly="1" outline="0" axis="axisRow" fieldPosition="0"/>
    </format>
    <format dxfId="1233">
      <pivotArea dataOnly="0" labelOnly="1" outline="0" fieldPosition="0">
        <references count="1">
          <reference field="12" count="0"/>
        </references>
      </pivotArea>
    </format>
    <format dxfId="1232">
      <pivotArea dataOnly="0" labelOnly="1" grandRow="1" outline="0" fieldPosition="0"/>
    </format>
    <format dxfId="1231">
      <pivotArea dataOnly="0" labelOnly="1" outline="0" axis="axisValues" fieldPosition="0"/>
    </format>
    <format dxfId="902">
      <pivotArea type="all" dataOnly="0" outline="0" fieldPosition="0"/>
    </format>
    <format dxfId="901">
      <pivotArea outline="0" collapsedLevelsAreSubtotals="1" fieldPosition="0"/>
    </format>
    <format dxfId="900">
      <pivotArea field="12" type="button" dataOnly="0" labelOnly="1" outline="0" axis="axisRow" fieldPosition="0"/>
    </format>
    <format dxfId="899">
      <pivotArea dataOnly="0" labelOnly="1" outline="0" fieldPosition="0">
        <references count="1">
          <reference field="12" count="0"/>
        </references>
      </pivotArea>
    </format>
    <format dxfId="898">
      <pivotArea dataOnly="0" labelOnly="1" grandRow="1" outline="0" fieldPosition="0"/>
    </format>
    <format dxfId="897">
      <pivotArea dataOnly="0" labelOnly="1" outline="0" axis="axisValues" fieldPosition="0"/>
    </format>
    <format dxfId="674">
      <pivotArea type="all" dataOnly="0" outline="0" fieldPosition="0"/>
    </format>
    <format dxfId="673">
      <pivotArea outline="0" collapsedLevelsAreSubtotals="1" fieldPosition="0"/>
    </format>
    <format dxfId="672">
      <pivotArea field="12" type="button" dataOnly="0" labelOnly="1" outline="0" axis="axisRow" fieldPosition="0"/>
    </format>
    <format dxfId="671">
      <pivotArea dataOnly="0" labelOnly="1" outline="0" fieldPosition="0">
        <references count="1">
          <reference field="12" count="0"/>
        </references>
      </pivotArea>
    </format>
    <format dxfId="670">
      <pivotArea dataOnly="0" labelOnly="1" grandRow="1" outline="0" fieldPosition="0"/>
    </format>
    <format dxfId="6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2F40977-8ADC-A04D-965E-0925CA83ABE9}" name="PivotTable49"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1:F35" firstHeaderRow="1" firstDataRow="2" firstDataCol="1"/>
  <pivotFields count="44">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compact="0" outline="0" showAll="0">
      <items count="8">
        <item x="6"/>
        <item x="0"/>
        <item x="2"/>
        <item x="4"/>
        <item x="1"/>
        <item x="5"/>
        <item x="3"/>
        <item t="default"/>
      </items>
    </pivotField>
    <pivotField compact="0" outline="0" showAll="0"/>
    <pivotField axis="axisCol" compact="0" outline="0" showAll="0">
      <items count="9">
        <item h="1" x="0"/>
        <item h="1" x="7"/>
        <item h="1" x="2"/>
        <item x="1"/>
        <item x="5"/>
        <item x="3"/>
        <item x="6"/>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s>
  <rowFields count="1">
    <field x="43"/>
  </rowFields>
  <rowItems count="3">
    <i>
      <x/>
    </i>
    <i>
      <x v="1"/>
    </i>
    <i t="grand">
      <x/>
    </i>
  </rowItems>
  <colFields count="1">
    <field x="16"/>
  </colFields>
  <colItems count="5">
    <i>
      <x v="3"/>
    </i>
    <i>
      <x v="4"/>
    </i>
    <i>
      <x v="5"/>
    </i>
    <i>
      <x v="6"/>
    </i>
    <i t="grand">
      <x/>
    </i>
  </colItems>
  <dataFields count="1">
    <dataField name="Count of HeikeCh2" fld="0" subtotal="count" baseField="0" baseItem="0"/>
  </dataFields>
  <formats count="20">
    <format dxfId="667">
      <pivotArea type="all" dataOnly="0" outline="0" fieldPosition="0"/>
    </format>
    <format dxfId="666">
      <pivotArea outline="0" collapsedLevelsAreSubtotals="1" fieldPosition="0"/>
    </format>
    <format dxfId="665">
      <pivotArea type="origin" dataOnly="0" labelOnly="1" outline="0" fieldPosition="0"/>
    </format>
    <format dxfId="664">
      <pivotArea field="16" type="button" dataOnly="0" labelOnly="1" outline="0" axis="axisCol" fieldPosition="0"/>
    </format>
    <format dxfId="663">
      <pivotArea type="topRight" dataOnly="0" labelOnly="1" outline="0" fieldPosition="0"/>
    </format>
    <format dxfId="662">
      <pivotArea field="43" type="button" dataOnly="0" labelOnly="1" outline="0" axis="axisRow" fieldPosition="0"/>
    </format>
    <format dxfId="661">
      <pivotArea dataOnly="0" labelOnly="1" outline="0" fieldPosition="0">
        <references count="1">
          <reference field="43" count="0"/>
        </references>
      </pivotArea>
    </format>
    <format dxfId="660">
      <pivotArea dataOnly="0" labelOnly="1" grandRow="1" outline="0" fieldPosition="0"/>
    </format>
    <format dxfId="659">
      <pivotArea dataOnly="0" labelOnly="1" outline="0" fieldPosition="0">
        <references count="1">
          <reference field="16" count="0"/>
        </references>
      </pivotArea>
    </format>
    <format dxfId="658">
      <pivotArea dataOnly="0" labelOnly="1" grandCol="1" outline="0" fieldPosition="0"/>
    </format>
    <format dxfId="597">
      <pivotArea type="all" dataOnly="0" outline="0" fieldPosition="0"/>
    </format>
    <format dxfId="596">
      <pivotArea outline="0" collapsedLevelsAreSubtotals="1" fieldPosition="0"/>
    </format>
    <format dxfId="595">
      <pivotArea type="origin" dataOnly="0" labelOnly="1" outline="0" fieldPosition="0"/>
    </format>
    <format dxfId="594">
      <pivotArea field="16" type="button" dataOnly="0" labelOnly="1" outline="0" axis="axisCol" fieldPosition="0"/>
    </format>
    <format dxfId="593">
      <pivotArea type="topRight" dataOnly="0" labelOnly="1" outline="0" fieldPosition="0"/>
    </format>
    <format dxfId="592">
      <pivotArea field="43" type="button" dataOnly="0" labelOnly="1" outline="0" axis="axisRow" fieldPosition="0"/>
    </format>
    <format dxfId="591">
      <pivotArea dataOnly="0" labelOnly="1" outline="0" fieldPosition="0">
        <references count="1">
          <reference field="43" count="0"/>
        </references>
      </pivotArea>
    </format>
    <format dxfId="590">
      <pivotArea dataOnly="0" labelOnly="1" grandRow="1" outline="0" fieldPosition="0"/>
    </format>
    <format dxfId="589">
      <pivotArea dataOnly="0" labelOnly="1" outline="0" fieldPosition="0">
        <references count="1">
          <reference field="16" count="0"/>
        </references>
      </pivotArea>
    </format>
    <format dxfId="58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BBF5D86-0634-3A42-B229-109759CCCE93}" name="PivotTable87"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7:G72" firstHeaderRow="1" firstDataRow="3" firstDataCol="1" rowPageCount="1" colPageCount="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axis="axisPage" compact="0" outline="0" multipleItemSelectionAllowed="1" showAll="0">
      <items count="6">
        <item h="1" x="2"/>
        <item x="1"/>
        <item h="1" x="4"/>
        <item h="1"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8">
        <item x="6"/>
        <item x="2"/>
        <item x="1"/>
        <item x="4"/>
        <item x="0"/>
        <item x="5"/>
        <item x="3"/>
        <item t="default"/>
      </items>
    </pivotField>
    <pivotField compact="0" outline="0" showAll="0"/>
    <pivotField compact="0" outline="0" showAll="0">
      <items count="3">
        <item x="1"/>
        <item x="0"/>
        <item t="default"/>
      </items>
    </pivotField>
    <pivotField compact="0" outline="0" showAll="0"/>
  </pivotFields>
  <rowFields count="1">
    <field x="43"/>
  </rowFields>
  <rowItems count="3">
    <i>
      <x/>
    </i>
    <i>
      <x v="1"/>
    </i>
    <i t="grand">
      <x/>
    </i>
  </rowItems>
  <colFields count="2">
    <field x="-2"/>
    <field x="23"/>
  </colFields>
  <colItems count="6">
    <i>
      <x/>
      <x/>
    </i>
    <i r="1">
      <x v="1"/>
    </i>
    <i i="1">
      <x v="1"/>
      <x/>
    </i>
    <i r="1" i="1">
      <x v="1"/>
    </i>
    <i t="grand">
      <x/>
    </i>
    <i t="grand" i="1">
      <x/>
    </i>
  </colItems>
  <pageFields count="1">
    <pageField fld="31" hier="-1"/>
  </pageFields>
  <dataFields count="2">
    <dataField name="Count of HeikeCh2" fld="0" subtotal="count" showDataAs="percentOfRow" baseField="0" baseItem="0" numFmtId="10"/>
    <dataField name="Count of HeikeCh2_2" fld="0" subtotal="count" baseField="0" baseItem="0"/>
  </dataFields>
  <formats count="30">
    <format dxfId="1134">
      <pivotArea outline="0" fieldPosition="0">
        <references count="2">
          <reference field="4294967294" count="1" selected="0">
            <x v="0"/>
          </reference>
          <reference field="23" count="0" selected="0"/>
        </references>
      </pivotArea>
    </format>
    <format dxfId="1133">
      <pivotArea field="23" grandCol="1" outline="0" axis="axisCol" fieldPosition="1">
        <references count="1">
          <reference field="4294967294" count="1" selected="0">
            <x v="0"/>
          </reference>
        </references>
      </pivotArea>
    </format>
    <format dxfId="657">
      <pivotArea type="all" dataOnly="0" outline="0" fieldPosition="0"/>
    </format>
    <format dxfId="656">
      <pivotArea outline="0" collapsedLevelsAreSubtotals="1" fieldPosition="0"/>
    </format>
    <format dxfId="655">
      <pivotArea type="origin" dataOnly="0" labelOnly="1" outline="0" fieldPosition="0"/>
    </format>
    <format dxfId="654">
      <pivotArea field="-2" type="button" dataOnly="0" labelOnly="1" outline="0" axis="axisCol" fieldPosition="0"/>
    </format>
    <format dxfId="653">
      <pivotArea field="23" type="button" dataOnly="0" labelOnly="1" outline="0" axis="axisCol" fieldPosition="1"/>
    </format>
    <format dxfId="652">
      <pivotArea type="topRight" dataOnly="0" labelOnly="1" outline="0" fieldPosition="0"/>
    </format>
    <format dxfId="651">
      <pivotArea field="43" type="button" dataOnly="0" labelOnly="1" outline="0" axis="axisRow" fieldPosition="0"/>
    </format>
    <format dxfId="650">
      <pivotArea dataOnly="0" labelOnly="1" outline="0" fieldPosition="0">
        <references count="1">
          <reference field="43" count="0"/>
        </references>
      </pivotArea>
    </format>
    <format dxfId="649">
      <pivotArea dataOnly="0" labelOnly="1" grandRow="1" outline="0" fieldPosition="0"/>
    </format>
    <format dxfId="648">
      <pivotArea dataOnly="0" labelOnly="1" outline="0" fieldPosition="0">
        <references count="1">
          <reference field="4294967294" count="2">
            <x v="0"/>
            <x v="1"/>
          </reference>
        </references>
      </pivotArea>
    </format>
    <format dxfId="647">
      <pivotArea field="23" dataOnly="0" labelOnly="1" grandCol="1" outline="0" axis="axisCol" fieldPosition="1">
        <references count="1">
          <reference field="4294967294" count="1" selected="0">
            <x v="0"/>
          </reference>
        </references>
      </pivotArea>
    </format>
    <format dxfId="645">
      <pivotArea field="23" dataOnly="0" labelOnly="1" grandCol="1" outline="0" axis="axisCol" fieldPosition="1">
        <references count="1">
          <reference field="4294967294" count="1" selected="0">
            <x v="1"/>
          </reference>
        </references>
      </pivotArea>
    </format>
    <format dxfId="643">
      <pivotArea dataOnly="0" labelOnly="1" outline="0" fieldPosition="0">
        <references count="2">
          <reference field="4294967294" count="1" selected="0">
            <x v="0"/>
          </reference>
          <reference field="23" count="0"/>
        </references>
      </pivotArea>
    </format>
    <format dxfId="642">
      <pivotArea dataOnly="0" labelOnly="1" outline="0" fieldPosition="0">
        <references count="2">
          <reference field="4294967294" count="1" selected="0">
            <x v="1"/>
          </reference>
          <reference field="23" count="0"/>
        </references>
      </pivotArea>
    </format>
    <format dxfId="587">
      <pivotArea type="all" dataOnly="0" outline="0" fieldPosition="0"/>
    </format>
    <format dxfId="586">
      <pivotArea outline="0" collapsedLevelsAreSubtotals="1" fieldPosition="0"/>
    </format>
    <format dxfId="585">
      <pivotArea type="origin" dataOnly="0" labelOnly="1" outline="0" fieldPosition="0"/>
    </format>
    <format dxfId="584">
      <pivotArea field="-2" type="button" dataOnly="0" labelOnly="1" outline="0" axis="axisCol" fieldPosition="0"/>
    </format>
    <format dxfId="583">
      <pivotArea field="23" type="button" dataOnly="0" labelOnly="1" outline="0" axis="axisCol" fieldPosition="1"/>
    </format>
    <format dxfId="582">
      <pivotArea type="topRight" dataOnly="0" labelOnly="1" outline="0" fieldPosition="0"/>
    </format>
    <format dxfId="581">
      <pivotArea field="43" type="button" dataOnly="0" labelOnly="1" outline="0" axis="axisRow" fieldPosition="0"/>
    </format>
    <format dxfId="580">
      <pivotArea dataOnly="0" labelOnly="1" outline="0" fieldPosition="0">
        <references count="1">
          <reference field="43" count="0"/>
        </references>
      </pivotArea>
    </format>
    <format dxfId="579">
      <pivotArea dataOnly="0" labelOnly="1" grandRow="1" outline="0" fieldPosition="0"/>
    </format>
    <format dxfId="578">
      <pivotArea dataOnly="0" labelOnly="1" outline="0" fieldPosition="0">
        <references count="1">
          <reference field="4294967294" count="2">
            <x v="0"/>
            <x v="1"/>
          </reference>
        </references>
      </pivotArea>
    </format>
    <format dxfId="577">
      <pivotArea field="23" dataOnly="0" labelOnly="1" grandCol="1" outline="0" axis="axisCol" fieldPosition="1">
        <references count="1">
          <reference field="4294967294" count="1" selected="0">
            <x v="0"/>
          </reference>
        </references>
      </pivotArea>
    </format>
    <format dxfId="575">
      <pivotArea field="23" dataOnly="0" labelOnly="1" grandCol="1" outline="0" axis="axisCol" fieldPosition="1">
        <references count="1">
          <reference field="4294967294" count="1" selected="0">
            <x v="1"/>
          </reference>
        </references>
      </pivotArea>
    </format>
    <format dxfId="573">
      <pivotArea dataOnly="0" labelOnly="1" outline="0" fieldPosition="0">
        <references count="2">
          <reference field="4294967294" count="1" selected="0">
            <x v="0"/>
          </reference>
          <reference field="23" count="0"/>
        </references>
      </pivotArea>
    </format>
    <format dxfId="572">
      <pivotArea dataOnly="0" labelOnly="1" outline="0" fieldPosition="0">
        <references count="2">
          <reference field="4294967294" count="1" selected="0">
            <x v="1"/>
          </reference>
          <reference field="2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906456B-6FF0-634D-998A-B9BD06B14447}" name="PivotTable48"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M30" firstHeaderRow="1" firstDataRow="3" firstDataCol="1"/>
  <pivotFields count="44">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5"/>
        <item x="2"/>
        <item x="9"/>
        <item x="8"/>
        <item x="7"/>
        <item x="1"/>
        <item x="4"/>
        <item x="3"/>
        <item x="10"/>
        <item x="11"/>
        <item x="0"/>
        <item x="6"/>
        <item t="default"/>
      </items>
    </pivotField>
    <pivotField compact="0" outline="0" showAll="0"/>
    <pivotField axis="axisCol" compact="0" outline="0" showAll="0">
      <items count="8">
        <item h="1" x="6"/>
        <item x="0"/>
        <item x="2"/>
        <item x="4"/>
        <item x="1"/>
        <item x="5"/>
        <item h="1" x="3"/>
        <item t="default"/>
      </items>
    </pivotField>
    <pivotField compact="0" outline="0" showAll="0"/>
    <pivotField compact="0" outline="0" showAll="0">
      <items count="9">
        <item x="0"/>
        <item x="7"/>
        <item x="2"/>
        <item x="1"/>
        <item x="5"/>
        <item x="3"/>
        <item x="6"/>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s>
  <rowFields count="1">
    <field x="43"/>
  </rowFields>
  <rowItems count="3">
    <i>
      <x/>
    </i>
    <i>
      <x v="1"/>
    </i>
    <i t="grand">
      <x/>
    </i>
  </rowItems>
  <colFields count="2">
    <field x="14"/>
    <field x="-2"/>
  </colFields>
  <colItems count="12">
    <i>
      <x v="1"/>
      <x/>
    </i>
    <i r="1" i="1">
      <x v="1"/>
    </i>
    <i>
      <x v="2"/>
      <x/>
    </i>
    <i r="1" i="1">
      <x v="1"/>
    </i>
    <i>
      <x v="3"/>
      <x/>
    </i>
    <i r="1" i="1">
      <x v="1"/>
    </i>
    <i>
      <x v="4"/>
      <x/>
    </i>
    <i r="1" i="1">
      <x v="1"/>
    </i>
    <i>
      <x v="5"/>
      <x/>
    </i>
    <i r="1" i="1">
      <x v="1"/>
    </i>
    <i t="grand">
      <x/>
    </i>
    <i t="grand" i="1">
      <x/>
    </i>
  </colItems>
  <dataFields count="2">
    <dataField name="Count of HeikeCh2" fld="0" subtotal="count" showDataAs="percentOfRow" baseField="0" baseItem="0" numFmtId="10"/>
    <dataField name="Count of HeikeCh2_2" fld="0" subtotal="count" baseField="0" baseItem="0"/>
  </dataFields>
  <formats count="40">
    <format dxfId="1140">
      <pivotArea outline="0" collapsedLevelsAreSubtotals="1" fieldPosition="0"/>
    </format>
    <format dxfId="1139">
      <pivotArea dataOnly="0" labelOnly="1" outline="0" fieldPosition="0">
        <references count="1">
          <reference field="43" count="0"/>
        </references>
      </pivotArea>
    </format>
    <format dxfId="1138">
      <pivotArea dataOnly="0" labelOnly="1" grandRow="1" outline="0" fieldPosition="0"/>
    </format>
    <format dxfId="1137">
      <pivotArea outline="0" collapsedLevelsAreSubtotals="1" fieldPosition="0"/>
    </format>
    <format dxfId="1136">
      <pivotArea dataOnly="0" labelOnly="1" outline="0" fieldPosition="0">
        <references count="1">
          <reference field="43" count="0"/>
        </references>
      </pivotArea>
    </format>
    <format dxfId="1135">
      <pivotArea dataOnly="0" labelOnly="1" grandRow="1" outline="0" fieldPosition="0"/>
    </format>
    <format dxfId="641">
      <pivotArea type="all" dataOnly="0" outline="0" fieldPosition="0"/>
    </format>
    <format dxfId="640">
      <pivotArea outline="0" collapsedLevelsAreSubtotals="1" fieldPosition="0"/>
    </format>
    <format dxfId="639">
      <pivotArea type="origin" dataOnly="0" labelOnly="1" outline="0" fieldPosition="0"/>
    </format>
    <format dxfId="638">
      <pivotArea field="14" type="button" dataOnly="0" labelOnly="1" outline="0" axis="axisCol" fieldPosition="0"/>
    </format>
    <format dxfId="637">
      <pivotArea field="-2" type="button" dataOnly="0" labelOnly="1" outline="0" axis="axisCol" fieldPosition="1"/>
    </format>
    <format dxfId="636">
      <pivotArea type="topRight" dataOnly="0" labelOnly="1" outline="0" fieldPosition="0"/>
    </format>
    <format dxfId="635">
      <pivotArea field="43" type="button" dataOnly="0" labelOnly="1" outline="0" axis="axisRow" fieldPosition="0"/>
    </format>
    <format dxfId="634">
      <pivotArea dataOnly="0" labelOnly="1" outline="0" fieldPosition="0">
        <references count="1">
          <reference field="43" count="0"/>
        </references>
      </pivotArea>
    </format>
    <format dxfId="633">
      <pivotArea dataOnly="0" labelOnly="1" grandRow="1" outline="0" fieldPosition="0"/>
    </format>
    <format dxfId="632">
      <pivotArea dataOnly="0" labelOnly="1" outline="0" fieldPosition="0">
        <references count="1">
          <reference field="14" count="0"/>
        </references>
      </pivotArea>
    </format>
    <format dxfId="631">
      <pivotArea field="14" dataOnly="0" labelOnly="1" grandCol="1" outline="0" axis="axisCol" fieldPosition="0">
        <references count="1">
          <reference field="4294967294" count="1" selected="0">
            <x v="0"/>
          </reference>
        </references>
      </pivotArea>
    </format>
    <format dxfId="629">
      <pivotArea field="14" dataOnly="0" labelOnly="1" grandCol="1" outline="0" axis="axisCol" fieldPosition="0">
        <references count="1">
          <reference field="4294967294" count="1" selected="0">
            <x v="1"/>
          </reference>
        </references>
      </pivotArea>
    </format>
    <format dxfId="627">
      <pivotArea dataOnly="0" labelOnly="1" outline="0" fieldPosition="0">
        <references count="2">
          <reference field="4294967294" count="2">
            <x v="0"/>
            <x v="1"/>
          </reference>
          <reference field="14" count="1" selected="0">
            <x v="1"/>
          </reference>
        </references>
      </pivotArea>
    </format>
    <format dxfId="626">
      <pivotArea dataOnly="0" labelOnly="1" outline="0" fieldPosition="0">
        <references count="2">
          <reference field="4294967294" count="2">
            <x v="0"/>
            <x v="1"/>
          </reference>
          <reference field="14" count="1" selected="0">
            <x v="2"/>
          </reference>
        </references>
      </pivotArea>
    </format>
    <format dxfId="625">
      <pivotArea dataOnly="0" labelOnly="1" outline="0" fieldPosition="0">
        <references count="2">
          <reference field="4294967294" count="2">
            <x v="0"/>
            <x v="1"/>
          </reference>
          <reference field="14" count="1" selected="0">
            <x v="3"/>
          </reference>
        </references>
      </pivotArea>
    </format>
    <format dxfId="624">
      <pivotArea dataOnly="0" labelOnly="1" outline="0" fieldPosition="0">
        <references count="2">
          <reference field="4294967294" count="2">
            <x v="0"/>
            <x v="1"/>
          </reference>
          <reference field="14" count="1" selected="0">
            <x v="4"/>
          </reference>
        </references>
      </pivotArea>
    </format>
    <format dxfId="623">
      <pivotArea dataOnly="0" labelOnly="1" outline="0" fieldPosition="0">
        <references count="2">
          <reference field="4294967294" count="2">
            <x v="0"/>
            <x v="1"/>
          </reference>
          <reference field="14" count="1" selected="0">
            <x v="5"/>
          </reference>
        </references>
      </pivotArea>
    </format>
    <format dxfId="571">
      <pivotArea type="all" dataOnly="0" outline="0" fieldPosition="0"/>
    </format>
    <format dxfId="570">
      <pivotArea outline="0" collapsedLevelsAreSubtotals="1" fieldPosition="0"/>
    </format>
    <format dxfId="569">
      <pivotArea type="origin" dataOnly="0" labelOnly="1" outline="0" fieldPosition="0"/>
    </format>
    <format dxfId="568">
      <pivotArea field="14" type="button" dataOnly="0" labelOnly="1" outline="0" axis="axisCol" fieldPosition="0"/>
    </format>
    <format dxfId="567">
      <pivotArea field="-2" type="button" dataOnly="0" labelOnly="1" outline="0" axis="axisCol" fieldPosition="1"/>
    </format>
    <format dxfId="566">
      <pivotArea type="topRight" dataOnly="0" labelOnly="1" outline="0" fieldPosition="0"/>
    </format>
    <format dxfId="565">
      <pivotArea field="43" type="button" dataOnly="0" labelOnly="1" outline="0" axis="axisRow" fieldPosition="0"/>
    </format>
    <format dxfId="564">
      <pivotArea dataOnly="0" labelOnly="1" outline="0" fieldPosition="0">
        <references count="1">
          <reference field="43" count="0"/>
        </references>
      </pivotArea>
    </format>
    <format dxfId="563">
      <pivotArea dataOnly="0" labelOnly="1" grandRow="1" outline="0" fieldPosition="0"/>
    </format>
    <format dxfId="562">
      <pivotArea dataOnly="0" labelOnly="1" outline="0" fieldPosition="0">
        <references count="1">
          <reference field="14" count="0"/>
        </references>
      </pivotArea>
    </format>
    <format dxfId="561">
      <pivotArea field="14" dataOnly="0" labelOnly="1" grandCol="1" outline="0" axis="axisCol" fieldPosition="0">
        <references count="1">
          <reference field="4294967294" count="1" selected="0">
            <x v="0"/>
          </reference>
        </references>
      </pivotArea>
    </format>
    <format dxfId="559">
      <pivotArea field="14" dataOnly="0" labelOnly="1" grandCol="1" outline="0" axis="axisCol" fieldPosition="0">
        <references count="1">
          <reference field="4294967294" count="1" selected="0">
            <x v="1"/>
          </reference>
        </references>
      </pivotArea>
    </format>
    <format dxfId="557">
      <pivotArea dataOnly="0" labelOnly="1" outline="0" fieldPosition="0">
        <references count="2">
          <reference field="4294967294" count="2">
            <x v="0"/>
            <x v="1"/>
          </reference>
          <reference field="14" count="1" selected="0">
            <x v="1"/>
          </reference>
        </references>
      </pivotArea>
    </format>
    <format dxfId="556">
      <pivotArea dataOnly="0" labelOnly="1" outline="0" fieldPosition="0">
        <references count="2">
          <reference field="4294967294" count="2">
            <x v="0"/>
            <x v="1"/>
          </reference>
          <reference field="14" count="1" selected="0">
            <x v="2"/>
          </reference>
        </references>
      </pivotArea>
    </format>
    <format dxfId="555">
      <pivotArea dataOnly="0" labelOnly="1" outline="0" fieldPosition="0">
        <references count="2">
          <reference field="4294967294" count="2">
            <x v="0"/>
            <x v="1"/>
          </reference>
          <reference field="14" count="1" selected="0">
            <x v="3"/>
          </reference>
        </references>
      </pivotArea>
    </format>
    <format dxfId="554">
      <pivotArea dataOnly="0" labelOnly="1" outline="0" fieldPosition="0">
        <references count="2">
          <reference field="4294967294" count="2">
            <x v="0"/>
            <x v="1"/>
          </reference>
          <reference field="14" count="1" selected="0">
            <x v="4"/>
          </reference>
        </references>
      </pivotArea>
    </format>
    <format dxfId="553">
      <pivotArea dataOnly="0" labelOnly="1" outline="0" fieldPosition="0">
        <references count="2">
          <reference field="4294967294" count="2">
            <x v="0"/>
            <x v="1"/>
          </reference>
          <reference field="1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1FDCFD0-D2DE-6447-85A9-C545692A6D15}" name="PivotTable7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Z3:AB14" firstHeaderRow="0" firstDataRow="1" firstDataCol="1"/>
  <pivotFields count="34">
    <pivotField dataField="1" compact="0" outline="0" showAll="0"/>
    <pivotField compact="0" outline="0" showAll="0"/>
    <pivotField compact="0" outline="0" showAll="0"/>
    <pivotField compact="0" outline="0" showAll="0"/>
    <pivotField compact="0" outline="0" showAll="0"/>
    <pivotField compact="0" outline="0" showAll="0">
      <items count="10">
        <item x="2"/>
        <item x="7"/>
        <item x="5"/>
        <item x="3"/>
        <item x="1"/>
        <item x="6"/>
        <item x="4"/>
        <item x="0"/>
        <item x="8"/>
        <item t="default"/>
      </items>
    </pivotField>
    <pivotField compact="0" outline="0" showAll="0">
      <items count="14">
        <item x="5"/>
        <item x="12"/>
        <item x="0"/>
        <item x="7"/>
        <item x="11"/>
        <item x="3"/>
        <item x="8"/>
        <item x="9"/>
        <item x="10"/>
        <item x="1"/>
        <item x="2"/>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x="7"/>
        <item x="6"/>
        <item x="0"/>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9"/>
        <item x="6"/>
        <item x="5"/>
        <item x="2"/>
        <item x="4"/>
        <item x="8"/>
        <item x="0"/>
        <item x="3"/>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1"/>
  </rowFields>
  <rowItems count="11">
    <i>
      <x/>
    </i>
    <i>
      <x v="1"/>
    </i>
    <i>
      <x v="2"/>
    </i>
    <i>
      <x v="3"/>
    </i>
    <i>
      <x v="4"/>
    </i>
    <i>
      <x v="5"/>
    </i>
    <i>
      <x v="6"/>
    </i>
    <i>
      <x v="7"/>
    </i>
    <i>
      <x v="8"/>
    </i>
    <i>
      <x v="9"/>
    </i>
    <i t="grand">
      <x/>
    </i>
  </rowItems>
  <colFields count="1">
    <field x="-2"/>
  </colFields>
  <colItems count="2">
    <i>
      <x/>
    </i>
    <i i="1">
      <x v="1"/>
    </i>
  </colItems>
  <dataFields count="2">
    <dataField name="Average of RD2" fld="33" subtotal="average" baseField="0" baseItem="0" numFmtId="164"/>
    <dataField name="Count of Clause_ID" fld="0" subtotal="count" baseField="0" baseItem="0"/>
  </dataFields>
  <formats count="20">
    <format dxfId="1148">
      <pivotArea type="all" dataOnly="0" outline="0" fieldPosition="0"/>
    </format>
    <format dxfId="1147">
      <pivotArea outline="0" collapsedLevelsAreSubtotals="1" fieldPosition="0"/>
    </format>
    <format dxfId="1146">
      <pivotArea type="origin" dataOnly="0" labelOnly="1" outline="0" fieldPosition="0"/>
    </format>
    <format dxfId="1145">
      <pivotArea field="21" type="button" dataOnly="0" labelOnly="1" outline="0" axis="axisRow" fieldPosition="0"/>
    </format>
    <format dxfId="1144">
      <pivotArea type="topRight" dataOnly="0" labelOnly="1" outline="0" fieldPosition="0"/>
    </format>
    <format dxfId="1143">
      <pivotArea field="14" type="button" dataOnly="0" labelOnly="1" outline="0"/>
    </format>
    <format dxfId="1142">
      <pivotArea dataOnly="0" labelOnly="1" grandRow="1" outline="0" fieldPosition="0"/>
    </format>
    <format dxfId="1141">
      <pivotArea dataOnly="0" labelOnly="1" grandCol="1" outline="0" fieldPosition="0"/>
    </format>
    <format dxfId="622">
      <pivotArea type="all" dataOnly="0" outline="0" fieldPosition="0"/>
    </format>
    <format dxfId="621">
      <pivotArea outline="0" collapsedLevelsAreSubtotals="1" fieldPosition="0"/>
    </format>
    <format dxfId="620">
      <pivotArea field="21" type="button" dataOnly="0" labelOnly="1" outline="0" axis="axisRow" fieldPosition="0"/>
    </format>
    <format dxfId="619">
      <pivotArea dataOnly="0" labelOnly="1" outline="0" fieldPosition="0">
        <references count="1">
          <reference field="21" count="0"/>
        </references>
      </pivotArea>
    </format>
    <format dxfId="618">
      <pivotArea dataOnly="0" labelOnly="1" grandRow="1" outline="0" fieldPosition="0"/>
    </format>
    <format dxfId="617">
      <pivotArea dataOnly="0" labelOnly="1" outline="0" fieldPosition="0">
        <references count="1">
          <reference field="4294967294" count="2">
            <x v="0"/>
            <x v="1"/>
          </reference>
        </references>
      </pivotArea>
    </format>
    <format dxfId="552">
      <pivotArea type="all" dataOnly="0" outline="0" fieldPosition="0"/>
    </format>
    <format dxfId="551">
      <pivotArea outline="0" collapsedLevelsAreSubtotals="1" fieldPosition="0"/>
    </format>
    <format dxfId="550">
      <pivotArea field="21" type="button" dataOnly="0" labelOnly="1" outline="0" axis="axisRow" fieldPosition="0"/>
    </format>
    <format dxfId="549">
      <pivotArea dataOnly="0" labelOnly="1" outline="0" fieldPosition="0">
        <references count="1">
          <reference field="21" count="0"/>
        </references>
      </pivotArea>
    </format>
    <format dxfId="548">
      <pivotArea dataOnly="0" labelOnly="1" grandRow="1" outline="0" fieldPosition="0"/>
    </format>
    <format dxfId="54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22D391-1913-104F-8CA9-4477B6E9752D}" name="PivotTable6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6:M61" firstHeaderRow="1" firstDataRow="3" firstDataCol="1" rowPageCount="1" colPageCount="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axis="axisPage" compact="0" outline="0" multipleItemSelectionAllowed="1" showAll="0">
      <items count="6">
        <item h="1" x="2"/>
        <item x="1"/>
        <item h="1" x="4"/>
        <item h="1"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axis="axisCol" compact="0" outline="0" showAll="0">
      <items count="8">
        <item x="6"/>
        <item x="2"/>
        <item x="1"/>
        <item x="4"/>
        <item x="0"/>
        <item x="5"/>
        <item x="3"/>
        <item t="default"/>
      </items>
    </pivotField>
    <pivotField compact="0" outline="0" showAll="0"/>
    <pivotField compact="0" outline="0" showAll="0">
      <items count="3">
        <item x="1"/>
        <item x="0"/>
        <item t="default"/>
      </items>
    </pivotField>
    <pivotField compact="0" outline="0" showAll="0"/>
  </pivotFields>
  <rowFields count="1">
    <field x="43"/>
  </rowFields>
  <rowItems count="3">
    <i>
      <x/>
    </i>
    <i>
      <x v="1"/>
    </i>
    <i t="grand">
      <x/>
    </i>
  </rowItems>
  <colFields count="2">
    <field x="44"/>
    <field x="-2"/>
  </colFields>
  <colItems count="12">
    <i>
      <x v="1"/>
      <x/>
    </i>
    <i r="1" i="1">
      <x v="1"/>
    </i>
    <i>
      <x v="2"/>
      <x/>
    </i>
    <i r="1" i="1">
      <x v="1"/>
    </i>
    <i>
      <x v="3"/>
      <x/>
    </i>
    <i r="1" i="1">
      <x v="1"/>
    </i>
    <i>
      <x v="4"/>
      <x/>
    </i>
    <i r="1" i="1">
      <x v="1"/>
    </i>
    <i>
      <x v="5"/>
      <x/>
    </i>
    <i r="1" i="1">
      <x v="1"/>
    </i>
    <i t="grand">
      <x/>
    </i>
    <i t="grand" i="1">
      <x/>
    </i>
  </colItems>
  <pageFields count="1">
    <pageField fld="31" hier="-1"/>
  </pageFields>
  <dataFields count="2">
    <dataField name="Count of HeikeCh2" fld="0" subtotal="count" showDataAs="percentOfRow" baseField="0" baseItem="0" numFmtId="10"/>
    <dataField name="Count of HeikeCh2_2" fld="0" subtotal="count" baseField="0" baseItem="0"/>
  </dataFields>
  <formats count="34">
    <format dxfId="616">
      <pivotArea type="all" dataOnly="0" outline="0" fieldPosition="0"/>
    </format>
    <format dxfId="615">
      <pivotArea outline="0" collapsedLevelsAreSubtotals="1" fieldPosition="0"/>
    </format>
    <format dxfId="614">
      <pivotArea type="origin" dataOnly="0" labelOnly="1" outline="0" fieldPosition="0"/>
    </format>
    <format dxfId="613">
      <pivotArea field="44" type="button" dataOnly="0" labelOnly="1" outline="0" axis="axisCol" fieldPosition="0"/>
    </format>
    <format dxfId="612">
      <pivotArea field="-2" type="button" dataOnly="0" labelOnly="1" outline="0" axis="axisCol" fieldPosition="1"/>
    </format>
    <format dxfId="611">
      <pivotArea type="topRight" dataOnly="0" labelOnly="1" outline="0" fieldPosition="0"/>
    </format>
    <format dxfId="610">
      <pivotArea field="43" type="button" dataOnly="0" labelOnly="1" outline="0" axis="axisRow" fieldPosition="0"/>
    </format>
    <format dxfId="609">
      <pivotArea dataOnly="0" labelOnly="1" outline="0" fieldPosition="0">
        <references count="1">
          <reference field="43" count="0"/>
        </references>
      </pivotArea>
    </format>
    <format dxfId="608">
      <pivotArea dataOnly="0" labelOnly="1" grandRow="1" outline="0" fieldPosition="0"/>
    </format>
    <format dxfId="607">
      <pivotArea dataOnly="0" labelOnly="1" outline="0" fieldPosition="0">
        <references count="1">
          <reference field="44" count="5">
            <x v="1"/>
            <x v="2"/>
            <x v="3"/>
            <x v="4"/>
            <x v="5"/>
          </reference>
        </references>
      </pivotArea>
    </format>
    <format dxfId="606">
      <pivotArea field="44" dataOnly="0" labelOnly="1" grandCol="1" outline="0" axis="axisCol" fieldPosition="0">
        <references count="1">
          <reference field="4294967294" count="1" selected="0">
            <x v="0"/>
          </reference>
        </references>
      </pivotArea>
    </format>
    <format dxfId="604">
      <pivotArea field="44" dataOnly="0" labelOnly="1" grandCol="1" outline="0" axis="axisCol" fieldPosition="0">
        <references count="1">
          <reference field="4294967294" count="1" selected="0">
            <x v="1"/>
          </reference>
        </references>
      </pivotArea>
    </format>
    <format dxfId="602">
      <pivotArea dataOnly="0" labelOnly="1" outline="0" fieldPosition="0">
        <references count="2">
          <reference field="4294967294" count="2">
            <x v="0"/>
            <x v="1"/>
          </reference>
          <reference field="44" count="1" selected="0">
            <x v="1"/>
          </reference>
        </references>
      </pivotArea>
    </format>
    <format dxfId="601">
      <pivotArea dataOnly="0" labelOnly="1" outline="0" fieldPosition="0">
        <references count="2">
          <reference field="4294967294" count="2">
            <x v="0"/>
            <x v="1"/>
          </reference>
          <reference field="44" count="1" selected="0">
            <x v="2"/>
          </reference>
        </references>
      </pivotArea>
    </format>
    <format dxfId="600">
      <pivotArea dataOnly="0" labelOnly="1" outline="0" fieldPosition="0">
        <references count="2">
          <reference field="4294967294" count="2">
            <x v="0"/>
            <x v="1"/>
          </reference>
          <reference field="44" count="1" selected="0">
            <x v="3"/>
          </reference>
        </references>
      </pivotArea>
    </format>
    <format dxfId="599">
      <pivotArea dataOnly="0" labelOnly="1" outline="0" fieldPosition="0">
        <references count="2">
          <reference field="4294967294" count="2">
            <x v="0"/>
            <x v="1"/>
          </reference>
          <reference field="44" count="1" selected="0">
            <x v="4"/>
          </reference>
        </references>
      </pivotArea>
    </format>
    <format dxfId="598">
      <pivotArea dataOnly="0" labelOnly="1" outline="0" fieldPosition="0">
        <references count="2">
          <reference field="4294967294" count="2">
            <x v="0"/>
            <x v="1"/>
          </reference>
          <reference field="44" count="1" selected="0">
            <x v="5"/>
          </reference>
        </references>
      </pivotArea>
    </format>
    <format dxfId="546">
      <pivotArea type="all" dataOnly="0" outline="0" fieldPosition="0"/>
    </format>
    <format dxfId="545">
      <pivotArea outline="0" collapsedLevelsAreSubtotals="1" fieldPosition="0"/>
    </format>
    <format dxfId="544">
      <pivotArea type="origin" dataOnly="0" labelOnly="1" outline="0" fieldPosition="0"/>
    </format>
    <format dxfId="543">
      <pivotArea field="44" type="button" dataOnly="0" labelOnly="1" outline="0" axis="axisCol" fieldPosition="0"/>
    </format>
    <format dxfId="542">
      <pivotArea field="-2" type="button" dataOnly="0" labelOnly="1" outline="0" axis="axisCol" fieldPosition="1"/>
    </format>
    <format dxfId="541">
      <pivotArea type="topRight" dataOnly="0" labelOnly="1" outline="0" fieldPosition="0"/>
    </format>
    <format dxfId="540">
      <pivotArea field="43" type="button" dataOnly="0" labelOnly="1" outline="0" axis="axisRow" fieldPosition="0"/>
    </format>
    <format dxfId="539">
      <pivotArea dataOnly="0" labelOnly="1" outline="0" fieldPosition="0">
        <references count="1">
          <reference field="43" count="0"/>
        </references>
      </pivotArea>
    </format>
    <format dxfId="538">
      <pivotArea dataOnly="0" labelOnly="1" grandRow="1" outline="0" fieldPosition="0"/>
    </format>
    <format dxfId="537">
      <pivotArea dataOnly="0" labelOnly="1" outline="0" fieldPosition="0">
        <references count="1">
          <reference field="44" count="5">
            <x v="1"/>
            <x v="2"/>
            <x v="3"/>
            <x v="4"/>
            <x v="5"/>
          </reference>
        </references>
      </pivotArea>
    </format>
    <format dxfId="536">
      <pivotArea field="44" dataOnly="0" labelOnly="1" grandCol="1" outline="0" axis="axisCol" fieldPosition="0">
        <references count="1">
          <reference field="4294967294" count="1" selected="0">
            <x v="0"/>
          </reference>
        </references>
      </pivotArea>
    </format>
    <format dxfId="534">
      <pivotArea field="44" dataOnly="0" labelOnly="1" grandCol="1" outline="0" axis="axisCol" fieldPosition="0">
        <references count="1">
          <reference field="4294967294" count="1" selected="0">
            <x v="1"/>
          </reference>
        </references>
      </pivotArea>
    </format>
    <format dxfId="532">
      <pivotArea dataOnly="0" labelOnly="1" outline="0" fieldPosition="0">
        <references count="2">
          <reference field="4294967294" count="2">
            <x v="0"/>
            <x v="1"/>
          </reference>
          <reference field="44" count="1" selected="0">
            <x v="1"/>
          </reference>
        </references>
      </pivotArea>
    </format>
    <format dxfId="531">
      <pivotArea dataOnly="0" labelOnly="1" outline="0" fieldPosition="0">
        <references count="2">
          <reference field="4294967294" count="2">
            <x v="0"/>
            <x v="1"/>
          </reference>
          <reference field="44" count="1" selected="0">
            <x v="2"/>
          </reference>
        </references>
      </pivotArea>
    </format>
    <format dxfId="530">
      <pivotArea dataOnly="0" labelOnly="1" outline="0" fieldPosition="0">
        <references count="2">
          <reference field="4294967294" count="2">
            <x v="0"/>
            <x v="1"/>
          </reference>
          <reference field="44" count="1" selected="0">
            <x v="3"/>
          </reference>
        </references>
      </pivotArea>
    </format>
    <format dxfId="529">
      <pivotArea dataOnly="0" labelOnly="1" outline="0" fieldPosition="0">
        <references count="2">
          <reference field="4294967294" count="2">
            <x v="0"/>
            <x v="1"/>
          </reference>
          <reference field="44" count="1" selected="0">
            <x v="4"/>
          </reference>
        </references>
      </pivotArea>
    </format>
    <format dxfId="528">
      <pivotArea dataOnly="0" labelOnly="1" outline="0" fieldPosition="0">
        <references count="2">
          <reference field="4294967294" count="2">
            <x v="0"/>
            <x v="1"/>
          </reference>
          <reference field="4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F8CBDC3-AEBB-C24F-B069-22F366A1D53F}" name="PivotTable88"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8" firstHeaderRow="1" firstDataRow="3" firstDataCol="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items count="8">
        <item h="1" x="6"/>
        <item h="1"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axis="axisCol" compact="0" outline="0" multipleItemSelectionAllowed="1" showAll="0">
      <items count="6">
        <item h="1" x="2"/>
        <item x="1"/>
        <item h="1" x="4"/>
        <item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2"/>
        <item x="1"/>
        <item x="4"/>
        <item x="0"/>
        <item x="5"/>
        <item h="1" x="3"/>
        <item t="default"/>
      </items>
    </pivotField>
    <pivotField compact="0" outline="0" showAll="0"/>
    <pivotField compact="0" outline="0" showAll="0"/>
    <pivotField compact="0" outline="0" showAll="0"/>
  </pivotFields>
  <rowFields count="1">
    <field x="23"/>
  </rowFields>
  <rowItems count="3">
    <i>
      <x/>
    </i>
    <i>
      <x v="1"/>
    </i>
    <i t="grand">
      <x/>
    </i>
  </rowItems>
  <colFields count="2">
    <field x="31"/>
    <field x="-2"/>
  </colFields>
  <colItems count="6">
    <i>
      <x v="1"/>
      <x/>
    </i>
    <i r="1" i="1">
      <x v="1"/>
    </i>
    <i>
      <x v="3"/>
      <x/>
    </i>
    <i r="1" i="1">
      <x v="1"/>
    </i>
    <i t="grand">
      <x/>
    </i>
    <i t="grand" i="1">
      <x/>
    </i>
  </colItems>
  <dataFields count="2">
    <dataField name="Count of HeikeCh2" fld="0" subtotal="count" showDataAs="percentOfRow" baseField="0" baseItem="0" numFmtId="10"/>
    <dataField name="Count of HeikeCh2_2" fld="0" subtotal="count" baseField="0" baseItem="0"/>
  </dataFields>
  <formats count="28">
    <format dxfId="527">
      <pivotArea type="all" dataOnly="0" outline="0" fieldPosition="0"/>
    </format>
    <format dxfId="526">
      <pivotArea outline="0" collapsedLevelsAreSubtotals="1" fieldPosition="0"/>
    </format>
    <format dxfId="525">
      <pivotArea type="origin" dataOnly="0" labelOnly="1" outline="0" fieldPosition="0"/>
    </format>
    <format dxfId="524">
      <pivotArea field="31" type="button" dataOnly="0" labelOnly="1" outline="0" axis="axisCol" fieldPosition="0"/>
    </format>
    <format dxfId="523">
      <pivotArea field="-2" type="button" dataOnly="0" labelOnly="1" outline="0" axis="axisCol" fieldPosition="1"/>
    </format>
    <format dxfId="522">
      <pivotArea type="topRight" dataOnly="0" labelOnly="1" outline="0" fieldPosition="0"/>
    </format>
    <format dxfId="521">
      <pivotArea field="23" type="button" dataOnly="0" labelOnly="1" outline="0" axis="axisRow" fieldPosition="0"/>
    </format>
    <format dxfId="520">
      <pivotArea dataOnly="0" labelOnly="1" outline="0" fieldPosition="0">
        <references count="1">
          <reference field="23" count="0"/>
        </references>
      </pivotArea>
    </format>
    <format dxfId="519">
      <pivotArea dataOnly="0" labelOnly="1" grandRow="1" outline="0" fieldPosition="0"/>
    </format>
    <format dxfId="518">
      <pivotArea dataOnly="0" labelOnly="1" outline="0" fieldPosition="0">
        <references count="1">
          <reference field="31" count="0"/>
        </references>
      </pivotArea>
    </format>
    <format dxfId="517">
      <pivotArea field="31" dataOnly="0" labelOnly="1" grandCol="1" outline="0" axis="axisCol" fieldPosition="0">
        <references count="1">
          <reference field="4294967294" count="1" selected="0">
            <x v="0"/>
          </reference>
        </references>
      </pivotArea>
    </format>
    <format dxfId="515">
      <pivotArea field="31" dataOnly="0" labelOnly="1" grandCol="1" outline="0" axis="axisCol" fieldPosition="0">
        <references count="1">
          <reference field="4294967294" count="1" selected="0">
            <x v="1"/>
          </reference>
        </references>
      </pivotArea>
    </format>
    <format dxfId="513">
      <pivotArea dataOnly="0" labelOnly="1" outline="0" fieldPosition="0">
        <references count="2">
          <reference field="4294967294" count="2">
            <x v="0"/>
            <x v="1"/>
          </reference>
          <reference field="31" count="1" selected="0">
            <x v="1"/>
          </reference>
        </references>
      </pivotArea>
    </format>
    <format dxfId="512">
      <pivotArea dataOnly="0" labelOnly="1" outline="0" fieldPosition="0">
        <references count="2">
          <reference field="4294967294" count="2">
            <x v="0"/>
            <x v="1"/>
          </reference>
          <reference field="31" count="1" selected="0">
            <x v="3"/>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31"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3" type="button" dataOnly="0" labelOnly="1" outline="0" axis="axisRow" fieldPosition="0"/>
    </format>
    <format dxfId="374">
      <pivotArea dataOnly="0" labelOnly="1" outline="0" fieldPosition="0">
        <references count="1">
          <reference field="23" count="0"/>
        </references>
      </pivotArea>
    </format>
    <format dxfId="373">
      <pivotArea dataOnly="0" labelOnly="1" grandRow="1" outline="0" fieldPosition="0"/>
    </format>
    <format dxfId="372">
      <pivotArea dataOnly="0" labelOnly="1" outline="0" fieldPosition="0">
        <references count="1">
          <reference field="31" count="0"/>
        </references>
      </pivotArea>
    </format>
    <format dxfId="371">
      <pivotArea field="31" dataOnly="0" labelOnly="1" grandCol="1" outline="0" axis="axisCol" fieldPosition="0">
        <references count="1">
          <reference field="4294967294" count="1" selected="0">
            <x v="0"/>
          </reference>
        </references>
      </pivotArea>
    </format>
    <format dxfId="369">
      <pivotArea field="31" dataOnly="0" labelOnly="1" grandCol="1" outline="0" axis="axisCol" fieldPosition="0">
        <references count="1">
          <reference field="4294967294" count="1" selected="0">
            <x v="1"/>
          </reference>
        </references>
      </pivotArea>
    </format>
    <format dxfId="367">
      <pivotArea dataOnly="0" labelOnly="1" outline="0" fieldPosition="0">
        <references count="2">
          <reference field="4294967294" count="2">
            <x v="0"/>
            <x v="1"/>
          </reference>
          <reference field="31" count="1" selected="0">
            <x v="1"/>
          </reference>
        </references>
      </pivotArea>
    </format>
    <format dxfId="366">
      <pivotArea dataOnly="0" labelOnly="1" outline="0" fieldPosition="0">
        <references count="2">
          <reference field="4294967294" count="2">
            <x v="0"/>
            <x v="1"/>
          </reference>
          <reference field="31"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5ECC1E4-191F-2D4C-8C42-71F9D35BCD01}" name="PivotTable96"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2:G62" firstHeaderRow="1" firstDataRow="3" firstDataCol="1" rowPageCount="1" colPageCount="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0">
        <item x="6"/>
        <item x="5"/>
        <item x="2"/>
        <item x="4"/>
        <item h="1" x="8"/>
        <item x="0"/>
        <item x="3"/>
        <item x="1"/>
        <item x="7"/>
        <item t="default"/>
      </items>
      <autoSortScope>
        <pivotArea dataOnly="0" outline="0" fieldPosition="0">
          <references count="2">
            <reference field="4294967294" count="1" selected="0">
              <x v="0"/>
            </reference>
            <reference field="23" count="1" selected="0">
              <x v="1"/>
            </reference>
          </references>
        </pivotArea>
      </autoSortScope>
    </pivotField>
    <pivotField compact="0" outline="0" showAll="0"/>
    <pivotField axis="axisCol"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compact="0" outline="0" showAll="0"/>
    <pivotField axis="axisPage" compact="0" outline="0" showAll="0">
      <items count="6">
        <item x="3"/>
        <item x="1"/>
        <item x="0"/>
        <item x="2"/>
        <item x="4"/>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8">
    <i>
      <x v="2"/>
    </i>
    <i>
      <x v="6"/>
    </i>
    <i>
      <x v="7"/>
    </i>
    <i>
      <x v="5"/>
    </i>
    <i>
      <x/>
    </i>
    <i>
      <x v="1"/>
    </i>
    <i>
      <x v="3"/>
    </i>
    <i t="grand">
      <x/>
    </i>
  </rowItems>
  <colFields count="2">
    <field x="23"/>
    <field x="-2"/>
  </colFields>
  <colItems count="6">
    <i>
      <x/>
      <x/>
    </i>
    <i r="1" i="1">
      <x v="1"/>
    </i>
    <i>
      <x v="1"/>
      <x/>
    </i>
    <i r="1" i="1">
      <x v="1"/>
    </i>
    <i t="grand">
      <x/>
    </i>
    <i t="grand" i="1">
      <x/>
    </i>
  </colItems>
  <pageFields count="1">
    <pageField fld="32" hier="-1"/>
  </pageFields>
  <dataFields count="2">
    <dataField name="Count of HeikeCh2" fld="0" subtotal="count" showDataAs="percentOfRow" baseField="0" baseItem="0" numFmtId="9"/>
    <dataField name="Count of HeikeCh2_2" fld="0" subtotal="count" baseField="0" baseItem="0"/>
  </dataFields>
  <formats count="31">
    <format dxfId="1110">
      <pivotArea outline="0" fieldPosition="0">
        <references count="1">
          <reference field="4294967294" count="1">
            <x v="0"/>
          </reference>
        </references>
      </pivotArea>
    </format>
    <format dxfId="1109">
      <pivotArea outline="0" collapsedLevelsAreSubtotals="1" fieldPosition="0"/>
    </format>
    <format dxfId="1108">
      <pivotArea dataOnly="0" outline="0" fieldPosition="0">
        <references count="1">
          <reference field="4294967294" count="1">
            <x v="1"/>
          </reference>
        </references>
      </pivotArea>
    </format>
    <format dxfId="511">
      <pivotArea type="all" dataOnly="0" outline="0" fieldPosition="0"/>
    </format>
    <format dxfId="510">
      <pivotArea outline="0" collapsedLevelsAreSubtotals="1" fieldPosition="0"/>
    </format>
    <format dxfId="509">
      <pivotArea type="origin" dataOnly="0" labelOnly="1" outline="0" fieldPosition="0"/>
    </format>
    <format dxfId="508">
      <pivotArea field="23" type="button" dataOnly="0" labelOnly="1" outline="0" axis="axisCol" fieldPosition="0"/>
    </format>
    <format dxfId="507">
      <pivotArea field="-2" type="button" dataOnly="0" labelOnly="1" outline="0" axis="axisCol" fieldPosition="1"/>
    </format>
    <format dxfId="506">
      <pivotArea type="topRight" dataOnly="0" labelOnly="1" outline="0" fieldPosition="0"/>
    </format>
    <format dxfId="505">
      <pivotArea field="21" type="button" dataOnly="0" labelOnly="1" outline="0" axis="axisRow" fieldPosition="0"/>
    </format>
    <format dxfId="504">
      <pivotArea dataOnly="0" labelOnly="1" outline="0" fieldPosition="0">
        <references count="1">
          <reference field="21" count="7">
            <x v="0"/>
            <x v="1"/>
            <x v="2"/>
            <x v="3"/>
            <x v="5"/>
            <x v="6"/>
            <x v="7"/>
          </reference>
        </references>
      </pivotArea>
    </format>
    <format dxfId="503">
      <pivotArea dataOnly="0" labelOnly="1" grandRow="1" outline="0" fieldPosition="0"/>
    </format>
    <format dxfId="502">
      <pivotArea dataOnly="0" labelOnly="1" outline="0" fieldPosition="0">
        <references count="1">
          <reference field="23" count="0"/>
        </references>
      </pivotArea>
    </format>
    <format dxfId="501">
      <pivotArea field="23" dataOnly="0" labelOnly="1" grandCol="1" outline="0" axis="axisCol" fieldPosition="0">
        <references count="1">
          <reference field="4294967294" count="1" selected="0">
            <x v="0"/>
          </reference>
        </references>
      </pivotArea>
    </format>
    <format dxfId="499">
      <pivotArea field="23" dataOnly="0" labelOnly="1" grandCol="1" outline="0" axis="axisCol" fieldPosition="0">
        <references count="1">
          <reference field="4294967294" count="1" selected="0">
            <x v="1"/>
          </reference>
        </references>
      </pivotArea>
    </format>
    <format dxfId="497">
      <pivotArea dataOnly="0" labelOnly="1" outline="0" fieldPosition="0">
        <references count="2">
          <reference field="4294967294" count="2">
            <x v="0"/>
            <x v="1"/>
          </reference>
          <reference field="23" count="1" selected="0">
            <x v="0"/>
          </reference>
        </references>
      </pivotArea>
    </format>
    <format dxfId="496">
      <pivotArea dataOnly="0" labelOnly="1" outline="0" fieldPosition="0">
        <references count="2">
          <reference field="4294967294" count="2">
            <x v="0"/>
            <x v="1"/>
          </reference>
          <reference field="23" count="1" selected="0">
            <x v="1"/>
          </reference>
        </references>
      </pivotArea>
    </format>
    <format dxfId="365">
      <pivotArea type="all" dataOnly="0" outline="0" fieldPosition="0"/>
    </format>
    <format dxfId="364">
      <pivotArea outline="0" collapsedLevelsAreSubtotals="1" fieldPosition="0"/>
    </format>
    <format dxfId="363">
      <pivotArea type="origin" dataOnly="0" labelOnly="1" outline="0" fieldPosition="0"/>
    </format>
    <format dxfId="362">
      <pivotArea field="23" type="button" dataOnly="0" labelOnly="1" outline="0" axis="axisCol" fieldPosition="0"/>
    </format>
    <format dxfId="361">
      <pivotArea field="-2" type="button" dataOnly="0" labelOnly="1" outline="0" axis="axisCol" fieldPosition="1"/>
    </format>
    <format dxfId="360">
      <pivotArea type="topRight" dataOnly="0" labelOnly="1" outline="0" fieldPosition="0"/>
    </format>
    <format dxfId="359">
      <pivotArea field="21" type="button" dataOnly="0" labelOnly="1" outline="0" axis="axisRow" fieldPosition="0"/>
    </format>
    <format dxfId="358">
      <pivotArea dataOnly="0" labelOnly="1" outline="0" fieldPosition="0">
        <references count="1">
          <reference field="21" count="7">
            <x v="0"/>
            <x v="1"/>
            <x v="2"/>
            <x v="3"/>
            <x v="5"/>
            <x v="6"/>
            <x v="7"/>
          </reference>
        </references>
      </pivotArea>
    </format>
    <format dxfId="357">
      <pivotArea dataOnly="0" labelOnly="1" grandRow="1" outline="0" fieldPosition="0"/>
    </format>
    <format dxfId="356">
      <pivotArea dataOnly="0" labelOnly="1" outline="0" fieldPosition="0">
        <references count="1">
          <reference field="23" count="0"/>
        </references>
      </pivotArea>
    </format>
    <format dxfId="355">
      <pivotArea field="23" dataOnly="0" labelOnly="1" grandCol="1" outline="0" axis="axisCol" fieldPosition="0">
        <references count="1">
          <reference field="4294967294" count="1" selected="0">
            <x v="0"/>
          </reference>
        </references>
      </pivotArea>
    </format>
    <format dxfId="353">
      <pivotArea field="23" dataOnly="0" labelOnly="1" grandCol="1" outline="0" axis="axisCol" fieldPosition="0">
        <references count="1">
          <reference field="4294967294" count="1" selected="0">
            <x v="1"/>
          </reference>
        </references>
      </pivotArea>
    </format>
    <format dxfId="351">
      <pivotArea dataOnly="0" labelOnly="1" outline="0" fieldPosition="0">
        <references count="2">
          <reference field="4294967294" count="2">
            <x v="0"/>
            <x v="1"/>
          </reference>
          <reference field="23" count="1" selected="0">
            <x v="0"/>
          </reference>
        </references>
      </pivotArea>
    </format>
    <format dxfId="350">
      <pivotArea dataOnly="0" labelOnly="1" outline="0" fieldPosition="0">
        <references count="2">
          <reference field="4294967294" count="2">
            <x v="0"/>
            <x v="1"/>
          </reference>
          <reference field="2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1260655-A7BD-3047-A80A-7AE797BFA64A}" name="PivotTable94"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0:I47" firstHeaderRow="1" firstDataRow="3" firstDataCol="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compact="0" outline="0" showAll="0"/>
    <pivotField axis="axisRow" compact="0" outline="0" showAll="0">
      <items count="6">
        <item x="3"/>
        <item x="1"/>
        <item x="0"/>
        <item x="2"/>
        <item h="1" x="4"/>
        <item t="default"/>
      </items>
    </pivotField>
    <pivotField axis="axisCol" compact="0" outline="0" showAll="0">
      <items count="5">
        <item x="2"/>
        <item x="0"/>
        <item x="1"/>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2"/>
  </rowFields>
  <rowItems count="5">
    <i>
      <x/>
    </i>
    <i>
      <x v="1"/>
    </i>
    <i>
      <x v="2"/>
    </i>
    <i>
      <x v="3"/>
    </i>
    <i t="grand">
      <x/>
    </i>
  </rowItems>
  <colFields count="2">
    <field x="33"/>
    <field x="-2"/>
  </colFields>
  <colItems count="8">
    <i>
      <x/>
      <x/>
    </i>
    <i r="1" i="1">
      <x v="1"/>
    </i>
    <i>
      <x v="1"/>
      <x/>
    </i>
    <i r="1" i="1">
      <x v="1"/>
    </i>
    <i>
      <x v="2"/>
      <x/>
    </i>
    <i r="1" i="1">
      <x v="1"/>
    </i>
    <i t="grand">
      <x/>
    </i>
    <i t="grand" i="1">
      <x/>
    </i>
  </colItems>
  <dataFields count="2">
    <dataField name="Count of HeikeCh2" fld="0" subtotal="count" baseField="0" baseItem="0"/>
    <dataField name="Sum of V-ARG-Ø-ARG" fld="23" baseField="0" baseItem="0"/>
  </dataFields>
  <formats count="33">
    <format dxfId="1113">
      <pivotArea outline="0" collapsedLevelsAreSubtotals="1" fieldPosition="0"/>
    </format>
    <format dxfId="1112">
      <pivotArea dataOnly="0" outline="0" fieldPosition="0">
        <references count="1">
          <reference field="4294967294" count="1">
            <x v="0"/>
          </reference>
        </references>
      </pivotArea>
    </format>
    <format dxfId="1111">
      <pivotArea dataOnly="0" outline="0" fieldPosition="0">
        <references count="1">
          <reference field="4294967294" count="1">
            <x v="1"/>
          </reference>
        </references>
      </pivotArea>
    </format>
    <format dxfId="495">
      <pivotArea type="all" dataOnly="0" outline="0" fieldPosition="0"/>
    </format>
    <format dxfId="494">
      <pivotArea outline="0" collapsedLevelsAreSubtotals="1" fieldPosition="0"/>
    </format>
    <format dxfId="493">
      <pivotArea type="origin" dataOnly="0" labelOnly="1" outline="0" fieldPosition="0"/>
    </format>
    <format dxfId="492">
      <pivotArea field="33" type="button" dataOnly="0" labelOnly="1" outline="0" axis="axisCol" fieldPosition="0"/>
    </format>
    <format dxfId="491">
      <pivotArea field="-2" type="button" dataOnly="0" labelOnly="1" outline="0" axis="axisCol" fieldPosition="1"/>
    </format>
    <format dxfId="490">
      <pivotArea type="topRight" dataOnly="0" labelOnly="1" outline="0" fieldPosition="0"/>
    </format>
    <format dxfId="489">
      <pivotArea field="32" type="button" dataOnly="0" labelOnly="1" outline="0" axis="axisRow" fieldPosition="0"/>
    </format>
    <format dxfId="488">
      <pivotArea dataOnly="0" labelOnly="1" outline="0" fieldPosition="0">
        <references count="1">
          <reference field="32" count="0"/>
        </references>
      </pivotArea>
    </format>
    <format dxfId="487">
      <pivotArea dataOnly="0" labelOnly="1" grandRow="1" outline="0" fieldPosition="0"/>
    </format>
    <format dxfId="486">
      <pivotArea dataOnly="0" labelOnly="1" outline="0" fieldPosition="0">
        <references count="1">
          <reference field="33" count="0"/>
        </references>
      </pivotArea>
    </format>
    <format dxfId="485">
      <pivotArea field="33" dataOnly="0" labelOnly="1" grandCol="1" outline="0" axis="axisCol" fieldPosition="0">
        <references count="1">
          <reference field="4294967294" count="1" selected="0">
            <x v="0"/>
          </reference>
        </references>
      </pivotArea>
    </format>
    <format dxfId="483">
      <pivotArea field="33" dataOnly="0" labelOnly="1" grandCol="1" outline="0" axis="axisCol" fieldPosition="0">
        <references count="1">
          <reference field="4294967294" count="1" selected="0">
            <x v="1"/>
          </reference>
        </references>
      </pivotArea>
    </format>
    <format dxfId="481">
      <pivotArea dataOnly="0" labelOnly="1" outline="0" fieldPosition="0">
        <references count="2">
          <reference field="4294967294" count="2">
            <x v="0"/>
            <x v="1"/>
          </reference>
          <reference field="33" count="1" selected="0">
            <x v="0"/>
          </reference>
        </references>
      </pivotArea>
    </format>
    <format dxfId="480">
      <pivotArea dataOnly="0" labelOnly="1" outline="0" fieldPosition="0">
        <references count="2">
          <reference field="4294967294" count="2">
            <x v="0"/>
            <x v="1"/>
          </reference>
          <reference field="33" count="1" selected="0">
            <x v="1"/>
          </reference>
        </references>
      </pivotArea>
    </format>
    <format dxfId="479">
      <pivotArea dataOnly="0" labelOnly="1" outline="0" fieldPosition="0">
        <references count="2">
          <reference field="4294967294" count="2">
            <x v="0"/>
            <x v="1"/>
          </reference>
          <reference field="33" count="1" selected="0">
            <x v="2"/>
          </reference>
        </references>
      </pivotArea>
    </format>
    <format dxfId="349">
      <pivotArea type="all" dataOnly="0" outline="0" fieldPosition="0"/>
    </format>
    <format dxfId="348">
      <pivotArea outline="0" collapsedLevelsAreSubtotals="1" fieldPosition="0"/>
    </format>
    <format dxfId="347">
      <pivotArea type="origin" dataOnly="0" labelOnly="1" outline="0" fieldPosition="0"/>
    </format>
    <format dxfId="346">
      <pivotArea field="33" type="button" dataOnly="0" labelOnly="1" outline="0" axis="axisCol" fieldPosition="0"/>
    </format>
    <format dxfId="345">
      <pivotArea field="-2" type="button" dataOnly="0" labelOnly="1" outline="0" axis="axisCol" fieldPosition="1"/>
    </format>
    <format dxfId="344">
      <pivotArea type="topRight" dataOnly="0" labelOnly="1" outline="0" fieldPosition="0"/>
    </format>
    <format dxfId="343">
      <pivotArea field="32" type="button" dataOnly="0" labelOnly="1" outline="0" axis="axisRow" fieldPosition="0"/>
    </format>
    <format dxfId="342">
      <pivotArea dataOnly="0" labelOnly="1" outline="0" fieldPosition="0">
        <references count="1">
          <reference field="32" count="0"/>
        </references>
      </pivotArea>
    </format>
    <format dxfId="341">
      <pivotArea dataOnly="0" labelOnly="1" grandRow="1" outline="0" fieldPosition="0"/>
    </format>
    <format dxfId="340">
      <pivotArea dataOnly="0" labelOnly="1" outline="0" fieldPosition="0">
        <references count="1">
          <reference field="33" count="0"/>
        </references>
      </pivotArea>
    </format>
    <format dxfId="339">
      <pivotArea field="33" dataOnly="0" labelOnly="1" grandCol="1" outline="0" axis="axisCol" fieldPosition="0">
        <references count="1">
          <reference field="4294967294" count="1" selected="0">
            <x v="0"/>
          </reference>
        </references>
      </pivotArea>
    </format>
    <format dxfId="337">
      <pivotArea field="33" dataOnly="0" labelOnly="1" grandCol="1" outline="0" axis="axisCol" fieldPosition="0">
        <references count="1">
          <reference field="4294967294" count="1" selected="0">
            <x v="1"/>
          </reference>
        </references>
      </pivotArea>
    </format>
    <format dxfId="335">
      <pivotArea dataOnly="0" labelOnly="1" outline="0" fieldPosition="0">
        <references count="2">
          <reference field="4294967294" count="2">
            <x v="0"/>
            <x v="1"/>
          </reference>
          <reference field="33" count="1" selected="0">
            <x v="0"/>
          </reference>
        </references>
      </pivotArea>
    </format>
    <format dxfId="334">
      <pivotArea dataOnly="0" labelOnly="1" outline="0" fieldPosition="0">
        <references count="2">
          <reference field="4294967294" count="2">
            <x v="0"/>
            <x v="1"/>
          </reference>
          <reference field="33" count="1" selected="0">
            <x v="1"/>
          </reference>
        </references>
      </pivotArea>
    </format>
    <format dxfId="333">
      <pivotArea dataOnly="0" labelOnly="1" outline="0" fieldPosition="0">
        <references count="2">
          <reference field="4294967294" count="2">
            <x v="0"/>
            <x v="1"/>
          </reference>
          <reference field="3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72E5E05-71F1-8744-9778-BD4F414C4D35}" name="PivotTable9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2:I37" firstHeaderRow="1" firstDataRow="3" firstDataCol="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compact="0" outline="0" showAll="0"/>
    <pivotField compact="0" outline="0" showAll="0"/>
    <pivotField axis="axisCol" compact="0" outline="0" showAll="0">
      <items count="5">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3"/>
  </rowFields>
  <rowItems count="3">
    <i>
      <x/>
    </i>
    <i>
      <x v="1"/>
    </i>
    <i t="grand">
      <x/>
    </i>
  </rowItems>
  <colFields count="2">
    <field x="33"/>
    <field x="-2"/>
  </colFields>
  <colItems count="8">
    <i>
      <x/>
      <x/>
    </i>
    <i r="1" i="1">
      <x v="1"/>
    </i>
    <i>
      <x v="1"/>
      <x/>
    </i>
    <i r="1" i="1">
      <x v="1"/>
    </i>
    <i>
      <x v="2"/>
      <x/>
    </i>
    <i r="1" i="1">
      <x v="1"/>
    </i>
    <i t="grand">
      <x/>
    </i>
    <i t="grand" i="1">
      <x/>
    </i>
  </colItems>
  <dataFields count="2">
    <dataField name="Count of HeikeCh2" fld="0" subtotal="count" showDataAs="percentOfRow" baseField="0" baseItem="0" numFmtId="10"/>
    <dataField name="Count of HeikeCh2_2" fld="0" subtotal="count" baseField="0" baseItem="0"/>
  </dataFields>
  <formats count="34">
    <format dxfId="1117">
      <pivotArea outline="0" fieldPosition="0">
        <references count="2">
          <reference field="4294967294" count="1" selected="0">
            <x v="0"/>
          </reference>
          <reference field="33" count="1" selected="0">
            <x v="0"/>
          </reference>
        </references>
      </pivotArea>
    </format>
    <format dxfId="1116">
      <pivotArea outline="0" fieldPosition="0">
        <references count="2">
          <reference field="4294967294" count="1" selected="0">
            <x v="0"/>
          </reference>
          <reference field="33" count="1" selected="0">
            <x v="1"/>
          </reference>
        </references>
      </pivotArea>
    </format>
    <format dxfId="1115">
      <pivotArea outline="0" fieldPosition="0">
        <references count="2">
          <reference field="4294967294" count="1" selected="0">
            <x v="0"/>
          </reference>
          <reference field="33" count="1" selected="0">
            <x v="2"/>
          </reference>
        </references>
      </pivotArea>
    </format>
    <format dxfId="1114">
      <pivotArea field="33" grandCol="1" outline="0" axis="axisCol" fieldPosition="0">
        <references count="1">
          <reference field="4294967294" count="1" selected="0">
            <x v="0"/>
          </reference>
        </references>
      </pivotArea>
    </format>
    <format dxfId="478">
      <pivotArea type="all" dataOnly="0" outline="0" fieldPosition="0"/>
    </format>
    <format dxfId="477">
      <pivotArea outline="0" collapsedLevelsAreSubtotals="1" fieldPosition="0"/>
    </format>
    <format dxfId="476">
      <pivotArea type="origin" dataOnly="0" labelOnly="1" outline="0" fieldPosition="0"/>
    </format>
    <format dxfId="475">
      <pivotArea field="33" type="button" dataOnly="0" labelOnly="1" outline="0" axis="axisCol" fieldPosition="0"/>
    </format>
    <format dxfId="474">
      <pivotArea field="-2" type="button" dataOnly="0" labelOnly="1" outline="0" axis="axisCol" fieldPosition="1"/>
    </format>
    <format dxfId="473">
      <pivotArea type="topRight" dataOnly="0" labelOnly="1" outline="0" fieldPosition="0"/>
    </format>
    <format dxfId="472">
      <pivotArea field="23" type="button" dataOnly="0" labelOnly="1" outline="0" axis="axisRow" fieldPosition="0"/>
    </format>
    <format dxfId="471">
      <pivotArea dataOnly="0" labelOnly="1" outline="0" fieldPosition="0">
        <references count="1">
          <reference field="23" count="0"/>
        </references>
      </pivotArea>
    </format>
    <format dxfId="470">
      <pivotArea dataOnly="0" labelOnly="1" grandRow="1" outline="0" fieldPosition="0"/>
    </format>
    <format dxfId="469">
      <pivotArea dataOnly="0" labelOnly="1" outline="0" fieldPosition="0">
        <references count="1">
          <reference field="33" count="3">
            <x v="0"/>
            <x v="1"/>
            <x v="2"/>
          </reference>
        </references>
      </pivotArea>
    </format>
    <format dxfId="468">
      <pivotArea field="33" dataOnly="0" labelOnly="1" grandCol="1" outline="0" axis="axisCol" fieldPosition="0">
        <references count="1">
          <reference field="4294967294" count="1" selected="0">
            <x v="0"/>
          </reference>
        </references>
      </pivotArea>
    </format>
    <format dxfId="466">
      <pivotArea field="33" dataOnly="0" labelOnly="1" grandCol="1" outline="0" axis="axisCol" fieldPosition="0">
        <references count="1">
          <reference field="4294967294" count="1" selected="0">
            <x v="1"/>
          </reference>
        </references>
      </pivotArea>
    </format>
    <format dxfId="464">
      <pivotArea dataOnly="0" labelOnly="1" outline="0" fieldPosition="0">
        <references count="2">
          <reference field="4294967294" count="2">
            <x v="0"/>
            <x v="1"/>
          </reference>
          <reference field="33" count="1" selected="0">
            <x v="0"/>
          </reference>
        </references>
      </pivotArea>
    </format>
    <format dxfId="463">
      <pivotArea dataOnly="0" labelOnly="1" outline="0" fieldPosition="0">
        <references count="2">
          <reference field="4294967294" count="2">
            <x v="0"/>
            <x v="1"/>
          </reference>
          <reference field="33" count="1" selected="0">
            <x v="1"/>
          </reference>
        </references>
      </pivotArea>
    </format>
    <format dxfId="462">
      <pivotArea dataOnly="0" labelOnly="1" outline="0" fieldPosition="0">
        <references count="2">
          <reference field="4294967294" count="2">
            <x v="0"/>
            <x v="1"/>
          </reference>
          <reference field="33" count="1" selected="0">
            <x v="2"/>
          </reference>
        </references>
      </pivotArea>
    </format>
    <format dxfId="332">
      <pivotArea type="all" dataOnly="0" outline="0" fieldPosition="0"/>
    </format>
    <format dxfId="331">
      <pivotArea outline="0" collapsedLevelsAreSubtotals="1" fieldPosition="0"/>
    </format>
    <format dxfId="330">
      <pivotArea type="origin" dataOnly="0" labelOnly="1" outline="0" fieldPosition="0"/>
    </format>
    <format dxfId="329">
      <pivotArea field="33" type="button" dataOnly="0" labelOnly="1" outline="0" axis="axisCol" fieldPosition="0"/>
    </format>
    <format dxfId="328">
      <pivotArea field="-2" type="button" dataOnly="0" labelOnly="1" outline="0" axis="axisCol" fieldPosition="1"/>
    </format>
    <format dxfId="327">
      <pivotArea type="topRight" dataOnly="0" labelOnly="1" outline="0" fieldPosition="0"/>
    </format>
    <format dxfId="326">
      <pivotArea field="23" type="button" dataOnly="0" labelOnly="1" outline="0" axis="axisRow" fieldPosition="0"/>
    </format>
    <format dxfId="325">
      <pivotArea dataOnly="0" labelOnly="1" outline="0" fieldPosition="0">
        <references count="1">
          <reference field="23" count="0"/>
        </references>
      </pivotArea>
    </format>
    <format dxfId="324">
      <pivotArea dataOnly="0" labelOnly="1" grandRow="1" outline="0" fieldPosition="0"/>
    </format>
    <format dxfId="323">
      <pivotArea dataOnly="0" labelOnly="1" outline="0" fieldPosition="0">
        <references count="1">
          <reference field="33" count="3">
            <x v="0"/>
            <x v="1"/>
            <x v="2"/>
          </reference>
        </references>
      </pivotArea>
    </format>
    <format dxfId="322">
      <pivotArea field="33" dataOnly="0" labelOnly="1" grandCol="1" outline="0" axis="axisCol" fieldPosition="0">
        <references count="1">
          <reference field="4294967294" count="1" selected="0">
            <x v="0"/>
          </reference>
        </references>
      </pivotArea>
    </format>
    <format dxfId="320">
      <pivotArea field="33" dataOnly="0" labelOnly="1" grandCol="1" outline="0" axis="axisCol" fieldPosition="0">
        <references count="1">
          <reference field="4294967294" count="1" selected="0">
            <x v="1"/>
          </reference>
        </references>
      </pivotArea>
    </format>
    <format dxfId="318">
      <pivotArea dataOnly="0" labelOnly="1" outline="0" fieldPosition="0">
        <references count="2">
          <reference field="4294967294" count="2">
            <x v="0"/>
            <x v="1"/>
          </reference>
          <reference field="33" count="1" selected="0">
            <x v="0"/>
          </reference>
        </references>
      </pivotArea>
    </format>
    <format dxfId="317">
      <pivotArea dataOnly="0" labelOnly="1" outline="0" fieldPosition="0">
        <references count="2">
          <reference field="4294967294" count="2">
            <x v="0"/>
            <x v="1"/>
          </reference>
          <reference field="33" count="1" selected="0">
            <x v="1"/>
          </reference>
        </references>
      </pivotArea>
    </format>
    <format dxfId="316">
      <pivotArea dataOnly="0" labelOnly="1" outline="0" fieldPosition="0">
        <references count="2">
          <reference field="4294967294" count="2">
            <x v="0"/>
            <x v="1"/>
          </reference>
          <reference field="3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A892EAE-CEC7-9248-B529-17B07100A588}" name="PivotTable99"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0:G92" firstHeaderRow="1" firstDataRow="3" firstDataCol="1"/>
  <pivotFields count="48">
    <pivotField dataField="1" compact="0" outline="0" showAll="0">
      <items count="159">
        <item x="0"/>
        <item x="9"/>
        <item x="100"/>
        <item x="101"/>
        <item x="102"/>
        <item x="103"/>
        <item x="104"/>
        <item x="105"/>
        <item x="106"/>
        <item x="107"/>
        <item x="108"/>
        <item x="109"/>
        <item x="10"/>
        <item x="110"/>
        <item x="111"/>
        <item x="112"/>
        <item x="113"/>
        <item x="114"/>
        <item x="115"/>
        <item x="116"/>
        <item x="117"/>
        <item x="118"/>
        <item x="119"/>
        <item x="11"/>
        <item x="120"/>
        <item x="121"/>
        <item x="122"/>
        <item x="123"/>
        <item x="124"/>
        <item x="125"/>
        <item x="126"/>
        <item x="127"/>
        <item x="128"/>
        <item x="129"/>
        <item x="12"/>
        <item x="130"/>
        <item x="131"/>
        <item x="132"/>
        <item x="133"/>
        <item x="134"/>
        <item x="135"/>
        <item x="136"/>
        <item x="137"/>
        <item x="138"/>
        <item x="139"/>
        <item x="13"/>
        <item x="140"/>
        <item x="141"/>
        <item x="142"/>
        <item x="143"/>
        <item x="144"/>
        <item x="145"/>
        <item x="146"/>
        <item x="147"/>
        <item x="148"/>
        <item x="149"/>
        <item x="14"/>
        <item x="150"/>
        <item x="151"/>
        <item x="152"/>
        <item x="153"/>
        <item x="154"/>
        <item x="155"/>
        <item x="156"/>
        <item x="157"/>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1"/>
        <item x="52"/>
        <item x="53"/>
        <item x="54"/>
        <item x="55"/>
        <item x="56"/>
        <item x="57"/>
        <item x="58"/>
        <item x="59"/>
        <item x="5"/>
        <item x="60"/>
        <item x="61"/>
        <item x="62"/>
        <item x="63"/>
        <item x="64"/>
        <item x="65"/>
        <item x="66"/>
        <item x="67"/>
        <item x="68"/>
        <item x="69"/>
        <item x="6"/>
        <item x="70"/>
        <item x="71"/>
        <item x="72"/>
        <item x="73"/>
        <item x="74"/>
        <item x="75"/>
        <item x="76"/>
        <item x="77"/>
        <item x="78"/>
        <item x="79"/>
        <item x="7"/>
        <item x="80"/>
        <item x="81"/>
        <item x="82"/>
        <item x="83"/>
        <item x="84"/>
        <item x="85"/>
        <item x="86"/>
        <item x="87"/>
        <item x="88"/>
        <item x="89"/>
        <item x="8"/>
        <item x="90"/>
        <item x="91"/>
        <item x="92"/>
        <item x="93"/>
        <item x="94"/>
        <item x="95"/>
        <item x="96"/>
        <item x="97"/>
        <item x="98"/>
        <item x="99"/>
        <item x="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h="1" x="2"/>
        <item t="default"/>
      </items>
    </pivotField>
    <pivotField compact="0" outline="0" showAll="0">
      <items count="6">
        <item x="3"/>
        <item h="1" x="0"/>
        <item x="1"/>
        <item x="2"/>
        <item h="1" x="4"/>
        <item t="default"/>
      </items>
    </pivotField>
    <pivotField axis="axisRow" compact="0" outline="0" showAll="0">
      <items count="12">
        <item x="10"/>
        <item x="2"/>
        <item x="8"/>
        <item x="9"/>
        <item x="4"/>
        <item x="3"/>
        <item x="5"/>
        <item h="1" x="0"/>
        <item x="1"/>
        <item x="7"/>
        <item h="1" x="6"/>
        <item t="default"/>
      </items>
    </pivotField>
    <pivotField compact="0" outline="0" showAll="0"/>
    <pivotField compact="0" outline="0" showAll="0" sortType="ascending">
      <items count="12">
        <item x="3"/>
        <item x="9"/>
        <item x="10"/>
        <item x="6"/>
        <item x="8"/>
        <item x="2"/>
        <item x="7"/>
        <item x="4"/>
        <item x="1"/>
        <item x="0"/>
        <item x="5"/>
        <item t="default"/>
      </items>
      <autoSortScope>
        <pivotArea dataOnly="0" outline="0" fieldPosition="0">
          <references count="2">
            <reference field="4294967294" count="1" selected="0">
              <x v="0"/>
            </reference>
            <reference field="23" count="1" selected="0">
              <x v="1"/>
            </reference>
          </references>
        </pivotArea>
      </autoSortScope>
    </pivotField>
    <pivotField compact="0" outline="0" showAll="0">
      <items count="11">
        <item x="8"/>
        <item x="7"/>
        <item x="6"/>
        <item x="3"/>
        <item x="5"/>
        <item x="9"/>
        <item x="1"/>
        <item x="4"/>
        <item x="2"/>
        <item x="0"/>
        <item t="default"/>
      </items>
    </pivotField>
    <pivotField compact="0" outline="0" showAll="0"/>
    <pivotField compact="0" outline="0" showAll="0"/>
    <pivotField compact="0" outline="0" showAll="0"/>
    <pivotField compact="0" outline="0" showAll="0">
      <items count="6">
        <item x="3"/>
        <item x="1"/>
        <item x="0"/>
        <item x="2"/>
        <item h="1" x="4"/>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10">
    <i>
      <x/>
    </i>
    <i>
      <x v="1"/>
    </i>
    <i>
      <x v="2"/>
    </i>
    <i>
      <x v="3"/>
    </i>
    <i>
      <x v="4"/>
    </i>
    <i>
      <x v="5"/>
    </i>
    <i>
      <x v="6"/>
    </i>
    <i>
      <x v="8"/>
    </i>
    <i>
      <x v="9"/>
    </i>
    <i t="grand">
      <x/>
    </i>
  </rowItems>
  <colFields count="2">
    <field x="23"/>
    <field x="-2"/>
  </colFields>
  <colItems count="6">
    <i>
      <x/>
      <x/>
    </i>
    <i r="1" i="1">
      <x v="1"/>
    </i>
    <i>
      <x v="1"/>
      <x/>
    </i>
    <i r="1" i="1">
      <x v="1"/>
    </i>
    <i t="grand">
      <x/>
    </i>
    <i t="grand" i="1">
      <x/>
    </i>
  </colItems>
  <dataFields count="2">
    <dataField name="Count of HeikeCh2" fld="0" subtotal="count" showDataAs="percentOfRow" baseField="0" baseItem="0" numFmtId="9"/>
    <dataField name="Count of HeikeCh2_2" fld="0" subtotal="count" baseField="0" baseItem="0"/>
  </dataFields>
  <formats count="31">
    <format dxfId="1120">
      <pivotArea outline="0" fieldPosition="0">
        <references count="1">
          <reference field="4294967294" count="1">
            <x v="0"/>
          </reference>
        </references>
      </pivotArea>
    </format>
    <format dxfId="1119">
      <pivotArea outline="0" collapsedLevelsAreSubtotals="1" fieldPosition="0"/>
    </format>
    <format dxfId="1118">
      <pivotArea dataOnly="0" outline="0" fieldPosition="0">
        <references count="1">
          <reference field="4294967294" count="1">
            <x v="1"/>
          </reference>
        </references>
      </pivotArea>
    </format>
    <format dxfId="461">
      <pivotArea type="all" dataOnly="0" outline="0" fieldPosition="0"/>
    </format>
    <format dxfId="460">
      <pivotArea outline="0" collapsedLevelsAreSubtotals="1" fieldPosition="0"/>
    </format>
    <format dxfId="459">
      <pivotArea type="origin" dataOnly="0" labelOnly="1" outline="0" fieldPosition="0"/>
    </format>
    <format dxfId="458">
      <pivotArea field="23" type="button" dataOnly="0" labelOnly="1" outline="0" axis="axisCol" fieldPosition="0"/>
    </format>
    <format dxfId="457">
      <pivotArea field="-2" type="button" dataOnly="0" labelOnly="1" outline="0" axis="axisCol" fieldPosition="1"/>
    </format>
    <format dxfId="456">
      <pivotArea type="topRight" dataOnly="0" labelOnly="1" outline="0" fieldPosition="0"/>
    </format>
    <format dxfId="455">
      <pivotArea field="25" type="button" dataOnly="0" labelOnly="1" outline="0" axis="axisRow" fieldPosition="0"/>
    </format>
    <format dxfId="454">
      <pivotArea dataOnly="0" labelOnly="1" outline="0" fieldPosition="0">
        <references count="1">
          <reference field="25" count="0"/>
        </references>
      </pivotArea>
    </format>
    <format dxfId="453">
      <pivotArea dataOnly="0" labelOnly="1" grandRow="1" outline="0" fieldPosition="0"/>
    </format>
    <format dxfId="452">
      <pivotArea dataOnly="0" labelOnly="1" outline="0" fieldPosition="0">
        <references count="1">
          <reference field="23" count="0"/>
        </references>
      </pivotArea>
    </format>
    <format dxfId="451">
      <pivotArea field="23" dataOnly="0" labelOnly="1" grandCol="1" outline="0" axis="axisCol" fieldPosition="0">
        <references count="1">
          <reference field="4294967294" count="1" selected="0">
            <x v="0"/>
          </reference>
        </references>
      </pivotArea>
    </format>
    <format dxfId="449">
      <pivotArea field="23" dataOnly="0" labelOnly="1" grandCol="1" outline="0" axis="axisCol" fieldPosition="0">
        <references count="1">
          <reference field="4294967294" count="1" selected="0">
            <x v="1"/>
          </reference>
        </references>
      </pivotArea>
    </format>
    <format dxfId="447">
      <pivotArea dataOnly="0" labelOnly="1" outline="0" fieldPosition="0">
        <references count="2">
          <reference field="4294967294" count="2">
            <x v="0"/>
            <x v="1"/>
          </reference>
          <reference field="23" count="1" selected="0">
            <x v="0"/>
          </reference>
        </references>
      </pivotArea>
    </format>
    <format dxfId="446">
      <pivotArea dataOnly="0" labelOnly="1" outline="0" fieldPosition="0">
        <references count="2">
          <reference field="4294967294" count="2">
            <x v="0"/>
            <x v="1"/>
          </reference>
          <reference field="23" count="1" selected="0">
            <x v="1"/>
          </reference>
        </references>
      </pivotArea>
    </format>
    <format dxfId="315">
      <pivotArea type="all" dataOnly="0" outline="0" fieldPosition="0"/>
    </format>
    <format dxfId="314">
      <pivotArea outline="0" collapsedLevelsAreSubtotals="1" fieldPosition="0"/>
    </format>
    <format dxfId="313">
      <pivotArea type="origin" dataOnly="0" labelOnly="1" outline="0" fieldPosition="0"/>
    </format>
    <format dxfId="312">
      <pivotArea field="23" type="button" dataOnly="0" labelOnly="1" outline="0" axis="axisCol" fieldPosition="0"/>
    </format>
    <format dxfId="311">
      <pivotArea field="-2" type="button" dataOnly="0" labelOnly="1" outline="0" axis="axisCol" fieldPosition="1"/>
    </format>
    <format dxfId="310">
      <pivotArea type="topRight" dataOnly="0" labelOnly="1" outline="0" fieldPosition="0"/>
    </format>
    <format dxfId="309">
      <pivotArea field="25" type="button" dataOnly="0" labelOnly="1" outline="0" axis="axisRow" fieldPosition="0"/>
    </format>
    <format dxfId="308">
      <pivotArea dataOnly="0" labelOnly="1" outline="0" fieldPosition="0">
        <references count="1">
          <reference field="25" count="0"/>
        </references>
      </pivotArea>
    </format>
    <format dxfId="307">
      <pivotArea dataOnly="0" labelOnly="1" grandRow="1" outline="0" fieldPosition="0"/>
    </format>
    <format dxfId="306">
      <pivotArea dataOnly="0" labelOnly="1" outline="0" fieldPosition="0">
        <references count="1">
          <reference field="23" count="0"/>
        </references>
      </pivotArea>
    </format>
    <format dxfId="305">
      <pivotArea field="23" dataOnly="0" labelOnly="1" grandCol="1" outline="0" axis="axisCol" fieldPosition="0">
        <references count="1">
          <reference field="4294967294" count="1" selected="0">
            <x v="0"/>
          </reference>
        </references>
      </pivotArea>
    </format>
    <format dxfId="303">
      <pivotArea field="23" dataOnly="0" labelOnly="1" grandCol="1" outline="0" axis="axisCol" fieldPosition="0">
        <references count="1">
          <reference field="4294967294" count="1" selected="0">
            <x v="1"/>
          </reference>
        </references>
      </pivotArea>
    </format>
    <format dxfId="301">
      <pivotArea dataOnly="0" labelOnly="1" outline="0" fieldPosition="0">
        <references count="2">
          <reference field="4294967294" count="2">
            <x v="0"/>
            <x v="1"/>
          </reference>
          <reference field="23" count="1" selected="0">
            <x v="0"/>
          </reference>
        </references>
      </pivotArea>
    </format>
    <format dxfId="300">
      <pivotArea dataOnly="0" labelOnly="1" outline="0" fieldPosition="0">
        <references count="2">
          <reference field="4294967294" count="2">
            <x v="0"/>
            <x v="1"/>
          </reference>
          <reference field="2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EE1E30F-F8E3-824E-917F-E296875FE93B}" name="PivotTable100"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6:G102" firstHeaderRow="1" firstDataRow="3" firstDataCol="1"/>
  <pivotFields count="48">
    <pivotField dataField="1" compact="0" outline="0" showAll="0">
      <items count="159">
        <item x="0"/>
        <item x="9"/>
        <item x="100"/>
        <item x="101"/>
        <item x="102"/>
        <item x="103"/>
        <item x="104"/>
        <item x="105"/>
        <item x="106"/>
        <item x="107"/>
        <item x="108"/>
        <item x="109"/>
        <item x="10"/>
        <item x="110"/>
        <item x="111"/>
        <item x="112"/>
        <item x="113"/>
        <item x="114"/>
        <item x="115"/>
        <item x="116"/>
        <item x="117"/>
        <item x="118"/>
        <item x="119"/>
        <item x="11"/>
        <item x="120"/>
        <item x="121"/>
        <item x="122"/>
        <item x="123"/>
        <item x="124"/>
        <item x="125"/>
        <item x="126"/>
        <item x="127"/>
        <item x="128"/>
        <item x="129"/>
        <item x="12"/>
        <item x="130"/>
        <item x="131"/>
        <item x="132"/>
        <item x="133"/>
        <item x="134"/>
        <item x="135"/>
        <item x="136"/>
        <item x="137"/>
        <item x="138"/>
        <item x="139"/>
        <item x="13"/>
        <item x="140"/>
        <item x="141"/>
        <item x="142"/>
        <item x="143"/>
        <item x="144"/>
        <item x="145"/>
        <item x="146"/>
        <item x="147"/>
        <item x="148"/>
        <item x="149"/>
        <item x="14"/>
        <item x="150"/>
        <item x="151"/>
        <item x="152"/>
        <item x="153"/>
        <item x="154"/>
        <item x="155"/>
        <item x="156"/>
        <item x="157"/>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1"/>
        <item x="52"/>
        <item x="53"/>
        <item x="54"/>
        <item x="55"/>
        <item x="56"/>
        <item x="57"/>
        <item x="58"/>
        <item x="59"/>
        <item x="5"/>
        <item x="60"/>
        <item x="61"/>
        <item x="62"/>
        <item x="63"/>
        <item x="64"/>
        <item x="65"/>
        <item x="66"/>
        <item x="67"/>
        <item x="68"/>
        <item x="69"/>
        <item x="6"/>
        <item x="70"/>
        <item x="71"/>
        <item x="72"/>
        <item x="73"/>
        <item x="74"/>
        <item x="75"/>
        <item x="76"/>
        <item x="77"/>
        <item x="78"/>
        <item x="79"/>
        <item x="7"/>
        <item x="80"/>
        <item x="81"/>
        <item x="82"/>
        <item x="83"/>
        <item x="84"/>
        <item x="85"/>
        <item x="86"/>
        <item x="87"/>
        <item x="88"/>
        <item x="89"/>
        <item x="8"/>
        <item x="90"/>
        <item x="91"/>
        <item x="92"/>
        <item x="93"/>
        <item x="94"/>
        <item x="95"/>
        <item x="96"/>
        <item x="97"/>
        <item x="98"/>
        <item x="99"/>
        <item x="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h="1" x="2"/>
        <item t="default"/>
      </items>
    </pivotField>
    <pivotField axis="axisRow" compact="0" outline="0" showAll="0">
      <items count="6">
        <item x="3"/>
        <item h="1" x="0"/>
        <item x="1"/>
        <item x="2"/>
        <item h="1" x="4"/>
        <item t="default"/>
      </items>
    </pivotField>
    <pivotField compact="0" outline="0" showAll="0">
      <items count="12">
        <item x="10"/>
        <item x="2"/>
        <item x="8"/>
        <item x="9"/>
        <item x="4"/>
        <item x="3"/>
        <item x="5"/>
        <item x="0"/>
        <item x="1"/>
        <item x="7"/>
        <item x="6"/>
        <item t="default"/>
      </items>
    </pivotField>
    <pivotField compact="0" outline="0" showAll="0"/>
    <pivotField compact="0" outline="0" showAll="0" sortType="ascending">
      <items count="12">
        <item x="3"/>
        <item x="9"/>
        <item x="10"/>
        <item x="6"/>
        <item x="8"/>
        <item x="2"/>
        <item x="7"/>
        <item x="4"/>
        <item x="1"/>
        <item x="0"/>
        <item x="5"/>
        <item t="default"/>
      </items>
      <autoSortScope>
        <pivotArea dataOnly="0" outline="0" fieldPosition="0">
          <references count="2">
            <reference field="4294967294" count="1" selected="0">
              <x v="0"/>
            </reference>
            <reference field="23" count="1" selected="0">
              <x v="1"/>
            </reference>
          </references>
        </pivotArea>
      </autoSortScope>
    </pivotField>
    <pivotField compact="0" outline="0" showAll="0">
      <items count="11">
        <item x="8"/>
        <item x="7"/>
        <item x="6"/>
        <item x="3"/>
        <item x="5"/>
        <item x="9"/>
        <item x="1"/>
        <item x="4"/>
        <item x="2"/>
        <item x="0"/>
        <item t="default"/>
      </items>
    </pivotField>
    <pivotField compact="0" outline="0" showAll="0"/>
    <pivotField compact="0" outline="0" showAll="0"/>
    <pivotField compact="0" outline="0" showAll="0"/>
    <pivotField compact="0" outline="0" showAll="0">
      <items count="6">
        <item x="3"/>
        <item x="1"/>
        <item x="0"/>
        <item x="2"/>
        <item h="1" x="4"/>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4"/>
  </rowFields>
  <rowItems count="4">
    <i>
      <x/>
    </i>
    <i>
      <x v="2"/>
    </i>
    <i>
      <x v="3"/>
    </i>
    <i t="grand">
      <x/>
    </i>
  </rowItems>
  <colFields count="2">
    <field x="23"/>
    <field x="-2"/>
  </colFields>
  <colItems count="6">
    <i>
      <x/>
      <x/>
    </i>
    <i r="1" i="1">
      <x v="1"/>
    </i>
    <i>
      <x v="1"/>
      <x/>
    </i>
    <i r="1" i="1">
      <x v="1"/>
    </i>
    <i t="grand">
      <x/>
    </i>
    <i t="grand" i="1">
      <x/>
    </i>
  </colItems>
  <dataFields count="2">
    <dataField name="Count of HeikeCh2" fld="0" subtotal="count" showDataAs="percentOfRow" baseField="0" baseItem="0" numFmtId="9"/>
    <dataField name="Count of HeikeCh2_2" fld="0" subtotal="count" baseField="0" baseItem="0"/>
  </dataFields>
  <formats count="33">
    <format dxfId="1125">
      <pivotArea outline="0" fieldPosition="0">
        <references count="1">
          <reference field="4294967294" count="1">
            <x v="0"/>
          </reference>
        </references>
      </pivotArea>
    </format>
    <format dxfId="1124">
      <pivotArea outline="0" collapsedLevelsAreSubtotals="1" fieldPosition="0"/>
    </format>
    <format dxfId="1123">
      <pivotArea dataOnly="0" outline="0" fieldPosition="0">
        <references count="2">
          <reference field="4294967294" count="1">
            <x v="1"/>
          </reference>
          <reference field="23" count="1" selected="0">
            <x v="0"/>
          </reference>
        </references>
      </pivotArea>
    </format>
    <format dxfId="1122">
      <pivotArea outline="0" fieldPosition="0">
        <references count="2">
          <reference field="4294967294" count="1" selected="0">
            <x v="1"/>
          </reference>
          <reference field="23" count="1" selected="0">
            <x v="1"/>
          </reference>
        </references>
      </pivotArea>
    </format>
    <format dxfId="1121">
      <pivotArea field="23" grandCol="1" outline="0" axis="axisCol" fieldPosition="0">
        <references count="1">
          <reference field="4294967294" count="1" selected="0">
            <x v="1"/>
          </reference>
        </references>
      </pivotArea>
    </format>
    <format dxfId="445">
      <pivotArea type="all" dataOnly="0" outline="0" fieldPosition="0"/>
    </format>
    <format dxfId="444">
      <pivotArea outline="0" collapsedLevelsAreSubtotals="1" fieldPosition="0"/>
    </format>
    <format dxfId="443">
      <pivotArea type="origin" dataOnly="0" labelOnly="1" outline="0" fieldPosition="0"/>
    </format>
    <format dxfId="442">
      <pivotArea field="23" type="button" dataOnly="0" labelOnly="1" outline="0" axis="axisCol" fieldPosition="0"/>
    </format>
    <format dxfId="441">
      <pivotArea field="-2" type="button" dataOnly="0" labelOnly="1" outline="0" axis="axisCol" fieldPosition="1"/>
    </format>
    <format dxfId="440">
      <pivotArea type="topRight" dataOnly="0" labelOnly="1" outline="0" fieldPosition="0"/>
    </format>
    <format dxfId="439">
      <pivotArea field="24" type="button" dataOnly="0" labelOnly="1" outline="0" axis="axisRow" fieldPosition="0"/>
    </format>
    <format dxfId="438">
      <pivotArea dataOnly="0" labelOnly="1" outline="0" fieldPosition="0">
        <references count="1">
          <reference field="24" count="0"/>
        </references>
      </pivotArea>
    </format>
    <format dxfId="437">
      <pivotArea dataOnly="0" labelOnly="1" grandRow="1" outline="0" fieldPosition="0"/>
    </format>
    <format dxfId="436">
      <pivotArea dataOnly="0" labelOnly="1" outline="0" fieldPosition="0">
        <references count="1">
          <reference field="23" count="0"/>
        </references>
      </pivotArea>
    </format>
    <format dxfId="435">
      <pivotArea field="23" dataOnly="0" labelOnly="1" grandCol="1" outline="0" axis="axisCol" fieldPosition="0">
        <references count="1">
          <reference field="4294967294" count="1" selected="0">
            <x v="0"/>
          </reference>
        </references>
      </pivotArea>
    </format>
    <format dxfId="433">
      <pivotArea field="23" dataOnly="0" labelOnly="1" grandCol="1" outline="0" axis="axisCol" fieldPosition="0">
        <references count="1">
          <reference field="4294967294" count="1" selected="0">
            <x v="1"/>
          </reference>
        </references>
      </pivotArea>
    </format>
    <format dxfId="431">
      <pivotArea dataOnly="0" labelOnly="1" outline="0" fieldPosition="0">
        <references count="2">
          <reference field="4294967294" count="2">
            <x v="0"/>
            <x v="1"/>
          </reference>
          <reference field="23" count="1" selected="0">
            <x v="0"/>
          </reference>
        </references>
      </pivotArea>
    </format>
    <format dxfId="430">
      <pivotArea dataOnly="0" labelOnly="1" outline="0" fieldPosition="0">
        <references count="2">
          <reference field="4294967294" count="2">
            <x v="0"/>
            <x v="1"/>
          </reference>
          <reference field="23" count="1" selected="0">
            <x v="1"/>
          </reference>
        </references>
      </pivotArea>
    </format>
    <format dxfId="299">
      <pivotArea type="all" dataOnly="0" outline="0" fieldPosition="0"/>
    </format>
    <format dxfId="298">
      <pivotArea outline="0" collapsedLevelsAreSubtotals="1" fieldPosition="0"/>
    </format>
    <format dxfId="297">
      <pivotArea type="origin" dataOnly="0" labelOnly="1" outline="0" fieldPosition="0"/>
    </format>
    <format dxfId="296">
      <pivotArea field="23" type="button" dataOnly="0" labelOnly="1" outline="0" axis="axisCol" fieldPosition="0"/>
    </format>
    <format dxfId="295">
      <pivotArea field="-2" type="button" dataOnly="0" labelOnly="1" outline="0" axis="axisCol" fieldPosition="1"/>
    </format>
    <format dxfId="294">
      <pivotArea type="topRight" dataOnly="0" labelOnly="1" outline="0" fieldPosition="0"/>
    </format>
    <format dxfId="293">
      <pivotArea field="24" type="button" dataOnly="0" labelOnly="1" outline="0" axis="axisRow" fieldPosition="0"/>
    </format>
    <format dxfId="292">
      <pivotArea dataOnly="0" labelOnly="1" outline="0" fieldPosition="0">
        <references count="1">
          <reference field="24" count="0"/>
        </references>
      </pivotArea>
    </format>
    <format dxfId="291">
      <pivotArea dataOnly="0" labelOnly="1" grandRow="1" outline="0" fieldPosition="0"/>
    </format>
    <format dxfId="290">
      <pivotArea dataOnly="0" labelOnly="1" outline="0" fieldPosition="0">
        <references count="1">
          <reference field="23" count="0"/>
        </references>
      </pivotArea>
    </format>
    <format dxfId="289">
      <pivotArea field="23" dataOnly="0" labelOnly="1" grandCol="1" outline="0" axis="axisCol" fieldPosition="0">
        <references count="1">
          <reference field="4294967294" count="1" selected="0">
            <x v="0"/>
          </reference>
        </references>
      </pivotArea>
    </format>
    <format dxfId="287">
      <pivotArea field="23" dataOnly="0" labelOnly="1" grandCol="1" outline="0" axis="axisCol" fieldPosition="0">
        <references count="1">
          <reference field="4294967294" count="1" selected="0">
            <x v="1"/>
          </reference>
        </references>
      </pivotArea>
    </format>
    <format dxfId="285">
      <pivotArea dataOnly="0" labelOnly="1" outline="0" fieldPosition="0">
        <references count="2">
          <reference field="4294967294" count="2">
            <x v="0"/>
            <x v="1"/>
          </reference>
          <reference field="23" count="1" selected="0">
            <x v="0"/>
          </reference>
        </references>
      </pivotArea>
    </format>
    <format dxfId="284">
      <pivotArea dataOnly="0" labelOnly="1" outline="0" fieldPosition="0">
        <references count="2">
          <reference field="4294967294" count="2">
            <x v="0"/>
            <x v="1"/>
          </reference>
          <reference field="2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3788D89-A5C8-1545-A065-2E8490199697}" name="PivotTable9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K27" firstHeaderRow="1" firstDataRow="3" firstDataCol="1" rowPageCount="1" colPageCount="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axis="axisPage" compact="0" outline="0" multipleItemSelectionAllowed="1" showAll="0">
      <items count="6">
        <item h="1" x="2"/>
        <item h="1" x="1"/>
        <item h="1" x="4"/>
        <item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x="6"/>
        <item x="5"/>
        <item x="2"/>
        <item x="7"/>
        <item x="1"/>
        <item x="3"/>
        <item x="0"/>
        <item x="4"/>
        <item t="default"/>
      </items>
    </pivotField>
    <pivotField compact="0" outline="0" showAll="0"/>
    <pivotField compact="0" outline="0" showAll="0"/>
    <pivotField compact="0" outline="0" showAll="0"/>
    <pivotField axis="axisCol" compact="0" outline="0" showAll="0">
      <items count="8">
        <item x="6"/>
        <item x="2"/>
        <item x="1"/>
        <item x="4"/>
        <item x="0"/>
        <item x="5"/>
        <item x="3"/>
        <item t="default"/>
      </items>
    </pivotField>
    <pivotField compact="0" outline="0" showAll="0"/>
    <pivotField compact="0" outline="0" showAll="0">
      <items count="3">
        <item x="1"/>
        <item x="0"/>
        <item t="default"/>
      </items>
    </pivotField>
    <pivotField compact="0" outline="0" showAll="0"/>
  </pivotFields>
  <rowFields count="1">
    <field x="23"/>
  </rowFields>
  <rowItems count="3">
    <i>
      <x/>
    </i>
    <i>
      <x v="1"/>
    </i>
    <i t="grand">
      <x/>
    </i>
  </rowItems>
  <colFields count="2">
    <field x="-2"/>
    <field x="44"/>
  </colFields>
  <colItems count="10">
    <i>
      <x/>
      <x v="1"/>
    </i>
    <i r="1">
      <x v="2"/>
    </i>
    <i r="1">
      <x v="3"/>
    </i>
    <i r="1">
      <x v="4"/>
    </i>
    <i i="1">
      <x v="1"/>
      <x v="1"/>
    </i>
    <i r="1" i="1">
      <x v="2"/>
    </i>
    <i r="1" i="1">
      <x v="3"/>
    </i>
    <i r="1" i="1">
      <x v="4"/>
    </i>
    <i t="grand">
      <x/>
    </i>
    <i t="grand" i="1">
      <x/>
    </i>
  </colItems>
  <pageFields count="1">
    <pageField fld="31" hier="-1"/>
  </pageFields>
  <dataFields count="2">
    <dataField name="Count of HeikeCh2" fld="0" subtotal="count" showDataAs="percentOfRow" baseField="0" baseItem="0" numFmtId="10"/>
    <dataField name="Count of HeikeCh2_2" fld="0" subtotal="count" baseField="0" baseItem="0"/>
  </dataFields>
  <formats count="29">
    <format dxfId="1126">
      <pivotArea field="46" outline="0">
        <references count="1">
          <reference field="4294967294" count="1" selected="0">
            <x v="0"/>
          </reference>
        </references>
      </pivotArea>
    </format>
    <format dxfId="429">
      <pivotArea type="all" dataOnly="0" outline="0" fieldPosition="0"/>
    </format>
    <format dxfId="428">
      <pivotArea outline="0" collapsedLevelsAreSubtotals="1" fieldPosition="0"/>
    </format>
    <format dxfId="427">
      <pivotArea type="origin" dataOnly="0" labelOnly="1" outline="0" fieldPosition="0"/>
    </format>
    <format dxfId="426">
      <pivotArea field="-2" type="button" dataOnly="0" labelOnly="1" outline="0" axis="axisCol" fieldPosition="0"/>
    </format>
    <format dxfId="425">
      <pivotArea field="44" type="button" dataOnly="0" labelOnly="1" outline="0" axis="axisCol" fieldPosition="1"/>
    </format>
    <format dxfId="424">
      <pivotArea type="topRight" dataOnly="0" labelOnly="1" outline="0" fieldPosition="0"/>
    </format>
    <format dxfId="423">
      <pivotArea field="23" type="button" dataOnly="0" labelOnly="1" outline="0" axis="axisRow" fieldPosition="0"/>
    </format>
    <format dxfId="422">
      <pivotArea dataOnly="0" labelOnly="1" outline="0" fieldPosition="0">
        <references count="1">
          <reference field="23" count="0"/>
        </references>
      </pivotArea>
    </format>
    <format dxfId="421">
      <pivotArea dataOnly="0" labelOnly="1" grandRow="1" outline="0" fieldPosition="0"/>
    </format>
    <format dxfId="420">
      <pivotArea dataOnly="0" labelOnly="1" outline="0" fieldPosition="0">
        <references count="1">
          <reference field="4294967294" count="2">
            <x v="0"/>
            <x v="1"/>
          </reference>
        </references>
      </pivotArea>
    </format>
    <format dxfId="419">
      <pivotArea field="44" dataOnly="0" labelOnly="1" grandCol="1" outline="0" axis="axisCol" fieldPosition="1">
        <references count="1">
          <reference field="4294967294" count="1" selected="0">
            <x v="0"/>
          </reference>
        </references>
      </pivotArea>
    </format>
    <format dxfId="417">
      <pivotArea field="44" dataOnly="0" labelOnly="1" grandCol="1" outline="0" axis="axisCol" fieldPosition="1">
        <references count="1">
          <reference field="4294967294" count="1" selected="0">
            <x v="1"/>
          </reference>
        </references>
      </pivotArea>
    </format>
    <format dxfId="415">
      <pivotArea dataOnly="0" labelOnly="1" outline="0" fieldPosition="0">
        <references count="2">
          <reference field="4294967294" count="1" selected="0">
            <x v="0"/>
          </reference>
          <reference field="44" count="4">
            <x v="1"/>
            <x v="2"/>
            <x v="3"/>
            <x v="4"/>
          </reference>
        </references>
      </pivotArea>
    </format>
    <format dxfId="414">
      <pivotArea dataOnly="0" labelOnly="1" outline="0" fieldPosition="0">
        <references count="2">
          <reference field="4294967294" count="1" selected="0">
            <x v="1"/>
          </reference>
          <reference field="44" count="4">
            <x v="1"/>
            <x v="2"/>
            <x v="3"/>
            <x v="4"/>
          </reference>
        </references>
      </pivotArea>
    </format>
    <format dxfId="283">
      <pivotArea type="all" dataOnly="0" outline="0" fieldPosition="0"/>
    </format>
    <format dxfId="282">
      <pivotArea outline="0" collapsedLevelsAreSubtotals="1" fieldPosition="0"/>
    </format>
    <format dxfId="281">
      <pivotArea type="origin" dataOnly="0" labelOnly="1" outline="0" fieldPosition="0"/>
    </format>
    <format dxfId="280">
      <pivotArea field="-2" type="button" dataOnly="0" labelOnly="1" outline="0" axis="axisCol" fieldPosition="0"/>
    </format>
    <format dxfId="279">
      <pivotArea field="44" type="button" dataOnly="0" labelOnly="1" outline="0" axis="axisCol" fieldPosition="1"/>
    </format>
    <format dxfId="278">
      <pivotArea type="topRight" dataOnly="0" labelOnly="1" outline="0" fieldPosition="0"/>
    </format>
    <format dxfId="277">
      <pivotArea field="23" type="button" dataOnly="0" labelOnly="1" outline="0" axis="axisRow" fieldPosition="0"/>
    </format>
    <format dxfId="276">
      <pivotArea dataOnly="0" labelOnly="1" outline="0" fieldPosition="0">
        <references count="1">
          <reference field="23" count="0"/>
        </references>
      </pivotArea>
    </format>
    <format dxfId="275">
      <pivotArea dataOnly="0" labelOnly="1" grandRow="1" outline="0" fieldPosition="0"/>
    </format>
    <format dxfId="274">
      <pivotArea dataOnly="0" labelOnly="1" outline="0" fieldPosition="0">
        <references count="1">
          <reference field="4294967294" count="2">
            <x v="0"/>
            <x v="1"/>
          </reference>
        </references>
      </pivotArea>
    </format>
    <format dxfId="273">
      <pivotArea field="44" dataOnly="0" labelOnly="1" grandCol="1" outline="0" axis="axisCol" fieldPosition="1">
        <references count="1">
          <reference field="4294967294" count="1" selected="0">
            <x v="0"/>
          </reference>
        </references>
      </pivotArea>
    </format>
    <format dxfId="271">
      <pivotArea field="44" dataOnly="0" labelOnly="1" grandCol="1" outline="0" axis="axisCol" fieldPosition="1">
        <references count="1">
          <reference field="4294967294" count="1" selected="0">
            <x v="1"/>
          </reference>
        </references>
      </pivotArea>
    </format>
    <format dxfId="269">
      <pivotArea dataOnly="0" labelOnly="1" outline="0" fieldPosition="0">
        <references count="2">
          <reference field="4294967294" count="1" selected="0">
            <x v="0"/>
          </reference>
          <reference field="44" count="4">
            <x v="1"/>
            <x v="2"/>
            <x v="3"/>
            <x v="4"/>
          </reference>
        </references>
      </pivotArea>
    </format>
    <format dxfId="268">
      <pivotArea dataOnly="0" labelOnly="1" outline="0" fieldPosition="0">
        <references count="2">
          <reference field="4294967294" count="1" selected="0">
            <x v="1"/>
          </reference>
          <reference field="44"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859670D-45A5-C445-A5F5-02F1B4835DC5}" name="PivotTable97"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4:G77" firstHeaderRow="1" firstDataRow="3" firstDataCol="1"/>
  <pivotFields count="48">
    <pivotField dataField="1" compact="0" outline="0" showAll="0">
      <items count="159">
        <item x="0"/>
        <item x="9"/>
        <item x="100"/>
        <item x="101"/>
        <item x="102"/>
        <item x="103"/>
        <item x="104"/>
        <item x="105"/>
        <item x="106"/>
        <item x="107"/>
        <item x="108"/>
        <item x="109"/>
        <item x="10"/>
        <item x="110"/>
        <item x="111"/>
        <item x="112"/>
        <item x="113"/>
        <item x="114"/>
        <item x="115"/>
        <item x="116"/>
        <item x="117"/>
        <item x="118"/>
        <item x="119"/>
        <item x="11"/>
        <item x="120"/>
        <item x="121"/>
        <item x="122"/>
        <item x="123"/>
        <item x="124"/>
        <item x="125"/>
        <item x="126"/>
        <item x="127"/>
        <item x="128"/>
        <item x="129"/>
        <item x="12"/>
        <item x="130"/>
        <item x="131"/>
        <item x="132"/>
        <item x="133"/>
        <item x="134"/>
        <item x="135"/>
        <item x="136"/>
        <item x="137"/>
        <item x="138"/>
        <item x="139"/>
        <item x="13"/>
        <item x="140"/>
        <item x="141"/>
        <item x="142"/>
        <item x="143"/>
        <item x="144"/>
        <item x="145"/>
        <item x="146"/>
        <item x="147"/>
        <item x="148"/>
        <item x="149"/>
        <item x="14"/>
        <item x="150"/>
        <item x="151"/>
        <item x="152"/>
        <item x="153"/>
        <item x="154"/>
        <item x="155"/>
        <item x="156"/>
        <item x="157"/>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1"/>
        <item x="52"/>
        <item x="53"/>
        <item x="54"/>
        <item x="55"/>
        <item x="56"/>
        <item x="57"/>
        <item x="58"/>
        <item x="59"/>
        <item x="5"/>
        <item x="60"/>
        <item x="61"/>
        <item x="62"/>
        <item x="63"/>
        <item x="64"/>
        <item x="65"/>
        <item x="66"/>
        <item x="67"/>
        <item x="68"/>
        <item x="69"/>
        <item x="6"/>
        <item x="70"/>
        <item x="71"/>
        <item x="72"/>
        <item x="73"/>
        <item x="74"/>
        <item x="75"/>
        <item x="76"/>
        <item x="77"/>
        <item x="78"/>
        <item x="79"/>
        <item x="7"/>
        <item x="80"/>
        <item x="81"/>
        <item x="82"/>
        <item x="83"/>
        <item x="84"/>
        <item x="85"/>
        <item x="86"/>
        <item x="87"/>
        <item x="88"/>
        <item x="89"/>
        <item x="8"/>
        <item x="90"/>
        <item x="91"/>
        <item x="92"/>
        <item x="93"/>
        <item x="94"/>
        <item x="95"/>
        <item x="96"/>
        <item x="97"/>
        <item x="98"/>
        <item x="99"/>
        <item x="5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h="1" x="2"/>
        <item t="default"/>
      </items>
    </pivotField>
    <pivotField compact="0" outline="0" showAll="0"/>
    <pivotField compact="0" outline="0" showAll="0"/>
    <pivotField compact="0" outline="0" showAll="0"/>
    <pivotField axis="axisRow" compact="0" outline="0" showAll="0" sortType="ascending">
      <items count="12">
        <item x="3"/>
        <item x="9"/>
        <item x="10"/>
        <item x="6"/>
        <item x="8"/>
        <item x="2"/>
        <item x="7"/>
        <item x="4"/>
        <item x="1"/>
        <item x="0"/>
        <item x="5"/>
        <item t="default"/>
      </items>
      <autoSortScope>
        <pivotArea dataOnly="0" outline="0" fieldPosition="0">
          <references count="2">
            <reference field="4294967294" count="1" selected="0">
              <x v="0"/>
            </reference>
            <reference field="23" count="1" selected="0">
              <x v="1"/>
            </reference>
          </references>
        </pivotArea>
      </autoSortScope>
    </pivotField>
    <pivotField compact="0" outline="0" showAll="0">
      <items count="11">
        <item x="8"/>
        <item x="7"/>
        <item x="6"/>
        <item x="3"/>
        <item x="5"/>
        <item x="9"/>
        <item x="1"/>
        <item x="4"/>
        <item x="2"/>
        <item x="0"/>
        <item t="default"/>
      </items>
    </pivotField>
    <pivotField compact="0" outline="0" showAll="0"/>
    <pivotField compact="0" outline="0" showAll="0"/>
    <pivotField compact="0" outline="0" showAll="0"/>
    <pivotField compact="0" outline="0" showAll="0">
      <items count="6">
        <item x="3"/>
        <item x="1"/>
        <item x="0"/>
        <item x="2"/>
        <item h="1" x="4"/>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7"/>
  </rowFields>
  <rowItems count="11">
    <i>
      <x v="6"/>
    </i>
    <i>
      <x v="2"/>
    </i>
    <i>
      <x v="4"/>
    </i>
    <i>
      <x/>
    </i>
    <i>
      <x v="7"/>
    </i>
    <i>
      <x v="3"/>
    </i>
    <i>
      <x v="1"/>
    </i>
    <i>
      <x v="8"/>
    </i>
    <i>
      <x v="9"/>
    </i>
    <i>
      <x v="5"/>
    </i>
    <i t="grand">
      <x/>
    </i>
  </rowItems>
  <colFields count="2">
    <field x="23"/>
    <field x="-2"/>
  </colFields>
  <colItems count="6">
    <i>
      <x/>
      <x/>
    </i>
    <i r="1" i="1">
      <x v="1"/>
    </i>
    <i>
      <x v="1"/>
      <x/>
    </i>
    <i r="1" i="1">
      <x v="1"/>
    </i>
    <i t="grand">
      <x/>
    </i>
    <i t="grand" i="1">
      <x/>
    </i>
  </colItems>
  <dataFields count="2">
    <dataField name="Count of HeikeCh2" fld="0" subtotal="count" showDataAs="percentOfRow" baseField="0" baseItem="0" numFmtId="9"/>
    <dataField name="Count of HeikeCh2_2" fld="0" subtotal="count" baseField="0" baseItem="0"/>
  </dataFields>
  <formats count="31">
    <format dxfId="1129">
      <pivotArea outline="0" fieldPosition="0">
        <references count="1">
          <reference field="4294967294" count="1">
            <x v="0"/>
          </reference>
        </references>
      </pivotArea>
    </format>
    <format dxfId="1128">
      <pivotArea outline="0" collapsedLevelsAreSubtotals="1" fieldPosition="0"/>
    </format>
    <format dxfId="1127">
      <pivotArea dataOnly="0" outline="0" fieldPosition="0">
        <references count="1">
          <reference field="4294967294" count="1">
            <x v="1"/>
          </reference>
        </references>
      </pivotArea>
    </format>
    <format dxfId="413">
      <pivotArea type="all" dataOnly="0" outline="0" fieldPosition="0"/>
    </format>
    <format dxfId="412">
      <pivotArea outline="0" collapsedLevelsAreSubtotals="1" fieldPosition="0"/>
    </format>
    <format dxfId="411">
      <pivotArea type="origin" dataOnly="0" labelOnly="1" outline="0" fieldPosition="0"/>
    </format>
    <format dxfId="410">
      <pivotArea field="23" type="button" dataOnly="0" labelOnly="1" outline="0" axis="axisCol" fieldPosition="0"/>
    </format>
    <format dxfId="409">
      <pivotArea field="-2" type="button" dataOnly="0" labelOnly="1" outline="0" axis="axisCol" fieldPosition="1"/>
    </format>
    <format dxfId="408">
      <pivotArea type="topRight" dataOnly="0" labelOnly="1" outline="0" fieldPosition="0"/>
    </format>
    <format dxfId="407">
      <pivotArea field="27" type="button" dataOnly="0" labelOnly="1" outline="0" axis="axisRow" fieldPosition="0"/>
    </format>
    <format dxfId="406">
      <pivotArea dataOnly="0" labelOnly="1" outline="0" fieldPosition="0">
        <references count="1">
          <reference field="27" count="10">
            <x v="0"/>
            <x v="1"/>
            <x v="2"/>
            <x v="3"/>
            <x v="4"/>
            <x v="5"/>
            <x v="6"/>
            <x v="7"/>
            <x v="8"/>
            <x v="9"/>
          </reference>
        </references>
      </pivotArea>
    </format>
    <format dxfId="405">
      <pivotArea dataOnly="0" labelOnly="1" grandRow="1" outline="0" fieldPosition="0"/>
    </format>
    <format dxfId="404">
      <pivotArea dataOnly="0" labelOnly="1" outline="0" fieldPosition="0">
        <references count="1">
          <reference field="23" count="0"/>
        </references>
      </pivotArea>
    </format>
    <format dxfId="403">
      <pivotArea field="23" dataOnly="0" labelOnly="1" grandCol="1" outline="0" axis="axisCol" fieldPosition="0">
        <references count="1">
          <reference field="4294967294" count="1" selected="0">
            <x v="0"/>
          </reference>
        </references>
      </pivotArea>
    </format>
    <format dxfId="401">
      <pivotArea field="23" dataOnly="0" labelOnly="1" grandCol="1" outline="0" axis="axisCol" fieldPosition="0">
        <references count="1">
          <reference field="4294967294" count="1" selected="0">
            <x v="1"/>
          </reference>
        </references>
      </pivotArea>
    </format>
    <format dxfId="399">
      <pivotArea dataOnly="0" labelOnly="1" outline="0" fieldPosition="0">
        <references count="2">
          <reference field="4294967294" count="2">
            <x v="0"/>
            <x v="1"/>
          </reference>
          <reference field="23" count="1" selected="0">
            <x v="0"/>
          </reference>
        </references>
      </pivotArea>
    </format>
    <format dxfId="398">
      <pivotArea dataOnly="0" labelOnly="1" outline="0" fieldPosition="0">
        <references count="2">
          <reference field="4294967294" count="2">
            <x v="0"/>
            <x v="1"/>
          </reference>
          <reference field="23" count="1" selected="0">
            <x v="1"/>
          </reference>
        </references>
      </pivotArea>
    </format>
    <format dxfId="267">
      <pivotArea type="all" dataOnly="0" outline="0" fieldPosition="0"/>
    </format>
    <format dxfId="266">
      <pivotArea outline="0" collapsedLevelsAreSubtotals="1" fieldPosition="0"/>
    </format>
    <format dxfId="265">
      <pivotArea type="origin" dataOnly="0" labelOnly="1" outline="0" fieldPosition="0"/>
    </format>
    <format dxfId="264">
      <pivotArea field="23" type="button" dataOnly="0" labelOnly="1" outline="0" axis="axisCol" fieldPosition="0"/>
    </format>
    <format dxfId="263">
      <pivotArea field="-2" type="button" dataOnly="0" labelOnly="1" outline="0" axis="axisCol" fieldPosition="1"/>
    </format>
    <format dxfId="262">
      <pivotArea type="topRight" dataOnly="0" labelOnly="1" outline="0" fieldPosition="0"/>
    </format>
    <format dxfId="261">
      <pivotArea field="27" type="button" dataOnly="0" labelOnly="1" outline="0" axis="axisRow" fieldPosition="0"/>
    </format>
    <format dxfId="260">
      <pivotArea dataOnly="0" labelOnly="1" outline="0" fieldPosition="0">
        <references count="1">
          <reference field="27" count="10">
            <x v="0"/>
            <x v="1"/>
            <x v="2"/>
            <x v="3"/>
            <x v="4"/>
            <x v="5"/>
            <x v="6"/>
            <x v="7"/>
            <x v="8"/>
            <x v="9"/>
          </reference>
        </references>
      </pivotArea>
    </format>
    <format dxfId="259">
      <pivotArea dataOnly="0" labelOnly="1" grandRow="1" outline="0" fieldPosition="0"/>
    </format>
    <format dxfId="258">
      <pivotArea dataOnly="0" labelOnly="1" outline="0" fieldPosition="0">
        <references count="1">
          <reference field="23" count="0"/>
        </references>
      </pivotArea>
    </format>
    <format dxfId="257">
      <pivotArea field="23" dataOnly="0" labelOnly="1" grandCol="1" outline="0" axis="axisCol" fieldPosition="0">
        <references count="1">
          <reference field="4294967294" count="1" selected="0">
            <x v="0"/>
          </reference>
        </references>
      </pivotArea>
    </format>
    <format dxfId="255">
      <pivotArea field="23" dataOnly="0" labelOnly="1" grandCol="1" outline="0" axis="axisCol" fieldPosition="0">
        <references count="1">
          <reference field="4294967294" count="1" selected="0">
            <x v="1"/>
          </reference>
        </references>
      </pivotArea>
    </format>
    <format dxfId="253">
      <pivotArea dataOnly="0" labelOnly="1" outline="0" fieldPosition="0">
        <references count="2">
          <reference field="4294967294" count="2">
            <x v="0"/>
            <x v="1"/>
          </reference>
          <reference field="23" count="1" selected="0">
            <x v="0"/>
          </reference>
        </references>
      </pivotArea>
    </format>
    <format dxfId="252">
      <pivotArea dataOnly="0" labelOnly="1" outline="0" fieldPosition="0">
        <references count="2">
          <reference field="4294967294" count="2">
            <x v="0"/>
            <x v="1"/>
          </reference>
          <reference field="2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9E79883-8A69-F041-B327-C99E27F11E0D}" name="PivotTable90"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G17" firstHeaderRow="1" firstDataRow="3" firstDataCol="1" rowPageCount="1" colPageCount="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
        <item h="1" x="6"/>
        <item x="0"/>
        <item x="2"/>
        <item x="4"/>
        <item x="1"/>
        <item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axis="axisPage" compact="0" outline="0" multipleItemSelectionAllowed="1" showAll="0">
      <items count="6">
        <item h="1" x="2"/>
        <item h="1" x="1"/>
        <item h="1" x="4"/>
        <item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x="6"/>
        <item x="5"/>
        <item x="2"/>
        <item x="7"/>
        <item x="1"/>
        <item x="3"/>
        <item x="0"/>
        <item x="4"/>
        <item t="default"/>
      </items>
    </pivotField>
    <pivotField compact="0" outline="0" showAll="0"/>
    <pivotField compact="0" outline="0" showAll="0"/>
    <pivotField compact="0" outline="0" showAll="0"/>
    <pivotField compact="0" outline="0" showAll="0">
      <items count="8">
        <item x="6"/>
        <item x="2"/>
        <item x="1"/>
        <item x="4"/>
        <item x="0"/>
        <item x="5"/>
        <item x="3"/>
        <item t="default"/>
      </items>
    </pivotField>
    <pivotField compact="0" outline="0" showAll="0"/>
    <pivotField axis="axisCol" compact="0" outline="0" showAll="0">
      <items count="3">
        <item x="1"/>
        <item x="0"/>
        <item t="default"/>
      </items>
    </pivotField>
    <pivotField compact="0" outline="0" showAll="0"/>
  </pivotFields>
  <rowFields count="1">
    <field x="23"/>
  </rowFields>
  <rowItems count="3">
    <i>
      <x/>
    </i>
    <i>
      <x v="1"/>
    </i>
    <i t="grand">
      <x/>
    </i>
  </rowItems>
  <colFields count="2">
    <field x="46"/>
    <field x="-2"/>
  </colFields>
  <colItems count="6">
    <i>
      <x/>
      <x/>
    </i>
    <i r="1" i="1">
      <x v="1"/>
    </i>
    <i>
      <x v="1"/>
      <x/>
    </i>
    <i r="1" i="1">
      <x v="1"/>
    </i>
    <i t="grand">
      <x/>
    </i>
    <i t="grand" i="1">
      <x/>
    </i>
  </colItems>
  <pageFields count="1">
    <pageField fld="31" hier="-1"/>
  </pageFields>
  <dataFields count="2">
    <dataField name="Count of HeikeCh2" fld="0" subtotal="count" showDataAs="percentOfRow" baseField="0" baseItem="0" numFmtId="10"/>
    <dataField name="Count of HeikeCh2_2" fld="0" subtotal="count" baseField="0" baseItem="0"/>
  </dataFields>
  <formats count="31">
    <format dxfId="1132">
      <pivotArea outline="0" fieldPosition="0">
        <references count="2">
          <reference field="4294967294" count="1" selected="0">
            <x v="0"/>
          </reference>
          <reference field="46" count="1" selected="0">
            <x v="0"/>
          </reference>
        </references>
      </pivotArea>
    </format>
    <format dxfId="1131">
      <pivotArea outline="0" fieldPosition="0">
        <references count="2">
          <reference field="4294967294" count="1" selected="0">
            <x v="0"/>
          </reference>
          <reference field="46" count="1" selected="0">
            <x v="1"/>
          </reference>
        </references>
      </pivotArea>
    </format>
    <format dxfId="1130">
      <pivotArea field="46" grandCol="1" outline="0" axis="axisCol" fieldPosition="0">
        <references count="1">
          <reference field="4294967294" count="1" selected="0">
            <x v="0"/>
          </reference>
        </references>
      </pivotArea>
    </format>
    <format dxfId="397">
      <pivotArea type="all" dataOnly="0" outline="0" fieldPosition="0"/>
    </format>
    <format dxfId="396">
      <pivotArea outline="0" collapsedLevelsAreSubtotals="1" fieldPosition="0"/>
    </format>
    <format dxfId="395">
      <pivotArea type="origin" dataOnly="0" labelOnly="1" outline="0" fieldPosition="0"/>
    </format>
    <format dxfId="394">
      <pivotArea field="46" type="button" dataOnly="0" labelOnly="1" outline="0" axis="axisCol" fieldPosition="0"/>
    </format>
    <format dxfId="393">
      <pivotArea field="-2" type="button" dataOnly="0" labelOnly="1" outline="0" axis="axisCol" fieldPosition="1"/>
    </format>
    <format dxfId="392">
      <pivotArea type="topRight" dataOnly="0" labelOnly="1" outline="0" fieldPosition="0"/>
    </format>
    <format dxfId="391">
      <pivotArea field="23" type="button" dataOnly="0" labelOnly="1" outline="0" axis="axisRow" fieldPosition="0"/>
    </format>
    <format dxfId="390">
      <pivotArea dataOnly="0" labelOnly="1" outline="0" fieldPosition="0">
        <references count="1">
          <reference field="23" count="0"/>
        </references>
      </pivotArea>
    </format>
    <format dxfId="389">
      <pivotArea dataOnly="0" labelOnly="1" grandRow="1" outline="0" fieldPosition="0"/>
    </format>
    <format dxfId="388">
      <pivotArea dataOnly="0" labelOnly="1" outline="0" fieldPosition="0">
        <references count="1">
          <reference field="46" count="0"/>
        </references>
      </pivotArea>
    </format>
    <format dxfId="387">
      <pivotArea field="46" dataOnly="0" labelOnly="1" grandCol="1" outline="0" axis="axisCol" fieldPosition="0">
        <references count="1">
          <reference field="4294967294" count="1" selected="0">
            <x v="0"/>
          </reference>
        </references>
      </pivotArea>
    </format>
    <format dxfId="385">
      <pivotArea field="46" dataOnly="0" labelOnly="1" grandCol="1" outline="0" axis="axisCol" fieldPosition="0">
        <references count="1">
          <reference field="4294967294" count="1" selected="0">
            <x v="1"/>
          </reference>
        </references>
      </pivotArea>
    </format>
    <format dxfId="383">
      <pivotArea dataOnly="0" labelOnly="1" outline="0" fieldPosition="0">
        <references count="2">
          <reference field="4294967294" count="2">
            <x v="0"/>
            <x v="1"/>
          </reference>
          <reference field="46" count="1" selected="0">
            <x v="0"/>
          </reference>
        </references>
      </pivotArea>
    </format>
    <format dxfId="382">
      <pivotArea dataOnly="0" labelOnly="1" outline="0" fieldPosition="0">
        <references count="2">
          <reference field="4294967294" count="2">
            <x v="0"/>
            <x v="1"/>
          </reference>
          <reference field="46" count="1" selected="0">
            <x v="1"/>
          </reference>
        </references>
      </pivotArea>
    </format>
    <format dxfId="251">
      <pivotArea type="all" dataOnly="0" outline="0" fieldPosition="0"/>
    </format>
    <format dxfId="250">
      <pivotArea outline="0" collapsedLevelsAreSubtotals="1" fieldPosition="0"/>
    </format>
    <format dxfId="249">
      <pivotArea type="origin" dataOnly="0" labelOnly="1" outline="0" fieldPosition="0"/>
    </format>
    <format dxfId="248">
      <pivotArea field="46" type="button" dataOnly="0" labelOnly="1" outline="0" axis="axisCol" fieldPosition="0"/>
    </format>
    <format dxfId="247">
      <pivotArea field="-2" type="button" dataOnly="0" labelOnly="1" outline="0" axis="axisCol" fieldPosition="1"/>
    </format>
    <format dxfId="246">
      <pivotArea type="topRight" dataOnly="0" labelOnly="1" outline="0" fieldPosition="0"/>
    </format>
    <format dxfId="245">
      <pivotArea field="23" type="button" dataOnly="0" labelOnly="1" outline="0" axis="axisRow" fieldPosition="0"/>
    </format>
    <format dxfId="244">
      <pivotArea dataOnly="0" labelOnly="1" outline="0" fieldPosition="0">
        <references count="1">
          <reference field="23" count="0"/>
        </references>
      </pivotArea>
    </format>
    <format dxfId="243">
      <pivotArea dataOnly="0" labelOnly="1" grandRow="1" outline="0" fieldPosition="0"/>
    </format>
    <format dxfId="242">
      <pivotArea dataOnly="0" labelOnly="1" outline="0" fieldPosition="0">
        <references count="1">
          <reference field="46" count="0"/>
        </references>
      </pivotArea>
    </format>
    <format dxfId="241">
      <pivotArea field="46" dataOnly="0" labelOnly="1" grandCol="1" outline="0" axis="axisCol" fieldPosition="0">
        <references count="1">
          <reference field="4294967294" count="1" selected="0">
            <x v="0"/>
          </reference>
        </references>
      </pivotArea>
    </format>
    <format dxfId="239">
      <pivotArea field="46" dataOnly="0" labelOnly="1" grandCol="1" outline="0" axis="axisCol" fieldPosition="0">
        <references count="1">
          <reference field="4294967294" count="1" selected="0">
            <x v="1"/>
          </reference>
        </references>
      </pivotArea>
    </format>
    <format dxfId="237">
      <pivotArea dataOnly="0" labelOnly="1" outline="0" fieldPosition="0">
        <references count="2">
          <reference field="4294967294" count="2">
            <x v="0"/>
            <x v="1"/>
          </reference>
          <reference field="46" count="1" selected="0">
            <x v="0"/>
          </reference>
        </references>
      </pivotArea>
    </format>
    <format dxfId="236">
      <pivotArea dataOnly="0" labelOnly="1" outline="0" fieldPosition="0">
        <references count="2">
          <reference field="4294967294" count="2">
            <x v="0"/>
            <x v="1"/>
          </reference>
          <reference field="4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F4766EF-761E-DB48-A8E2-9F7E35C26F38}" name="PivotTable120"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J25:T30" firstHeaderRow="1" firstDataRow="3" firstDataCol="1" rowPageCount="1" colPageCount="1"/>
  <pivotFields count="3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6">
        <item h="1" x="3"/>
        <item h="1" x="0"/>
        <item h="1" x="4"/>
        <item x="1"/>
        <item h="1" x="2"/>
        <item t="default"/>
      </items>
    </pivotField>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items count="10">
        <item x="7"/>
        <item x="6"/>
        <item x="0"/>
        <item x="8"/>
        <item x="2"/>
        <item x="4"/>
        <item x="1"/>
        <item x="5"/>
        <item x="3"/>
        <item t="default"/>
      </items>
    </pivotField>
    <pivotField compact="0" outline="0" showAll="0"/>
    <pivotField axis="axisCol" compact="0" outline="0" showAll="0">
      <items count="11">
        <item x="8"/>
        <item x="0"/>
        <item x="7"/>
        <item x="2"/>
        <item x="1"/>
        <item x="9"/>
        <item x="5"/>
        <item x="3"/>
        <item x="6"/>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s>
  <rowFields count="1">
    <field x="36"/>
  </rowFields>
  <rowItems count="3">
    <i>
      <x/>
    </i>
    <i>
      <x v="1"/>
    </i>
    <i t="grand">
      <x/>
    </i>
  </rowItems>
  <colFields count="2">
    <field x="-2"/>
    <field x="16"/>
  </colFields>
  <colItems count="10">
    <i>
      <x/>
      <x v="1"/>
    </i>
    <i r="1">
      <x v="4"/>
    </i>
    <i r="1">
      <x v="6"/>
    </i>
    <i r="1">
      <x v="7"/>
    </i>
    <i i="1">
      <x v="1"/>
      <x v="1"/>
    </i>
    <i r="1" i="1">
      <x v="4"/>
    </i>
    <i r="1" i="1">
      <x v="6"/>
    </i>
    <i r="1" i="1">
      <x v="7"/>
    </i>
    <i t="grand">
      <x/>
    </i>
    <i t="grand" i="1">
      <x/>
    </i>
  </colItems>
  <pageFields count="1">
    <pageField fld="7" hier="-1"/>
  </pageFields>
  <dataFields count="2">
    <dataField name="Count of Clause_ID" fld="0" subtotal="count" showDataAs="percentOfRow" baseField="0" baseItem="0" numFmtId="10"/>
    <dataField name="Count of Clause_ID2" fld="0" subtotal="count" baseField="0" baseItem="0"/>
  </dataFields>
  <formats count="31">
    <format dxfId="1086">
      <pivotArea outline="0" collapsedLevelsAreSubtotals="1" fieldPosition="0"/>
    </format>
    <format dxfId="1085">
      <pivotArea outline="0" fieldPosition="0">
        <references count="1">
          <reference field="4294967294" count="1">
            <x v="0"/>
          </reference>
        </references>
      </pivotArea>
    </format>
    <format dxfId="1084">
      <pivotArea field="14" outline="0">
        <references count="1">
          <reference field="4294967294" count="1" selected="0">
            <x v="0"/>
          </reference>
        </references>
      </pivotArea>
    </format>
    <format dxfId="235">
      <pivotArea type="all" dataOnly="0" outline="0" fieldPosition="0"/>
    </format>
    <format dxfId="234">
      <pivotArea outline="0" collapsedLevelsAreSubtotals="1" fieldPosition="0"/>
    </format>
    <format dxfId="233">
      <pivotArea type="origin" dataOnly="0" labelOnly="1" outline="0" fieldPosition="0"/>
    </format>
    <format dxfId="232">
      <pivotArea field="-2" type="button" dataOnly="0" labelOnly="1" outline="0" axis="axisCol" fieldPosition="0"/>
    </format>
    <format dxfId="231">
      <pivotArea field="16" type="button" dataOnly="0" labelOnly="1" outline="0" axis="axisCol" fieldPosition="1"/>
    </format>
    <format dxfId="230">
      <pivotArea type="topRight" dataOnly="0" labelOnly="1" outline="0" fieldPosition="0"/>
    </format>
    <format dxfId="229">
      <pivotArea field="36" type="button" dataOnly="0" labelOnly="1" outline="0" axis="axisRow" fieldPosition="0"/>
    </format>
    <format dxfId="228">
      <pivotArea dataOnly="0" labelOnly="1" outline="0" fieldPosition="0">
        <references count="1">
          <reference field="36" count="2">
            <x v="0"/>
            <x v="1"/>
          </reference>
        </references>
      </pivotArea>
    </format>
    <format dxfId="227">
      <pivotArea dataOnly="0" labelOnly="1" grandRow="1" outline="0" fieldPosition="0"/>
    </format>
    <format dxfId="226">
      <pivotArea dataOnly="0" labelOnly="1" outline="0" fieldPosition="0">
        <references count="1">
          <reference field="4294967294" count="2">
            <x v="0"/>
            <x v="1"/>
          </reference>
        </references>
      </pivotArea>
    </format>
    <format dxfId="225">
      <pivotArea field="16" dataOnly="0" labelOnly="1" grandCol="1" outline="0" axis="axisCol" fieldPosition="1">
        <references count="1">
          <reference field="4294967294" count="1" selected="0">
            <x v="0"/>
          </reference>
        </references>
      </pivotArea>
    </format>
    <format dxfId="223">
      <pivotArea field="16" dataOnly="0" labelOnly="1" grandCol="1" outline="0" axis="axisCol" fieldPosition="1">
        <references count="1">
          <reference field="4294967294" count="1" selected="0">
            <x v="1"/>
          </reference>
        </references>
      </pivotArea>
    </format>
    <format dxfId="221">
      <pivotArea dataOnly="0" labelOnly="1" outline="0" fieldPosition="0">
        <references count="2">
          <reference field="4294967294" count="1" selected="0">
            <x v="0"/>
          </reference>
          <reference field="16" count="4">
            <x v="1"/>
            <x v="4"/>
            <x v="6"/>
            <x v="7"/>
          </reference>
        </references>
      </pivotArea>
    </format>
    <format dxfId="220">
      <pivotArea dataOnly="0" labelOnly="1" outline="0" fieldPosition="0">
        <references count="2">
          <reference field="4294967294" count="1" selected="0">
            <x v="1"/>
          </reference>
          <reference field="16" count="4">
            <x v="1"/>
            <x v="4"/>
            <x v="6"/>
            <x v="7"/>
          </reference>
        </references>
      </pivotArea>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2" type="button" dataOnly="0" labelOnly="1" outline="0" axis="axisCol" fieldPosition="0"/>
    </format>
    <format dxfId="113">
      <pivotArea field="16" type="button" dataOnly="0" labelOnly="1" outline="0" axis="axisCol" fieldPosition="1"/>
    </format>
    <format dxfId="112">
      <pivotArea type="topRight" dataOnly="0" labelOnly="1" outline="0" fieldPosition="0"/>
    </format>
    <format dxfId="111">
      <pivotArea field="36" type="button" dataOnly="0" labelOnly="1" outline="0" axis="axisRow" fieldPosition="0"/>
    </format>
    <format dxfId="110">
      <pivotArea dataOnly="0" labelOnly="1" outline="0" fieldPosition="0">
        <references count="1">
          <reference field="36" count="2">
            <x v="0"/>
            <x v="1"/>
          </reference>
        </references>
      </pivotArea>
    </format>
    <format dxfId="109">
      <pivotArea dataOnly="0" labelOnly="1" grandRow="1" outline="0" fieldPosition="0"/>
    </format>
    <format dxfId="108">
      <pivotArea dataOnly="0" labelOnly="1" outline="0" fieldPosition="0">
        <references count="1">
          <reference field="4294967294" count="2">
            <x v="0"/>
            <x v="1"/>
          </reference>
        </references>
      </pivotArea>
    </format>
    <format dxfId="107">
      <pivotArea field="16" dataOnly="0" labelOnly="1" grandCol="1" outline="0" axis="axisCol" fieldPosition="1">
        <references count="1">
          <reference field="4294967294" count="1" selected="0">
            <x v="0"/>
          </reference>
        </references>
      </pivotArea>
    </format>
    <format dxfId="105">
      <pivotArea field="16" dataOnly="0" labelOnly="1" grandCol="1" outline="0" axis="axisCol" fieldPosition="1">
        <references count="1">
          <reference field="4294967294" count="1" selected="0">
            <x v="1"/>
          </reference>
        </references>
      </pivotArea>
    </format>
    <format dxfId="103">
      <pivotArea dataOnly="0" labelOnly="1" outline="0" fieldPosition="0">
        <references count="2">
          <reference field="4294967294" count="1" selected="0">
            <x v="0"/>
          </reference>
          <reference field="16" count="4">
            <x v="1"/>
            <x v="4"/>
            <x v="6"/>
            <x v="7"/>
          </reference>
        </references>
      </pivotArea>
    </format>
    <format dxfId="102">
      <pivotArea dataOnly="0" labelOnly="1" outline="0" fieldPosition="0">
        <references count="2">
          <reference field="4294967294" count="1" selected="0">
            <x v="1"/>
          </reference>
          <reference field="16" count="4">
            <x v="1"/>
            <x v="4"/>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C8DB6DE-8D20-1842-8176-9345AC31E6D4}" name="PivotTable119"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J16:T21" firstHeaderRow="1" firstDataRow="3" firstDataCol="1" rowPageCount="1" colPageCount="1"/>
  <pivotFields count="3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6">
        <item h="1" x="3"/>
        <item h="1" x="0"/>
        <item h="1" x="4"/>
        <item x="1"/>
        <item h="1" x="2"/>
        <item t="default"/>
      </items>
    </pivotField>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axis="axisCol" compact="0" outline="0" showAll="0">
      <items count="10">
        <item x="7"/>
        <item x="6"/>
        <item x="0"/>
        <item x="8"/>
        <item x="2"/>
        <item x="4"/>
        <item x="1"/>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s>
  <rowFields count="1">
    <field x="36"/>
  </rowFields>
  <rowItems count="3">
    <i>
      <x/>
    </i>
    <i>
      <x v="1"/>
    </i>
    <i t="grand">
      <x/>
    </i>
  </rowItems>
  <colFields count="2">
    <field x="14"/>
    <field x="-2"/>
  </colFields>
  <colItems count="10">
    <i>
      <x v="2"/>
      <x/>
    </i>
    <i r="1" i="1">
      <x v="1"/>
    </i>
    <i>
      <x v="4"/>
      <x/>
    </i>
    <i r="1" i="1">
      <x v="1"/>
    </i>
    <i>
      <x v="5"/>
      <x/>
    </i>
    <i r="1" i="1">
      <x v="1"/>
    </i>
    <i>
      <x v="6"/>
      <x/>
    </i>
    <i r="1" i="1">
      <x v="1"/>
    </i>
    <i t="grand">
      <x/>
    </i>
    <i t="grand" i="1">
      <x/>
    </i>
  </colItems>
  <pageFields count="1">
    <pageField fld="7" hier="-1"/>
  </pageFields>
  <dataFields count="2">
    <dataField name="Count of Clause_ID" fld="0" subtotal="count" showDataAs="percentOfRow" baseField="0" baseItem="0" numFmtId="10"/>
    <dataField name="Count of Clause_ID2" fld="0" subtotal="count" baseField="0" baseItem="0"/>
  </dataFields>
  <formats count="41">
    <format dxfId="1095">
      <pivotArea outline="0" collapsedLevelsAreSubtotals="1" fieldPosition="0"/>
    </format>
    <format dxfId="1094">
      <pivotArea outline="0" fieldPosition="0">
        <references count="1">
          <reference field="4294967294" count="1">
            <x v="0"/>
          </reference>
        </references>
      </pivotArea>
    </format>
    <format dxfId="1093">
      <pivotArea outline="0" fieldPosition="0">
        <references count="3">
          <reference field="4294967294" count="1" selected="0">
            <x v="0"/>
          </reference>
          <reference field="14" count="1" selected="0">
            <x v="2"/>
          </reference>
          <reference field="36" count="1" selected="0">
            <x v="0"/>
          </reference>
        </references>
      </pivotArea>
    </format>
    <format dxfId="1092">
      <pivotArea outline="0" fieldPosition="0">
        <references count="3">
          <reference field="4294967294" count="1" selected="0">
            <x v="0"/>
          </reference>
          <reference field="14" count="1" selected="0">
            <x v="2"/>
          </reference>
          <reference field="36" count="1" selected="0">
            <x v="1"/>
          </reference>
        </references>
      </pivotArea>
    </format>
    <format dxfId="1091">
      <pivotArea field="14" grandRow="1" outline="0" axis="axisCol" fieldPosition="0">
        <references count="2">
          <reference field="4294967294" count="1" selected="0">
            <x v="0"/>
          </reference>
          <reference field="14" count="1" selected="0">
            <x v="2"/>
          </reference>
        </references>
      </pivotArea>
    </format>
    <format dxfId="1090">
      <pivotArea outline="0" fieldPosition="0">
        <references count="2">
          <reference field="4294967294" count="1" selected="0">
            <x v="0"/>
          </reference>
          <reference field="14" count="1" selected="0">
            <x v="4"/>
          </reference>
        </references>
      </pivotArea>
    </format>
    <format dxfId="1089">
      <pivotArea outline="0" fieldPosition="0">
        <references count="2">
          <reference field="4294967294" count="1" selected="0">
            <x v="0"/>
          </reference>
          <reference field="14" count="1" selected="0">
            <x v="5"/>
          </reference>
        </references>
      </pivotArea>
    </format>
    <format dxfId="1088">
      <pivotArea outline="0" fieldPosition="0">
        <references count="2">
          <reference field="4294967294" count="1" selected="0">
            <x v="0"/>
          </reference>
          <reference field="14" count="1" selected="0">
            <x v="6"/>
          </reference>
        </references>
      </pivotArea>
    </format>
    <format dxfId="1087">
      <pivotArea field="14" grandCol="1" outline="0" axis="axisCol" fieldPosition="0">
        <references count="1">
          <reference field="4294967294" count="1" selected="0">
            <x v="0"/>
          </reference>
        </references>
      </pivotArea>
    </format>
    <format dxfId="219">
      <pivotArea type="all" dataOnly="0" outline="0" fieldPosition="0"/>
    </format>
    <format dxfId="218">
      <pivotArea outline="0" collapsedLevelsAreSubtotals="1" fieldPosition="0"/>
    </format>
    <format dxfId="217">
      <pivotArea type="origin" dataOnly="0" labelOnly="1" outline="0" fieldPosition="0"/>
    </format>
    <format dxfId="216">
      <pivotArea field="14" type="button" dataOnly="0" labelOnly="1" outline="0" axis="axisCol" fieldPosition="0"/>
    </format>
    <format dxfId="215">
      <pivotArea field="-2" type="button" dataOnly="0" labelOnly="1" outline="0" axis="axisCol" fieldPosition="1"/>
    </format>
    <format dxfId="214">
      <pivotArea type="topRight" dataOnly="0" labelOnly="1" outline="0" fieldPosition="0"/>
    </format>
    <format dxfId="213">
      <pivotArea field="36" type="button" dataOnly="0" labelOnly="1" outline="0" axis="axisRow" fieldPosition="0"/>
    </format>
    <format dxfId="212">
      <pivotArea dataOnly="0" labelOnly="1" outline="0" fieldPosition="0">
        <references count="1">
          <reference field="36" count="2">
            <x v="0"/>
            <x v="1"/>
          </reference>
        </references>
      </pivotArea>
    </format>
    <format dxfId="211">
      <pivotArea dataOnly="0" labelOnly="1" grandRow="1" outline="0" fieldPosition="0"/>
    </format>
    <format dxfId="210">
      <pivotArea dataOnly="0" labelOnly="1" outline="0" fieldPosition="0">
        <references count="1">
          <reference field="14" count="4">
            <x v="2"/>
            <x v="4"/>
            <x v="5"/>
            <x v="6"/>
          </reference>
        </references>
      </pivotArea>
    </format>
    <format dxfId="209">
      <pivotArea field="14" dataOnly="0" labelOnly="1" grandCol="1" outline="0" axis="axisCol" fieldPosition="0">
        <references count="1">
          <reference field="4294967294" count="1" selected="0">
            <x v="0"/>
          </reference>
        </references>
      </pivotArea>
    </format>
    <format dxfId="207">
      <pivotArea field="14" dataOnly="0" labelOnly="1" grandCol="1" outline="0" axis="axisCol" fieldPosition="0">
        <references count="1">
          <reference field="4294967294" count="1" selected="0">
            <x v="1"/>
          </reference>
        </references>
      </pivotArea>
    </format>
    <format dxfId="205">
      <pivotArea dataOnly="0" labelOnly="1" outline="0" fieldPosition="0">
        <references count="2">
          <reference field="4294967294" count="2">
            <x v="0"/>
            <x v="1"/>
          </reference>
          <reference field="14" count="1" selected="0">
            <x v="2"/>
          </reference>
        </references>
      </pivotArea>
    </format>
    <format dxfId="204">
      <pivotArea dataOnly="0" labelOnly="1" outline="0" fieldPosition="0">
        <references count="2">
          <reference field="4294967294" count="2">
            <x v="0"/>
            <x v="1"/>
          </reference>
          <reference field="14" count="1" selected="0">
            <x v="4"/>
          </reference>
        </references>
      </pivotArea>
    </format>
    <format dxfId="203">
      <pivotArea dataOnly="0" labelOnly="1" outline="0" fieldPosition="0">
        <references count="2">
          <reference field="4294967294" count="2">
            <x v="0"/>
            <x v="1"/>
          </reference>
          <reference field="14" count="1" selected="0">
            <x v="5"/>
          </reference>
        </references>
      </pivotArea>
    </format>
    <format dxfId="202">
      <pivotArea dataOnly="0" labelOnly="1" outline="0" fieldPosition="0">
        <references count="2">
          <reference field="4294967294" count="2">
            <x v="0"/>
            <x v="1"/>
          </reference>
          <reference field="14" count="1" selected="0">
            <x v="6"/>
          </reference>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14" type="button" dataOnly="0" labelOnly="1" outline="0" axis="axisCol" fieldPosition="0"/>
    </format>
    <format dxfId="97">
      <pivotArea field="-2" type="button" dataOnly="0" labelOnly="1" outline="0" axis="axisCol" fieldPosition="1"/>
    </format>
    <format dxfId="96">
      <pivotArea type="topRight" dataOnly="0" labelOnly="1" outline="0" fieldPosition="0"/>
    </format>
    <format dxfId="95">
      <pivotArea field="36" type="button" dataOnly="0" labelOnly="1" outline="0" axis="axisRow" fieldPosition="0"/>
    </format>
    <format dxfId="94">
      <pivotArea dataOnly="0" labelOnly="1" outline="0" fieldPosition="0">
        <references count="1">
          <reference field="36" count="2">
            <x v="0"/>
            <x v="1"/>
          </reference>
        </references>
      </pivotArea>
    </format>
    <format dxfId="93">
      <pivotArea dataOnly="0" labelOnly="1" grandRow="1" outline="0" fieldPosition="0"/>
    </format>
    <format dxfId="92">
      <pivotArea dataOnly="0" labelOnly="1" outline="0" fieldPosition="0">
        <references count="1">
          <reference field="14" count="4">
            <x v="2"/>
            <x v="4"/>
            <x v="5"/>
            <x v="6"/>
          </reference>
        </references>
      </pivotArea>
    </format>
    <format dxfId="91">
      <pivotArea field="14" dataOnly="0" labelOnly="1" grandCol="1" outline="0" axis="axisCol" fieldPosition="0">
        <references count="1">
          <reference field="4294967294" count="1" selected="0">
            <x v="0"/>
          </reference>
        </references>
      </pivotArea>
    </format>
    <format dxfId="89">
      <pivotArea field="14" dataOnly="0" labelOnly="1" grandCol="1" outline="0" axis="axisCol" fieldPosition="0">
        <references count="1">
          <reference field="4294967294" count="1" selected="0">
            <x v="1"/>
          </reference>
        </references>
      </pivotArea>
    </format>
    <format dxfId="87">
      <pivotArea dataOnly="0" labelOnly="1" outline="0" fieldPosition="0">
        <references count="2">
          <reference field="4294967294" count="2">
            <x v="0"/>
            <x v="1"/>
          </reference>
          <reference field="14" count="1" selected="0">
            <x v="2"/>
          </reference>
        </references>
      </pivotArea>
    </format>
    <format dxfId="86">
      <pivotArea dataOnly="0" labelOnly="1" outline="0" fieldPosition="0">
        <references count="2">
          <reference field="4294967294" count="2">
            <x v="0"/>
            <x v="1"/>
          </reference>
          <reference field="14" count="1" selected="0">
            <x v="4"/>
          </reference>
        </references>
      </pivotArea>
    </format>
    <format dxfId="85">
      <pivotArea dataOnly="0" labelOnly="1" outline="0" fieldPosition="0">
        <references count="2">
          <reference field="4294967294" count="2">
            <x v="0"/>
            <x v="1"/>
          </reference>
          <reference field="14" count="1" selected="0">
            <x v="5"/>
          </reference>
        </references>
      </pivotArea>
    </format>
    <format dxfId="84">
      <pivotArea dataOnly="0" labelOnly="1" outline="0" fieldPosition="0">
        <references count="2">
          <reference field="4294967294" count="2">
            <x v="0"/>
            <x v="1"/>
          </reference>
          <reference field="1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A14829C-FA51-CC40-8CD1-2736BE18D449}" name="PivotTable110"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Y3:AB7" firstHeaderRow="1" firstDataRow="2" firstDataCol="1"/>
  <pivotFields count="3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h="1" x="3"/>
        <item x="0"/>
        <item h="1" x="4"/>
        <item x="1"/>
        <item h="1" x="2"/>
        <item t="default"/>
      </items>
    </pivotField>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s>
  <rowFields count="1">
    <field x="7"/>
  </rowFields>
  <rowItems count="3">
    <i>
      <x v="1"/>
    </i>
    <i>
      <x v="3"/>
    </i>
    <i t="grand">
      <x/>
    </i>
  </rowItems>
  <colFields count="1">
    <field x="36"/>
  </colFields>
  <colItems count="3">
    <i>
      <x/>
    </i>
    <i>
      <x v="1"/>
    </i>
    <i t="grand">
      <x/>
    </i>
  </colItems>
  <dataFields count="1">
    <dataField name="Count of Clause_ID" fld="0" subtotal="count" baseField="0" baseItem="0" numFmtId="1"/>
  </dataFields>
  <formats count="23">
    <format dxfId="1098">
      <pivotArea outline="0" collapsedLevelsAreSubtotals="1" fieldPosition="0"/>
    </format>
    <format dxfId="1097">
      <pivotArea outline="0" fieldPosition="0">
        <references count="2">
          <reference field="7" count="1" selected="0">
            <x v="3"/>
          </reference>
          <reference field="36" count="1" selected="0">
            <x v="0"/>
          </reference>
        </references>
      </pivotArea>
    </format>
    <format dxfId="1096">
      <pivotArea outline="0" fieldPosition="0">
        <references count="2">
          <reference field="7" count="1" selected="0">
            <x v="1"/>
          </reference>
          <reference field="36" count="1" selected="0">
            <x v="1"/>
          </reference>
        </references>
      </pivotArea>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36" type="button" dataOnly="0" labelOnly="1" outline="0" axis="axisCol" fieldPosition="0"/>
    </format>
    <format dxfId="197">
      <pivotArea type="topRight" dataOnly="0" labelOnly="1" outline="0" fieldPosition="0"/>
    </format>
    <format dxfId="196">
      <pivotArea field="7" type="button" dataOnly="0" labelOnly="1" outline="0" axis="axisRow" fieldPosition="0"/>
    </format>
    <format dxfId="195">
      <pivotArea dataOnly="0" labelOnly="1" outline="0" fieldPosition="0">
        <references count="1">
          <reference field="7" count="0"/>
        </references>
      </pivotArea>
    </format>
    <format dxfId="194">
      <pivotArea dataOnly="0" labelOnly="1" grandRow="1" outline="0" fieldPosition="0"/>
    </format>
    <format dxfId="193">
      <pivotArea dataOnly="0" labelOnly="1" outline="0" fieldPosition="0">
        <references count="1">
          <reference field="36" count="2">
            <x v="0"/>
            <x v="1"/>
          </reference>
        </references>
      </pivotArea>
    </format>
    <format dxfId="192">
      <pivotArea dataOnly="0" labelOnly="1" grandCol="1" outline="0" fieldPosition="0"/>
    </format>
    <format dxfId="83">
      <pivotArea type="all" dataOnly="0" outline="0" fieldPosition="0"/>
    </format>
    <format dxfId="82">
      <pivotArea outline="0" collapsedLevelsAreSubtotals="1" fieldPosition="0"/>
    </format>
    <format dxfId="81">
      <pivotArea type="origin" dataOnly="0" labelOnly="1" outline="0" fieldPosition="0"/>
    </format>
    <format dxfId="80">
      <pivotArea field="36" type="button" dataOnly="0" labelOnly="1" outline="0" axis="axisCol" fieldPosition="0"/>
    </format>
    <format dxfId="79">
      <pivotArea type="topRight" dataOnly="0" labelOnly="1" outline="0" fieldPosition="0"/>
    </format>
    <format dxfId="78">
      <pivotArea field="7" type="button" dataOnly="0" labelOnly="1" outline="0" axis="axisRow" fieldPosition="0"/>
    </format>
    <format dxfId="77">
      <pivotArea dataOnly="0" labelOnly="1" outline="0" fieldPosition="0">
        <references count="1">
          <reference field="7" count="0"/>
        </references>
      </pivotArea>
    </format>
    <format dxfId="76">
      <pivotArea dataOnly="0" labelOnly="1" grandRow="1" outline="0" fieldPosition="0"/>
    </format>
    <format dxfId="75">
      <pivotArea dataOnly="0" labelOnly="1" outline="0" fieldPosition="0">
        <references count="1">
          <reference field="36" count="2">
            <x v="0"/>
            <x v="1"/>
          </reference>
        </references>
      </pivotArea>
    </format>
    <format dxfId="7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B33A3DE-E725-5641-AF35-BC5C4D8540EF}" name="PivotTable108"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M10" firstHeaderRow="1" firstDataRow="3" firstDataCol="1" rowPageCount="1" colPageCount="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axis="axisPage" compact="0" outline="0" multipleItemSelectionAllowed="1" showAll="0">
      <items count="6">
        <item h="1" x="2"/>
        <item x="1"/>
        <item h="1" x="4"/>
        <item h="1"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axis="axisCol" compact="0" outline="0" showAll="0">
      <items count="8">
        <item x="6"/>
        <item x="2"/>
        <item x="1"/>
        <item x="4"/>
        <item x="0"/>
        <item x="5"/>
        <item x="3"/>
        <item t="default"/>
      </items>
    </pivotField>
    <pivotField compact="0" outline="0" showAll="0"/>
    <pivotField compact="0" outline="0" showAll="0">
      <items count="3">
        <item x="1"/>
        <item x="0"/>
        <item t="default"/>
      </items>
    </pivotField>
    <pivotField compact="0" outline="0" showAll="0"/>
  </pivotFields>
  <rowFields count="1">
    <field x="43"/>
  </rowFields>
  <rowItems count="3">
    <i>
      <x/>
    </i>
    <i>
      <x v="1"/>
    </i>
    <i t="grand">
      <x/>
    </i>
  </rowItems>
  <colFields count="2">
    <field x="44"/>
    <field x="-2"/>
  </colFields>
  <colItems count="12">
    <i>
      <x v="1"/>
      <x/>
    </i>
    <i r="1" i="1">
      <x v="1"/>
    </i>
    <i>
      <x v="2"/>
      <x/>
    </i>
    <i r="1" i="1">
      <x v="1"/>
    </i>
    <i>
      <x v="3"/>
      <x/>
    </i>
    <i r="1" i="1">
      <x v="1"/>
    </i>
    <i>
      <x v="4"/>
      <x/>
    </i>
    <i r="1" i="1">
      <x v="1"/>
    </i>
    <i>
      <x v="5"/>
      <x/>
    </i>
    <i r="1" i="1">
      <x v="1"/>
    </i>
    <i t="grand">
      <x/>
    </i>
    <i t="grand" i="1">
      <x/>
    </i>
  </colItems>
  <pageFields count="1">
    <pageField fld="31" hier="-1"/>
  </pageFields>
  <dataFields count="2">
    <dataField name="Count of HeikeCh2" fld="0" subtotal="count" showDataAs="percentOfRow" baseField="0" baseItem="0" numFmtId="10"/>
    <dataField name="Count of HeikeCh2_2" fld="0" subtotal="count" baseField="0" baseItem="0"/>
  </dataFields>
  <formats count="34">
    <format dxfId="191">
      <pivotArea type="all" dataOnly="0" outline="0" fieldPosition="0"/>
    </format>
    <format dxfId="190">
      <pivotArea outline="0" collapsedLevelsAreSubtotals="1" fieldPosition="0"/>
    </format>
    <format dxfId="189">
      <pivotArea type="origin" dataOnly="0" labelOnly="1" outline="0" fieldPosition="0"/>
    </format>
    <format dxfId="188">
      <pivotArea field="44" type="button" dataOnly="0" labelOnly="1" outline="0" axis="axisCol" fieldPosition="0"/>
    </format>
    <format dxfId="187">
      <pivotArea field="-2" type="button" dataOnly="0" labelOnly="1" outline="0" axis="axisCol" fieldPosition="1"/>
    </format>
    <format dxfId="186">
      <pivotArea type="topRight" dataOnly="0" labelOnly="1" outline="0" fieldPosition="0"/>
    </format>
    <format dxfId="185">
      <pivotArea field="43" type="button" dataOnly="0" labelOnly="1" outline="0" axis="axisRow" fieldPosition="0"/>
    </format>
    <format dxfId="184">
      <pivotArea dataOnly="0" labelOnly="1" outline="0" fieldPosition="0">
        <references count="1">
          <reference field="43" count="0"/>
        </references>
      </pivotArea>
    </format>
    <format dxfId="183">
      <pivotArea dataOnly="0" labelOnly="1" grandRow="1" outline="0" fieldPosition="0"/>
    </format>
    <format dxfId="182">
      <pivotArea dataOnly="0" labelOnly="1" outline="0" fieldPosition="0">
        <references count="1">
          <reference field="44" count="5">
            <x v="1"/>
            <x v="2"/>
            <x v="3"/>
            <x v="4"/>
            <x v="5"/>
          </reference>
        </references>
      </pivotArea>
    </format>
    <format dxfId="181">
      <pivotArea field="44" dataOnly="0" labelOnly="1" grandCol="1" outline="0" axis="axisCol" fieldPosition="0">
        <references count="1">
          <reference field="4294967294" count="1" selected="0">
            <x v="0"/>
          </reference>
        </references>
      </pivotArea>
    </format>
    <format dxfId="179">
      <pivotArea field="44" dataOnly="0" labelOnly="1" grandCol="1" outline="0" axis="axisCol" fieldPosition="0">
        <references count="1">
          <reference field="4294967294" count="1" selected="0">
            <x v="1"/>
          </reference>
        </references>
      </pivotArea>
    </format>
    <format dxfId="177">
      <pivotArea dataOnly="0" labelOnly="1" outline="0" fieldPosition="0">
        <references count="2">
          <reference field="4294967294" count="2">
            <x v="0"/>
            <x v="1"/>
          </reference>
          <reference field="44" count="1" selected="0">
            <x v="1"/>
          </reference>
        </references>
      </pivotArea>
    </format>
    <format dxfId="176">
      <pivotArea dataOnly="0" labelOnly="1" outline="0" fieldPosition="0">
        <references count="2">
          <reference field="4294967294" count="2">
            <x v="0"/>
            <x v="1"/>
          </reference>
          <reference field="44" count="1" selected="0">
            <x v="2"/>
          </reference>
        </references>
      </pivotArea>
    </format>
    <format dxfId="175">
      <pivotArea dataOnly="0" labelOnly="1" outline="0" fieldPosition="0">
        <references count="2">
          <reference field="4294967294" count="2">
            <x v="0"/>
            <x v="1"/>
          </reference>
          <reference field="44" count="1" selected="0">
            <x v="3"/>
          </reference>
        </references>
      </pivotArea>
    </format>
    <format dxfId="174">
      <pivotArea dataOnly="0" labelOnly="1" outline="0" fieldPosition="0">
        <references count="2">
          <reference field="4294967294" count="2">
            <x v="0"/>
            <x v="1"/>
          </reference>
          <reference field="44" count="1" selected="0">
            <x v="4"/>
          </reference>
        </references>
      </pivotArea>
    </format>
    <format dxfId="173">
      <pivotArea dataOnly="0" labelOnly="1" outline="0" fieldPosition="0">
        <references count="2">
          <reference field="4294967294" count="2">
            <x v="0"/>
            <x v="1"/>
          </reference>
          <reference field="44" count="1" selected="0">
            <x v="5"/>
          </reference>
        </references>
      </pivotArea>
    </format>
    <format dxfId="73">
      <pivotArea type="all" dataOnly="0" outline="0" fieldPosition="0"/>
    </format>
    <format dxfId="72">
      <pivotArea outline="0" collapsedLevelsAreSubtotals="1" fieldPosition="0"/>
    </format>
    <format dxfId="71">
      <pivotArea type="origin" dataOnly="0" labelOnly="1" outline="0" fieldPosition="0"/>
    </format>
    <format dxfId="70">
      <pivotArea field="44" type="button" dataOnly="0" labelOnly="1" outline="0" axis="axisCol" fieldPosition="0"/>
    </format>
    <format dxfId="69">
      <pivotArea field="-2" type="button" dataOnly="0" labelOnly="1" outline="0" axis="axisCol" fieldPosition="1"/>
    </format>
    <format dxfId="68">
      <pivotArea type="topRight" dataOnly="0" labelOnly="1" outline="0" fieldPosition="0"/>
    </format>
    <format dxfId="67">
      <pivotArea field="43" type="button" dataOnly="0" labelOnly="1" outline="0" axis="axisRow" fieldPosition="0"/>
    </format>
    <format dxfId="66">
      <pivotArea dataOnly="0" labelOnly="1" outline="0" fieldPosition="0">
        <references count="1">
          <reference field="43" count="0"/>
        </references>
      </pivotArea>
    </format>
    <format dxfId="65">
      <pivotArea dataOnly="0" labelOnly="1" grandRow="1" outline="0" fieldPosition="0"/>
    </format>
    <format dxfId="64">
      <pivotArea dataOnly="0" labelOnly="1" outline="0" fieldPosition="0">
        <references count="1">
          <reference field="44" count="5">
            <x v="1"/>
            <x v="2"/>
            <x v="3"/>
            <x v="4"/>
            <x v="5"/>
          </reference>
        </references>
      </pivotArea>
    </format>
    <format dxfId="63">
      <pivotArea field="44" dataOnly="0" labelOnly="1" grandCol="1" outline="0" axis="axisCol" fieldPosition="0">
        <references count="1">
          <reference field="4294967294" count="1" selected="0">
            <x v="0"/>
          </reference>
        </references>
      </pivotArea>
    </format>
    <format dxfId="61">
      <pivotArea field="44" dataOnly="0" labelOnly="1" grandCol="1" outline="0" axis="axisCol" fieldPosition="0">
        <references count="1">
          <reference field="4294967294" count="1" selected="0">
            <x v="1"/>
          </reference>
        </references>
      </pivotArea>
    </format>
    <format dxfId="59">
      <pivotArea dataOnly="0" labelOnly="1" outline="0" fieldPosition="0">
        <references count="2">
          <reference field="4294967294" count="2">
            <x v="0"/>
            <x v="1"/>
          </reference>
          <reference field="44" count="1" selected="0">
            <x v="1"/>
          </reference>
        </references>
      </pivotArea>
    </format>
    <format dxfId="58">
      <pivotArea dataOnly="0" labelOnly="1" outline="0" fieldPosition="0">
        <references count="2">
          <reference field="4294967294" count="2">
            <x v="0"/>
            <x v="1"/>
          </reference>
          <reference field="44" count="1" selected="0">
            <x v="2"/>
          </reference>
        </references>
      </pivotArea>
    </format>
    <format dxfId="57">
      <pivotArea dataOnly="0" labelOnly="1" outline="0" fieldPosition="0">
        <references count="2">
          <reference field="4294967294" count="2">
            <x v="0"/>
            <x v="1"/>
          </reference>
          <reference field="44" count="1" selected="0">
            <x v="3"/>
          </reference>
        </references>
      </pivotArea>
    </format>
    <format dxfId="56">
      <pivotArea dataOnly="0" labelOnly="1" outline="0" fieldPosition="0">
        <references count="2">
          <reference field="4294967294" count="2">
            <x v="0"/>
            <x v="1"/>
          </reference>
          <reference field="44" count="1" selected="0">
            <x v="4"/>
          </reference>
        </references>
      </pivotArea>
    </format>
    <format dxfId="55">
      <pivotArea dataOnly="0" labelOnly="1" outline="0" fieldPosition="0">
        <references count="2">
          <reference field="4294967294" count="2">
            <x v="0"/>
            <x v="1"/>
          </reference>
          <reference field="4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F0F7EDEE-D547-D84B-A057-3523528363E5}" name="PivotTable106"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G21" firstHeaderRow="1" firstDataRow="3" firstDataCol="1" rowPageCount="1" colPageCount="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h="1" x="2"/>
        <item t="default"/>
      </items>
    </pivotField>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axis="axisPage" compact="0" outline="0" multipleItemSelectionAllowed="1" showAll="0">
      <items count="6">
        <item h="1" x="2"/>
        <item x="1"/>
        <item h="1" x="4"/>
        <item h="1"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8">
        <item x="6"/>
        <item x="2"/>
        <item x="1"/>
        <item x="4"/>
        <item x="0"/>
        <item x="5"/>
        <item x="3"/>
        <item t="default"/>
      </items>
    </pivotField>
    <pivotField compact="0" outline="0" showAll="0"/>
    <pivotField compact="0" outline="0" showAll="0">
      <items count="3">
        <item x="1"/>
        <item x="0"/>
        <item t="default"/>
      </items>
    </pivotField>
    <pivotField compact="0" outline="0" showAll="0"/>
  </pivotFields>
  <rowFields count="1">
    <field x="43"/>
  </rowFields>
  <rowItems count="3">
    <i>
      <x/>
    </i>
    <i>
      <x v="1"/>
    </i>
    <i t="grand">
      <x/>
    </i>
  </rowItems>
  <colFields count="2">
    <field x="-2"/>
    <field x="23"/>
  </colFields>
  <colItems count="6">
    <i>
      <x/>
      <x/>
    </i>
    <i r="1">
      <x v="1"/>
    </i>
    <i i="1">
      <x v="1"/>
      <x/>
    </i>
    <i r="1" i="1">
      <x v="1"/>
    </i>
    <i t="grand">
      <x/>
    </i>
    <i t="grand" i="1">
      <x/>
    </i>
  </colItems>
  <pageFields count="1">
    <pageField fld="31" hier="-1"/>
  </pageFields>
  <dataFields count="2">
    <dataField name="Count of HeikeCh2" fld="0" subtotal="count" showDataAs="percentOfRow" baseField="0" baseItem="0" numFmtId="10"/>
    <dataField name="Count of HeikeCh2_2" fld="0" subtotal="count" baseField="0" baseItem="0"/>
  </dataFields>
  <formats count="30">
    <format dxfId="1100">
      <pivotArea outline="0" fieldPosition="0">
        <references count="2">
          <reference field="4294967294" count="1" selected="0">
            <x v="0"/>
          </reference>
          <reference field="23" count="0" selected="0"/>
        </references>
      </pivotArea>
    </format>
    <format dxfId="1099">
      <pivotArea field="23" grandCol="1" outline="0" axis="axisCol" fieldPosition="1">
        <references count="1">
          <reference field="4294967294" count="1" selected="0">
            <x v="0"/>
          </reference>
        </references>
      </pivotArea>
    </format>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2" type="button" dataOnly="0" labelOnly="1" outline="0" axis="axisCol" fieldPosition="0"/>
    </format>
    <format dxfId="168">
      <pivotArea field="23" type="button" dataOnly="0" labelOnly="1" outline="0" axis="axisCol" fieldPosition="1"/>
    </format>
    <format dxfId="167">
      <pivotArea type="topRight" dataOnly="0" labelOnly="1" outline="0" fieldPosition="0"/>
    </format>
    <format dxfId="166">
      <pivotArea field="43" type="button" dataOnly="0" labelOnly="1" outline="0" axis="axisRow" fieldPosition="0"/>
    </format>
    <format dxfId="165">
      <pivotArea dataOnly="0" labelOnly="1" outline="0" fieldPosition="0">
        <references count="1">
          <reference field="43" count="0"/>
        </references>
      </pivotArea>
    </format>
    <format dxfId="164">
      <pivotArea dataOnly="0" labelOnly="1" grandRow="1" outline="0" fieldPosition="0"/>
    </format>
    <format dxfId="163">
      <pivotArea dataOnly="0" labelOnly="1" outline="0" fieldPosition="0">
        <references count="1">
          <reference field="4294967294" count="2">
            <x v="0"/>
            <x v="1"/>
          </reference>
        </references>
      </pivotArea>
    </format>
    <format dxfId="162">
      <pivotArea field="23" dataOnly="0" labelOnly="1" grandCol="1" outline="0" axis="axisCol" fieldPosition="1">
        <references count="1">
          <reference field="4294967294" count="1" selected="0">
            <x v="0"/>
          </reference>
        </references>
      </pivotArea>
    </format>
    <format dxfId="160">
      <pivotArea field="23" dataOnly="0" labelOnly="1" grandCol="1" outline="0" axis="axisCol" fieldPosition="1">
        <references count="1">
          <reference field="4294967294" count="1" selected="0">
            <x v="1"/>
          </reference>
        </references>
      </pivotArea>
    </format>
    <format dxfId="158">
      <pivotArea dataOnly="0" labelOnly="1" outline="0" fieldPosition="0">
        <references count="2">
          <reference field="4294967294" count="1" selected="0">
            <x v="0"/>
          </reference>
          <reference field="23" count="0"/>
        </references>
      </pivotArea>
    </format>
    <format dxfId="157">
      <pivotArea dataOnly="0" labelOnly="1" outline="0" fieldPosition="0">
        <references count="2">
          <reference field="4294967294" count="1" selected="0">
            <x v="1"/>
          </reference>
          <reference field="23" count="0"/>
        </references>
      </pivotArea>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2" type="button" dataOnly="0" labelOnly="1" outline="0" axis="axisCol" fieldPosition="0"/>
    </format>
    <format dxfId="50">
      <pivotArea field="23" type="button" dataOnly="0" labelOnly="1" outline="0" axis="axisCol" fieldPosition="1"/>
    </format>
    <format dxfId="49">
      <pivotArea type="topRight" dataOnly="0" labelOnly="1" outline="0" fieldPosition="0"/>
    </format>
    <format dxfId="48">
      <pivotArea field="43" type="button" dataOnly="0" labelOnly="1" outline="0" axis="axisRow" fieldPosition="0"/>
    </format>
    <format dxfId="47">
      <pivotArea dataOnly="0" labelOnly="1" outline="0" fieldPosition="0">
        <references count="1">
          <reference field="43" count="0"/>
        </references>
      </pivotArea>
    </format>
    <format dxfId="46">
      <pivotArea dataOnly="0" labelOnly="1" grandRow="1" outline="0" fieldPosition="0"/>
    </format>
    <format dxfId="45">
      <pivotArea dataOnly="0" labelOnly="1" outline="0" fieldPosition="0">
        <references count="1">
          <reference field="4294967294" count="2">
            <x v="0"/>
            <x v="1"/>
          </reference>
        </references>
      </pivotArea>
    </format>
    <format dxfId="44">
      <pivotArea field="23" dataOnly="0" labelOnly="1" grandCol="1" outline="0" axis="axisCol" fieldPosition="1">
        <references count="1">
          <reference field="4294967294" count="1" selected="0">
            <x v="0"/>
          </reference>
        </references>
      </pivotArea>
    </format>
    <format dxfId="42">
      <pivotArea field="23" dataOnly="0" labelOnly="1" grandCol="1" outline="0" axis="axisCol" fieldPosition="1">
        <references count="1">
          <reference field="4294967294" count="1" selected="0">
            <x v="1"/>
          </reference>
        </references>
      </pivotArea>
    </format>
    <format dxfId="40">
      <pivotArea dataOnly="0" labelOnly="1" outline="0" fieldPosition="0">
        <references count="2">
          <reference field="4294967294" count="1" selected="0">
            <x v="0"/>
          </reference>
          <reference field="23" count="0"/>
        </references>
      </pivotArea>
    </format>
    <format dxfId="39">
      <pivotArea dataOnly="0" labelOnly="1" outline="0" fieldPosition="0">
        <references count="2">
          <reference field="4294967294" count="1" selected="0">
            <x v="1"/>
          </reference>
          <reference field="2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6B563E0-B792-FB43-BD01-1639F8000986}" name="PivotTable118"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0:G45" firstHeaderRow="1" firstDataRow="3" firstDataCol="1"/>
  <pivotFields count="4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3"/>
        <item x="9"/>
        <item x="10"/>
        <item x="6"/>
        <item x="8"/>
        <item x="2"/>
        <item x="7"/>
        <item x="4"/>
        <item x="1"/>
        <item x="0"/>
        <item x="5"/>
        <item t="default"/>
      </items>
    </pivotField>
    <pivotField compact="0" outline="0" showAll="0">
      <items count="11">
        <item x="8"/>
        <item x="7"/>
        <item x="6"/>
        <item x="3"/>
        <item x="5"/>
        <item x="9"/>
        <item x="1"/>
        <item x="4"/>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s>
  <rowFields count="1">
    <field x="43"/>
  </rowFields>
  <rowItems count="3">
    <i>
      <x/>
    </i>
    <i>
      <x v="1"/>
    </i>
    <i t="grand">
      <x/>
    </i>
  </rowItems>
  <colFields count="2">
    <field x="37"/>
    <field x="-2"/>
  </colFields>
  <colItems count="6">
    <i>
      <x/>
      <x/>
    </i>
    <i r="1" i="1">
      <x v="1"/>
    </i>
    <i>
      <x v="1"/>
      <x/>
    </i>
    <i r="1" i="1">
      <x v="1"/>
    </i>
    <i t="grand">
      <x/>
    </i>
    <i t="grand" i="1">
      <x/>
    </i>
  </colItems>
  <dataFields count="2">
    <dataField name="Count of HeikeCh2" fld="0" subtotal="count" showDataAs="percentOfCol" baseField="0" baseItem="0" numFmtId="10"/>
    <dataField name="Count of HeikeCh2_2" fld="0" subtotal="count" baseField="0" baseItem="0"/>
  </dataFields>
  <formats count="28">
    <format dxfId="156">
      <pivotArea type="all" dataOnly="0" outline="0" fieldPosition="0"/>
    </format>
    <format dxfId="155">
      <pivotArea outline="0" collapsedLevelsAreSubtotals="1" fieldPosition="0"/>
    </format>
    <format dxfId="154">
      <pivotArea type="origin" dataOnly="0" labelOnly="1" outline="0" fieldPosition="0"/>
    </format>
    <format dxfId="153">
      <pivotArea field="37" type="button" dataOnly="0" labelOnly="1" outline="0" axis="axisCol" fieldPosition="0"/>
    </format>
    <format dxfId="152">
      <pivotArea field="-2" type="button" dataOnly="0" labelOnly="1" outline="0" axis="axisCol" fieldPosition="1"/>
    </format>
    <format dxfId="151">
      <pivotArea type="topRight" dataOnly="0" labelOnly="1" outline="0" fieldPosition="0"/>
    </format>
    <format dxfId="150">
      <pivotArea field="43" type="button" dataOnly="0" labelOnly="1" outline="0" axis="axisRow" fieldPosition="0"/>
    </format>
    <format dxfId="149">
      <pivotArea dataOnly="0" labelOnly="1" outline="0" fieldPosition="0">
        <references count="1">
          <reference field="43" count="0"/>
        </references>
      </pivotArea>
    </format>
    <format dxfId="148">
      <pivotArea dataOnly="0" labelOnly="1" grandRow="1" outline="0" fieldPosition="0"/>
    </format>
    <format dxfId="147">
      <pivotArea dataOnly="0" labelOnly="1" outline="0" fieldPosition="0">
        <references count="1">
          <reference field="37" count="0"/>
        </references>
      </pivotArea>
    </format>
    <format dxfId="146">
      <pivotArea field="37" dataOnly="0" labelOnly="1" grandCol="1" outline="0" axis="axisCol" fieldPosition="0">
        <references count="1">
          <reference field="4294967294" count="1" selected="0">
            <x v="0"/>
          </reference>
        </references>
      </pivotArea>
    </format>
    <format dxfId="144">
      <pivotArea field="37" dataOnly="0" labelOnly="1" grandCol="1" outline="0" axis="axisCol" fieldPosition="0">
        <references count="1">
          <reference field="4294967294" count="1" selected="0">
            <x v="1"/>
          </reference>
        </references>
      </pivotArea>
    </format>
    <format dxfId="142">
      <pivotArea dataOnly="0" labelOnly="1" outline="0" fieldPosition="0">
        <references count="2">
          <reference field="4294967294" count="2">
            <x v="0"/>
            <x v="1"/>
          </reference>
          <reference field="37" count="1" selected="0">
            <x v="0"/>
          </reference>
        </references>
      </pivotArea>
    </format>
    <format dxfId="141">
      <pivotArea dataOnly="0" labelOnly="1" outline="0" fieldPosition="0">
        <references count="2">
          <reference field="4294967294" count="2">
            <x v="0"/>
            <x v="1"/>
          </reference>
          <reference field="37" count="1" selected="0">
            <x v="1"/>
          </reference>
        </references>
      </pivotArea>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37" type="button" dataOnly="0" labelOnly="1" outline="0" axis="axisCol" fieldPosition="0"/>
    </format>
    <format dxfId="34">
      <pivotArea field="-2" type="button" dataOnly="0" labelOnly="1" outline="0" axis="axisCol" fieldPosition="1"/>
    </format>
    <format dxfId="33">
      <pivotArea type="topRight" dataOnly="0" labelOnly="1" outline="0" fieldPosition="0"/>
    </format>
    <format dxfId="32">
      <pivotArea field="43" type="button" dataOnly="0" labelOnly="1" outline="0" axis="axisRow" fieldPosition="0"/>
    </format>
    <format dxfId="31">
      <pivotArea dataOnly="0" labelOnly="1" outline="0" fieldPosition="0">
        <references count="1">
          <reference field="43" count="0"/>
        </references>
      </pivotArea>
    </format>
    <format dxfId="30">
      <pivotArea dataOnly="0" labelOnly="1" grandRow="1" outline="0" fieldPosition="0"/>
    </format>
    <format dxfId="29">
      <pivotArea dataOnly="0" labelOnly="1" outline="0" fieldPosition="0">
        <references count="1">
          <reference field="37" count="0"/>
        </references>
      </pivotArea>
    </format>
    <format dxfId="28">
      <pivotArea field="37" dataOnly="0" labelOnly="1" grandCol="1" outline="0" axis="axisCol" fieldPosition="0">
        <references count="1">
          <reference field="4294967294" count="1" selected="0">
            <x v="0"/>
          </reference>
        </references>
      </pivotArea>
    </format>
    <format dxfId="26">
      <pivotArea field="37" dataOnly="0" labelOnly="1" grandCol="1" outline="0" axis="axisCol" fieldPosition="0">
        <references count="1">
          <reference field="4294967294" count="1" selected="0">
            <x v="1"/>
          </reference>
        </references>
      </pivotArea>
    </format>
    <format dxfId="24">
      <pivotArea dataOnly="0" labelOnly="1" outline="0" fieldPosition="0">
        <references count="2">
          <reference field="4294967294" count="2">
            <x v="0"/>
            <x v="1"/>
          </reference>
          <reference field="37" count="1" selected="0">
            <x v="0"/>
          </reference>
        </references>
      </pivotArea>
    </format>
    <format dxfId="23">
      <pivotArea dataOnly="0" labelOnly="1" outline="0" fieldPosition="0">
        <references count="2">
          <reference field="4294967294" count="2">
            <x v="0"/>
            <x v="1"/>
          </reference>
          <reference field="3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5BAEA0C6-79F6-BC4C-90BA-7BA3C40BC86D}" name="PivotTable11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G35" firstHeaderRow="1" firstDataRow="3" firstDataCol="1"/>
  <pivotFields count="38">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5"/>
        <item x="12"/>
        <item x="0"/>
        <item x="7"/>
        <item x="11"/>
        <item x="3"/>
        <item x="8"/>
        <item x="9"/>
        <item x="10"/>
        <item x="1"/>
        <item x="13"/>
        <item x="2"/>
        <item x="4"/>
        <item x="6"/>
        <item t="default"/>
      </items>
    </pivotField>
    <pivotField compact="0" outline="0" showAll="0">
      <items count="6">
        <item h="1" x="3"/>
        <item x="0"/>
        <item h="1" x="4"/>
        <item x="1"/>
        <item h="1" x="2"/>
        <item t="default"/>
      </items>
    </pivotField>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h="1" x="9"/>
        <item x="6"/>
        <item x="5"/>
        <item x="2"/>
        <item x="4"/>
        <item h="1" x="8"/>
        <item x="0"/>
        <item x="3"/>
        <item x="1"/>
        <item h="1" x="7"/>
        <item t="default"/>
      </items>
    </pivotField>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0"/>
        <item h="1" x="2"/>
        <item t="default"/>
      </items>
    </pivotField>
    <pivotField compact="0" outline="0" showAll="0"/>
  </pivotFields>
  <rowFields count="1">
    <field x="21"/>
  </rowFields>
  <rowItems count="8">
    <i>
      <x v="1"/>
    </i>
    <i>
      <x v="2"/>
    </i>
    <i>
      <x v="3"/>
    </i>
    <i>
      <x v="4"/>
    </i>
    <i>
      <x v="6"/>
    </i>
    <i>
      <x v="7"/>
    </i>
    <i>
      <x v="8"/>
    </i>
    <i t="grand">
      <x/>
    </i>
  </rowItems>
  <colFields count="2">
    <field x="36"/>
    <field x="-2"/>
  </colFields>
  <colItems count="6">
    <i>
      <x/>
      <x/>
    </i>
    <i r="1" i="1">
      <x v="1"/>
    </i>
    <i>
      <x v="1"/>
      <x/>
    </i>
    <i r="1" i="1">
      <x v="1"/>
    </i>
    <i t="grand">
      <x/>
    </i>
    <i t="grand" i="1">
      <x/>
    </i>
  </colItems>
  <dataFields count="2">
    <dataField name="Count of Clause_ID" fld="0" subtotal="count" showDataAs="percentOfCol" baseField="0" baseItem="0" numFmtId="10"/>
    <dataField name="Count of Clause_ID2" fld="0" subtotal="count" baseField="0" baseItem="0"/>
  </dataFields>
  <formats count="34">
    <format dxfId="1106">
      <pivotArea outline="0" collapsedLevelsAreSubtotals="1" fieldPosition="0"/>
    </format>
    <format dxfId="1105">
      <pivotArea outline="0" fieldPosition="0">
        <references count="1">
          <reference field="4294967294" count="1">
            <x v="0"/>
          </reference>
        </references>
      </pivotArea>
    </format>
    <format dxfId="1104">
      <pivotArea outline="0" fieldPosition="0">
        <references count="3">
          <reference field="4294967294" count="1" selected="0">
            <x v="0"/>
          </reference>
          <reference field="21" count="1" selected="0">
            <x v="8"/>
          </reference>
          <reference field="36" count="1" selected="0">
            <x v="0"/>
          </reference>
        </references>
      </pivotArea>
    </format>
    <format dxfId="1103">
      <pivotArea outline="0" fieldPosition="0">
        <references count="3">
          <reference field="4294967294" count="1" selected="0">
            <x v="0"/>
          </reference>
          <reference field="21" count="1" selected="0">
            <x v="8"/>
          </reference>
          <reference field="36" count="1" selected="0">
            <x v="0"/>
          </reference>
        </references>
      </pivotArea>
    </format>
    <format dxfId="1102">
      <pivotArea outline="0" fieldPosition="0">
        <references count="3">
          <reference field="4294967294" count="1" selected="0">
            <x v="0"/>
          </reference>
          <reference field="21" count="1" selected="0">
            <x v="3"/>
          </reference>
          <reference field="36" count="1" selected="0">
            <x v="1"/>
          </reference>
        </references>
      </pivotArea>
    </format>
    <format dxfId="1101">
      <pivotArea outline="0" fieldPosition="0">
        <references count="3">
          <reference field="4294967294" count="1" selected="0">
            <x v="0"/>
          </reference>
          <reference field="21" count="1" selected="0">
            <x v="7"/>
          </reference>
          <reference field="36" count="1" selected="0">
            <x v="1"/>
          </reference>
        </references>
      </pivotArea>
    </format>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36" type="button" dataOnly="0" labelOnly="1" outline="0" axis="axisCol" fieldPosition="0"/>
    </format>
    <format dxfId="136">
      <pivotArea field="-2" type="button" dataOnly="0" labelOnly="1" outline="0" axis="axisCol" fieldPosition="1"/>
    </format>
    <format dxfId="135">
      <pivotArea type="topRight" dataOnly="0" labelOnly="1" outline="0" fieldPosition="0"/>
    </format>
    <format dxfId="134">
      <pivotArea field="21" type="button" dataOnly="0" labelOnly="1" outline="0" axis="axisRow" fieldPosition="0"/>
    </format>
    <format dxfId="133">
      <pivotArea dataOnly="0" labelOnly="1" outline="0" fieldPosition="0">
        <references count="1">
          <reference field="21" count="0"/>
        </references>
      </pivotArea>
    </format>
    <format dxfId="132">
      <pivotArea dataOnly="0" labelOnly="1" grandRow="1" outline="0" fieldPosition="0"/>
    </format>
    <format dxfId="131">
      <pivotArea dataOnly="0" labelOnly="1" outline="0" fieldPosition="0">
        <references count="1">
          <reference field="36" count="0"/>
        </references>
      </pivotArea>
    </format>
    <format dxfId="130">
      <pivotArea field="36" dataOnly="0" labelOnly="1" grandCol="1" outline="0" axis="axisCol" fieldPosition="0">
        <references count="1">
          <reference field="4294967294" count="1" selected="0">
            <x v="0"/>
          </reference>
        </references>
      </pivotArea>
    </format>
    <format dxfId="128">
      <pivotArea field="36" dataOnly="0" labelOnly="1" grandCol="1" outline="0" axis="axisCol" fieldPosition="0">
        <references count="1">
          <reference field="4294967294" count="1" selected="0">
            <x v="1"/>
          </reference>
        </references>
      </pivotArea>
    </format>
    <format dxfId="126">
      <pivotArea dataOnly="0" labelOnly="1" outline="0" fieldPosition="0">
        <references count="2">
          <reference field="4294967294" count="2">
            <x v="0"/>
            <x v="1"/>
          </reference>
          <reference field="36" count="1" selected="0">
            <x v="0"/>
          </reference>
        </references>
      </pivotArea>
    </format>
    <format dxfId="125">
      <pivotArea dataOnly="0" labelOnly="1" outline="0" fieldPosition="0">
        <references count="2">
          <reference field="4294967294" count="2">
            <x v="0"/>
            <x v="1"/>
          </reference>
          <reference field="36" count="1" selected="0">
            <x v="1"/>
          </reference>
        </references>
      </pivotArea>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36" type="button" dataOnly="0" labelOnly="1" outline="0" axis="axisCol" fieldPosition="0"/>
    </format>
    <format dxfId="18">
      <pivotArea field="-2" type="button" dataOnly="0" labelOnly="1" outline="0" axis="axisCol" fieldPosition="1"/>
    </format>
    <format dxfId="17">
      <pivotArea type="topRight" dataOnly="0" labelOnly="1" outline="0" fieldPosition="0"/>
    </format>
    <format dxfId="16">
      <pivotArea field="21" type="button" dataOnly="0" labelOnly="1" outline="0" axis="axisRow" fieldPosition="0"/>
    </format>
    <format dxfId="15">
      <pivotArea dataOnly="0" labelOnly="1" outline="0" fieldPosition="0">
        <references count="1">
          <reference field="21" count="0"/>
        </references>
      </pivotArea>
    </format>
    <format dxfId="14">
      <pivotArea dataOnly="0" labelOnly="1" grandRow="1" outline="0" fieldPosition="0"/>
    </format>
    <format dxfId="13">
      <pivotArea dataOnly="0" labelOnly="1" outline="0" fieldPosition="0">
        <references count="1">
          <reference field="36" count="0"/>
        </references>
      </pivotArea>
    </format>
    <format dxfId="12">
      <pivotArea field="36" dataOnly="0" labelOnly="1" grandCol="1" outline="0" axis="axisCol" fieldPosition="0">
        <references count="1">
          <reference field="4294967294" count="1" selected="0">
            <x v="0"/>
          </reference>
        </references>
      </pivotArea>
    </format>
    <format dxfId="10">
      <pivotArea field="36" dataOnly="0" labelOnly="1" grandCol="1" outline="0" axis="axisCol" fieldPosition="0">
        <references count="1">
          <reference field="4294967294" count="1" selected="0">
            <x v="1"/>
          </reference>
        </references>
      </pivotArea>
    </format>
    <format dxfId="8">
      <pivotArea dataOnly="0" labelOnly="1" outline="0" fieldPosition="0">
        <references count="2">
          <reference field="4294967294" count="2">
            <x v="0"/>
            <x v="1"/>
          </reference>
          <reference field="36" count="1" selected="0">
            <x v="0"/>
          </reference>
        </references>
      </pivotArea>
    </format>
    <format dxfId="7">
      <pivotArea dataOnly="0" labelOnly="1" outline="0" fieldPosition="0">
        <references count="2">
          <reference field="4294967294" count="2">
            <x v="0"/>
            <x v="1"/>
          </reference>
          <reference field="3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C6608680-C127-BC4A-A0B6-BD1863D2C50B}" name="PivotTable11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2:R5" firstHeaderRow="1" firstDataRow="1" firstDataCol="1"/>
  <pivotFields count="3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5"/>
        <item x="2"/>
        <item x="9"/>
        <item x="8"/>
        <item x="7"/>
        <item x="1"/>
        <item x="4"/>
        <item x="12"/>
        <item x="3"/>
        <item x="10"/>
        <item x="1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3"/>
        <item x="9"/>
        <item x="10"/>
        <item x="6"/>
        <item x="8"/>
        <item x="2"/>
        <item x="11"/>
        <item x="7"/>
        <item x="4"/>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4">
        <item x="1"/>
        <item x="0"/>
        <item h="1" x="2"/>
        <item t="default"/>
      </items>
    </pivotField>
    <pivotField compact="0" outline="0" showAll="0"/>
  </pivotFields>
  <rowFields count="1">
    <field x="36"/>
  </rowFields>
  <rowItems count="3">
    <i>
      <x/>
    </i>
    <i>
      <x v="1"/>
    </i>
    <i t="grand">
      <x/>
    </i>
  </rowItems>
  <colItems count="1">
    <i/>
  </colItems>
  <dataFields count="1">
    <dataField name="Average of RD2" fld="35" subtotal="average" baseField="0" baseItem="0" numFmtId="2"/>
  </dataFields>
  <formats count="13">
    <format dxfId="1107">
      <pivotArea outline="0" collapsedLevelsAreSubtotals="1" fieldPosition="0"/>
    </format>
    <format dxfId="124">
      <pivotArea type="all" dataOnly="0" outline="0" fieldPosition="0"/>
    </format>
    <format dxfId="123">
      <pivotArea outline="0" collapsedLevelsAreSubtotals="1" fieldPosition="0"/>
    </format>
    <format dxfId="122">
      <pivotArea field="36" type="button" dataOnly="0" labelOnly="1" outline="0" axis="axisRow" fieldPosition="0"/>
    </format>
    <format dxfId="121">
      <pivotArea dataOnly="0" labelOnly="1" outline="0" fieldPosition="0">
        <references count="1">
          <reference field="36" count="0"/>
        </references>
      </pivotArea>
    </format>
    <format dxfId="120">
      <pivotArea dataOnly="0" labelOnly="1" grandRow="1" outline="0" fieldPosition="0"/>
    </format>
    <format dxfId="119">
      <pivotArea dataOnly="0" labelOnly="1" outline="0" axis="axisValues" fieldPosition="0"/>
    </format>
    <format dxfId="6">
      <pivotArea type="all" dataOnly="0" outline="0" fieldPosition="0"/>
    </format>
    <format dxfId="5">
      <pivotArea outline="0" collapsedLevelsAreSubtotals="1" fieldPosition="0"/>
    </format>
    <format dxfId="4">
      <pivotArea field="36" type="button" dataOnly="0" labelOnly="1" outline="0" axis="axisRow" fieldPosition="0"/>
    </format>
    <format dxfId="3">
      <pivotArea dataOnly="0" labelOnly="1" outline="0" fieldPosition="0">
        <references count="1">
          <reference field="36"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CDBE3B-FB0C-D74A-BCE7-FCD4450347A8}" name="Table58" displayName="Table58" ref="O103:AZ110" totalsRowShown="0" headerRowDxfId="857" dataDxfId="856">
  <autoFilter ref="O103:AZ110" xr:uid="{22CDBE3B-FB0C-D74A-BCE7-FCD4450347A8}"/>
  <tableColumns count="38">
    <tableColumn id="1" xr3:uid="{F2A04497-D49C-7843-B9BA-2F6A9E164FBA}" name="Clause_ID" dataDxfId="895"/>
    <tableColumn id="2" xr3:uid="{F6B8135A-251C-CD4C-9090-C7025AFCED62}" name="Clause" dataDxfId="894"/>
    <tableColumn id="3" xr3:uid="{71263199-C35E-F140-8448-16C9FC5E5206}" name="Translation" dataDxfId="893"/>
    <tableColumn id="4" xr3:uid="{40D8B01B-38DB-4A40-9864-DA5797182E7D}" name="Predicate" dataDxfId="892"/>
    <tableColumn id="5" xr3:uid="{F12275CB-84D4-2A4B-A4BE-77A4E49D6366}" name="Modality" dataDxfId="891"/>
    <tableColumn id="6" xr3:uid="{9747745D-ED6B-0F47-A33E-DC2B46EB8995}" name="Verb_Semantic_Class" dataDxfId="890"/>
    <tableColumn id="7" xr3:uid="{CADEE159-E8E9-114D-8C20-73F8E4A0EFA5}" name="Pred_Type" dataDxfId="889"/>
    <tableColumn id="8" xr3:uid="{2FE35614-0D15-9448-9701-0C2BA0E7960E}" name="Predicate_Transitivity" dataDxfId="888"/>
    <tableColumn id="9" xr3:uid="{D1408B16-C177-5E48-B373-E8BCC8FC9651}" name="Voice_Type" dataDxfId="887"/>
    <tableColumn id="10" xr3:uid="{55C2EE0A-E19C-924E-9DDB-A9E11BE15DCA}" name="Clause_Polarity" dataDxfId="886"/>
    <tableColumn id="11" xr3:uid="{ACD3D836-BC0E-B744-87E0-D69672DEA284}" name="~Ø-Verbal" dataDxfId="885"/>
    <tableColumn id="12" xr3:uid="{0D7FEB26-08C2-DE4D-8120-F4E9BAF1B99A}" name="ACT-ARG" dataDxfId="884"/>
    <tableColumn id="13" xr3:uid="{B76C0BF4-40F7-7A48-8086-CFCCDF801790}" name="Arg Type" dataDxfId="883"/>
    <tableColumn id="14" xr3:uid="{B2DEB17D-701A-634B-9096-D419AF0F04B1}" name="NON-ARG" dataDxfId="882"/>
    <tableColumn id="15" xr3:uid="{C1B33245-6906-964D-930D-9C799F25066F}" name="Subject_Class" dataDxfId="881"/>
    <tableColumn id="16" xr3:uid="{3F68F61B-7DD1-1840-9E2F-46CDD51A165C}" name="Subject_Person" dataDxfId="880"/>
    <tableColumn id="17" xr3:uid="{DEE91F44-F6FE-D049-B2CD-293AC1DE4BDD}" name="Object_Class" dataDxfId="879"/>
    <tableColumn id="18" xr3:uid="{E885CFC4-CB27-2548-80F2-6A84FE06DD38}" name="Indirect_Object_Class" dataDxfId="878"/>
    <tableColumn id="19" xr3:uid="{A6478F27-7025-C447-B8C4-3361D6AA5B2A}" name="GAP-ACT-ARG" dataDxfId="877"/>
    <tableColumn id="20" xr3:uid="{D88B7382-AF87-D340-9488-6ACCDA64EB65}" name="GAP-NON-ARG" dataDxfId="876"/>
    <tableColumn id="21" xr3:uid="{FAD85141-4260-5B4B-ACBD-AC17B89ECC22}" name="Adnominal_Function" dataDxfId="875"/>
    <tableColumn id="22" xr3:uid="{E317FBF2-FF42-864C-B21A-032F8F3B7A65}" name="Clause_Type" dataDxfId="874"/>
    <tableColumn id="23" xr3:uid="{B75D01EF-8E88-6243-B379-01B78A195BE4}" name="EXALT INSIG" dataDxfId="873"/>
    <tableColumn id="24" xr3:uid="{ABC09F95-762A-0040-A635-7DA163D753ED}" name="V-ARG-Ø-ARG" dataDxfId="872"/>
    <tableColumn id="25" xr3:uid="{B9E1007B-AD06-4C46-8DCF-AEBDF0A85598}" name="Exaltation_Referential_Target" dataDxfId="871"/>
    <tableColumn id="26" xr3:uid="{9E3070AE-F03F-774E-9175-3550F436BE84}" name="Exaltation_Form_Type" dataDxfId="870"/>
    <tableColumn id="27" xr3:uid="{8152C3A4-52BF-4E4B-A251-188A7B9E252E}" name="NOM EXH MORPH" dataDxfId="869"/>
    <tableColumn id="28" xr3:uid="{8B1D6DDE-E10A-DA44-A3E9-CB51FF5EF909}" name="Connective_Type" dataDxfId="868"/>
    <tableColumn id="29" xr3:uid="{2C406B4B-1FF9-D241-BF4A-123EF51BC0AA}" name="Prev_Clause_Type" dataDxfId="867"/>
    <tableColumn id="30" xr3:uid="{04675C7D-29C6-FE47-8F18-F869AC3F8AE1}" name="Switch_Ref" dataDxfId="866"/>
    <tableColumn id="31" xr3:uid="{099834C5-763B-6E47-878D-0166894487BE}" name="Next_Switch_Ref" dataDxfId="865"/>
    <tableColumn id="32" xr3:uid="{34AE44AA-F2CB-D24A-9CE5-D2D35E40FEF8}" name="Topic_Status" dataDxfId="864"/>
    <tableColumn id="33" xr3:uid="{D66A2600-E310-234D-A9DD-028D3AF30C71}" name="Information_Status" dataDxfId="863"/>
    <tableColumn id="34" xr3:uid="{30126BC6-2F00-714F-BED0-02B03CDC3CA1}" name="Сomment" dataDxfId="862"/>
    <tableColumn id="35" xr3:uid="{0464ED82-E882-0940-9F65-D61ECACF7D18}" name="Field35" dataDxfId="861"/>
    <tableColumn id="36" xr3:uid="{5CE49CEB-749F-9649-A35B-8E18031714E1}" name="RD2" dataDxfId="860"/>
    <tableColumn id="37" xr3:uid="{FEA14BA0-7E82-3246-BE8A-631D610C91E5}" name="LVC" dataDxfId="859"/>
    <tableColumn id="38" xr3:uid="{D1FDF3BB-180D-3943-B9E7-288C0AEBB37A}" name="Subject_Zero" dataDxfId="85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5" Type="http://schemas.openxmlformats.org/officeDocument/2006/relationships/pivotTable" Target="../pivotTables/pivotTable28.xml"/><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40.xml"/><Relationship Id="rId3" Type="http://schemas.openxmlformats.org/officeDocument/2006/relationships/pivotTable" Target="../pivotTables/pivotTable35.xml"/><Relationship Id="rId7" Type="http://schemas.openxmlformats.org/officeDocument/2006/relationships/pivotTable" Target="../pivotTables/pivotTable39.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pivotTable" Target="../pivotTables/pivotTable38.xml"/><Relationship Id="rId5" Type="http://schemas.openxmlformats.org/officeDocument/2006/relationships/pivotTable" Target="../pivotTables/pivotTable37.xml"/><Relationship Id="rId4" Type="http://schemas.openxmlformats.org/officeDocument/2006/relationships/pivotTable" Target="../pivotTables/pivot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9C18-B398-F342-A2A0-6CFE04E8C357}">
  <sheetPr>
    <tabColor theme="5"/>
  </sheetPr>
  <dimension ref="A1:O131"/>
  <sheetViews>
    <sheetView tabSelected="1" workbookViewId="0">
      <selection activeCell="M12" sqref="M12"/>
    </sheetView>
  </sheetViews>
  <sheetFormatPr baseColWidth="10" defaultRowHeight="16" x14ac:dyDescent="0.2"/>
  <cols>
    <col min="1" max="1" width="10.83203125" style="13"/>
    <col min="2" max="2" width="30.33203125" style="13" customWidth="1"/>
    <col min="3" max="3" width="23.83203125" style="13" customWidth="1"/>
    <col min="4" max="16384" width="10.83203125" style="13"/>
  </cols>
  <sheetData>
    <row r="1" spans="1:15" x14ac:dyDescent="0.2">
      <c r="A1" s="231" t="s">
        <v>1151</v>
      </c>
      <c r="B1" s="232" t="s">
        <v>1</v>
      </c>
      <c r="C1" s="232" t="s">
        <v>2</v>
      </c>
      <c r="D1" s="226" t="s">
        <v>3</v>
      </c>
      <c r="E1" s="226" t="s">
        <v>1003</v>
      </c>
      <c r="F1" s="226" t="s">
        <v>9</v>
      </c>
      <c r="G1" s="223" t="s">
        <v>10</v>
      </c>
      <c r="H1" s="223" t="s">
        <v>12</v>
      </c>
      <c r="I1" s="229" t="s">
        <v>20</v>
      </c>
      <c r="J1" s="229" t="s">
        <v>21</v>
      </c>
      <c r="K1" s="239" t="s">
        <v>17</v>
      </c>
      <c r="L1" s="239" t="s">
        <v>16</v>
      </c>
      <c r="M1" s="239" t="s">
        <v>18</v>
      </c>
      <c r="N1" s="239" t="s">
        <v>22</v>
      </c>
      <c r="O1" s="213" t="s">
        <v>27</v>
      </c>
    </row>
    <row r="2" spans="1:15" x14ac:dyDescent="0.2">
      <c r="A2" s="231" t="s">
        <v>1152</v>
      </c>
      <c r="B2" s="232" t="s">
        <v>1002</v>
      </c>
      <c r="C2" s="233" t="s">
        <v>1001</v>
      </c>
      <c r="D2" s="226" t="s">
        <v>1000</v>
      </c>
      <c r="E2" s="226" t="s">
        <v>712</v>
      </c>
      <c r="F2" s="226">
        <v>1</v>
      </c>
      <c r="G2" s="223">
        <v>1</v>
      </c>
      <c r="H2" s="223">
        <v>1</v>
      </c>
      <c r="I2" s="229">
        <v>0</v>
      </c>
      <c r="J2" s="229">
        <v>0</v>
      </c>
      <c r="K2" s="239">
        <v>0</v>
      </c>
      <c r="L2" s="239">
        <v>0</v>
      </c>
      <c r="M2" s="239">
        <v>0</v>
      </c>
      <c r="N2" s="239">
        <v>0</v>
      </c>
      <c r="O2" s="213"/>
    </row>
    <row r="3" spans="1:15" x14ac:dyDescent="0.2">
      <c r="A3" s="231" t="s">
        <v>1153</v>
      </c>
      <c r="B3" s="232" t="s">
        <v>999</v>
      </c>
      <c r="C3" s="233" t="s">
        <v>998</v>
      </c>
      <c r="D3" s="226" t="s">
        <v>997</v>
      </c>
      <c r="E3" s="226" t="s">
        <v>712</v>
      </c>
      <c r="F3" s="226">
        <v>1</v>
      </c>
      <c r="G3" s="223">
        <v>1</v>
      </c>
      <c r="H3" s="223">
        <v>0</v>
      </c>
      <c r="I3" s="229">
        <v>0</v>
      </c>
      <c r="J3" s="229">
        <v>0</v>
      </c>
      <c r="K3" s="239">
        <v>0</v>
      </c>
      <c r="L3" s="239">
        <v>0</v>
      </c>
      <c r="M3" s="239">
        <v>0</v>
      </c>
      <c r="N3" s="239">
        <v>0</v>
      </c>
      <c r="O3" s="213"/>
    </row>
    <row r="4" spans="1:15" x14ac:dyDescent="0.2">
      <c r="A4" s="231" t="s">
        <v>1154</v>
      </c>
      <c r="B4" s="232" t="s">
        <v>996</v>
      </c>
      <c r="C4" s="233" t="s">
        <v>995</v>
      </c>
      <c r="D4" s="226" t="s">
        <v>994</v>
      </c>
      <c r="E4" s="226" t="s">
        <v>712</v>
      </c>
      <c r="F4" s="226">
        <v>1</v>
      </c>
      <c r="G4" s="223">
        <v>1</v>
      </c>
      <c r="H4" s="223">
        <v>1</v>
      </c>
      <c r="I4" s="229">
        <v>0</v>
      </c>
      <c r="J4" s="229">
        <v>0</v>
      </c>
      <c r="K4" s="239">
        <v>0</v>
      </c>
      <c r="L4" s="239">
        <v>0</v>
      </c>
      <c r="M4" s="239">
        <v>0</v>
      </c>
      <c r="N4" s="239">
        <v>0</v>
      </c>
      <c r="O4" s="213"/>
    </row>
    <row r="5" spans="1:15" x14ac:dyDescent="0.2">
      <c r="A5" s="231" t="s">
        <v>1155</v>
      </c>
      <c r="B5" s="232" t="s">
        <v>993</v>
      </c>
      <c r="C5" s="233" t="s">
        <v>992</v>
      </c>
      <c r="D5" s="226" t="s">
        <v>991</v>
      </c>
      <c r="E5" s="226" t="s">
        <v>712</v>
      </c>
      <c r="F5" s="226">
        <v>1</v>
      </c>
      <c r="G5" s="223">
        <v>1</v>
      </c>
      <c r="H5" s="223">
        <v>0</v>
      </c>
      <c r="I5" s="229">
        <v>0</v>
      </c>
      <c r="J5" s="229">
        <v>0</v>
      </c>
      <c r="K5" s="239">
        <v>0</v>
      </c>
      <c r="L5" s="239">
        <v>0</v>
      </c>
      <c r="M5" s="239">
        <v>0</v>
      </c>
      <c r="N5" s="239">
        <v>0</v>
      </c>
      <c r="O5" s="213"/>
    </row>
    <row r="6" spans="1:15" x14ac:dyDescent="0.2">
      <c r="A6" s="231" t="s">
        <v>1156</v>
      </c>
      <c r="B6" s="232" t="s">
        <v>990</v>
      </c>
      <c r="C6" s="233" t="s">
        <v>989</v>
      </c>
      <c r="D6" s="226" t="s">
        <v>988</v>
      </c>
      <c r="E6" s="226" t="s">
        <v>712</v>
      </c>
      <c r="F6" s="226">
        <v>1</v>
      </c>
      <c r="G6" s="223">
        <v>2</v>
      </c>
      <c r="H6" s="223">
        <v>1</v>
      </c>
      <c r="I6" s="229">
        <v>0</v>
      </c>
      <c r="J6" s="229">
        <v>0</v>
      </c>
      <c r="K6" s="239">
        <v>0</v>
      </c>
      <c r="L6" s="239">
        <v>0</v>
      </c>
      <c r="M6" s="239">
        <v>0</v>
      </c>
      <c r="N6" s="239">
        <v>0</v>
      </c>
      <c r="O6" s="213" t="s">
        <v>987</v>
      </c>
    </row>
    <row r="7" spans="1:15" x14ac:dyDescent="0.2">
      <c r="A7" s="231" t="s">
        <v>1157</v>
      </c>
      <c r="B7" s="232" t="s">
        <v>986</v>
      </c>
      <c r="C7" s="233" t="s">
        <v>985</v>
      </c>
      <c r="D7" s="226" t="s">
        <v>984</v>
      </c>
      <c r="E7" s="226" t="s">
        <v>712</v>
      </c>
      <c r="F7" s="226">
        <v>1</v>
      </c>
      <c r="G7" s="223">
        <v>1</v>
      </c>
      <c r="H7" s="223">
        <v>0</v>
      </c>
      <c r="I7" s="229">
        <v>0</v>
      </c>
      <c r="J7" s="229">
        <v>0</v>
      </c>
      <c r="K7" s="239">
        <v>0</v>
      </c>
      <c r="L7" s="239">
        <v>0</v>
      </c>
      <c r="M7" s="239">
        <v>0</v>
      </c>
      <c r="N7" s="239">
        <v>0</v>
      </c>
      <c r="O7" s="213"/>
    </row>
    <row r="8" spans="1:15" x14ac:dyDescent="0.2">
      <c r="A8" s="231" t="s">
        <v>1158</v>
      </c>
      <c r="B8" s="232" t="s">
        <v>983</v>
      </c>
      <c r="C8" s="232" t="s">
        <v>982</v>
      </c>
      <c r="D8" s="226" t="s">
        <v>981</v>
      </c>
      <c r="E8" s="226" t="s">
        <v>712</v>
      </c>
      <c r="F8" s="226">
        <v>1</v>
      </c>
      <c r="G8" s="223">
        <v>1</v>
      </c>
      <c r="H8" s="223">
        <v>0</v>
      </c>
      <c r="I8" s="229">
        <v>0</v>
      </c>
      <c r="J8" s="229">
        <v>0</v>
      </c>
      <c r="K8" s="239">
        <v>0</v>
      </c>
      <c r="L8" s="239">
        <v>0</v>
      </c>
      <c r="M8" s="239">
        <v>0</v>
      </c>
      <c r="N8" s="239">
        <v>0</v>
      </c>
      <c r="O8" s="213"/>
    </row>
    <row r="9" spans="1:15" x14ac:dyDescent="0.2">
      <c r="A9" s="231" t="s">
        <v>1159</v>
      </c>
      <c r="B9" s="232" t="s">
        <v>980</v>
      </c>
      <c r="C9" s="233" t="s">
        <v>979</v>
      </c>
      <c r="D9" s="226" t="s">
        <v>978</v>
      </c>
      <c r="E9" s="226" t="s">
        <v>712</v>
      </c>
      <c r="F9" s="226">
        <v>1</v>
      </c>
      <c r="G9" s="223">
        <v>1</v>
      </c>
      <c r="H9" s="223">
        <v>0</v>
      </c>
      <c r="I9" s="229">
        <v>0</v>
      </c>
      <c r="J9" s="229">
        <v>0</v>
      </c>
      <c r="K9" s="239">
        <v>0</v>
      </c>
      <c r="L9" s="239">
        <v>0</v>
      </c>
      <c r="M9" s="239">
        <v>0</v>
      </c>
      <c r="N9" s="239">
        <v>0</v>
      </c>
      <c r="O9" s="213"/>
    </row>
    <row r="10" spans="1:15" x14ac:dyDescent="0.2">
      <c r="A10" s="231" t="s">
        <v>1160</v>
      </c>
      <c r="B10" s="232" t="s">
        <v>977</v>
      </c>
      <c r="C10" s="233" t="s">
        <v>976</v>
      </c>
      <c r="D10" s="226" t="s">
        <v>975</v>
      </c>
      <c r="E10" s="226" t="s">
        <v>732</v>
      </c>
      <c r="F10" s="226">
        <v>1</v>
      </c>
      <c r="G10" s="223">
        <v>1</v>
      </c>
      <c r="H10" s="223">
        <f>-I98</f>
        <v>0</v>
      </c>
      <c r="I10" s="229">
        <v>0</v>
      </c>
      <c r="J10" s="229">
        <v>0</v>
      </c>
      <c r="K10" s="239">
        <v>0</v>
      </c>
      <c r="L10" s="239">
        <v>0</v>
      </c>
      <c r="M10" s="239">
        <v>0</v>
      </c>
      <c r="N10" s="239">
        <v>0</v>
      </c>
      <c r="O10" s="213"/>
    </row>
    <row r="11" spans="1:15" x14ac:dyDescent="0.2">
      <c r="A11" s="231" t="s">
        <v>1161</v>
      </c>
      <c r="B11" s="232" t="s">
        <v>974</v>
      </c>
      <c r="C11" s="233" t="s">
        <v>973</v>
      </c>
      <c r="D11" s="226" t="s">
        <v>972</v>
      </c>
      <c r="E11" s="226" t="s">
        <v>712</v>
      </c>
      <c r="F11" s="226">
        <v>1</v>
      </c>
      <c r="G11" s="223">
        <v>1</v>
      </c>
      <c r="H11" s="223">
        <v>0</v>
      </c>
      <c r="I11" s="229">
        <v>0</v>
      </c>
      <c r="J11" s="229">
        <v>0</v>
      </c>
      <c r="K11" s="239">
        <v>0</v>
      </c>
      <c r="L11" s="239">
        <v>0</v>
      </c>
      <c r="M11" s="239">
        <v>0</v>
      </c>
      <c r="N11" s="239">
        <v>0</v>
      </c>
      <c r="O11" s="213"/>
    </row>
    <row r="12" spans="1:15" x14ac:dyDescent="0.2">
      <c r="A12" s="231" t="s">
        <v>1162</v>
      </c>
      <c r="B12" s="232" t="s">
        <v>971</v>
      </c>
      <c r="C12" s="233" t="s">
        <v>970</v>
      </c>
      <c r="D12" s="226" t="s">
        <v>969</v>
      </c>
      <c r="E12" s="226" t="s">
        <v>712</v>
      </c>
      <c r="F12" s="226">
        <v>1</v>
      </c>
      <c r="G12" s="223">
        <v>1</v>
      </c>
      <c r="H12" s="223">
        <v>0</v>
      </c>
      <c r="I12" s="229">
        <v>0</v>
      </c>
      <c r="J12" s="229">
        <v>0</v>
      </c>
      <c r="K12" s="239">
        <v>0</v>
      </c>
      <c r="L12" s="239">
        <v>0</v>
      </c>
      <c r="M12" s="239">
        <v>0</v>
      </c>
      <c r="N12" s="239">
        <v>0</v>
      </c>
      <c r="O12" s="213"/>
    </row>
    <row r="13" spans="1:15" x14ac:dyDescent="0.2">
      <c r="A13" s="231" t="s">
        <v>1163</v>
      </c>
      <c r="B13" s="232" t="s">
        <v>968</v>
      </c>
      <c r="C13" s="233" t="s">
        <v>967</v>
      </c>
      <c r="D13" s="226" t="s">
        <v>966</v>
      </c>
      <c r="E13" s="226" t="s">
        <v>712</v>
      </c>
      <c r="F13" s="226">
        <v>1</v>
      </c>
      <c r="G13" s="223">
        <v>1</v>
      </c>
      <c r="H13" s="223">
        <v>0</v>
      </c>
      <c r="I13" s="229">
        <v>0</v>
      </c>
      <c r="J13" s="229">
        <v>0</v>
      </c>
      <c r="K13" s="239">
        <v>0</v>
      </c>
      <c r="L13" s="239">
        <v>0</v>
      </c>
      <c r="M13" s="239">
        <v>0</v>
      </c>
      <c r="N13" s="239">
        <v>0</v>
      </c>
      <c r="O13" s="213"/>
    </row>
    <row r="14" spans="1:15" x14ac:dyDescent="0.2">
      <c r="A14" s="231" t="s">
        <v>1164</v>
      </c>
      <c r="B14" s="232" t="s">
        <v>965</v>
      </c>
      <c r="C14" s="233" t="s">
        <v>964</v>
      </c>
      <c r="D14" s="226" t="s">
        <v>963</v>
      </c>
      <c r="E14" s="226" t="s">
        <v>712</v>
      </c>
      <c r="F14" s="226">
        <v>1</v>
      </c>
      <c r="G14" s="223">
        <v>1</v>
      </c>
      <c r="H14" s="223">
        <v>0</v>
      </c>
      <c r="I14" s="229">
        <v>0</v>
      </c>
      <c r="J14" s="229">
        <v>0</v>
      </c>
      <c r="K14" s="239">
        <v>0</v>
      </c>
      <c r="L14" s="239">
        <v>0</v>
      </c>
      <c r="M14" s="239">
        <v>0</v>
      </c>
      <c r="N14" s="239">
        <v>0</v>
      </c>
      <c r="O14" s="213"/>
    </row>
    <row r="15" spans="1:15" x14ac:dyDescent="0.2">
      <c r="A15" s="231" t="s">
        <v>1165</v>
      </c>
      <c r="B15" s="232" t="s">
        <v>962</v>
      </c>
      <c r="C15" s="233" t="s">
        <v>961</v>
      </c>
      <c r="D15" s="226" t="s">
        <v>960</v>
      </c>
      <c r="E15" s="226" t="s">
        <v>712</v>
      </c>
      <c r="F15" s="226">
        <v>1</v>
      </c>
      <c r="G15" s="223">
        <v>1</v>
      </c>
      <c r="H15" s="223">
        <v>0</v>
      </c>
      <c r="I15" s="229">
        <v>0</v>
      </c>
      <c r="J15" s="229">
        <v>0</v>
      </c>
      <c r="K15" s="239">
        <v>0</v>
      </c>
      <c r="L15" s="239">
        <v>0</v>
      </c>
      <c r="M15" s="239">
        <v>0</v>
      </c>
      <c r="N15" s="239">
        <v>0</v>
      </c>
      <c r="O15" s="213"/>
    </row>
    <row r="16" spans="1:15" x14ac:dyDescent="0.2">
      <c r="A16" s="231" t="s">
        <v>1166</v>
      </c>
      <c r="B16" s="232" t="s">
        <v>958</v>
      </c>
      <c r="C16" s="233" t="s">
        <v>959</v>
      </c>
      <c r="D16" s="226" t="s">
        <v>958</v>
      </c>
      <c r="E16" s="226" t="s">
        <v>712</v>
      </c>
      <c r="F16" s="226">
        <v>1</v>
      </c>
      <c r="G16" s="223">
        <v>0</v>
      </c>
      <c r="H16" s="223">
        <v>0</v>
      </c>
      <c r="I16" s="229">
        <v>0</v>
      </c>
      <c r="J16" s="229">
        <v>0</v>
      </c>
      <c r="K16" s="239">
        <v>0</v>
      </c>
      <c r="L16" s="239">
        <v>0</v>
      </c>
      <c r="M16" s="239">
        <v>0</v>
      </c>
      <c r="N16" s="239">
        <v>0</v>
      </c>
      <c r="O16" s="213"/>
    </row>
    <row r="17" spans="1:15" x14ac:dyDescent="0.2">
      <c r="A17" s="231" t="s">
        <v>1167</v>
      </c>
      <c r="B17" s="232" t="s">
        <v>957</v>
      </c>
      <c r="C17" s="233" t="s">
        <v>956</v>
      </c>
      <c r="D17" s="226" t="s">
        <v>955</v>
      </c>
      <c r="E17" s="226" t="s">
        <v>732</v>
      </c>
      <c r="F17" s="226">
        <v>1</v>
      </c>
      <c r="G17" s="223">
        <v>1</v>
      </c>
      <c r="H17" s="223">
        <v>0</v>
      </c>
      <c r="I17" s="229">
        <v>0</v>
      </c>
      <c r="J17" s="229">
        <v>0</v>
      </c>
      <c r="K17" s="239">
        <v>0</v>
      </c>
      <c r="L17" s="239">
        <v>0</v>
      </c>
      <c r="M17" s="239">
        <v>0</v>
      </c>
      <c r="N17" s="239">
        <v>0</v>
      </c>
      <c r="O17" s="213"/>
    </row>
    <row r="18" spans="1:15" x14ac:dyDescent="0.2">
      <c r="A18" s="231" t="s">
        <v>1168</v>
      </c>
      <c r="B18" s="232" t="s">
        <v>954</v>
      </c>
      <c r="C18" s="233" t="s">
        <v>953</v>
      </c>
      <c r="D18" s="226" t="s">
        <v>952</v>
      </c>
      <c r="E18" s="226" t="s">
        <v>712</v>
      </c>
      <c r="F18" s="226">
        <v>1</v>
      </c>
      <c r="G18" s="223">
        <v>1</v>
      </c>
      <c r="H18" s="223">
        <v>0</v>
      </c>
      <c r="I18" s="229">
        <v>0</v>
      </c>
      <c r="J18" s="229">
        <v>0</v>
      </c>
      <c r="K18" s="239">
        <v>0</v>
      </c>
      <c r="L18" s="239">
        <v>0</v>
      </c>
      <c r="M18" s="239">
        <v>0</v>
      </c>
      <c r="N18" s="239">
        <v>0</v>
      </c>
      <c r="O18" s="213"/>
    </row>
    <row r="19" spans="1:15" x14ac:dyDescent="0.2">
      <c r="A19" s="231" t="s">
        <v>1169</v>
      </c>
      <c r="B19" s="232" t="s">
        <v>951</v>
      </c>
      <c r="C19" s="233" t="s">
        <v>950</v>
      </c>
      <c r="D19" s="226" t="s">
        <v>949</v>
      </c>
      <c r="E19" s="226" t="s">
        <v>732</v>
      </c>
      <c r="F19" s="226">
        <v>1</v>
      </c>
      <c r="G19" s="223">
        <v>1</v>
      </c>
      <c r="H19" s="223">
        <v>1</v>
      </c>
      <c r="I19" s="229">
        <v>0</v>
      </c>
      <c r="J19" s="229">
        <v>0</v>
      </c>
      <c r="K19" s="239">
        <v>0</v>
      </c>
      <c r="L19" s="239">
        <v>0</v>
      </c>
      <c r="M19" s="239">
        <v>0</v>
      </c>
      <c r="N19" s="239">
        <v>0</v>
      </c>
      <c r="O19" s="213"/>
    </row>
    <row r="20" spans="1:15" x14ac:dyDescent="0.2">
      <c r="A20" s="231" t="s">
        <v>1170</v>
      </c>
      <c r="B20" s="232" t="s">
        <v>948</v>
      </c>
      <c r="C20" s="233" t="s">
        <v>947</v>
      </c>
      <c r="D20" s="226" t="s">
        <v>919</v>
      </c>
      <c r="E20" s="226" t="s">
        <v>712</v>
      </c>
      <c r="F20" s="226">
        <v>1</v>
      </c>
      <c r="G20" s="223">
        <v>1</v>
      </c>
      <c r="H20" s="223">
        <v>1</v>
      </c>
      <c r="I20" s="229">
        <v>0</v>
      </c>
      <c r="J20" s="229">
        <v>0</v>
      </c>
      <c r="K20" s="239">
        <v>0</v>
      </c>
      <c r="L20" s="239">
        <v>0</v>
      </c>
      <c r="M20" s="239">
        <v>0</v>
      </c>
      <c r="N20" s="239">
        <v>0</v>
      </c>
      <c r="O20" s="213"/>
    </row>
    <row r="21" spans="1:15" x14ac:dyDescent="0.2">
      <c r="A21" s="231" t="s">
        <v>1171</v>
      </c>
      <c r="B21" s="232" t="s">
        <v>946</v>
      </c>
      <c r="C21" s="233" t="s">
        <v>945</v>
      </c>
      <c r="D21" s="226" t="s">
        <v>944</v>
      </c>
      <c r="E21" s="226" t="s">
        <v>712</v>
      </c>
      <c r="F21" s="226">
        <v>1</v>
      </c>
      <c r="G21" s="223">
        <v>2</v>
      </c>
      <c r="H21" s="223">
        <v>0</v>
      </c>
      <c r="I21" s="229">
        <v>0</v>
      </c>
      <c r="J21" s="229">
        <v>0</v>
      </c>
      <c r="K21" s="239">
        <v>1</v>
      </c>
      <c r="L21" s="239">
        <v>0</v>
      </c>
      <c r="M21" s="239">
        <v>0</v>
      </c>
      <c r="N21" s="239">
        <v>0</v>
      </c>
      <c r="O21" s="213"/>
    </row>
    <row r="22" spans="1:15" x14ac:dyDescent="0.2">
      <c r="A22" s="231" t="s">
        <v>1172</v>
      </c>
      <c r="B22" s="232" t="s">
        <v>943</v>
      </c>
      <c r="C22" s="233" t="s">
        <v>942</v>
      </c>
      <c r="D22" s="226" t="s">
        <v>941</v>
      </c>
      <c r="E22" s="226" t="s">
        <v>712</v>
      </c>
      <c r="F22" s="226">
        <v>1</v>
      </c>
      <c r="G22" s="223">
        <v>1</v>
      </c>
      <c r="H22" s="223">
        <v>0</v>
      </c>
      <c r="I22" s="229">
        <v>0</v>
      </c>
      <c r="J22" s="229">
        <v>0</v>
      </c>
      <c r="K22" s="239">
        <v>0</v>
      </c>
      <c r="L22" s="239">
        <v>0</v>
      </c>
      <c r="M22" s="239">
        <v>0</v>
      </c>
      <c r="N22" s="239">
        <v>0</v>
      </c>
      <c r="O22" s="213"/>
    </row>
    <row r="23" spans="1:15" x14ac:dyDescent="0.2">
      <c r="A23" s="231" t="s">
        <v>1173</v>
      </c>
      <c r="B23" s="232" t="s">
        <v>940</v>
      </c>
      <c r="C23" s="233" t="s">
        <v>939</v>
      </c>
      <c r="D23" s="227" t="s">
        <v>938</v>
      </c>
      <c r="E23" s="227" t="s">
        <v>712</v>
      </c>
      <c r="F23" s="226">
        <v>1</v>
      </c>
      <c r="G23" s="223">
        <v>2</v>
      </c>
      <c r="H23" s="223">
        <v>1</v>
      </c>
      <c r="I23" s="229">
        <v>1</v>
      </c>
      <c r="J23" s="229">
        <v>0</v>
      </c>
      <c r="K23" s="239">
        <v>1</v>
      </c>
      <c r="L23" s="239">
        <v>0</v>
      </c>
      <c r="M23" s="239">
        <v>0</v>
      </c>
      <c r="N23" s="239">
        <v>0</v>
      </c>
      <c r="O23" s="213"/>
    </row>
    <row r="24" spans="1:15" x14ac:dyDescent="0.2">
      <c r="A24" s="231" t="s">
        <v>1174</v>
      </c>
      <c r="B24" s="232" t="s">
        <v>937</v>
      </c>
      <c r="C24" s="233" t="s">
        <v>936</v>
      </c>
      <c r="D24" s="227" t="s">
        <v>935</v>
      </c>
      <c r="E24" s="227" t="s">
        <v>712</v>
      </c>
      <c r="F24" s="226">
        <v>1</v>
      </c>
      <c r="G24" s="223">
        <v>1</v>
      </c>
      <c r="H24" s="223">
        <v>1</v>
      </c>
      <c r="I24" s="229">
        <v>0</v>
      </c>
      <c r="J24" s="229">
        <v>0</v>
      </c>
      <c r="K24" s="239">
        <v>0</v>
      </c>
      <c r="L24" s="239">
        <v>0</v>
      </c>
      <c r="M24" s="239">
        <v>0</v>
      </c>
      <c r="N24" s="239">
        <v>0</v>
      </c>
      <c r="O24" s="213"/>
    </row>
    <row r="25" spans="1:15" x14ac:dyDescent="0.2">
      <c r="A25" s="231" t="s">
        <v>1175</v>
      </c>
      <c r="B25" s="232" t="s">
        <v>934</v>
      </c>
      <c r="C25" s="233" t="s">
        <v>933</v>
      </c>
      <c r="D25" s="226" t="s">
        <v>932</v>
      </c>
      <c r="E25" s="226" t="s">
        <v>712</v>
      </c>
      <c r="F25" s="226">
        <v>1</v>
      </c>
      <c r="G25" s="224">
        <v>1</v>
      </c>
      <c r="H25" s="223">
        <v>0</v>
      </c>
      <c r="I25" s="229">
        <v>0</v>
      </c>
      <c r="J25" s="229">
        <v>0</v>
      </c>
      <c r="K25" s="239">
        <v>0</v>
      </c>
      <c r="L25" s="239">
        <v>0</v>
      </c>
      <c r="M25" s="239">
        <v>0</v>
      </c>
      <c r="N25" s="239">
        <v>0</v>
      </c>
      <c r="O25" s="213" t="s">
        <v>931</v>
      </c>
    </row>
    <row r="26" spans="1:15" x14ac:dyDescent="0.2">
      <c r="A26" s="231" t="s">
        <v>1176</v>
      </c>
      <c r="B26" s="232" t="s">
        <v>930</v>
      </c>
      <c r="C26" s="233" t="s">
        <v>929</v>
      </c>
      <c r="D26" s="226" t="s">
        <v>928</v>
      </c>
      <c r="E26" s="226" t="s">
        <v>712</v>
      </c>
      <c r="F26" s="226">
        <v>1</v>
      </c>
      <c r="G26" s="223">
        <v>1</v>
      </c>
      <c r="H26" s="223">
        <v>0</v>
      </c>
      <c r="I26" s="229">
        <v>0</v>
      </c>
      <c r="J26" s="229">
        <v>0</v>
      </c>
      <c r="K26" s="239">
        <v>0</v>
      </c>
      <c r="L26" s="239">
        <v>0</v>
      </c>
      <c r="M26" s="239">
        <v>0</v>
      </c>
      <c r="N26" s="239">
        <v>0</v>
      </c>
      <c r="O26" s="213"/>
    </row>
    <row r="27" spans="1:15" x14ac:dyDescent="0.2">
      <c r="A27" s="231" t="s">
        <v>1177</v>
      </c>
      <c r="B27" s="232" t="s">
        <v>927</v>
      </c>
      <c r="C27" s="233" t="s">
        <v>926</v>
      </c>
      <c r="D27" s="226" t="s">
        <v>925</v>
      </c>
      <c r="E27" s="226" t="s">
        <v>712</v>
      </c>
      <c r="F27" s="226">
        <v>1</v>
      </c>
      <c r="G27" s="224">
        <v>1</v>
      </c>
      <c r="H27" s="223">
        <v>0</v>
      </c>
      <c r="I27" s="229">
        <v>0</v>
      </c>
      <c r="J27" s="229">
        <v>0</v>
      </c>
      <c r="K27" s="239">
        <v>0</v>
      </c>
      <c r="L27" s="239">
        <v>0</v>
      </c>
      <c r="M27" s="239">
        <v>0</v>
      </c>
      <c r="N27" s="239">
        <v>0</v>
      </c>
      <c r="O27" s="213" t="s">
        <v>476</v>
      </c>
    </row>
    <row r="28" spans="1:15" x14ac:dyDescent="0.2">
      <c r="A28" s="231" t="s">
        <v>1178</v>
      </c>
      <c r="B28" s="232" t="s">
        <v>924</v>
      </c>
      <c r="C28" s="233" t="s">
        <v>923</v>
      </c>
      <c r="D28" s="226" t="s">
        <v>922</v>
      </c>
      <c r="E28" s="226" t="s">
        <v>712</v>
      </c>
      <c r="F28" s="226">
        <v>1</v>
      </c>
      <c r="G28" s="223">
        <v>1</v>
      </c>
      <c r="H28" s="223">
        <v>0</v>
      </c>
      <c r="I28" s="229">
        <v>0</v>
      </c>
      <c r="J28" s="229">
        <v>0</v>
      </c>
      <c r="K28" s="239">
        <v>0</v>
      </c>
      <c r="L28" s="239">
        <v>0</v>
      </c>
      <c r="M28" s="239">
        <v>0</v>
      </c>
      <c r="N28" s="239">
        <v>0</v>
      </c>
      <c r="O28" s="213"/>
    </row>
    <row r="29" spans="1:15" x14ac:dyDescent="0.2">
      <c r="A29" s="231" t="s">
        <v>1179</v>
      </c>
      <c r="B29" s="232" t="s">
        <v>921</v>
      </c>
      <c r="C29" s="233" t="s">
        <v>920</v>
      </c>
      <c r="D29" s="226" t="s">
        <v>919</v>
      </c>
      <c r="E29" s="226" t="s">
        <v>712</v>
      </c>
      <c r="F29" s="226">
        <v>1</v>
      </c>
      <c r="G29" s="223">
        <v>1</v>
      </c>
      <c r="H29" s="223">
        <v>0</v>
      </c>
      <c r="I29" s="229">
        <v>0</v>
      </c>
      <c r="J29" s="229">
        <v>1</v>
      </c>
      <c r="K29" s="239">
        <v>0</v>
      </c>
      <c r="L29" s="239">
        <v>0</v>
      </c>
      <c r="M29" s="239">
        <v>0</v>
      </c>
      <c r="N29" s="239">
        <v>0</v>
      </c>
      <c r="O29" s="213"/>
    </row>
    <row r="30" spans="1:15" x14ac:dyDescent="0.2">
      <c r="A30" s="231" t="s">
        <v>1180</v>
      </c>
      <c r="B30" s="232" t="s">
        <v>918</v>
      </c>
      <c r="C30" s="233" t="s">
        <v>917</v>
      </c>
      <c r="D30" s="226" t="s">
        <v>916</v>
      </c>
      <c r="E30" s="226" t="s">
        <v>712</v>
      </c>
      <c r="F30" s="226">
        <v>1</v>
      </c>
      <c r="G30" s="223">
        <v>2</v>
      </c>
      <c r="H30" s="223">
        <v>0</v>
      </c>
      <c r="I30" s="229">
        <v>0</v>
      </c>
      <c r="J30" s="229">
        <v>0</v>
      </c>
      <c r="K30" s="239">
        <v>0</v>
      </c>
      <c r="L30" s="239">
        <v>0</v>
      </c>
      <c r="M30" s="239">
        <v>0</v>
      </c>
      <c r="N30" s="239">
        <v>0</v>
      </c>
      <c r="O30" s="213"/>
    </row>
    <row r="31" spans="1:15" x14ac:dyDescent="0.2">
      <c r="A31" s="231" t="s">
        <v>1181</v>
      </c>
      <c r="B31" s="232" t="s">
        <v>915</v>
      </c>
      <c r="C31" s="233" t="s">
        <v>914</v>
      </c>
      <c r="D31" s="226" t="s">
        <v>913</v>
      </c>
      <c r="E31" s="226" t="s">
        <v>712</v>
      </c>
      <c r="F31" s="226">
        <v>1</v>
      </c>
      <c r="G31" s="223">
        <v>2</v>
      </c>
      <c r="H31" s="223">
        <v>0</v>
      </c>
      <c r="I31" s="229">
        <v>1</v>
      </c>
      <c r="J31" s="229">
        <v>0</v>
      </c>
      <c r="K31" s="239">
        <v>0</v>
      </c>
      <c r="L31" s="239">
        <v>0</v>
      </c>
      <c r="M31" s="239">
        <v>0</v>
      </c>
      <c r="N31" s="239">
        <v>0</v>
      </c>
      <c r="O31" s="213"/>
    </row>
    <row r="32" spans="1:15" x14ac:dyDescent="0.2">
      <c r="A32" s="231" t="s">
        <v>1182</v>
      </c>
      <c r="B32" s="232" t="s">
        <v>912</v>
      </c>
      <c r="C32" s="233" t="s">
        <v>911</v>
      </c>
      <c r="D32" s="226" t="s">
        <v>910</v>
      </c>
      <c r="E32" s="226" t="s">
        <v>712</v>
      </c>
      <c r="F32" s="226">
        <v>1</v>
      </c>
      <c r="G32" s="223">
        <v>2</v>
      </c>
      <c r="H32" s="223">
        <v>0</v>
      </c>
      <c r="I32" s="229">
        <v>0</v>
      </c>
      <c r="J32" s="229">
        <v>0</v>
      </c>
      <c r="K32" s="239">
        <v>0</v>
      </c>
      <c r="L32" s="239">
        <v>0</v>
      </c>
      <c r="M32" s="239">
        <v>0</v>
      </c>
      <c r="N32" s="239">
        <v>0</v>
      </c>
      <c r="O32" s="213"/>
    </row>
    <row r="33" spans="1:15" x14ac:dyDescent="0.2">
      <c r="A33" s="231" t="s">
        <v>1183</v>
      </c>
      <c r="B33" s="232" t="s">
        <v>909</v>
      </c>
      <c r="C33" s="233" t="s">
        <v>908</v>
      </c>
      <c r="D33" s="226" t="s">
        <v>907</v>
      </c>
      <c r="E33" s="226" t="s">
        <v>712</v>
      </c>
      <c r="F33" s="226">
        <v>1</v>
      </c>
      <c r="G33" s="223">
        <v>1</v>
      </c>
      <c r="H33" s="223">
        <v>0</v>
      </c>
      <c r="I33" s="229">
        <v>0</v>
      </c>
      <c r="J33" s="229">
        <v>1</v>
      </c>
      <c r="K33" s="239">
        <v>0</v>
      </c>
      <c r="L33" s="239">
        <v>0</v>
      </c>
      <c r="M33" s="239">
        <v>0</v>
      </c>
      <c r="N33" s="239">
        <v>0</v>
      </c>
      <c r="O33" s="213"/>
    </row>
    <row r="34" spans="1:15" x14ac:dyDescent="0.2">
      <c r="A34" s="231" t="s">
        <v>1184</v>
      </c>
      <c r="B34" s="232" t="s">
        <v>906</v>
      </c>
      <c r="C34" s="233" t="s">
        <v>905</v>
      </c>
      <c r="D34" s="226" t="s">
        <v>904</v>
      </c>
      <c r="E34" s="226" t="s">
        <v>712</v>
      </c>
      <c r="F34" s="226">
        <v>1</v>
      </c>
      <c r="G34" s="223">
        <v>1</v>
      </c>
      <c r="H34" s="223">
        <v>0</v>
      </c>
      <c r="I34" s="229">
        <v>0</v>
      </c>
      <c r="J34" s="229">
        <v>0</v>
      </c>
      <c r="K34" s="239">
        <v>0</v>
      </c>
      <c r="L34" s="239">
        <v>0</v>
      </c>
      <c r="M34" s="239">
        <v>0</v>
      </c>
      <c r="N34" s="239">
        <v>0</v>
      </c>
      <c r="O34" s="213"/>
    </row>
    <row r="35" spans="1:15" x14ac:dyDescent="0.2">
      <c r="A35" s="231" t="s">
        <v>1185</v>
      </c>
      <c r="B35" s="232" t="s">
        <v>903</v>
      </c>
      <c r="C35" s="233" t="s">
        <v>902</v>
      </c>
      <c r="D35" s="226" t="s">
        <v>901</v>
      </c>
      <c r="E35" s="226" t="s">
        <v>732</v>
      </c>
      <c r="F35" s="226">
        <v>1</v>
      </c>
      <c r="G35" s="223">
        <v>0</v>
      </c>
      <c r="H35" s="223">
        <v>0</v>
      </c>
      <c r="I35" s="229">
        <v>0</v>
      </c>
      <c r="J35" s="229">
        <v>0</v>
      </c>
      <c r="K35" s="239">
        <v>0</v>
      </c>
      <c r="L35" s="239">
        <v>0</v>
      </c>
      <c r="M35" s="239">
        <v>0</v>
      </c>
      <c r="N35" s="239">
        <v>0</v>
      </c>
      <c r="O35" s="213"/>
    </row>
    <row r="36" spans="1:15" x14ac:dyDescent="0.2">
      <c r="A36" s="231" t="s">
        <v>1186</v>
      </c>
      <c r="B36" s="232" t="s">
        <v>900</v>
      </c>
      <c r="C36" s="233" t="s">
        <v>899</v>
      </c>
      <c r="D36" s="226" t="s">
        <v>898</v>
      </c>
      <c r="E36" s="226" t="s">
        <v>712</v>
      </c>
      <c r="F36" s="226">
        <v>1</v>
      </c>
      <c r="G36" s="223">
        <v>0</v>
      </c>
      <c r="H36" s="223">
        <v>1</v>
      </c>
      <c r="I36" s="229">
        <v>0</v>
      </c>
      <c r="J36" s="229">
        <v>0</v>
      </c>
      <c r="K36" s="239">
        <v>0</v>
      </c>
      <c r="L36" s="239">
        <v>0</v>
      </c>
      <c r="M36" s="239">
        <v>0</v>
      </c>
      <c r="N36" s="239">
        <v>0</v>
      </c>
      <c r="O36" s="213"/>
    </row>
    <row r="37" spans="1:15" x14ac:dyDescent="0.2">
      <c r="A37" s="231" t="s">
        <v>1187</v>
      </c>
      <c r="B37" s="232" t="s">
        <v>897</v>
      </c>
      <c r="C37" s="233" t="s">
        <v>896</v>
      </c>
      <c r="D37" s="226" t="s">
        <v>895</v>
      </c>
      <c r="E37" s="226" t="s">
        <v>732</v>
      </c>
      <c r="F37" s="226">
        <v>1</v>
      </c>
      <c r="G37" s="223">
        <v>0</v>
      </c>
      <c r="H37" s="223">
        <v>0</v>
      </c>
      <c r="I37" s="229">
        <v>0</v>
      </c>
      <c r="J37" s="229">
        <v>0</v>
      </c>
      <c r="K37" s="239">
        <v>0</v>
      </c>
      <c r="L37" s="239">
        <v>0</v>
      </c>
      <c r="M37" s="239">
        <v>0</v>
      </c>
      <c r="N37" s="239">
        <v>0</v>
      </c>
      <c r="O37" s="213"/>
    </row>
    <row r="38" spans="1:15" x14ac:dyDescent="0.2">
      <c r="A38" s="231" t="s">
        <v>1188</v>
      </c>
      <c r="B38" s="232" t="s">
        <v>894</v>
      </c>
      <c r="C38" s="233" t="s">
        <v>893</v>
      </c>
      <c r="D38" s="226" t="s">
        <v>892</v>
      </c>
      <c r="E38" s="226" t="s">
        <v>716</v>
      </c>
      <c r="F38" s="226">
        <v>1</v>
      </c>
      <c r="G38" s="223">
        <v>0</v>
      </c>
      <c r="H38" s="223">
        <v>1</v>
      </c>
      <c r="I38" s="229">
        <v>0</v>
      </c>
      <c r="J38" s="229">
        <v>0</v>
      </c>
      <c r="K38" s="239">
        <v>0</v>
      </c>
      <c r="L38" s="239">
        <v>0</v>
      </c>
      <c r="M38" s="239">
        <v>0</v>
      </c>
      <c r="N38" s="239">
        <v>0</v>
      </c>
      <c r="O38" s="213"/>
    </row>
    <row r="39" spans="1:15" x14ac:dyDescent="0.2">
      <c r="A39" s="231" t="s">
        <v>1189</v>
      </c>
      <c r="B39" s="232" t="s">
        <v>891</v>
      </c>
      <c r="C39" s="233" t="s">
        <v>890</v>
      </c>
      <c r="D39" s="226" t="s">
        <v>889</v>
      </c>
      <c r="E39" s="226" t="s">
        <v>712</v>
      </c>
      <c r="F39" s="226">
        <v>1</v>
      </c>
      <c r="G39" s="223">
        <v>1</v>
      </c>
      <c r="H39" s="223">
        <v>0</v>
      </c>
      <c r="I39" s="229">
        <v>0</v>
      </c>
      <c r="J39" s="229">
        <v>0</v>
      </c>
      <c r="K39" s="239">
        <v>0</v>
      </c>
      <c r="L39" s="239">
        <v>0</v>
      </c>
      <c r="M39" s="239">
        <v>0</v>
      </c>
      <c r="N39" s="239">
        <v>0</v>
      </c>
      <c r="O39" s="213"/>
    </row>
    <row r="40" spans="1:15" x14ac:dyDescent="0.2">
      <c r="A40" s="231" t="s">
        <v>1190</v>
      </c>
      <c r="B40" s="232" t="s">
        <v>888</v>
      </c>
      <c r="C40" s="233" t="s">
        <v>887</v>
      </c>
      <c r="D40" s="226" t="s">
        <v>886</v>
      </c>
      <c r="E40" s="226" t="s">
        <v>712</v>
      </c>
      <c r="F40" s="226">
        <v>1</v>
      </c>
      <c r="G40" s="223">
        <v>0</v>
      </c>
      <c r="H40" s="223">
        <v>1</v>
      </c>
      <c r="I40" s="229">
        <v>0</v>
      </c>
      <c r="J40" s="229">
        <v>0</v>
      </c>
      <c r="K40" s="239">
        <v>0</v>
      </c>
      <c r="L40" s="239">
        <v>0</v>
      </c>
      <c r="M40" s="239">
        <v>0</v>
      </c>
      <c r="N40" s="239">
        <v>0</v>
      </c>
      <c r="O40" s="213"/>
    </row>
    <row r="41" spans="1:15" x14ac:dyDescent="0.2">
      <c r="A41" s="231" t="s">
        <v>1191</v>
      </c>
      <c r="B41" s="232" t="s">
        <v>884</v>
      </c>
      <c r="C41" s="233" t="s">
        <v>885</v>
      </c>
      <c r="D41" s="226" t="s">
        <v>884</v>
      </c>
      <c r="E41" s="226" t="s">
        <v>712</v>
      </c>
      <c r="F41" s="226">
        <v>1</v>
      </c>
      <c r="G41" s="223">
        <v>0</v>
      </c>
      <c r="H41" s="223">
        <v>0</v>
      </c>
      <c r="I41" s="229">
        <v>0</v>
      </c>
      <c r="J41" s="229">
        <v>0</v>
      </c>
      <c r="K41" s="239">
        <v>0</v>
      </c>
      <c r="L41" s="239">
        <v>0</v>
      </c>
      <c r="M41" s="239">
        <v>0</v>
      </c>
      <c r="N41" s="239">
        <v>0</v>
      </c>
      <c r="O41" s="213"/>
    </row>
    <row r="42" spans="1:15" ht="17" customHeight="1" x14ac:dyDescent="0.2">
      <c r="A42" s="231" t="s">
        <v>1192</v>
      </c>
      <c r="B42" s="232" t="s">
        <v>883</v>
      </c>
      <c r="C42" s="233" t="s">
        <v>882</v>
      </c>
      <c r="D42" s="226" t="s">
        <v>881</v>
      </c>
      <c r="E42" s="226" t="s">
        <v>712</v>
      </c>
      <c r="F42" s="226">
        <v>1</v>
      </c>
      <c r="G42" s="223">
        <v>0</v>
      </c>
      <c r="H42" s="223">
        <v>1</v>
      </c>
      <c r="I42" s="229">
        <v>0</v>
      </c>
      <c r="J42" s="229">
        <v>1</v>
      </c>
      <c r="K42" s="239">
        <v>0</v>
      </c>
      <c r="L42" s="239">
        <v>1</v>
      </c>
      <c r="M42" s="239">
        <v>0</v>
      </c>
      <c r="N42" s="239">
        <v>0</v>
      </c>
      <c r="O42" s="213"/>
    </row>
    <row r="43" spans="1:15" x14ac:dyDescent="0.2">
      <c r="A43" s="231" t="s">
        <v>1193</v>
      </c>
      <c r="B43" s="232" t="s">
        <v>880</v>
      </c>
      <c r="C43" s="233" t="s">
        <v>879</v>
      </c>
      <c r="D43" s="226" t="s">
        <v>878</v>
      </c>
      <c r="E43" s="226" t="s">
        <v>712</v>
      </c>
      <c r="F43" s="226">
        <v>1</v>
      </c>
      <c r="G43" s="223">
        <v>1</v>
      </c>
      <c r="H43" s="223">
        <v>0</v>
      </c>
      <c r="I43" s="229">
        <v>0</v>
      </c>
      <c r="J43" s="229">
        <v>1</v>
      </c>
      <c r="K43" s="239">
        <v>0</v>
      </c>
      <c r="L43" s="239">
        <v>0</v>
      </c>
      <c r="M43" s="239">
        <v>0</v>
      </c>
      <c r="N43" s="239">
        <v>0</v>
      </c>
      <c r="O43" s="213"/>
    </row>
    <row r="44" spans="1:15" x14ac:dyDescent="0.2">
      <c r="A44" s="231" t="s">
        <v>1194</v>
      </c>
      <c r="B44" s="232" t="s">
        <v>877</v>
      </c>
      <c r="C44" s="233" t="s">
        <v>876</v>
      </c>
      <c r="D44" s="226" t="s">
        <v>875</v>
      </c>
      <c r="E44" s="226" t="s">
        <v>712</v>
      </c>
      <c r="F44" s="226">
        <v>1</v>
      </c>
      <c r="G44" s="223">
        <v>2</v>
      </c>
      <c r="H44" s="223">
        <v>0</v>
      </c>
      <c r="I44" s="229">
        <v>1</v>
      </c>
      <c r="J44" s="229">
        <v>0</v>
      </c>
      <c r="K44" s="239">
        <v>0</v>
      </c>
      <c r="L44" s="239">
        <v>0</v>
      </c>
      <c r="M44" s="239">
        <v>0</v>
      </c>
      <c r="N44" s="239">
        <v>0</v>
      </c>
      <c r="O44" s="213"/>
    </row>
    <row r="45" spans="1:15" x14ac:dyDescent="0.2">
      <c r="A45" s="231" t="s">
        <v>1195</v>
      </c>
      <c r="B45" s="232" t="s">
        <v>874</v>
      </c>
      <c r="C45" s="233" t="s">
        <v>873</v>
      </c>
      <c r="D45" s="226" t="s">
        <v>872</v>
      </c>
      <c r="E45" s="226" t="s">
        <v>712</v>
      </c>
      <c r="F45" s="226">
        <v>1</v>
      </c>
      <c r="G45" s="223">
        <v>2</v>
      </c>
      <c r="H45" s="223">
        <v>0</v>
      </c>
      <c r="I45" s="229">
        <v>0</v>
      </c>
      <c r="J45" s="229">
        <v>0</v>
      </c>
      <c r="K45" s="239">
        <v>0</v>
      </c>
      <c r="L45" s="239">
        <v>0</v>
      </c>
      <c r="M45" s="239">
        <v>0</v>
      </c>
      <c r="N45" s="239">
        <v>0</v>
      </c>
      <c r="O45" s="213"/>
    </row>
    <row r="46" spans="1:15" x14ac:dyDescent="0.2">
      <c r="A46" s="231" t="s">
        <v>1196</v>
      </c>
      <c r="B46" s="232" t="s">
        <v>871</v>
      </c>
      <c r="C46" s="233" t="s">
        <v>870</v>
      </c>
      <c r="D46" s="226" t="s">
        <v>869</v>
      </c>
      <c r="E46" s="226" t="s">
        <v>712</v>
      </c>
      <c r="F46" s="226">
        <v>1</v>
      </c>
      <c r="G46" s="223">
        <v>1</v>
      </c>
      <c r="H46" s="223">
        <v>0</v>
      </c>
      <c r="I46" s="229">
        <v>0</v>
      </c>
      <c r="J46" s="229">
        <v>0</v>
      </c>
      <c r="K46" s="239">
        <v>0</v>
      </c>
      <c r="L46" s="239">
        <v>1</v>
      </c>
      <c r="M46" s="239">
        <v>0</v>
      </c>
      <c r="N46" s="239">
        <v>0</v>
      </c>
      <c r="O46" s="213"/>
    </row>
    <row r="47" spans="1:15" x14ac:dyDescent="0.2">
      <c r="A47" s="231" t="s">
        <v>1197</v>
      </c>
      <c r="B47" s="232" t="s">
        <v>868</v>
      </c>
      <c r="C47" s="233" t="s">
        <v>867</v>
      </c>
      <c r="D47" s="226" t="s">
        <v>866</v>
      </c>
      <c r="E47" s="226" t="s">
        <v>712</v>
      </c>
      <c r="F47" s="226">
        <v>1</v>
      </c>
      <c r="G47" s="223">
        <v>1</v>
      </c>
      <c r="H47" s="223">
        <v>0</v>
      </c>
      <c r="I47" s="229">
        <v>0</v>
      </c>
      <c r="J47" s="229">
        <v>0</v>
      </c>
      <c r="K47" s="239">
        <v>1</v>
      </c>
      <c r="L47" s="239">
        <v>0</v>
      </c>
      <c r="M47" s="239">
        <v>0</v>
      </c>
      <c r="N47" s="239">
        <v>0</v>
      </c>
      <c r="O47" s="213"/>
    </row>
    <row r="48" spans="1:15" x14ac:dyDescent="0.2">
      <c r="A48" s="231" t="s">
        <v>1198</v>
      </c>
      <c r="B48" s="232" t="s">
        <v>865</v>
      </c>
      <c r="C48" s="233" t="s">
        <v>864</v>
      </c>
      <c r="D48" s="226" t="s">
        <v>863</v>
      </c>
      <c r="E48" s="226" t="s">
        <v>732</v>
      </c>
      <c r="F48" s="226">
        <v>1</v>
      </c>
      <c r="G48" s="223">
        <v>1</v>
      </c>
      <c r="H48" s="223">
        <v>1</v>
      </c>
      <c r="I48" s="229">
        <v>0</v>
      </c>
      <c r="J48" s="229">
        <v>0</v>
      </c>
      <c r="K48" s="239">
        <v>0</v>
      </c>
      <c r="L48" s="239">
        <v>0</v>
      </c>
      <c r="M48" s="239">
        <v>0</v>
      </c>
      <c r="N48" s="239">
        <v>0</v>
      </c>
      <c r="O48" s="213"/>
    </row>
    <row r="49" spans="1:15" ht="18" x14ac:dyDescent="0.2">
      <c r="A49" s="231" t="s">
        <v>1199</v>
      </c>
      <c r="B49" s="232" t="s">
        <v>862</v>
      </c>
      <c r="C49" s="234" t="s">
        <v>861</v>
      </c>
      <c r="D49" s="226" t="s">
        <v>860</v>
      </c>
      <c r="E49" s="226" t="s">
        <v>712</v>
      </c>
      <c r="F49" s="226">
        <v>1</v>
      </c>
      <c r="G49" s="223">
        <v>1</v>
      </c>
      <c r="H49" s="223">
        <v>1</v>
      </c>
      <c r="I49" s="229">
        <v>0</v>
      </c>
      <c r="J49" s="229">
        <v>0</v>
      </c>
      <c r="K49" s="239">
        <v>0</v>
      </c>
      <c r="L49" s="239">
        <v>0</v>
      </c>
      <c r="M49" s="239">
        <v>0</v>
      </c>
      <c r="N49" s="239">
        <v>0</v>
      </c>
      <c r="O49" s="213"/>
    </row>
    <row r="50" spans="1:15" x14ac:dyDescent="0.2">
      <c r="A50" s="231" t="s">
        <v>1200</v>
      </c>
      <c r="B50" s="232" t="s">
        <v>859</v>
      </c>
      <c r="C50" s="233" t="s">
        <v>858</v>
      </c>
      <c r="D50" s="226" t="s">
        <v>857</v>
      </c>
      <c r="E50" s="226" t="s">
        <v>712</v>
      </c>
      <c r="F50" s="226">
        <v>1</v>
      </c>
      <c r="G50" s="223">
        <v>1</v>
      </c>
      <c r="H50" s="223">
        <v>0</v>
      </c>
      <c r="I50" s="229">
        <v>0</v>
      </c>
      <c r="J50" s="229">
        <v>0</v>
      </c>
      <c r="K50" s="239">
        <v>1</v>
      </c>
      <c r="L50" s="239">
        <v>0</v>
      </c>
      <c r="M50" s="239">
        <v>0</v>
      </c>
      <c r="N50" s="239">
        <v>0</v>
      </c>
      <c r="O50" s="213"/>
    </row>
    <row r="51" spans="1:15" x14ac:dyDescent="0.2">
      <c r="A51" s="231" t="s">
        <v>1201</v>
      </c>
      <c r="B51" s="232" t="s">
        <v>856</v>
      </c>
      <c r="C51" s="233" t="s">
        <v>855</v>
      </c>
      <c r="D51" s="226" t="s">
        <v>854</v>
      </c>
      <c r="E51" s="226" t="s">
        <v>712</v>
      </c>
      <c r="F51" s="226">
        <v>1</v>
      </c>
      <c r="G51" s="223">
        <v>1</v>
      </c>
      <c r="H51" s="223">
        <v>1</v>
      </c>
      <c r="I51" s="229">
        <v>0</v>
      </c>
      <c r="J51" s="229">
        <v>0</v>
      </c>
      <c r="K51" s="239">
        <v>0</v>
      </c>
      <c r="L51" s="239">
        <v>0</v>
      </c>
      <c r="M51" s="239">
        <v>0</v>
      </c>
      <c r="N51" s="239">
        <v>0</v>
      </c>
      <c r="O51" s="213"/>
    </row>
    <row r="52" spans="1:15" x14ac:dyDescent="0.2">
      <c r="A52" s="231" t="s">
        <v>1202</v>
      </c>
      <c r="B52" s="232" t="s">
        <v>853</v>
      </c>
      <c r="C52" s="233" t="s">
        <v>852</v>
      </c>
      <c r="D52" s="226" t="s">
        <v>851</v>
      </c>
      <c r="E52" s="226" t="s">
        <v>712</v>
      </c>
      <c r="F52" s="226">
        <v>1</v>
      </c>
      <c r="G52" s="223">
        <v>2</v>
      </c>
      <c r="H52" s="223">
        <v>0</v>
      </c>
      <c r="I52" s="229">
        <v>0</v>
      </c>
      <c r="J52" s="229">
        <v>0</v>
      </c>
      <c r="K52" s="239">
        <v>0</v>
      </c>
      <c r="L52" s="239">
        <v>0</v>
      </c>
      <c r="M52" s="239">
        <v>0</v>
      </c>
      <c r="N52" s="239">
        <v>0</v>
      </c>
      <c r="O52" s="213"/>
    </row>
    <row r="53" spans="1:15" x14ac:dyDescent="0.2">
      <c r="A53" s="231" t="s">
        <v>1203</v>
      </c>
      <c r="B53" s="232" t="s">
        <v>850</v>
      </c>
      <c r="C53" s="233" t="s">
        <v>849</v>
      </c>
      <c r="D53" s="226" t="s">
        <v>848</v>
      </c>
      <c r="E53" s="226" t="s">
        <v>712</v>
      </c>
      <c r="F53" s="226">
        <v>1</v>
      </c>
      <c r="G53" s="223">
        <v>1</v>
      </c>
      <c r="H53" s="223">
        <v>0</v>
      </c>
      <c r="I53" s="229">
        <v>0</v>
      </c>
      <c r="J53" s="229">
        <v>0</v>
      </c>
      <c r="K53" s="239">
        <v>0</v>
      </c>
      <c r="L53" s="239">
        <v>0</v>
      </c>
      <c r="M53" s="239">
        <v>0</v>
      </c>
      <c r="N53" s="239">
        <v>0</v>
      </c>
      <c r="O53" s="213"/>
    </row>
    <row r="54" spans="1:15" x14ac:dyDescent="0.2">
      <c r="A54" s="231" t="s">
        <v>1204</v>
      </c>
      <c r="B54" s="232" t="s">
        <v>847</v>
      </c>
      <c r="C54" s="233" t="s">
        <v>846</v>
      </c>
      <c r="D54" s="226" t="s">
        <v>845</v>
      </c>
      <c r="E54" s="226" t="s">
        <v>712</v>
      </c>
      <c r="F54" s="226">
        <v>1</v>
      </c>
      <c r="G54" s="223">
        <v>2</v>
      </c>
      <c r="H54" s="223">
        <v>0</v>
      </c>
      <c r="I54" s="229">
        <v>0</v>
      </c>
      <c r="J54" s="229">
        <v>0</v>
      </c>
      <c r="K54" s="239">
        <v>0</v>
      </c>
      <c r="L54" s="239">
        <v>0</v>
      </c>
      <c r="M54" s="239">
        <v>0</v>
      </c>
      <c r="N54" s="239">
        <v>0</v>
      </c>
      <c r="O54" s="213"/>
    </row>
    <row r="55" spans="1:15" x14ac:dyDescent="0.2">
      <c r="A55" s="231" t="s">
        <v>1205</v>
      </c>
      <c r="B55" s="232" t="s">
        <v>843</v>
      </c>
      <c r="C55" s="233" t="s">
        <v>844</v>
      </c>
      <c r="D55" s="226" t="s">
        <v>843</v>
      </c>
      <c r="E55" s="226" t="s">
        <v>712</v>
      </c>
      <c r="F55" s="226">
        <v>1</v>
      </c>
      <c r="G55" s="223">
        <v>0</v>
      </c>
      <c r="H55" s="223">
        <v>0</v>
      </c>
      <c r="I55" s="229">
        <v>0</v>
      </c>
      <c r="J55" s="229">
        <v>0</v>
      </c>
      <c r="K55" s="239">
        <v>0</v>
      </c>
      <c r="L55" s="239">
        <v>0</v>
      </c>
      <c r="M55" s="239">
        <v>0</v>
      </c>
      <c r="N55" s="239">
        <v>0</v>
      </c>
      <c r="O55" s="213"/>
    </row>
    <row r="56" spans="1:15" x14ac:dyDescent="0.2">
      <c r="A56" s="231" t="s">
        <v>1206</v>
      </c>
      <c r="B56" s="232" t="s">
        <v>842</v>
      </c>
      <c r="C56" s="233" t="s">
        <v>841</v>
      </c>
      <c r="D56" s="227" t="s">
        <v>840</v>
      </c>
      <c r="E56" s="227" t="s">
        <v>712</v>
      </c>
      <c r="F56" s="226">
        <v>1</v>
      </c>
      <c r="G56" s="223">
        <v>1</v>
      </c>
      <c r="H56" s="223">
        <v>0</v>
      </c>
      <c r="I56" s="229">
        <v>0</v>
      </c>
      <c r="J56" s="229">
        <v>0</v>
      </c>
      <c r="K56" s="239">
        <v>0</v>
      </c>
      <c r="L56" s="239">
        <v>0</v>
      </c>
      <c r="M56" s="239">
        <v>0</v>
      </c>
      <c r="N56" s="239">
        <v>0</v>
      </c>
      <c r="O56" s="213"/>
    </row>
    <row r="57" spans="1:15" x14ac:dyDescent="0.2">
      <c r="A57" s="231" t="s">
        <v>1207</v>
      </c>
      <c r="B57" s="232" t="s">
        <v>838</v>
      </c>
      <c r="C57" s="233" t="s">
        <v>839</v>
      </c>
      <c r="D57" s="227" t="s">
        <v>838</v>
      </c>
      <c r="E57" s="227" t="s">
        <v>716</v>
      </c>
      <c r="F57" s="226">
        <v>1</v>
      </c>
      <c r="G57" s="223">
        <v>0</v>
      </c>
      <c r="H57" s="223">
        <v>1</v>
      </c>
      <c r="I57" s="229">
        <v>0</v>
      </c>
      <c r="J57" s="229">
        <v>0</v>
      </c>
      <c r="K57" s="239">
        <v>0</v>
      </c>
      <c r="L57" s="239">
        <v>0</v>
      </c>
      <c r="M57" s="239">
        <v>0</v>
      </c>
      <c r="N57" s="239">
        <v>0</v>
      </c>
      <c r="O57" s="213"/>
    </row>
    <row r="58" spans="1:15" x14ac:dyDescent="0.2">
      <c r="A58" s="231" t="s">
        <v>1208</v>
      </c>
      <c r="B58" s="232" t="s">
        <v>780</v>
      </c>
      <c r="C58" s="233" t="s">
        <v>837</v>
      </c>
      <c r="D58" s="226" t="s">
        <v>780</v>
      </c>
      <c r="E58" s="226" t="s">
        <v>712</v>
      </c>
      <c r="F58" s="226">
        <v>1</v>
      </c>
      <c r="G58" s="223">
        <v>0</v>
      </c>
      <c r="H58" s="223">
        <v>0</v>
      </c>
      <c r="I58" s="229">
        <v>0</v>
      </c>
      <c r="J58" s="229">
        <v>0</v>
      </c>
      <c r="K58" s="239">
        <v>0</v>
      </c>
      <c r="L58" s="239">
        <v>0</v>
      </c>
      <c r="M58" s="239">
        <v>0</v>
      </c>
      <c r="N58" s="239">
        <v>0</v>
      </c>
      <c r="O58" s="213"/>
    </row>
    <row r="59" spans="1:15" x14ac:dyDescent="0.2">
      <c r="A59" s="231" t="s">
        <v>1209</v>
      </c>
      <c r="B59" s="232" t="s">
        <v>835</v>
      </c>
      <c r="C59" s="233" t="s">
        <v>836</v>
      </c>
      <c r="D59" s="226" t="s">
        <v>835</v>
      </c>
      <c r="E59" s="226" t="s">
        <v>712</v>
      </c>
      <c r="F59" s="226">
        <v>1</v>
      </c>
      <c r="G59" s="223">
        <v>0</v>
      </c>
      <c r="H59" s="223">
        <v>0</v>
      </c>
      <c r="I59" s="229">
        <v>0</v>
      </c>
      <c r="J59" s="229">
        <v>0</v>
      </c>
      <c r="K59" s="239">
        <v>0</v>
      </c>
      <c r="L59" s="239">
        <v>0</v>
      </c>
      <c r="M59" s="239">
        <v>0</v>
      </c>
      <c r="N59" s="239">
        <v>0</v>
      </c>
      <c r="O59" s="213"/>
    </row>
    <row r="60" spans="1:15" x14ac:dyDescent="0.2">
      <c r="A60" s="231" t="s">
        <v>1210</v>
      </c>
      <c r="B60" s="232" t="s">
        <v>833</v>
      </c>
      <c r="C60" s="233" t="s">
        <v>834</v>
      </c>
      <c r="D60" s="226" t="s">
        <v>833</v>
      </c>
      <c r="E60" s="226" t="s">
        <v>716</v>
      </c>
      <c r="F60" s="226">
        <v>1</v>
      </c>
      <c r="G60" s="223">
        <v>0</v>
      </c>
      <c r="H60" s="223">
        <v>0</v>
      </c>
      <c r="I60" s="229">
        <v>0</v>
      </c>
      <c r="J60" s="229">
        <v>0</v>
      </c>
      <c r="K60" s="239">
        <v>0</v>
      </c>
      <c r="L60" s="239">
        <v>0</v>
      </c>
      <c r="M60" s="239">
        <v>0</v>
      </c>
      <c r="N60" s="239">
        <v>0</v>
      </c>
      <c r="O60" s="213"/>
    </row>
    <row r="61" spans="1:15" x14ac:dyDescent="0.2">
      <c r="A61" s="231" t="s">
        <v>1211</v>
      </c>
      <c r="B61" s="232" t="s">
        <v>832</v>
      </c>
      <c r="C61" s="233" t="s">
        <v>831</v>
      </c>
      <c r="D61" s="226" t="s">
        <v>830</v>
      </c>
      <c r="E61" s="226" t="s">
        <v>829</v>
      </c>
      <c r="F61" s="226">
        <v>1</v>
      </c>
      <c r="G61" s="223">
        <v>0</v>
      </c>
      <c r="H61" s="223">
        <v>0</v>
      </c>
      <c r="I61" s="229">
        <v>0</v>
      </c>
      <c r="J61" s="229">
        <v>0</v>
      </c>
      <c r="K61" s="239">
        <v>0</v>
      </c>
      <c r="L61" s="239">
        <v>0</v>
      </c>
      <c r="M61" s="239">
        <v>0</v>
      </c>
      <c r="N61" s="239">
        <v>0</v>
      </c>
      <c r="O61" s="213"/>
    </row>
    <row r="62" spans="1:15" x14ac:dyDescent="0.2">
      <c r="A62" s="231" t="s">
        <v>1212</v>
      </c>
      <c r="B62" s="232" t="s">
        <v>827</v>
      </c>
      <c r="C62" s="233" t="s">
        <v>828</v>
      </c>
      <c r="D62" s="226" t="s">
        <v>827</v>
      </c>
      <c r="E62" s="226" t="s">
        <v>712</v>
      </c>
      <c r="F62" s="226">
        <v>1</v>
      </c>
      <c r="G62" s="223">
        <v>0</v>
      </c>
      <c r="H62" s="223">
        <v>0</v>
      </c>
      <c r="I62" s="229">
        <v>0</v>
      </c>
      <c r="J62" s="229">
        <v>0</v>
      </c>
      <c r="K62" s="239">
        <v>1</v>
      </c>
      <c r="L62" s="239">
        <v>0</v>
      </c>
      <c r="M62" s="239">
        <v>0</v>
      </c>
      <c r="N62" s="239">
        <v>0</v>
      </c>
      <c r="O62" s="213"/>
    </row>
    <row r="63" spans="1:15" x14ac:dyDescent="0.2">
      <c r="A63" s="231" t="s">
        <v>1213</v>
      </c>
      <c r="B63" s="232" t="s">
        <v>826</v>
      </c>
      <c r="C63" s="233" t="s">
        <v>825</v>
      </c>
      <c r="D63" s="226" t="s">
        <v>482</v>
      </c>
      <c r="E63" s="226" t="s">
        <v>482</v>
      </c>
      <c r="F63" s="226">
        <v>0</v>
      </c>
      <c r="G63" s="223">
        <v>1</v>
      </c>
      <c r="H63" s="223">
        <v>0</v>
      </c>
      <c r="I63" s="229">
        <v>0</v>
      </c>
      <c r="J63" s="229">
        <v>0</v>
      </c>
      <c r="K63" s="239">
        <v>0</v>
      </c>
      <c r="L63" s="239">
        <v>0</v>
      </c>
      <c r="M63" s="239">
        <v>0</v>
      </c>
      <c r="N63" s="239">
        <v>0</v>
      </c>
      <c r="O63" s="213"/>
    </row>
    <row r="64" spans="1:15" x14ac:dyDescent="0.2">
      <c r="A64" s="231" t="s">
        <v>1214</v>
      </c>
      <c r="B64" s="232" t="s">
        <v>824</v>
      </c>
      <c r="C64" s="233" t="s">
        <v>823</v>
      </c>
      <c r="D64" s="226" t="s">
        <v>822</v>
      </c>
      <c r="E64" s="226" t="s">
        <v>712</v>
      </c>
      <c r="F64" s="226">
        <v>1</v>
      </c>
      <c r="G64" s="223">
        <v>1</v>
      </c>
      <c r="H64" s="223">
        <v>0</v>
      </c>
      <c r="I64" s="229">
        <v>0</v>
      </c>
      <c r="J64" s="229">
        <v>0</v>
      </c>
      <c r="K64" s="239">
        <v>0</v>
      </c>
      <c r="L64" s="239">
        <v>0</v>
      </c>
      <c r="M64" s="239">
        <v>0</v>
      </c>
      <c r="N64" s="239">
        <v>0</v>
      </c>
      <c r="O64" s="213"/>
    </row>
    <row r="65" spans="1:15" x14ac:dyDescent="0.2">
      <c r="A65" s="231" t="s">
        <v>1215</v>
      </c>
      <c r="B65" s="232" t="s">
        <v>821</v>
      </c>
      <c r="C65" s="233" t="s">
        <v>820</v>
      </c>
      <c r="D65" s="226" t="s">
        <v>819</v>
      </c>
      <c r="E65" s="226" t="s">
        <v>712</v>
      </c>
      <c r="F65" s="226">
        <v>1</v>
      </c>
      <c r="G65" s="223">
        <v>1</v>
      </c>
      <c r="H65" s="223">
        <v>0</v>
      </c>
      <c r="I65" s="229">
        <v>0</v>
      </c>
      <c r="J65" s="229">
        <v>0</v>
      </c>
      <c r="K65" s="239">
        <v>0</v>
      </c>
      <c r="L65" s="239">
        <v>0</v>
      </c>
      <c r="M65" s="239">
        <v>0</v>
      </c>
      <c r="N65" s="239">
        <v>0</v>
      </c>
      <c r="O65" s="213" t="s">
        <v>818</v>
      </c>
    </row>
    <row r="66" spans="1:15" ht="16" customHeight="1" x14ac:dyDescent="0.2">
      <c r="A66" s="231" t="s">
        <v>1216</v>
      </c>
      <c r="B66" s="232" t="s">
        <v>817</v>
      </c>
      <c r="C66" s="233" t="s">
        <v>816</v>
      </c>
      <c r="D66" s="226" t="s">
        <v>815</v>
      </c>
      <c r="E66" s="226" t="s">
        <v>712</v>
      </c>
      <c r="F66" s="226">
        <v>1</v>
      </c>
      <c r="G66" s="223">
        <v>2</v>
      </c>
      <c r="H66" s="223">
        <v>0</v>
      </c>
      <c r="I66" s="229">
        <v>0</v>
      </c>
      <c r="J66" s="229">
        <v>0</v>
      </c>
      <c r="K66" s="239">
        <v>0</v>
      </c>
      <c r="L66" s="239">
        <v>0</v>
      </c>
      <c r="M66" s="239">
        <v>0</v>
      </c>
      <c r="N66" s="239">
        <v>0</v>
      </c>
      <c r="O66" s="213"/>
    </row>
    <row r="67" spans="1:15" x14ac:dyDescent="0.2">
      <c r="A67" s="231" t="s">
        <v>1217</v>
      </c>
      <c r="B67" s="232" t="s">
        <v>814</v>
      </c>
      <c r="C67" s="233" t="s">
        <v>813</v>
      </c>
      <c r="D67" s="226" t="s">
        <v>812</v>
      </c>
      <c r="E67" s="226" t="s">
        <v>712</v>
      </c>
      <c r="F67" s="226">
        <v>1</v>
      </c>
      <c r="G67" s="224">
        <v>2</v>
      </c>
      <c r="H67" s="223">
        <v>0</v>
      </c>
      <c r="I67" s="229">
        <v>0</v>
      </c>
      <c r="J67" s="229">
        <v>0</v>
      </c>
      <c r="K67" s="239">
        <v>0</v>
      </c>
      <c r="L67" s="239">
        <v>0</v>
      </c>
      <c r="M67" s="239">
        <v>0</v>
      </c>
      <c r="N67" s="239">
        <v>0</v>
      </c>
      <c r="O67" s="213" t="s">
        <v>811</v>
      </c>
    </row>
    <row r="68" spans="1:15" x14ac:dyDescent="0.2">
      <c r="A68" s="231" t="s">
        <v>1218</v>
      </c>
      <c r="B68" s="232" t="s">
        <v>810</v>
      </c>
      <c r="C68" s="233" t="s">
        <v>809</v>
      </c>
      <c r="D68" s="226" t="s">
        <v>808</v>
      </c>
      <c r="E68" s="226" t="s">
        <v>712</v>
      </c>
      <c r="F68" s="226">
        <v>1</v>
      </c>
      <c r="G68" s="223">
        <v>1</v>
      </c>
      <c r="H68" s="223">
        <v>0</v>
      </c>
      <c r="I68" s="229">
        <v>0</v>
      </c>
      <c r="J68" s="229">
        <v>1</v>
      </c>
      <c r="K68" s="239">
        <v>0</v>
      </c>
      <c r="L68" s="239">
        <v>0</v>
      </c>
      <c r="M68" s="239">
        <v>0</v>
      </c>
      <c r="N68" s="239">
        <v>0</v>
      </c>
      <c r="O68" s="213"/>
    </row>
    <row r="69" spans="1:15" x14ac:dyDescent="0.2">
      <c r="A69" s="231" t="s">
        <v>1219</v>
      </c>
      <c r="B69" s="232" t="s">
        <v>807</v>
      </c>
      <c r="C69" s="233" t="s">
        <v>806</v>
      </c>
      <c r="D69" s="226" t="s">
        <v>805</v>
      </c>
      <c r="E69" s="226" t="s">
        <v>712</v>
      </c>
      <c r="F69" s="226">
        <v>1</v>
      </c>
      <c r="G69" s="223">
        <v>1</v>
      </c>
      <c r="H69" s="223">
        <v>0</v>
      </c>
      <c r="I69" s="229">
        <v>0</v>
      </c>
      <c r="J69" s="229">
        <v>0</v>
      </c>
      <c r="K69" s="239">
        <v>1</v>
      </c>
      <c r="L69" s="239">
        <v>0</v>
      </c>
      <c r="M69" s="239">
        <v>0</v>
      </c>
      <c r="N69" s="239">
        <v>0</v>
      </c>
      <c r="O69" s="213"/>
    </row>
    <row r="70" spans="1:15" x14ac:dyDescent="0.2">
      <c r="A70" s="231" t="s">
        <v>1220</v>
      </c>
      <c r="B70" s="232" t="s">
        <v>804</v>
      </c>
      <c r="C70" s="233" t="s">
        <v>803</v>
      </c>
      <c r="D70" s="226" t="s">
        <v>802</v>
      </c>
      <c r="E70" s="226" t="s">
        <v>712</v>
      </c>
      <c r="F70" s="226">
        <v>1</v>
      </c>
      <c r="G70" s="223">
        <v>0</v>
      </c>
      <c r="H70" s="223">
        <v>1</v>
      </c>
      <c r="I70" s="229">
        <v>0</v>
      </c>
      <c r="J70" s="229">
        <v>1</v>
      </c>
      <c r="K70" s="239">
        <v>0</v>
      </c>
      <c r="L70" s="239">
        <v>0</v>
      </c>
      <c r="M70" s="239">
        <v>1</v>
      </c>
      <c r="N70" s="239">
        <v>0</v>
      </c>
      <c r="O70" s="213"/>
    </row>
    <row r="71" spans="1:15" x14ac:dyDescent="0.2">
      <c r="A71" s="231" t="s">
        <v>1221</v>
      </c>
      <c r="B71" s="232" t="s">
        <v>801</v>
      </c>
      <c r="C71" s="233" t="s">
        <v>800</v>
      </c>
      <c r="D71" s="226" t="s">
        <v>799</v>
      </c>
      <c r="E71" s="226" t="s">
        <v>712</v>
      </c>
      <c r="F71" s="226">
        <v>1</v>
      </c>
      <c r="G71" s="223">
        <v>2</v>
      </c>
      <c r="H71" s="223">
        <v>0</v>
      </c>
      <c r="I71" s="229">
        <v>0</v>
      </c>
      <c r="J71" s="229">
        <v>0</v>
      </c>
      <c r="K71" s="239">
        <v>0</v>
      </c>
      <c r="L71" s="239">
        <v>0</v>
      </c>
      <c r="M71" s="239">
        <v>0</v>
      </c>
      <c r="N71" s="239">
        <v>0</v>
      </c>
      <c r="O71" s="213"/>
    </row>
    <row r="72" spans="1:15" x14ac:dyDescent="0.2">
      <c r="A72" s="231" t="s">
        <v>1222</v>
      </c>
      <c r="B72" s="232" t="s">
        <v>797</v>
      </c>
      <c r="C72" s="233" t="s">
        <v>798</v>
      </c>
      <c r="D72" s="226" t="s">
        <v>797</v>
      </c>
      <c r="E72" s="226" t="s">
        <v>712</v>
      </c>
      <c r="F72" s="226">
        <v>1</v>
      </c>
      <c r="G72" s="223">
        <v>0</v>
      </c>
      <c r="H72" s="223">
        <v>0</v>
      </c>
      <c r="I72" s="229">
        <v>0</v>
      </c>
      <c r="J72" s="229">
        <v>1</v>
      </c>
      <c r="K72" s="239">
        <v>0</v>
      </c>
      <c r="L72" s="239">
        <v>0</v>
      </c>
      <c r="M72" s="239">
        <v>0</v>
      </c>
      <c r="N72" s="239">
        <v>0</v>
      </c>
      <c r="O72" s="213"/>
    </row>
    <row r="73" spans="1:15" x14ac:dyDescent="0.2">
      <c r="A73" s="231" t="s">
        <v>1223</v>
      </c>
      <c r="B73" s="232" t="s">
        <v>796</v>
      </c>
      <c r="C73" s="233" t="s">
        <v>795</v>
      </c>
      <c r="D73" s="226" t="s">
        <v>794</v>
      </c>
      <c r="E73" s="226" t="s">
        <v>712</v>
      </c>
      <c r="F73" s="226">
        <v>1</v>
      </c>
      <c r="G73" s="223">
        <v>2</v>
      </c>
      <c r="H73" s="223">
        <v>1</v>
      </c>
      <c r="I73" s="229">
        <v>0</v>
      </c>
      <c r="J73" s="229">
        <v>0</v>
      </c>
      <c r="K73" s="239">
        <v>0</v>
      </c>
      <c r="L73" s="239">
        <v>0</v>
      </c>
      <c r="M73" s="239">
        <v>0</v>
      </c>
      <c r="N73" s="239">
        <v>0</v>
      </c>
      <c r="O73" s="213"/>
    </row>
    <row r="74" spans="1:15" x14ac:dyDescent="0.2">
      <c r="A74" s="231" t="s">
        <v>1224</v>
      </c>
      <c r="B74" s="232" t="s">
        <v>793</v>
      </c>
      <c r="C74" s="233" t="s">
        <v>792</v>
      </c>
      <c r="D74" s="226" t="s">
        <v>791</v>
      </c>
      <c r="E74" s="226" t="s">
        <v>712</v>
      </c>
      <c r="F74" s="226">
        <v>1</v>
      </c>
      <c r="G74" s="223">
        <v>1</v>
      </c>
      <c r="H74" s="223">
        <v>0</v>
      </c>
      <c r="I74" s="229">
        <v>0</v>
      </c>
      <c r="J74" s="229">
        <v>1</v>
      </c>
      <c r="K74" s="239">
        <v>0</v>
      </c>
      <c r="L74" s="239">
        <v>0</v>
      </c>
      <c r="M74" s="239">
        <v>0</v>
      </c>
      <c r="N74" s="239">
        <v>0</v>
      </c>
      <c r="O74" s="213"/>
    </row>
    <row r="75" spans="1:15" x14ac:dyDescent="0.2">
      <c r="A75" s="231" t="s">
        <v>1225</v>
      </c>
      <c r="B75" s="232" t="s">
        <v>789</v>
      </c>
      <c r="C75" s="233" t="s">
        <v>790</v>
      </c>
      <c r="D75" s="226" t="s">
        <v>789</v>
      </c>
      <c r="E75" s="226" t="s">
        <v>712</v>
      </c>
      <c r="F75" s="226">
        <v>1</v>
      </c>
      <c r="G75" s="223">
        <v>0</v>
      </c>
      <c r="H75" s="223">
        <v>0</v>
      </c>
      <c r="I75" s="229">
        <v>0</v>
      </c>
      <c r="J75" s="229">
        <v>1</v>
      </c>
      <c r="K75" s="239">
        <v>0</v>
      </c>
      <c r="L75" s="239">
        <v>0</v>
      </c>
      <c r="M75" s="239">
        <v>0</v>
      </c>
      <c r="N75" s="239">
        <v>0</v>
      </c>
      <c r="O75" s="213"/>
    </row>
    <row r="76" spans="1:15" x14ac:dyDescent="0.2">
      <c r="A76" s="231" t="s">
        <v>1226</v>
      </c>
      <c r="B76" s="232" t="s">
        <v>788</v>
      </c>
      <c r="C76" s="233" t="s">
        <v>787</v>
      </c>
      <c r="D76" s="226" t="s">
        <v>786</v>
      </c>
      <c r="E76" s="226" t="s">
        <v>716</v>
      </c>
      <c r="F76" s="226">
        <v>1</v>
      </c>
      <c r="G76" s="223">
        <v>1</v>
      </c>
      <c r="H76" s="223">
        <v>0</v>
      </c>
      <c r="I76" s="229">
        <v>0</v>
      </c>
      <c r="J76" s="229">
        <v>0</v>
      </c>
      <c r="K76" s="239">
        <v>0</v>
      </c>
      <c r="L76" s="240">
        <v>1</v>
      </c>
      <c r="M76" s="239">
        <v>0</v>
      </c>
      <c r="N76" s="239">
        <v>0</v>
      </c>
      <c r="O76" s="213"/>
    </row>
    <row r="77" spans="1:15" x14ac:dyDescent="0.2">
      <c r="A77" s="231" t="s">
        <v>1227</v>
      </c>
      <c r="B77" s="232" t="s">
        <v>785</v>
      </c>
      <c r="C77" s="233" t="s">
        <v>784</v>
      </c>
      <c r="D77" s="226" t="s">
        <v>783</v>
      </c>
      <c r="E77" s="226" t="s">
        <v>712</v>
      </c>
      <c r="F77" s="226">
        <v>1</v>
      </c>
      <c r="G77" s="223">
        <v>1</v>
      </c>
      <c r="H77" s="223">
        <v>0</v>
      </c>
      <c r="I77" s="229">
        <v>0</v>
      </c>
      <c r="J77" s="229">
        <v>0</v>
      </c>
      <c r="K77" s="239">
        <v>0</v>
      </c>
      <c r="L77" s="239">
        <v>0</v>
      </c>
      <c r="M77" s="239">
        <v>0</v>
      </c>
      <c r="N77" s="239">
        <v>0</v>
      </c>
      <c r="O77" s="213"/>
    </row>
    <row r="78" spans="1:15" ht="18" customHeight="1" x14ac:dyDescent="0.2">
      <c r="A78" s="231" t="s">
        <v>1228</v>
      </c>
      <c r="B78" s="232" t="s">
        <v>782</v>
      </c>
      <c r="C78" s="233" t="s">
        <v>781</v>
      </c>
      <c r="D78" s="226" t="s">
        <v>780</v>
      </c>
      <c r="E78" s="226" t="s">
        <v>712</v>
      </c>
      <c r="F78" s="226">
        <v>1</v>
      </c>
      <c r="G78" s="223">
        <v>1</v>
      </c>
      <c r="H78" s="223">
        <v>0</v>
      </c>
      <c r="I78" s="229">
        <v>0</v>
      </c>
      <c r="J78" s="229">
        <v>0</v>
      </c>
      <c r="K78" s="239">
        <v>0</v>
      </c>
      <c r="L78" s="239">
        <v>0</v>
      </c>
      <c r="M78" s="239">
        <v>0</v>
      </c>
      <c r="N78" s="239">
        <v>0</v>
      </c>
      <c r="O78" s="213"/>
    </row>
    <row r="79" spans="1:15" x14ac:dyDescent="0.2">
      <c r="A79" s="231" t="s">
        <v>1229</v>
      </c>
      <c r="B79" s="232" t="s">
        <v>779</v>
      </c>
      <c r="C79" s="233" t="s">
        <v>778</v>
      </c>
      <c r="D79" s="226" t="s">
        <v>777</v>
      </c>
      <c r="E79" s="226" t="s">
        <v>712</v>
      </c>
      <c r="F79" s="226">
        <v>1</v>
      </c>
      <c r="G79" s="223">
        <v>0</v>
      </c>
      <c r="H79" s="223">
        <v>0</v>
      </c>
      <c r="I79" s="229">
        <v>0</v>
      </c>
      <c r="J79" s="229">
        <v>0</v>
      </c>
      <c r="K79" s="239">
        <v>0</v>
      </c>
      <c r="L79" s="239">
        <v>0</v>
      </c>
      <c r="M79" s="239">
        <v>0</v>
      </c>
      <c r="N79" s="239">
        <v>0</v>
      </c>
      <c r="O79" s="213"/>
    </row>
    <row r="80" spans="1:15" x14ac:dyDescent="0.2">
      <c r="A80" s="231" t="s">
        <v>1230</v>
      </c>
      <c r="B80" s="232" t="s">
        <v>775</v>
      </c>
      <c r="C80" s="233" t="s">
        <v>776</v>
      </c>
      <c r="D80" s="226" t="s">
        <v>775</v>
      </c>
      <c r="E80" s="226" t="s">
        <v>712</v>
      </c>
      <c r="F80" s="226">
        <v>1</v>
      </c>
      <c r="G80" s="223">
        <v>0</v>
      </c>
      <c r="H80" s="223">
        <v>0</v>
      </c>
      <c r="I80" s="229">
        <v>0</v>
      </c>
      <c r="J80" s="229">
        <v>0</v>
      </c>
      <c r="K80" s="239">
        <v>0</v>
      </c>
      <c r="L80" s="239">
        <v>0</v>
      </c>
      <c r="M80" s="239">
        <v>0</v>
      </c>
      <c r="N80" s="239">
        <v>0</v>
      </c>
      <c r="O80" s="213"/>
    </row>
    <row r="81" spans="1:15" x14ac:dyDescent="0.2">
      <c r="A81" s="231" t="s">
        <v>1231</v>
      </c>
      <c r="B81" s="232" t="s">
        <v>774</v>
      </c>
      <c r="C81" s="233" t="s">
        <v>773</v>
      </c>
      <c r="D81" s="226" t="s">
        <v>772</v>
      </c>
      <c r="E81" s="226" t="s">
        <v>712</v>
      </c>
      <c r="F81" s="226">
        <v>1</v>
      </c>
      <c r="G81" s="223">
        <v>1</v>
      </c>
      <c r="H81" s="223">
        <v>0</v>
      </c>
      <c r="I81" s="229">
        <v>0</v>
      </c>
      <c r="J81" s="229">
        <v>0</v>
      </c>
      <c r="K81" s="239">
        <v>0</v>
      </c>
      <c r="L81" s="239">
        <v>0</v>
      </c>
      <c r="M81" s="239">
        <v>0</v>
      </c>
      <c r="N81" s="239">
        <v>0</v>
      </c>
      <c r="O81" s="213"/>
    </row>
    <row r="82" spans="1:15" x14ac:dyDescent="0.2">
      <c r="A82" s="231" t="s">
        <v>1232</v>
      </c>
      <c r="B82" s="232" t="s">
        <v>770</v>
      </c>
      <c r="C82" s="233" t="s">
        <v>771</v>
      </c>
      <c r="D82" s="226" t="s">
        <v>770</v>
      </c>
      <c r="E82" s="226" t="s">
        <v>712</v>
      </c>
      <c r="F82" s="226">
        <v>1</v>
      </c>
      <c r="G82" s="223">
        <v>0</v>
      </c>
      <c r="H82" s="223">
        <v>0</v>
      </c>
      <c r="I82" s="229">
        <v>0</v>
      </c>
      <c r="J82" s="229">
        <v>1</v>
      </c>
      <c r="K82" s="239">
        <v>0</v>
      </c>
      <c r="L82" s="239">
        <v>0</v>
      </c>
      <c r="M82" s="239">
        <v>0</v>
      </c>
      <c r="N82" s="239">
        <v>0</v>
      </c>
      <c r="O82" s="213"/>
    </row>
    <row r="83" spans="1:15" x14ac:dyDescent="0.2">
      <c r="A83" s="231" t="s">
        <v>1233</v>
      </c>
      <c r="B83" s="232" t="s">
        <v>769</v>
      </c>
      <c r="C83" s="233" t="s">
        <v>768</v>
      </c>
      <c r="D83" s="226" t="s">
        <v>767</v>
      </c>
      <c r="E83" s="226" t="s">
        <v>712</v>
      </c>
      <c r="F83" s="226">
        <v>1</v>
      </c>
      <c r="G83" s="223">
        <v>2</v>
      </c>
      <c r="H83" s="223">
        <v>1</v>
      </c>
      <c r="I83" s="229">
        <v>0</v>
      </c>
      <c r="J83" s="229">
        <v>0</v>
      </c>
      <c r="K83" s="239">
        <v>0</v>
      </c>
      <c r="L83" s="239">
        <v>0</v>
      </c>
      <c r="M83" s="239">
        <v>0</v>
      </c>
      <c r="N83" s="239">
        <v>0</v>
      </c>
      <c r="O83" s="213"/>
    </row>
    <row r="84" spans="1:15" x14ac:dyDescent="0.2">
      <c r="A84" s="231" t="s">
        <v>1234</v>
      </c>
      <c r="B84" s="232" t="s">
        <v>766</v>
      </c>
      <c r="C84" s="233" t="s">
        <v>765</v>
      </c>
      <c r="D84" s="226" t="s">
        <v>764</v>
      </c>
      <c r="E84" s="226" t="s">
        <v>763</v>
      </c>
      <c r="F84" s="226">
        <v>1</v>
      </c>
      <c r="G84" s="223">
        <v>0</v>
      </c>
      <c r="H84" s="223">
        <v>0</v>
      </c>
      <c r="I84" s="229">
        <v>0</v>
      </c>
      <c r="J84" s="229">
        <v>0</v>
      </c>
      <c r="K84" s="239">
        <v>0</v>
      </c>
      <c r="L84" s="239">
        <v>0</v>
      </c>
      <c r="M84" s="239">
        <v>0</v>
      </c>
      <c r="N84" s="239">
        <v>0</v>
      </c>
      <c r="O84" s="213"/>
    </row>
    <row r="85" spans="1:15" x14ac:dyDescent="0.2">
      <c r="A85" s="231" t="s">
        <v>1235</v>
      </c>
      <c r="B85" s="232" t="s">
        <v>762</v>
      </c>
      <c r="C85" s="233" t="s">
        <v>761</v>
      </c>
      <c r="D85" s="226" t="s">
        <v>760</v>
      </c>
      <c r="E85" s="226" t="s">
        <v>732</v>
      </c>
      <c r="F85" s="226">
        <v>1</v>
      </c>
      <c r="G85" s="223">
        <v>0</v>
      </c>
      <c r="H85" s="223">
        <v>0</v>
      </c>
      <c r="I85" s="229">
        <v>0</v>
      </c>
      <c r="J85" s="229">
        <v>0</v>
      </c>
      <c r="K85" s="239">
        <v>0</v>
      </c>
      <c r="L85" s="239">
        <v>0</v>
      </c>
      <c r="M85" s="239">
        <v>0</v>
      </c>
      <c r="N85" s="239">
        <v>0</v>
      </c>
      <c r="O85" s="213"/>
    </row>
    <row r="86" spans="1:15" x14ac:dyDescent="0.2">
      <c r="A86" s="231" t="s">
        <v>1236</v>
      </c>
      <c r="B86" s="232" t="s">
        <v>759</v>
      </c>
      <c r="C86" s="233" t="s">
        <v>758</v>
      </c>
      <c r="D86" s="226" t="s">
        <v>757</v>
      </c>
      <c r="E86" s="226" t="s">
        <v>712</v>
      </c>
      <c r="F86" s="226">
        <v>1</v>
      </c>
      <c r="G86" s="223">
        <v>0</v>
      </c>
      <c r="H86" s="223">
        <v>1</v>
      </c>
      <c r="I86" s="229">
        <v>0</v>
      </c>
      <c r="J86" s="229">
        <v>0</v>
      </c>
      <c r="K86" s="239">
        <v>0</v>
      </c>
      <c r="L86" s="239">
        <v>0</v>
      </c>
      <c r="M86" s="239">
        <v>1</v>
      </c>
      <c r="N86" s="239">
        <v>0</v>
      </c>
      <c r="O86" s="213"/>
    </row>
    <row r="87" spans="1:15" x14ac:dyDescent="0.2">
      <c r="A87" s="231" t="s">
        <v>1237</v>
      </c>
      <c r="B87" s="232" t="s">
        <v>756</v>
      </c>
      <c r="C87" s="235" t="s">
        <v>755</v>
      </c>
      <c r="D87" s="226" t="s">
        <v>754</v>
      </c>
      <c r="E87" s="226" t="s">
        <v>712</v>
      </c>
      <c r="F87" s="226">
        <v>1</v>
      </c>
      <c r="G87" s="223">
        <v>1</v>
      </c>
      <c r="H87" s="223">
        <v>1</v>
      </c>
      <c r="I87" s="229">
        <v>0</v>
      </c>
      <c r="J87" s="229">
        <v>0</v>
      </c>
      <c r="K87" s="239">
        <v>0</v>
      </c>
      <c r="L87" s="239">
        <v>0</v>
      </c>
      <c r="M87" s="239">
        <v>0</v>
      </c>
      <c r="N87" s="239">
        <v>0</v>
      </c>
      <c r="O87" s="213"/>
    </row>
    <row r="88" spans="1:15" x14ac:dyDescent="0.2">
      <c r="A88" s="231" t="s">
        <v>1238</v>
      </c>
      <c r="B88" s="232" t="s">
        <v>752</v>
      </c>
      <c r="C88" s="233" t="s">
        <v>753</v>
      </c>
      <c r="D88" s="226" t="s">
        <v>752</v>
      </c>
      <c r="E88" s="226" t="s">
        <v>712</v>
      </c>
      <c r="F88" s="226">
        <v>1</v>
      </c>
      <c r="G88" s="223">
        <v>1</v>
      </c>
      <c r="H88" s="223">
        <v>0</v>
      </c>
      <c r="I88" s="229">
        <v>0</v>
      </c>
      <c r="J88" s="229">
        <v>0</v>
      </c>
      <c r="K88" s="239">
        <v>1</v>
      </c>
      <c r="L88" s="239">
        <v>0</v>
      </c>
      <c r="M88" s="239">
        <v>0</v>
      </c>
      <c r="N88" s="239">
        <v>0</v>
      </c>
      <c r="O88" s="213"/>
    </row>
    <row r="89" spans="1:15" x14ac:dyDescent="0.2">
      <c r="A89" s="231" t="s">
        <v>1239</v>
      </c>
      <c r="B89" s="232" t="s">
        <v>751</v>
      </c>
      <c r="C89" s="233" t="s">
        <v>750</v>
      </c>
      <c r="D89" s="226" t="s">
        <v>749</v>
      </c>
      <c r="E89" s="226" t="s">
        <v>712</v>
      </c>
      <c r="F89" s="226">
        <v>1</v>
      </c>
      <c r="G89" s="223">
        <v>1</v>
      </c>
      <c r="H89" s="223">
        <v>0</v>
      </c>
      <c r="I89" s="229">
        <v>0</v>
      </c>
      <c r="J89" s="229">
        <v>0</v>
      </c>
      <c r="K89" s="239">
        <v>0</v>
      </c>
      <c r="L89" s="239">
        <v>0</v>
      </c>
      <c r="M89" s="239">
        <v>0</v>
      </c>
      <c r="N89" s="239">
        <v>0</v>
      </c>
      <c r="O89" s="213"/>
    </row>
    <row r="90" spans="1:15" x14ac:dyDescent="0.2">
      <c r="A90" s="231" t="s">
        <v>1240</v>
      </c>
      <c r="B90" s="232" t="s">
        <v>748</v>
      </c>
      <c r="C90" s="233" t="s">
        <v>747</v>
      </c>
      <c r="D90" s="226" t="s">
        <v>746</v>
      </c>
      <c r="E90" s="226" t="s">
        <v>712</v>
      </c>
      <c r="F90" s="226">
        <v>1</v>
      </c>
      <c r="G90" s="223">
        <v>1</v>
      </c>
      <c r="H90" s="223">
        <v>0</v>
      </c>
      <c r="I90" s="229">
        <v>0</v>
      </c>
      <c r="J90" s="229">
        <v>0</v>
      </c>
      <c r="K90" s="239">
        <v>0</v>
      </c>
      <c r="L90" s="239">
        <v>0</v>
      </c>
      <c r="M90" s="239">
        <v>0</v>
      </c>
      <c r="N90" s="239">
        <v>0</v>
      </c>
      <c r="O90" s="213"/>
    </row>
    <row r="91" spans="1:15" x14ac:dyDescent="0.2">
      <c r="A91" s="231" t="s">
        <v>1241</v>
      </c>
      <c r="B91" s="232" t="s">
        <v>744</v>
      </c>
      <c r="C91" s="233" t="s">
        <v>745</v>
      </c>
      <c r="D91" s="226" t="s">
        <v>744</v>
      </c>
      <c r="E91" s="226" t="s">
        <v>712</v>
      </c>
      <c r="F91" s="226">
        <v>1</v>
      </c>
      <c r="G91" s="223">
        <v>0</v>
      </c>
      <c r="H91" s="223">
        <v>0</v>
      </c>
      <c r="I91" s="229">
        <v>0</v>
      </c>
      <c r="J91" s="229">
        <v>0</v>
      </c>
      <c r="K91" s="239">
        <v>0</v>
      </c>
      <c r="L91" s="239">
        <v>0</v>
      </c>
      <c r="M91" s="239">
        <v>0</v>
      </c>
      <c r="N91" s="239">
        <v>0</v>
      </c>
      <c r="O91" s="213"/>
    </row>
    <row r="92" spans="1:15" x14ac:dyDescent="0.2">
      <c r="A92" s="231" t="s">
        <v>1242</v>
      </c>
      <c r="B92" s="232" t="s">
        <v>743</v>
      </c>
      <c r="C92" s="233" t="s">
        <v>742</v>
      </c>
      <c r="D92" s="226" t="s">
        <v>741</v>
      </c>
      <c r="E92" s="226" t="s">
        <v>712</v>
      </c>
      <c r="F92" s="226">
        <v>1</v>
      </c>
      <c r="G92" s="223">
        <v>1</v>
      </c>
      <c r="H92" s="223">
        <v>1</v>
      </c>
      <c r="I92" s="229">
        <v>0</v>
      </c>
      <c r="J92" s="229">
        <v>0</v>
      </c>
      <c r="K92" s="239">
        <v>0</v>
      </c>
      <c r="L92" s="239">
        <v>0</v>
      </c>
      <c r="M92" s="239">
        <v>0</v>
      </c>
      <c r="N92" s="239">
        <v>0</v>
      </c>
      <c r="O92" s="213"/>
    </row>
    <row r="93" spans="1:15" x14ac:dyDescent="0.2">
      <c r="A93" s="231" t="s">
        <v>1243</v>
      </c>
      <c r="B93" s="232" t="s">
        <v>740</v>
      </c>
      <c r="C93" s="233" t="s">
        <v>739</v>
      </c>
      <c r="D93" s="226" t="s">
        <v>738</v>
      </c>
      <c r="E93" s="226" t="s">
        <v>712</v>
      </c>
      <c r="F93" s="226">
        <v>1</v>
      </c>
      <c r="G93" s="223">
        <v>1</v>
      </c>
      <c r="H93" s="223">
        <v>0</v>
      </c>
      <c r="I93" s="229">
        <v>0</v>
      </c>
      <c r="J93" s="229">
        <v>0</v>
      </c>
      <c r="K93" s="239">
        <v>0</v>
      </c>
      <c r="L93" s="239">
        <v>0</v>
      </c>
      <c r="M93" s="239">
        <v>0</v>
      </c>
      <c r="N93" s="239">
        <v>0</v>
      </c>
      <c r="O93" s="213"/>
    </row>
    <row r="94" spans="1:15" x14ac:dyDescent="0.2">
      <c r="A94" s="231" t="s">
        <v>1244</v>
      </c>
      <c r="B94" s="232" t="s">
        <v>736</v>
      </c>
      <c r="C94" s="233" t="s">
        <v>737</v>
      </c>
      <c r="D94" s="226" t="s">
        <v>736</v>
      </c>
      <c r="E94" s="226" t="s">
        <v>712</v>
      </c>
      <c r="F94" s="226">
        <v>1</v>
      </c>
      <c r="G94" s="223">
        <v>0</v>
      </c>
      <c r="H94" s="223">
        <v>0</v>
      </c>
      <c r="I94" s="229">
        <v>0</v>
      </c>
      <c r="J94" s="229">
        <v>0</v>
      </c>
      <c r="K94" s="239">
        <v>0</v>
      </c>
      <c r="L94" s="239">
        <v>1</v>
      </c>
      <c r="M94" s="239">
        <v>0</v>
      </c>
      <c r="N94" s="239">
        <v>0</v>
      </c>
      <c r="O94" s="213"/>
    </row>
    <row r="95" spans="1:15" x14ac:dyDescent="0.2">
      <c r="A95" s="231" t="s">
        <v>1245</v>
      </c>
      <c r="B95" s="232" t="s">
        <v>735</v>
      </c>
      <c r="C95" s="233" t="s">
        <v>734</v>
      </c>
      <c r="D95" s="226" t="s">
        <v>733</v>
      </c>
      <c r="E95" s="226" t="s">
        <v>732</v>
      </c>
      <c r="F95" s="226">
        <v>1</v>
      </c>
      <c r="G95" s="223">
        <v>1</v>
      </c>
      <c r="H95" s="223">
        <v>0</v>
      </c>
      <c r="I95" s="229">
        <v>0</v>
      </c>
      <c r="J95" s="229">
        <v>0</v>
      </c>
      <c r="K95" s="239">
        <v>0</v>
      </c>
      <c r="L95" s="239">
        <v>0</v>
      </c>
      <c r="M95" s="239">
        <v>0</v>
      </c>
      <c r="N95" s="239">
        <v>0</v>
      </c>
      <c r="O95" s="213"/>
    </row>
    <row r="96" spans="1:15" x14ac:dyDescent="0.2">
      <c r="A96" s="231" t="s">
        <v>1246</v>
      </c>
      <c r="B96" s="232" t="s">
        <v>731</v>
      </c>
      <c r="C96" s="233" t="s">
        <v>730</v>
      </c>
      <c r="D96" s="226" t="s">
        <v>729</v>
      </c>
      <c r="E96" s="226" t="s">
        <v>716</v>
      </c>
      <c r="F96" s="226">
        <v>1</v>
      </c>
      <c r="G96" s="223">
        <v>1</v>
      </c>
      <c r="H96" s="223">
        <v>0</v>
      </c>
      <c r="I96" s="229">
        <v>0</v>
      </c>
      <c r="J96" s="229">
        <v>0</v>
      </c>
      <c r="K96" s="239">
        <v>0</v>
      </c>
      <c r="L96" s="239">
        <v>0</v>
      </c>
      <c r="M96" s="239">
        <v>0</v>
      </c>
      <c r="N96" s="239">
        <v>0</v>
      </c>
      <c r="O96" s="213"/>
    </row>
    <row r="97" spans="1:15" x14ac:dyDescent="0.2">
      <c r="A97" s="231" t="s">
        <v>1247</v>
      </c>
      <c r="B97" s="232" t="s">
        <v>728</v>
      </c>
      <c r="C97" s="233" t="s">
        <v>727</v>
      </c>
      <c r="D97" s="226" t="s">
        <v>726</v>
      </c>
      <c r="E97" s="226" t="s">
        <v>712</v>
      </c>
      <c r="F97" s="226">
        <v>1</v>
      </c>
      <c r="G97" s="223">
        <v>2</v>
      </c>
      <c r="H97" s="223">
        <v>0</v>
      </c>
      <c r="I97" s="229">
        <v>1</v>
      </c>
      <c r="J97" s="229">
        <v>0</v>
      </c>
      <c r="K97" s="239">
        <v>0</v>
      </c>
      <c r="L97" s="239">
        <v>0</v>
      </c>
      <c r="M97" s="239">
        <v>0</v>
      </c>
      <c r="N97" s="239">
        <v>0</v>
      </c>
      <c r="O97" s="213"/>
    </row>
    <row r="98" spans="1:15" x14ac:dyDescent="0.2">
      <c r="A98" s="231" t="s">
        <v>1248</v>
      </c>
      <c r="B98" s="232" t="s">
        <v>725</v>
      </c>
      <c r="C98" s="232" t="s">
        <v>724</v>
      </c>
      <c r="D98" s="226" t="s">
        <v>723</v>
      </c>
      <c r="E98" s="226" t="s">
        <v>712</v>
      </c>
      <c r="F98" s="226">
        <v>1</v>
      </c>
      <c r="G98" s="223">
        <v>1</v>
      </c>
      <c r="H98" s="223">
        <v>0</v>
      </c>
      <c r="I98" s="229">
        <v>0</v>
      </c>
      <c r="J98" s="229">
        <v>0</v>
      </c>
      <c r="K98" s="239">
        <v>0</v>
      </c>
      <c r="L98" s="239">
        <v>0</v>
      </c>
      <c r="M98" s="239">
        <v>0</v>
      </c>
      <c r="N98" s="239">
        <v>0</v>
      </c>
      <c r="O98" s="213"/>
    </row>
    <row r="99" spans="1:15" x14ac:dyDescent="0.2">
      <c r="A99" s="231" t="s">
        <v>1249</v>
      </c>
      <c r="B99" s="232" t="s">
        <v>722</v>
      </c>
      <c r="C99" s="233" t="s">
        <v>721</v>
      </c>
      <c r="D99" s="226" t="s">
        <v>720</v>
      </c>
      <c r="E99" s="226" t="s">
        <v>712</v>
      </c>
      <c r="F99" s="226">
        <v>1</v>
      </c>
      <c r="G99" s="223">
        <v>1</v>
      </c>
      <c r="H99" s="223">
        <v>0</v>
      </c>
      <c r="I99" s="229">
        <v>0</v>
      </c>
      <c r="J99" s="229">
        <v>0</v>
      </c>
      <c r="K99" s="239">
        <v>0</v>
      </c>
      <c r="L99" s="239">
        <v>0</v>
      </c>
      <c r="M99" s="239">
        <v>0</v>
      </c>
      <c r="N99" s="239">
        <v>0</v>
      </c>
      <c r="O99" s="213"/>
    </row>
    <row r="100" spans="1:15" x14ac:dyDescent="0.2">
      <c r="A100" s="231" t="s">
        <v>1250</v>
      </c>
      <c r="B100" s="232" t="s">
        <v>719</v>
      </c>
      <c r="C100" s="232" t="s">
        <v>718</v>
      </c>
      <c r="D100" s="226" t="s">
        <v>717</v>
      </c>
      <c r="E100" s="226" t="s">
        <v>716</v>
      </c>
      <c r="F100" s="226">
        <v>1</v>
      </c>
      <c r="G100" s="223">
        <v>0</v>
      </c>
      <c r="H100" s="223">
        <v>0</v>
      </c>
      <c r="I100" s="229">
        <v>0</v>
      </c>
      <c r="J100" s="229">
        <v>0</v>
      </c>
      <c r="K100" s="239">
        <v>0</v>
      </c>
      <c r="L100" s="239">
        <v>0</v>
      </c>
      <c r="M100" s="239">
        <v>0</v>
      </c>
      <c r="N100" s="239">
        <v>0</v>
      </c>
      <c r="O100" s="213"/>
    </row>
    <row r="101" spans="1:15" x14ac:dyDescent="0.2">
      <c r="A101" s="231" t="s">
        <v>1251</v>
      </c>
      <c r="B101" s="232" t="s">
        <v>715</v>
      </c>
      <c r="C101" s="232" t="s">
        <v>714</v>
      </c>
      <c r="D101" s="226" t="s">
        <v>713</v>
      </c>
      <c r="E101" s="226" t="s">
        <v>712</v>
      </c>
      <c r="F101" s="226">
        <v>1</v>
      </c>
      <c r="G101" s="223">
        <v>1</v>
      </c>
      <c r="H101" s="223">
        <v>1</v>
      </c>
      <c r="I101" s="229">
        <v>0</v>
      </c>
      <c r="J101" s="229">
        <v>0</v>
      </c>
      <c r="K101" s="239">
        <v>0</v>
      </c>
      <c r="L101" s="239">
        <v>0</v>
      </c>
      <c r="M101" s="239">
        <v>0</v>
      </c>
      <c r="N101" s="239">
        <v>0</v>
      </c>
      <c r="O101" s="213"/>
    </row>
    <row r="102" spans="1:15" x14ac:dyDescent="0.2">
      <c r="A102" s="236"/>
      <c r="B102" s="237" t="s">
        <v>711</v>
      </c>
      <c r="C102" s="238"/>
      <c r="D102" s="228"/>
      <c r="E102" s="228"/>
      <c r="F102" s="228">
        <f t="shared" ref="F102:N102" si="0">SUM(F2:F101)</f>
        <v>99</v>
      </c>
      <c r="G102" s="225">
        <f t="shared" si="0"/>
        <v>89</v>
      </c>
      <c r="H102" s="225">
        <f t="shared" si="0"/>
        <v>22</v>
      </c>
      <c r="I102" s="230">
        <f t="shared" si="0"/>
        <v>4</v>
      </c>
      <c r="J102" s="230">
        <f t="shared" si="0"/>
        <v>10</v>
      </c>
      <c r="K102" s="241">
        <f t="shared" si="0"/>
        <v>7</v>
      </c>
      <c r="L102" s="241">
        <f t="shared" si="0"/>
        <v>4</v>
      </c>
      <c r="M102" s="241">
        <f t="shared" si="0"/>
        <v>2</v>
      </c>
      <c r="N102" s="241">
        <f t="shared" si="0"/>
        <v>0</v>
      </c>
      <c r="O102" s="214"/>
    </row>
    <row r="103" spans="1:15" s="215" customFormat="1" ht="15" customHeight="1" x14ac:dyDescent="0.2">
      <c r="B103" s="216" t="s">
        <v>701</v>
      </c>
      <c r="C103" s="217">
        <f>G102/F102</f>
        <v>0.89898989898989901</v>
      </c>
      <c r="D103" s="218" t="s">
        <v>706</v>
      </c>
      <c r="E103" s="218"/>
      <c r="F103" s="218"/>
      <c r="G103" s="218"/>
      <c r="H103" s="218"/>
      <c r="I103" s="218"/>
      <c r="J103" s="218"/>
      <c r="K103" s="218"/>
      <c r="L103" s="218"/>
      <c r="M103" s="218"/>
      <c r="N103" s="218"/>
      <c r="O103" s="218"/>
    </row>
    <row r="104" spans="1:15" s="215" customFormat="1" x14ac:dyDescent="0.2">
      <c r="B104" s="219" t="s">
        <v>702</v>
      </c>
      <c r="C104" s="220">
        <f>(G102+J102)/F102</f>
        <v>1</v>
      </c>
      <c r="D104" s="218" t="s">
        <v>707</v>
      </c>
      <c r="E104" s="218"/>
      <c r="F104" s="218"/>
      <c r="G104" s="218"/>
      <c r="H104" s="218"/>
      <c r="I104" s="218"/>
      <c r="J104" s="218"/>
      <c r="K104" s="218"/>
      <c r="L104" s="218"/>
      <c r="M104" s="218"/>
      <c r="N104" s="218"/>
      <c r="O104" s="218"/>
    </row>
    <row r="105" spans="1:15" s="215" customFormat="1" x14ac:dyDescent="0.2">
      <c r="B105" s="221" t="s">
        <v>703</v>
      </c>
      <c r="C105" s="220">
        <f>(G102+L102)/F102</f>
        <v>0.93939393939393945</v>
      </c>
      <c r="D105" s="218" t="s">
        <v>708</v>
      </c>
      <c r="E105" s="218"/>
      <c r="F105" s="218"/>
      <c r="G105" s="218"/>
      <c r="H105" s="218"/>
      <c r="I105" s="218"/>
      <c r="J105" s="218"/>
      <c r="K105" s="218"/>
      <c r="L105" s="218"/>
      <c r="M105" s="218"/>
      <c r="N105" s="218"/>
      <c r="O105" s="218"/>
    </row>
    <row r="106" spans="1:15" s="215" customFormat="1" x14ac:dyDescent="0.2">
      <c r="B106" s="222" t="s">
        <v>704</v>
      </c>
      <c r="C106" s="220">
        <f>(G102+L102+J102)/F102</f>
        <v>1.0404040404040404</v>
      </c>
      <c r="D106" s="218" t="s">
        <v>709</v>
      </c>
      <c r="E106" s="218"/>
      <c r="F106" s="218"/>
      <c r="G106" s="218"/>
      <c r="H106" s="218"/>
      <c r="I106" s="218"/>
      <c r="J106" s="218"/>
      <c r="K106" s="218"/>
      <c r="L106" s="218"/>
      <c r="M106" s="218"/>
      <c r="N106" s="218"/>
      <c r="O106" s="218"/>
    </row>
    <row r="107" spans="1:15" s="215" customFormat="1" x14ac:dyDescent="0.2">
      <c r="B107" s="218" t="s">
        <v>705</v>
      </c>
      <c r="C107" s="217">
        <f>J102/F102</f>
        <v>0.10101010101010101</v>
      </c>
      <c r="D107" s="218" t="s">
        <v>710</v>
      </c>
      <c r="E107" s="218"/>
      <c r="F107" s="218"/>
      <c r="G107" s="218"/>
      <c r="H107" s="218"/>
      <c r="I107" s="218"/>
      <c r="J107" s="218"/>
      <c r="K107" s="218"/>
      <c r="L107" s="218"/>
      <c r="M107" s="218"/>
      <c r="N107" s="218"/>
      <c r="O107" s="218"/>
    </row>
    <row r="108" spans="1:15" x14ac:dyDescent="0.2">
      <c r="C108" s="14"/>
    </row>
    <row r="109" spans="1:15" x14ac:dyDescent="0.2">
      <c r="C109" s="14"/>
    </row>
    <row r="110" spans="1:15" x14ac:dyDescent="0.2">
      <c r="C110" s="14"/>
    </row>
    <row r="111" spans="1:15" x14ac:dyDescent="0.2">
      <c r="C111" s="14"/>
    </row>
    <row r="112" spans="1:15" x14ac:dyDescent="0.2">
      <c r="C112" s="14"/>
    </row>
    <row r="113" spans="3:3" x14ac:dyDescent="0.2">
      <c r="C113" s="14"/>
    </row>
    <row r="116" spans="3:3" x14ac:dyDescent="0.2">
      <c r="C116" s="14"/>
    </row>
    <row r="118" spans="3:3" x14ac:dyDescent="0.2">
      <c r="C118" s="14"/>
    </row>
    <row r="119" spans="3:3" x14ac:dyDescent="0.2">
      <c r="C119" s="14"/>
    </row>
    <row r="120" spans="3:3" x14ac:dyDescent="0.2">
      <c r="C120" s="14"/>
    </row>
    <row r="121" spans="3:3" x14ac:dyDescent="0.2">
      <c r="C121" s="14"/>
    </row>
    <row r="122" spans="3:3" x14ac:dyDescent="0.2">
      <c r="C122" s="14"/>
    </row>
    <row r="123" spans="3:3" x14ac:dyDescent="0.2">
      <c r="C123" s="14"/>
    </row>
    <row r="124" spans="3:3" x14ac:dyDescent="0.2">
      <c r="C124" s="14"/>
    </row>
    <row r="125" spans="3:3" x14ac:dyDescent="0.2">
      <c r="C125" s="14"/>
    </row>
    <row r="126" spans="3:3" x14ac:dyDescent="0.2">
      <c r="C126" s="14"/>
    </row>
    <row r="127" spans="3:3" x14ac:dyDescent="0.2">
      <c r="C127" s="14"/>
    </row>
    <row r="128" spans="3:3" x14ac:dyDescent="0.2">
      <c r="C128" s="14"/>
    </row>
    <row r="129" spans="3:3" x14ac:dyDescent="0.2">
      <c r="C129" s="14"/>
    </row>
    <row r="130" spans="3:3" x14ac:dyDescent="0.2">
      <c r="C130" s="14"/>
    </row>
    <row r="131" spans="3:3" x14ac:dyDescent="0.2">
      <c r="C131" s="14"/>
    </row>
  </sheetData>
  <autoFilter ref="E1:E131" xr:uid="{A792680C-E4D7-0446-A46E-1A9724A28577}"/>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AV1861"/>
  <sheetViews>
    <sheetView topLeftCell="K1" workbookViewId="0">
      <selection activeCell="B16" sqref="B16"/>
    </sheetView>
  </sheetViews>
  <sheetFormatPr baseColWidth="10" defaultColWidth="8.83203125" defaultRowHeight="15" x14ac:dyDescent="0.2"/>
  <cols>
    <col min="1" max="1" width="8.83203125" style="1"/>
    <col min="2" max="2" width="51.33203125" style="1" customWidth="1"/>
    <col min="3" max="3" width="7.6640625" style="1" customWidth="1"/>
    <col min="4" max="4" width="9.83203125" style="10" customWidth="1"/>
    <col min="5" max="6" width="8.83203125" style="10" customWidth="1"/>
    <col min="7" max="11" width="8.83203125" style="5" customWidth="1"/>
    <col min="12" max="14" width="8.83203125" style="2" customWidth="1"/>
    <col min="15" max="18" width="8.83203125" style="3" customWidth="1"/>
    <col min="19" max="20" width="8.83203125" style="4" customWidth="1"/>
    <col min="21" max="21" width="0.1640625" style="6" customWidth="1"/>
    <col min="22" max="22" width="8.83203125" style="6" customWidth="1"/>
    <col min="23" max="26" width="8.83203125" style="7" customWidth="1"/>
    <col min="27" max="27" width="8.83203125" style="11" customWidth="1"/>
    <col min="28" max="28" width="8.83203125" style="8" customWidth="1"/>
    <col min="29" max="29" width="8.83203125" style="16" customWidth="1"/>
    <col min="30" max="30" width="8.83203125" style="15" customWidth="1"/>
    <col min="31" max="31" width="8.83203125" style="8" customWidth="1"/>
    <col min="32" max="32" width="8.83203125" customWidth="1"/>
    <col min="33" max="33" width="8.83203125" style="8" customWidth="1"/>
    <col min="34" max="34" width="12.5" style="8" customWidth="1"/>
    <col min="35" max="35" width="8.83203125" style="9" customWidth="1"/>
    <col min="36" max="36" width="3.33203125" style="17" customWidth="1"/>
    <col min="37" max="37" width="8.83203125" style="12" customWidth="1"/>
    <col min="38" max="38" width="8.83203125" customWidth="1"/>
    <col min="39" max="39" width="8.83203125" style="18" customWidth="1"/>
    <col min="40" max="43" width="8.83203125" customWidth="1"/>
  </cols>
  <sheetData>
    <row r="1" spans="1:48" s="137" customFormat="1" ht="17" thickBot="1" x14ac:dyDescent="0.25">
      <c r="A1" s="126" t="s">
        <v>1112</v>
      </c>
      <c r="B1" s="127"/>
      <c r="C1" s="127" t="s">
        <v>2</v>
      </c>
      <c r="D1" s="128" t="s">
        <v>3</v>
      </c>
      <c r="E1" s="128" t="s">
        <v>690</v>
      </c>
      <c r="F1" s="128" t="s">
        <v>6</v>
      </c>
      <c r="G1" s="129" t="s">
        <v>4</v>
      </c>
      <c r="H1" s="129" t="s">
        <v>5</v>
      </c>
      <c r="I1" s="129" t="s">
        <v>7</v>
      </c>
      <c r="J1" s="129" t="s">
        <v>8</v>
      </c>
      <c r="K1" s="129" t="s">
        <v>9</v>
      </c>
      <c r="L1" s="130" t="s">
        <v>10</v>
      </c>
      <c r="M1" s="130" t="s">
        <v>11</v>
      </c>
      <c r="N1" s="130" t="s">
        <v>12</v>
      </c>
      <c r="O1" s="131" t="s">
        <v>13</v>
      </c>
      <c r="P1" s="131" t="s">
        <v>490</v>
      </c>
      <c r="Q1" s="131" t="s">
        <v>14</v>
      </c>
      <c r="R1" s="131" t="s">
        <v>15</v>
      </c>
      <c r="S1" s="132" t="s">
        <v>16</v>
      </c>
      <c r="T1" s="132" t="s">
        <v>17</v>
      </c>
      <c r="U1" s="133" t="s">
        <v>1040</v>
      </c>
      <c r="V1" s="133" t="s">
        <v>19</v>
      </c>
      <c r="W1" s="134" t="s">
        <v>20</v>
      </c>
      <c r="X1" s="134" t="s">
        <v>21</v>
      </c>
      <c r="Y1" s="134" t="s">
        <v>496</v>
      </c>
      <c r="Z1" s="134" t="s">
        <v>495</v>
      </c>
      <c r="AA1" s="135" t="s">
        <v>22</v>
      </c>
      <c r="AB1" s="136" t="s">
        <v>23</v>
      </c>
      <c r="AC1" s="140" t="s">
        <v>1092</v>
      </c>
      <c r="AD1" s="141" t="s">
        <v>1110</v>
      </c>
      <c r="AE1" s="136" t="s">
        <v>24</v>
      </c>
      <c r="AF1" s="142" t="s">
        <v>1093</v>
      </c>
      <c r="AG1" s="136" t="s">
        <v>25</v>
      </c>
      <c r="AH1" s="136" t="s">
        <v>26</v>
      </c>
      <c r="AI1" s="143" t="s">
        <v>27</v>
      </c>
      <c r="AJ1" s="144"/>
      <c r="AK1" s="145" t="s">
        <v>701</v>
      </c>
      <c r="AL1" s="146" t="s">
        <v>435</v>
      </c>
      <c r="AM1" s="147" t="s">
        <v>1098</v>
      </c>
      <c r="AN1" s="147" t="s">
        <v>1113</v>
      </c>
      <c r="AO1" s="147" t="s">
        <v>1114</v>
      </c>
      <c r="AP1" s="146" t="s">
        <v>1115</v>
      </c>
      <c r="AQ1" s="146" t="s">
        <v>1116</v>
      </c>
      <c r="AR1" s="147" t="s">
        <v>1117</v>
      </c>
      <c r="AS1" s="147" t="s">
        <v>1126</v>
      </c>
      <c r="AT1" s="146" t="s">
        <v>1125</v>
      </c>
      <c r="AU1" s="146" t="s">
        <v>1127</v>
      </c>
      <c r="AV1" s="148" t="s">
        <v>1128</v>
      </c>
    </row>
    <row r="2" spans="1:48" x14ac:dyDescent="0.2">
      <c r="A2" s="25" t="s">
        <v>28</v>
      </c>
      <c r="B2" s="26" t="s">
        <v>157</v>
      </c>
      <c r="C2" s="27" t="s">
        <v>236</v>
      </c>
      <c r="D2" s="28" t="s">
        <v>334</v>
      </c>
      <c r="E2" s="28" t="s">
        <v>1034</v>
      </c>
      <c r="F2" s="28" t="s">
        <v>444</v>
      </c>
      <c r="G2" s="29" t="s">
        <v>436</v>
      </c>
      <c r="H2" s="28" t="s">
        <v>442</v>
      </c>
      <c r="I2" s="28" t="s">
        <v>451</v>
      </c>
      <c r="J2" s="28" t="s">
        <v>453</v>
      </c>
      <c r="K2" s="28">
        <v>1</v>
      </c>
      <c r="L2" s="30">
        <v>1</v>
      </c>
      <c r="M2" s="30" t="s">
        <v>456</v>
      </c>
      <c r="N2" s="30">
        <v>0</v>
      </c>
      <c r="O2" s="31" t="s">
        <v>461</v>
      </c>
      <c r="P2" s="31">
        <v>3</v>
      </c>
      <c r="Q2" s="31" t="s">
        <v>483</v>
      </c>
      <c r="R2" s="31" t="s">
        <v>483</v>
      </c>
      <c r="S2" s="32">
        <v>0</v>
      </c>
      <c r="T2" s="32">
        <v>1</v>
      </c>
      <c r="U2" s="33" t="s">
        <v>463</v>
      </c>
      <c r="V2" s="33" t="s">
        <v>465</v>
      </c>
      <c r="W2" s="34">
        <v>0</v>
      </c>
      <c r="X2" s="34">
        <v>0</v>
      </c>
      <c r="Y2" s="35" t="s">
        <v>483</v>
      </c>
      <c r="Z2" s="35" t="s">
        <v>483</v>
      </c>
      <c r="AA2" s="36">
        <v>0</v>
      </c>
      <c r="AB2" s="37" t="s">
        <v>468</v>
      </c>
      <c r="AC2" s="138" t="s">
        <v>1094</v>
      </c>
      <c r="AD2" s="139" t="str">
        <f>IF(V2&lt;&gt;"te","",
   IF(OR(AC2="",AC2&lt;&gt;"te"),
      "te_initial",
      "te_medial"))</f>
        <v/>
      </c>
      <c r="AE2" s="40" t="s">
        <v>1048</v>
      </c>
      <c r="AF2" s="104" t="s">
        <v>491</v>
      </c>
      <c r="AG2" s="37" t="s">
        <v>485</v>
      </c>
      <c r="AH2" s="37" t="s">
        <v>484</v>
      </c>
      <c r="AI2" s="114"/>
      <c r="AJ2" s="113"/>
      <c r="AK2" s="12">
        <f t="shared" ref="AK2:AK65" si="0">L2/K2</f>
        <v>1</v>
      </c>
      <c r="AL2" s="149" t="str">
        <f>IF(OR(G2="LVC",
 G2="LVC (j)",
  G2="LVC (inf)"),
   "LVC","non-LVC")</f>
        <v>non-LVC</v>
      </c>
      <c r="AM2" s="149" t="str" cm="1">
        <f t="array" ref="AM2">IF(OR(O2:O159="zero_recoverable", "zero_exalt", "zero_other", "zero_uncertain"),
   "Yes","No")</f>
        <v>Yes</v>
      </c>
      <c r="AN2" s="149">
        <f>1 + COUNTIF($V1:V$2,"main")</f>
        <v>1</v>
      </c>
      <c r="AO2" s="149" t="str">
        <f>IF($A2="","",IF($AH2=$AH3,$V3,""))</f>
        <v>te</v>
      </c>
      <c r="AP2" s="149">
        <f>IF(OR($V2="relative",$V2="nominalised"),0,1)</f>
        <v>0</v>
      </c>
      <c r="AQ2" s="149">
        <f>IF(AP3=0,"",COUNTIFS($AN$2:$AN3,$AN3,$AP$2:$AP3,1))</f>
        <v>1</v>
      </c>
      <c r="AR2" s="149">
        <f>IF(AQ2=1,1,0)</f>
        <v>1</v>
      </c>
      <c r="AS2" s="149" t="s">
        <v>508</v>
      </c>
      <c r="AT2" s="149" t="s">
        <v>461</v>
      </c>
      <c r="AU2" s="149">
        <f>IF(AND($O2="overt",LEFT($AS2,5)="zero_"),1,0)</f>
        <v>1</v>
      </c>
      <c r="AV2" s="149">
        <f>IF(AND($Q2="overt",LEFT($AT2,5)="zero_"),1,0)</f>
        <v>0</v>
      </c>
    </row>
    <row r="3" spans="1:48" x14ac:dyDescent="0.2">
      <c r="A3" s="42" t="s">
        <v>29</v>
      </c>
      <c r="B3" s="43" t="s">
        <v>158</v>
      </c>
      <c r="C3" s="44" t="s">
        <v>488</v>
      </c>
      <c r="D3" s="45" t="s">
        <v>335</v>
      </c>
      <c r="E3" s="45" t="s">
        <v>1034</v>
      </c>
      <c r="F3" s="45" t="s">
        <v>445</v>
      </c>
      <c r="G3" s="46" t="s">
        <v>434</v>
      </c>
      <c r="H3" s="45" t="s">
        <v>441</v>
      </c>
      <c r="I3" s="45" t="s">
        <v>451</v>
      </c>
      <c r="J3" s="45" t="s">
        <v>453</v>
      </c>
      <c r="K3" s="45">
        <v>1</v>
      </c>
      <c r="L3" s="47">
        <v>1</v>
      </c>
      <c r="M3" s="47" t="s">
        <v>464</v>
      </c>
      <c r="N3" s="47">
        <v>1</v>
      </c>
      <c r="O3" s="48" t="s">
        <v>508</v>
      </c>
      <c r="P3" s="48">
        <v>3</v>
      </c>
      <c r="Q3" s="48" t="s">
        <v>461</v>
      </c>
      <c r="R3" s="48" t="s">
        <v>483</v>
      </c>
      <c r="S3" s="49">
        <v>0</v>
      </c>
      <c r="T3" s="49">
        <v>0</v>
      </c>
      <c r="U3" s="50" t="s">
        <v>483</v>
      </c>
      <c r="V3" s="50" t="s">
        <v>515</v>
      </c>
      <c r="W3" s="51">
        <v>0</v>
      </c>
      <c r="X3" s="52">
        <v>0</v>
      </c>
      <c r="Y3" s="51" t="s">
        <v>502</v>
      </c>
      <c r="Z3" s="51" t="s">
        <v>501</v>
      </c>
      <c r="AA3" s="53">
        <v>1</v>
      </c>
      <c r="AB3" s="54" t="s">
        <v>469</v>
      </c>
      <c r="AC3" s="38" t="s">
        <v>465</v>
      </c>
      <c r="AD3" s="39" t="s">
        <v>1111</v>
      </c>
      <c r="AE3" s="55" t="s">
        <v>491</v>
      </c>
      <c r="AF3" s="104" t="s">
        <v>491</v>
      </c>
      <c r="AG3" s="54" t="s">
        <v>507</v>
      </c>
      <c r="AH3" s="54" t="s">
        <v>484</v>
      </c>
      <c r="AI3" s="115" t="s">
        <v>474</v>
      </c>
      <c r="AJ3" s="113"/>
      <c r="AK3" s="12">
        <f t="shared" si="0"/>
        <v>1</v>
      </c>
      <c r="AL3" s="150" t="str">
        <f t="shared" ref="AL3:AL66" si="1">IF(OR(G3="LVC",
 G3="LVC (j)",
  G3="LVC (inf)"),
   "LVC","non-LVC")</f>
        <v>non-LVC</v>
      </c>
      <c r="AM3" s="150" t="str" cm="1">
        <f t="array" ref="AM3">IF(OR(O3:O160="zero_recoverable", "zero_exalt", "zero_other", "zero_uncertain"),
   "Yes","No")</f>
        <v>Yes</v>
      </c>
      <c r="AN3" s="150">
        <f>1 + COUNTIF($V2:V$2,"main")</f>
        <v>1</v>
      </c>
      <c r="AO3" s="150" t="str">
        <f t="shared" ref="AO3:AO66" si="2">IF($A3="","",IF($AH3=$AH4,$V4,""))</f>
        <v>te</v>
      </c>
      <c r="AP3" s="150">
        <f t="shared" ref="AP3:AP66" si="3">IF(OR($V3="relative",$V3="nominalised"),0,1)</f>
        <v>1</v>
      </c>
      <c r="AQ3" s="150">
        <f>IF(AP4=0,"",COUNTIFS($AN$2:$AN4,$AN4,$AP$2:$AP4,1))</f>
        <v>2</v>
      </c>
      <c r="AR3" s="150">
        <f t="shared" ref="AR3:AR62" si="4">IF(AQ3=1,1,0)</f>
        <v>0</v>
      </c>
      <c r="AS3" s="150" t="s">
        <v>508</v>
      </c>
      <c r="AT3" s="150" t="s">
        <v>461</v>
      </c>
      <c r="AU3" s="150">
        <f t="shared" ref="AU3:AU66" si="5">IF(AND($O3="overt",LEFT($AS3,5)="zero_"),1,0)</f>
        <v>0</v>
      </c>
      <c r="AV3" s="150">
        <f t="shared" ref="AV3:AV66" si="6">IF(AND($Q3="overt",LEFT($AT3,5)="zero_"),1,0)</f>
        <v>0</v>
      </c>
    </row>
    <row r="4" spans="1:48" x14ac:dyDescent="0.2">
      <c r="A4" s="42" t="s">
        <v>30</v>
      </c>
      <c r="B4" s="43" t="s">
        <v>159</v>
      </c>
      <c r="C4" s="44" t="s">
        <v>489</v>
      </c>
      <c r="D4" s="45" t="s">
        <v>336</v>
      </c>
      <c r="E4" s="45" t="s">
        <v>1034</v>
      </c>
      <c r="F4" s="45" t="s">
        <v>445</v>
      </c>
      <c r="G4" s="46" t="s">
        <v>434</v>
      </c>
      <c r="H4" s="45" t="s">
        <v>441</v>
      </c>
      <c r="I4" s="45" t="s">
        <v>451</v>
      </c>
      <c r="J4" s="45" t="s">
        <v>453</v>
      </c>
      <c r="K4" s="45">
        <v>1</v>
      </c>
      <c r="L4" s="47">
        <v>1</v>
      </c>
      <c r="M4" s="47" t="s">
        <v>464</v>
      </c>
      <c r="N4" s="47">
        <v>0</v>
      </c>
      <c r="O4" s="48" t="s">
        <v>508</v>
      </c>
      <c r="P4" s="48">
        <v>3</v>
      </c>
      <c r="Q4" s="48" t="s">
        <v>461</v>
      </c>
      <c r="R4" s="48" t="s">
        <v>483</v>
      </c>
      <c r="S4" s="49">
        <v>0</v>
      </c>
      <c r="T4" s="49">
        <v>0</v>
      </c>
      <c r="U4" s="50" t="s">
        <v>483</v>
      </c>
      <c r="V4" s="50" t="s">
        <v>515</v>
      </c>
      <c r="W4" s="51">
        <v>0</v>
      </c>
      <c r="X4" s="52">
        <v>0</v>
      </c>
      <c r="Y4" s="51" t="s">
        <v>502</v>
      </c>
      <c r="Z4" s="51" t="s">
        <v>501</v>
      </c>
      <c r="AA4" s="53">
        <v>1</v>
      </c>
      <c r="AB4" s="54" t="s">
        <v>469</v>
      </c>
      <c r="AC4" s="38" t="s">
        <v>515</v>
      </c>
      <c r="AD4" s="39" t="str">
        <f t="shared" ref="AD4:AD66" si="7">IF(V4&lt;&gt;"te","",
   IF(OR(AC4="",AC4&lt;&gt;"te"),
      "te_initial",
      "te_medial"))</f>
        <v>te_medial</v>
      </c>
      <c r="AE4" s="55" t="s">
        <v>491</v>
      </c>
      <c r="AF4" s="104" t="s">
        <v>491</v>
      </c>
      <c r="AG4" s="54" t="s">
        <v>507</v>
      </c>
      <c r="AH4" s="54" t="s">
        <v>484</v>
      </c>
      <c r="AI4" s="115"/>
      <c r="AJ4" s="113"/>
      <c r="AK4" s="12">
        <f t="shared" si="0"/>
        <v>1</v>
      </c>
      <c r="AL4" s="150" t="str">
        <f t="shared" si="1"/>
        <v>non-LVC</v>
      </c>
      <c r="AM4" s="150" t="str" cm="1">
        <f t="array" ref="AM4">IF(OR(O4:O161="zero_recoverable", "zero_exalt", "zero_other", "zero_uncertain"),
   "Yes","No")</f>
        <v>Yes</v>
      </c>
      <c r="AN4" s="150">
        <f>1 + COUNTIF($V$2:V3,"main")</f>
        <v>1</v>
      </c>
      <c r="AO4" s="150" t="str">
        <f t="shared" si="2"/>
        <v>relative</v>
      </c>
      <c r="AP4" s="150">
        <f t="shared" si="3"/>
        <v>1</v>
      </c>
      <c r="AQ4" s="150" t="str">
        <f>IF(AP5=0,"",COUNTIFS($AN$2:$AN5,$AN5,$AP$2:$AP5,1))</f>
        <v/>
      </c>
      <c r="AR4" s="150">
        <f t="shared" si="4"/>
        <v>0</v>
      </c>
      <c r="AS4" s="150" t="s">
        <v>460</v>
      </c>
      <c r="AT4" s="150" t="s">
        <v>461</v>
      </c>
      <c r="AU4" s="150">
        <f t="shared" si="5"/>
        <v>0</v>
      </c>
      <c r="AV4" s="150">
        <f t="shared" si="6"/>
        <v>0</v>
      </c>
    </row>
    <row r="5" spans="1:48" x14ac:dyDescent="0.2">
      <c r="A5" s="42" t="s">
        <v>31</v>
      </c>
      <c r="B5" s="43" t="s">
        <v>160</v>
      </c>
      <c r="C5" s="44" t="s">
        <v>237</v>
      </c>
      <c r="D5" s="45" t="s">
        <v>337</v>
      </c>
      <c r="E5" s="45" t="s">
        <v>1034</v>
      </c>
      <c r="F5" s="45" t="s">
        <v>528</v>
      </c>
      <c r="G5" s="46" t="s">
        <v>434</v>
      </c>
      <c r="H5" s="45" t="s">
        <v>441</v>
      </c>
      <c r="I5" s="45" t="s">
        <v>451</v>
      </c>
      <c r="J5" s="45" t="s">
        <v>453</v>
      </c>
      <c r="K5" s="45">
        <v>1</v>
      </c>
      <c r="L5" s="47">
        <v>1</v>
      </c>
      <c r="M5" s="47" t="s">
        <v>464</v>
      </c>
      <c r="N5" s="47">
        <v>0</v>
      </c>
      <c r="O5" s="48" t="s">
        <v>460</v>
      </c>
      <c r="P5" s="48">
        <v>3</v>
      </c>
      <c r="Q5" s="48" t="s">
        <v>461</v>
      </c>
      <c r="R5" s="48" t="s">
        <v>483</v>
      </c>
      <c r="S5" s="49">
        <v>0</v>
      </c>
      <c r="T5" s="49">
        <v>1</v>
      </c>
      <c r="U5" s="50" t="s">
        <v>463</v>
      </c>
      <c r="V5" s="50" t="s">
        <v>465</v>
      </c>
      <c r="W5" s="51">
        <v>1</v>
      </c>
      <c r="X5" s="51">
        <v>1</v>
      </c>
      <c r="Y5" s="34" t="s">
        <v>503</v>
      </c>
      <c r="Z5" s="34" t="s">
        <v>499</v>
      </c>
      <c r="AA5" s="56">
        <v>1</v>
      </c>
      <c r="AB5" s="57" t="s">
        <v>439</v>
      </c>
      <c r="AC5" s="38" t="s">
        <v>515</v>
      </c>
      <c r="AD5" s="39" t="str">
        <f t="shared" si="7"/>
        <v/>
      </c>
      <c r="AE5" s="58" t="s">
        <v>491</v>
      </c>
      <c r="AF5" s="104" t="s">
        <v>493</v>
      </c>
      <c r="AG5" s="57" t="s">
        <v>507</v>
      </c>
      <c r="AH5" s="57" t="s">
        <v>484</v>
      </c>
      <c r="AI5" s="116" t="s">
        <v>504</v>
      </c>
      <c r="AJ5" s="113"/>
      <c r="AK5" s="12">
        <f t="shared" si="0"/>
        <v>1</v>
      </c>
      <c r="AL5" s="150" t="str">
        <f t="shared" si="1"/>
        <v>non-LVC</v>
      </c>
      <c r="AM5" s="150" t="str" cm="1">
        <f t="array" ref="AM5">IF(OR(O5:O162="zero_recoverable", "zero_exalt", "zero_other", "zero_uncertain"),
   "Yes","No")</f>
        <v>Yes</v>
      </c>
      <c r="AN5" s="150">
        <f>1 + COUNTIF($V$2:V4,"main")</f>
        <v>1</v>
      </c>
      <c r="AO5" s="150" t="str">
        <f t="shared" si="2"/>
        <v>main</v>
      </c>
      <c r="AP5" s="150">
        <f t="shared" si="3"/>
        <v>0</v>
      </c>
      <c r="AQ5" s="150">
        <f>IF(AP6=0,"",COUNTIFS($AN$2:$AN6,$AN6,$AP$2:$AP6,1))</f>
        <v>3</v>
      </c>
      <c r="AR5" s="150">
        <f t="shared" si="4"/>
        <v>0</v>
      </c>
      <c r="AS5" s="150" t="s">
        <v>461</v>
      </c>
      <c r="AT5" s="150" t="s">
        <v>483</v>
      </c>
      <c r="AU5" s="150">
        <f t="shared" si="5"/>
        <v>0</v>
      </c>
      <c r="AV5" s="150">
        <f t="shared" si="6"/>
        <v>0</v>
      </c>
    </row>
    <row r="6" spans="1:48" x14ac:dyDescent="0.2">
      <c r="A6" s="42" t="s">
        <v>32</v>
      </c>
      <c r="B6" s="43" t="s">
        <v>161</v>
      </c>
      <c r="C6" s="44" t="s">
        <v>238</v>
      </c>
      <c r="D6" s="45" t="s">
        <v>338</v>
      </c>
      <c r="E6" s="45" t="s">
        <v>1034</v>
      </c>
      <c r="F6" s="45" t="s">
        <v>444</v>
      </c>
      <c r="G6" s="46" t="s">
        <v>436</v>
      </c>
      <c r="H6" s="45" t="s">
        <v>442</v>
      </c>
      <c r="I6" s="45" t="s">
        <v>451</v>
      </c>
      <c r="J6" s="45" t="s">
        <v>453</v>
      </c>
      <c r="K6" s="45">
        <v>1</v>
      </c>
      <c r="L6" s="47">
        <v>1</v>
      </c>
      <c r="M6" s="47" t="s">
        <v>456</v>
      </c>
      <c r="N6" s="47">
        <v>0</v>
      </c>
      <c r="O6" s="48" t="s">
        <v>461</v>
      </c>
      <c r="P6" s="48">
        <v>3</v>
      </c>
      <c r="Q6" s="48" t="s">
        <v>483</v>
      </c>
      <c r="R6" s="48" t="s">
        <v>483</v>
      </c>
      <c r="S6" s="49">
        <v>0</v>
      </c>
      <c r="T6" s="49">
        <v>0</v>
      </c>
      <c r="U6" s="50" t="s">
        <v>483</v>
      </c>
      <c r="V6" s="50" t="s">
        <v>466</v>
      </c>
      <c r="W6" s="51">
        <v>0</v>
      </c>
      <c r="X6" s="51">
        <v>0</v>
      </c>
      <c r="Y6" s="51" t="s">
        <v>483</v>
      </c>
      <c r="Z6" s="51" t="s">
        <v>483</v>
      </c>
      <c r="AA6" s="53">
        <v>0</v>
      </c>
      <c r="AB6" s="54" t="s">
        <v>439</v>
      </c>
      <c r="AC6" s="38" t="s">
        <v>465</v>
      </c>
      <c r="AD6" s="39" t="str">
        <f t="shared" si="7"/>
        <v/>
      </c>
      <c r="AE6" s="55" t="s">
        <v>493</v>
      </c>
      <c r="AF6" s="104" t="s">
        <v>493</v>
      </c>
      <c r="AG6" s="54" t="s">
        <v>485</v>
      </c>
      <c r="AH6" s="54" t="s">
        <v>484</v>
      </c>
      <c r="AI6" s="117"/>
      <c r="AJ6" s="113"/>
      <c r="AK6" s="12">
        <f t="shared" si="0"/>
        <v>1</v>
      </c>
      <c r="AL6" s="150" t="str">
        <f t="shared" si="1"/>
        <v>non-LVC</v>
      </c>
      <c r="AM6" s="150" t="str" cm="1">
        <f t="array" ref="AM6">IF(OR(O6:O163="zero_recoverable", "zero_exalt", "zero_other", "zero_uncertain"),
   "Yes","No")</f>
        <v>Yes</v>
      </c>
      <c r="AN6" s="150">
        <f>1 + COUNTIF($V$2:V5,"main")</f>
        <v>1</v>
      </c>
      <c r="AO6" s="150" t="str">
        <f t="shared" si="2"/>
        <v>subordinate</v>
      </c>
      <c r="AP6" s="150">
        <f t="shared" si="3"/>
        <v>1</v>
      </c>
      <c r="AQ6" s="150">
        <f>IF(AP7=0,"",COUNTIFS($AN$2:$AN7,$AN7,$AP$2:$AP7,1))</f>
        <v>1</v>
      </c>
      <c r="AR6" s="150">
        <v>0</v>
      </c>
      <c r="AS6" s="150" t="s">
        <v>460</v>
      </c>
      <c r="AT6" s="150" t="s">
        <v>461</v>
      </c>
      <c r="AU6" s="150">
        <f t="shared" si="5"/>
        <v>1</v>
      </c>
      <c r="AV6" s="150">
        <f t="shared" si="6"/>
        <v>0</v>
      </c>
    </row>
    <row r="7" spans="1:48" x14ac:dyDescent="0.2">
      <c r="A7" s="42" t="s">
        <v>33</v>
      </c>
      <c r="B7" s="43" t="s">
        <v>162</v>
      </c>
      <c r="C7" s="44" t="s">
        <v>239</v>
      </c>
      <c r="D7" s="45" t="s">
        <v>339</v>
      </c>
      <c r="E7" s="45" t="s">
        <v>691</v>
      </c>
      <c r="F7" s="45" t="s">
        <v>528</v>
      </c>
      <c r="G7" s="46" t="s">
        <v>434</v>
      </c>
      <c r="H7" s="45" t="s">
        <v>441</v>
      </c>
      <c r="I7" s="45" t="s">
        <v>451</v>
      </c>
      <c r="J7" s="45" t="s">
        <v>453</v>
      </c>
      <c r="K7" s="45">
        <v>1</v>
      </c>
      <c r="L7" s="47">
        <v>1</v>
      </c>
      <c r="M7" s="47" t="s">
        <v>464</v>
      </c>
      <c r="N7" s="47">
        <v>1</v>
      </c>
      <c r="O7" s="48" t="s">
        <v>460</v>
      </c>
      <c r="P7" s="48">
        <v>3</v>
      </c>
      <c r="Q7" s="48" t="s">
        <v>461</v>
      </c>
      <c r="R7" s="48" t="s">
        <v>483</v>
      </c>
      <c r="S7" s="49">
        <v>0</v>
      </c>
      <c r="T7" s="49">
        <v>1</v>
      </c>
      <c r="U7" s="50" t="s">
        <v>483</v>
      </c>
      <c r="V7" s="50" t="s">
        <v>487</v>
      </c>
      <c r="W7" s="51">
        <v>0</v>
      </c>
      <c r="X7" s="51">
        <v>1</v>
      </c>
      <c r="Y7" s="51" t="s">
        <v>503</v>
      </c>
      <c r="Z7" s="51" t="s">
        <v>497</v>
      </c>
      <c r="AA7" s="53">
        <v>0</v>
      </c>
      <c r="AB7" s="54" t="s">
        <v>494</v>
      </c>
      <c r="AC7" s="38" t="s">
        <v>466</v>
      </c>
      <c r="AD7" s="39" t="str">
        <f t="shared" si="7"/>
        <v/>
      </c>
      <c r="AE7" s="55" t="s">
        <v>493</v>
      </c>
      <c r="AF7" s="104" t="s">
        <v>493</v>
      </c>
      <c r="AG7" s="54" t="s">
        <v>492</v>
      </c>
      <c r="AH7" s="54" t="s">
        <v>484</v>
      </c>
      <c r="AI7" s="117"/>
      <c r="AJ7" s="113"/>
      <c r="AK7" s="12">
        <f t="shared" si="0"/>
        <v>1</v>
      </c>
      <c r="AL7" s="150" t="str">
        <f t="shared" si="1"/>
        <v>non-LVC</v>
      </c>
      <c r="AM7" s="150" t="str" cm="1">
        <f t="array" ref="AM7">IF(OR(O7:O164="zero_recoverable", "zero_exalt", "zero_other", "zero_uncertain"),
   "Yes","No")</f>
        <v>Yes</v>
      </c>
      <c r="AN7" s="150">
        <f>1 + COUNTIF($V$2:V6,"main")</f>
        <v>2</v>
      </c>
      <c r="AO7" s="150" t="str">
        <f t="shared" si="2"/>
        <v/>
      </c>
      <c r="AP7" s="150">
        <f t="shared" si="3"/>
        <v>1</v>
      </c>
      <c r="AQ7" s="150" t="str">
        <f>IF(AP8=0,"",COUNTIFS($AN$2:$AN8,$AN8,$AP$2:$AP8,1))</f>
        <v/>
      </c>
      <c r="AR7" s="150">
        <v>1</v>
      </c>
      <c r="AS7" s="150" t="s">
        <v>460</v>
      </c>
      <c r="AT7" s="150" t="s">
        <v>462</v>
      </c>
      <c r="AU7" s="150">
        <f t="shared" si="5"/>
        <v>0</v>
      </c>
      <c r="AV7" s="150">
        <f t="shared" si="6"/>
        <v>0</v>
      </c>
    </row>
    <row r="8" spans="1:48" x14ac:dyDescent="0.2">
      <c r="A8" s="42" t="s">
        <v>34</v>
      </c>
      <c r="B8" s="43" t="s">
        <v>163</v>
      </c>
      <c r="C8" s="44" t="s">
        <v>240</v>
      </c>
      <c r="D8" s="45" t="s">
        <v>340</v>
      </c>
      <c r="E8" s="45" t="s">
        <v>1034</v>
      </c>
      <c r="F8" s="45" t="s">
        <v>528</v>
      </c>
      <c r="G8" s="46" t="s">
        <v>1046</v>
      </c>
      <c r="H8" s="45" t="s">
        <v>442</v>
      </c>
      <c r="I8" s="59" t="s">
        <v>452</v>
      </c>
      <c r="J8" s="45" t="s">
        <v>453</v>
      </c>
      <c r="K8" s="45">
        <v>1</v>
      </c>
      <c r="L8" s="47">
        <v>0</v>
      </c>
      <c r="M8" s="47" t="s">
        <v>483</v>
      </c>
      <c r="N8" s="47">
        <v>0</v>
      </c>
      <c r="O8" s="48" t="s">
        <v>460</v>
      </c>
      <c r="P8" s="48">
        <v>3</v>
      </c>
      <c r="Q8" s="48" t="s">
        <v>483</v>
      </c>
      <c r="R8" s="48" t="s">
        <v>483</v>
      </c>
      <c r="S8" s="49">
        <v>1</v>
      </c>
      <c r="T8" s="49">
        <v>0</v>
      </c>
      <c r="U8" s="50" t="s">
        <v>463</v>
      </c>
      <c r="V8" s="50" t="s">
        <v>465</v>
      </c>
      <c r="W8" s="51">
        <v>0</v>
      </c>
      <c r="X8" s="51">
        <v>1</v>
      </c>
      <c r="Y8" s="51" t="s">
        <v>506</v>
      </c>
      <c r="Z8" s="51" t="s">
        <v>505</v>
      </c>
      <c r="AA8" s="53">
        <v>0</v>
      </c>
      <c r="AB8" s="54" t="s">
        <v>439</v>
      </c>
      <c r="AC8" s="38" t="s">
        <v>487</v>
      </c>
      <c r="AD8" s="39" t="str">
        <f t="shared" si="7"/>
        <v/>
      </c>
      <c r="AE8" s="118" t="s">
        <v>493</v>
      </c>
      <c r="AF8" s="104" t="s">
        <v>491</v>
      </c>
      <c r="AG8" s="54" t="s">
        <v>507</v>
      </c>
      <c r="AH8" s="54" t="s">
        <v>473</v>
      </c>
      <c r="AI8" s="117"/>
      <c r="AJ8" s="113"/>
      <c r="AK8" s="12">
        <f t="shared" si="0"/>
        <v>0</v>
      </c>
      <c r="AL8" s="150" t="str">
        <f t="shared" si="1"/>
        <v>non-LVC</v>
      </c>
      <c r="AM8" s="150" t="str" cm="1">
        <f t="array" ref="AM8">IF(OR(O8:O165="zero_recoverable", "zero_exalt", "zero_other", "zero_uncertain"),
   "Yes","No")</f>
        <v>Yes</v>
      </c>
      <c r="AN8" s="150">
        <f>1 + COUNTIF($V$2:V7,"main")</f>
        <v>2</v>
      </c>
      <c r="AO8" s="150" t="str">
        <f t="shared" si="2"/>
        <v/>
      </c>
      <c r="AP8" s="150">
        <f t="shared" si="3"/>
        <v>0</v>
      </c>
      <c r="AQ8" s="150" t="str">
        <f>IF(AP9=0,"",COUNTIFS($AN$2:$AN9,$AN9,$AP$2:$AP9,1))</f>
        <v/>
      </c>
      <c r="AR8" s="150">
        <f t="shared" si="4"/>
        <v>0</v>
      </c>
      <c r="AS8" s="150" t="s">
        <v>461</v>
      </c>
      <c r="AT8" s="150" t="s">
        <v>483</v>
      </c>
      <c r="AU8" s="150">
        <f t="shared" si="5"/>
        <v>0</v>
      </c>
      <c r="AV8" s="150">
        <f t="shared" si="6"/>
        <v>0</v>
      </c>
    </row>
    <row r="9" spans="1:48" x14ac:dyDescent="0.2">
      <c r="A9" s="42" t="s">
        <v>35</v>
      </c>
      <c r="B9" s="43" t="s">
        <v>164</v>
      </c>
      <c r="C9" s="44" t="s">
        <v>241</v>
      </c>
      <c r="D9" s="45" t="s">
        <v>341</v>
      </c>
      <c r="E9" s="45" t="s">
        <v>1034</v>
      </c>
      <c r="F9" s="45" t="s">
        <v>444</v>
      </c>
      <c r="G9" s="46" t="s">
        <v>434</v>
      </c>
      <c r="H9" s="45" t="s">
        <v>442</v>
      </c>
      <c r="I9" s="45" t="s">
        <v>688</v>
      </c>
      <c r="J9" s="45" t="s">
        <v>453</v>
      </c>
      <c r="K9" s="45">
        <v>1</v>
      </c>
      <c r="L9" s="47">
        <v>1</v>
      </c>
      <c r="M9" s="47" t="s">
        <v>456</v>
      </c>
      <c r="N9" s="47">
        <v>1</v>
      </c>
      <c r="O9" s="48" t="s">
        <v>461</v>
      </c>
      <c r="P9" s="48">
        <v>3</v>
      </c>
      <c r="Q9" s="48" t="s">
        <v>483</v>
      </c>
      <c r="R9" s="48" t="s">
        <v>483</v>
      </c>
      <c r="S9" s="49">
        <v>0</v>
      </c>
      <c r="T9" s="49">
        <v>0</v>
      </c>
      <c r="U9" s="50" t="s">
        <v>464</v>
      </c>
      <c r="V9" s="50" t="s">
        <v>467</v>
      </c>
      <c r="W9" s="51">
        <v>0</v>
      </c>
      <c r="X9" s="51">
        <v>0</v>
      </c>
      <c r="Y9" s="51" t="s">
        <v>483</v>
      </c>
      <c r="Z9" s="51" t="s">
        <v>483</v>
      </c>
      <c r="AA9" s="53">
        <v>0</v>
      </c>
      <c r="AB9" s="54" t="s">
        <v>439</v>
      </c>
      <c r="AC9" s="38" t="s">
        <v>465</v>
      </c>
      <c r="AD9" s="39" t="str">
        <f t="shared" si="7"/>
        <v/>
      </c>
      <c r="AE9" s="55" t="s">
        <v>491</v>
      </c>
      <c r="AF9" s="104" t="s">
        <v>493</v>
      </c>
      <c r="AG9" s="54" t="s">
        <v>507</v>
      </c>
      <c r="AH9" s="54" t="s">
        <v>484</v>
      </c>
      <c r="AI9" s="117" t="s">
        <v>1039</v>
      </c>
      <c r="AJ9" s="113"/>
      <c r="AK9" s="12">
        <f t="shared" si="0"/>
        <v>1</v>
      </c>
      <c r="AL9" s="150" t="str">
        <f t="shared" si="1"/>
        <v>non-LVC</v>
      </c>
      <c r="AM9" s="150" t="str" cm="1">
        <f t="array" ref="AM9">IF(OR(O9:O166="zero_recoverable", "zero_exalt", "zero_other", "zero_uncertain"),
   "Yes","No")</f>
        <v>Yes</v>
      </c>
      <c r="AN9" s="150">
        <f>1 + COUNTIF($V$2:V8,"main")</f>
        <v>2</v>
      </c>
      <c r="AO9" s="150" t="str">
        <f t="shared" si="2"/>
        <v/>
      </c>
      <c r="AP9" s="150">
        <f t="shared" si="3"/>
        <v>0</v>
      </c>
      <c r="AQ9" s="150">
        <f>IF(AP10=0,"",COUNTIFS($AN$2:$AN10,$AN10,$AP$2:$AP10,1))</f>
        <v>2</v>
      </c>
      <c r="AR9" s="150">
        <f t="shared" si="4"/>
        <v>0</v>
      </c>
      <c r="AS9" s="150" t="s">
        <v>460</v>
      </c>
      <c r="AT9" s="150" t="s">
        <v>508</v>
      </c>
      <c r="AU9" s="150">
        <f t="shared" si="5"/>
        <v>1</v>
      </c>
      <c r="AV9" s="150">
        <f t="shared" si="6"/>
        <v>0</v>
      </c>
    </row>
    <row r="10" spans="1:48" x14ac:dyDescent="0.2">
      <c r="A10" s="42" t="s">
        <v>36</v>
      </c>
      <c r="B10" s="43" t="s">
        <v>165</v>
      </c>
      <c r="C10" s="44" t="s">
        <v>242</v>
      </c>
      <c r="D10" s="45" t="s">
        <v>342</v>
      </c>
      <c r="E10" s="45" t="s">
        <v>1034</v>
      </c>
      <c r="F10" s="45" t="s">
        <v>528</v>
      </c>
      <c r="G10" s="46" t="s">
        <v>434</v>
      </c>
      <c r="H10" s="45" t="s">
        <v>441</v>
      </c>
      <c r="I10" s="45" t="s">
        <v>451</v>
      </c>
      <c r="J10" s="45" t="s">
        <v>453</v>
      </c>
      <c r="K10" s="45">
        <v>1</v>
      </c>
      <c r="L10" s="47">
        <v>1</v>
      </c>
      <c r="M10" s="47" t="s">
        <v>464</v>
      </c>
      <c r="N10" s="47">
        <v>0</v>
      </c>
      <c r="O10" s="48" t="s">
        <v>460</v>
      </c>
      <c r="P10" s="48">
        <v>3</v>
      </c>
      <c r="Q10" s="48" t="s">
        <v>508</v>
      </c>
      <c r="R10" s="48" t="s">
        <v>508</v>
      </c>
      <c r="S10" s="49">
        <v>0</v>
      </c>
      <c r="T10" s="49">
        <v>0</v>
      </c>
      <c r="U10" s="50" t="s">
        <v>483</v>
      </c>
      <c r="V10" s="50" t="s">
        <v>466</v>
      </c>
      <c r="W10" s="51">
        <v>0</v>
      </c>
      <c r="X10" s="51">
        <v>1</v>
      </c>
      <c r="Y10" s="51" t="s">
        <v>503</v>
      </c>
      <c r="Z10" s="51" t="s">
        <v>498</v>
      </c>
      <c r="AA10" s="53">
        <v>0</v>
      </c>
      <c r="AB10" s="54" t="s">
        <v>439</v>
      </c>
      <c r="AC10" s="38" t="s">
        <v>467</v>
      </c>
      <c r="AD10" s="39" t="str">
        <f t="shared" si="7"/>
        <v/>
      </c>
      <c r="AE10" s="55" t="s">
        <v>493</v>
      </c>
      <c r="AF10" s="104" t="s">
        <v>493</v>
      </c>
      <c r="AG10" s="54" t="s">
        <v>507</v>
      </c>
      <c r="AH10" s="54" t="s">
        <v>473</v>
      </c>
      <c r="AI10" s="117"/>
      <c r="AJ10" s="113"/>
      <c r="AK10" s="12">
        <f t="shared" si="0"/>
        <v>1</v>
      </c>
      <c r="AL10" s="150" t="str">
        <f t="shared" si="1"/>
        <v>non-LVC</v>
      </c>
      <c r="AM10" s="150" t="str" cm="1">
        <f t="array" ref="AM10">IF(OR(O10:O167="zero_recoverable", "zero_exalt", "zero_other", "zero_uncertain"),
   "Yes","No")</f>
        <v>Yes</v>
      </c>
      <c r="AN10" s="150">
        <f>1 + COUNTIF($V$2:V9,"main")</f>
        <v>2</v>
      </c>
      <c r="AO10" s="150" t="str">
        <f t="shared" si="2"/>
        <v/>
      </c>
      <c r="AP10" s="150">
        <f t="shared" si="3"/>
        <v>1</v>
      </c>
      <c r="AQ10" s="150" t="str">
        <f>IF(AP11=0,"",COUNTIFS($AN$2:$AN11,$AN11,$AP$2:$AP11,1))</f>
        <v/>
      </c>
      <c r="AR10" s="150">
        <f t="shared" si="4"/>
        <v>0</v>
      </c>
      <c r="AS10" s="150" t="s">
        <v>461</v>
      </c>
      <c r="AT10" s="150" t="s">
        <v>461</v>
      </c>
      <c r="AU10" s="150">
        <f t="shared" si="5"/>
        <v>0</v>
      </c>
      <c r="AV10" s="150">
        <f t="shared" si="6"/>
        <v>0</v>
      </c>
    </row>
    <row r="11" spans="1:48" x14ac:dyDescent="0.2">
      <c r="A11" s="42" t="s">
        <v>37</v>
      </c>
      <c r="B11" s="43" t="s">
        <v>166</v>
      </c>
      <c r="C11" s="44" t="s">
        <v>243</v>
      </c>
      <c r="D11" s="45" t="s">
        <v>343</v>
      </c>
      <c r="E11" s="45" t="s">
        <v>1034</v>
      </c>
      <c r="F11" s="45" t="s">
        <v>528</v>
      </c>
      <c r="G11" s="46" t="s">
        <v>434</v>
      </c>
      <c r="H11" s="45" t="s">
        <v>441</v>
      </c>
      <c r="I11" s="45" t="s">
        <v>451</v>
      </c>
      <c r="J11" s="45" t="s">
        <v>453</v>
      </c>
      <c r="K11" s="45">
        <v>1</v>
      </c>
      <c r="L11" s="47">
        <v>2</v>
      </c>
      <c r="M11" s="47" t="s">
        <v>458</v>
      </c>
      <c r="N11" s="47">
        <v>1</v>
      </c>
      <c r="O11" s="48" t="s">
        <v>461</v>
      </c>
      <c r="P11" s="48">
        <v>3</v>
      </c>
      <c r="Q11" s="48" t="s">
        <v>461</v>
      </c>
      <c r="R11" s="48" t="s">
        <v>508</v>
      </c>
      <c r="S11" s="49">
        <v>1</v>
      </c>
      <c r="T11" s="49">
        <v>0</v>
      </c>
      <c r="U11" s="50" t="s">
        <v>463</v>
      </c>
      <c r="V11" s="50" t="s">
        <v>465</v>
      </c>
      <c r="W11" s="51">
        <v>1</v>
      </c>
      <c r="X11" s="51">
        <v>0</v>
      </c>
      <c r="Y11" s="51" t="s">
        <v>503</v>
      </c>
      <c r="Z11" s="51" t="s">
        <v>499</v>
      </c>
      <c r="AA11" s="53">
        <v>1</v>
      </c>
      <c r="AB11" s="54" t="s">
        <v>439</v>
      </c>
      <c r="AC11" s="38" t="s">
        <v>466</v>
      </c>
      <c r="AD11" s="39" t="str">
        <f t="shared" si="7"/>
        <v/>
      </c>
      <c r="AE11" s="55" t="s">
        <v>493</v>
      </c>
      <c r="AF11" s="104" t="s">
        <v>493</v>
      </c>
      <c r="AG11" s="54" t="s">
        <v>507</v>
      </c>
      <c r="AH11" s="54" t="s">
        <v>484</v>
      </c>
      <c r="AI11" s="116" t="s">
        <v>509</v>
      </c>
      <c r="AJ11" s="113"/>
      <c r="AK11" s="12">
        <f t="shared" si="0"/>
        <v>2</v>
      </c>
      <c r="AL11" s="150" t="str">
        <f t="shared" si="1"/>
        <v>non-LVC</v>
      </c>
      <c r="AM11" s="150" t="str" cm="1">
        <f t="array" ref="AM11">IF(OR(O11:O168="zero_recoverable", "zero_exalt", "zero_other", "zero_uncertain"),
   "Yes","No")</f>
        <v>Yes</v>
      </c>
      <c r="AN11" s="150">
        <f>1 + COUNTIF($V$2:V10,"main")</f>
        <v>3</v>
      </c>
      <c r="AO11" s="150" t="str">
        <f t="shared" si="2"/>
        <v>main</v>
      </c>
      <c r="AP11" s="150">
        <f t="shared" si="3"/>
        <v>0</v>
      </c>
      <c r="AQ11" s="150">
        <f>IF(AP12=0,"",COUNTIFS($AN$2:$AN12,$AN12,$AP$2:$AP12,1))</f>
        <v>1</v>
      </c>
      <c r="AR11" s="150">
        <v>0</v>
      </c>
      <c r="AS11" s="150" t="s">
        <v>461</v>
      </c>
      <c r="AT11" s="150" t="s">
        <v>461</v>
      </c>
      <c r="AU11" s="150">
        <f t="shared" si="5"/>
        <v>0</v>
      </c>
      <c r="AV11" s="150">
        <f t="shared" si="6"/>
        <v>0</v>
      </c>
    </row>
    <row r="12" spans="1:48" x14ac:dyDescent="0.2">
      <c r="A12" s="42" t="s">
        <v>38</v>
      </c>
      <c r="B12" s="43" t="s">
        <v>167</v>
      </c>
      <c r="C12" s="44" t="s">
        <v>244</v>
      </c>
      <c r="D12" s="45" t="s">
        <v>344</v>
      </c>
      <c r="E12" s="45" t="s">
        <v>1034</v>
      </c>
      <c r="F12" s="45" t="s">
        <v>446</v>
      </c>
      <c r="G12" s="46" t="s">
        <v>435</v>
      </c>
      <c r="H12" s="45" t="s">
        <v>442</v>
      </c>
      <c r="I12" s="45" t="s">
        <v>451</v>
      </c>
      <c r="J12" s="45" t="s">
        <v>453</v>
      </c>
      <c r="K12" s="45">
        <v>1</v>
      </c>
      <c r="L12" s="47">
        <v>1</v>
      </c>
      <c r="M12" s="47" t="s">
        <v>456</v>
      </c>
      <c r="N12" s="47">
        <v>2</v>
      </c>
      <c r="O12" s="48" t="s">
        <v>461</v>
      </c>
      <c r="P12" s="48">
        <v>3</v>
      </c>
      <c r="Q12" s="48" t="s">
        <v>461</v>
      </c>
      <c r="R12" s="48" t="s">
        <v>483</v>
      </c>
      <c r="S12" s="49">
        <v>0</v>
      </c>
      <c r="T12" s="49">
        <v>0</v>
      </c>
      <c r="U12" s="50" t="s">
        <v>483</v>
      </c>
      <c r="V12" s="50" t="s">
        <v>466</v>
      </c>
      <c r="W12" s="51">
        <v>0</v>
      </c>
      <c r="X12" s="51">
        <v>0</v>
      </c>
      <c r="Y12" s="51" t="s">
        <v>483</v>
      </c>
      <c r="Z12" s="51" t="s">
        <v>483</v>
      </c>
      <c r="AA12" s="53">
        <v>0</v>
      </c>
      <c r="AB12" s="54" t="s">
        <v>439</v>
      </c>
      <c r="AC12" s="38" t="s">
        <v>465</v>
      </c>
      <c r="AD12" s="39" t="str">
        <f t="shared" si="7"/>
        <v/>
      </c>
      <c r="AE12" s="55" t="s">
        <v>493</v>
      </c>
      <c r="AF12" s="104" t="s">
        <v>493</v>
      </c>
      <c r="AG12" s="54" t="s">
        <v>486</v>
      </c>
      <c r="AH12" s="54" t="s">
        <v>484</v>
      </c>
      <c r="AI12" s="117"/>
      <c r="AJ12" s="113"/>
      <c r="AK12" s="12">
        <f t="shared" si="0"/>
        <v>1</v>
      </c>
      <c r="AL12" s="150" t="str">
        <f t="shared" si="1"/>
        <v>LVC</v>
      </c>
      <c r="AM12" s="150" t="str" cm="1">
        <f t="array" ref="AM12">IF(OR(O12:O169="zero_recoverable", "zero_exalt", "zero_other", "zero_uncertain"),
   "Yes","No")</f>
        <v>Yes</v>
      </c>
      <c r="AN12" s="150">
        <f>1 + COUNTIF($V$2:V11,"main")</f>
        <v>3</v>
      </c>
      <c r="AO12" s="150" t="str">
        <f t="shared" si="2"/>
        <v>inf</v>
      </c>
      <c r="AP12" s="150">
        <f t="shared" si="3"/>
        <v>1</v>
      </c>
      <c r="AQ12" s="150">
        <f>IF(AP13=0,"",COUNTIFS($AN$2:$AN13,$AN13,$AP$2:$AP13,1))</f>
        <v>1</v>
      </c>
      <c r="AR12" s="150">
        <f t="shared" si="4"/>
        <v>1</v>
      </c>
      <c r="AS12" s="150" t="s">
        <v>461</v>
      </c>
      <c r="AT12" s="150" t="s">
        <v>461</v>
      </c>
      <c r="AU12" s="150">
        <f t="shared" si="5"/>
        <v>0</v>
      </c>
      <c r="AV12" s="150">
        <f t="shared" si="6"/>
        <v>0</v>
      </c>
    </row>
    <row r="13" spans="1:48" x14ac:dyDescent="0.2">
      <c r="A13" s="42" t="s">
        <v>39</v>
      </c>
      <c r="B13" s="43" t="s">
        <v>168</v>
      </c>
      <c r="C13" s="44" t="s">
        <v>245</v>
      </c>
      <c r="D13" s="45" t="s">
        <v>345</v>
      </c>
      <c r="E13" s="45" t="s">
        <v>1034</v>
      </c>
      <c r="F13" s="45" t="s">
        <v>447</v>
      </c>
      <c r="G13" s="46" t="s">
        <v>1047</v>
      </c>
      <c r="H13" s="45" t="s">
        <v>441</v>
      </c>
      <c r="I13" s="45" t="s">
        <v>451</v>
      </c>
      <c r="J13" s="45" t="s">
        <v>453</v>
      </c>
      <c r="K13" s="45">
        <v>1</v>
      </c>
      <c r="L13" s="47">
        <v>2</v>
      </c>
      <c r="M13" s="47" t="s">
        <v>458</v>
      </c>
      <c r="N13" s="47">
        <v>0</v>
      </c>
      <c r="O13" s="48" t="s">
        <v>461</v>
      </c>
      <c r="P13" s="48">
        <v>3</v>
      </c>
      <c r="Q13" s="48" t="s">
        <v>461</v>
      </c>
      <c r="R13" s="48" t="s">
        <v>483</v>
      </c>
      <c r="S13" s="49">
        <v>0</v>
      </c>
      <c r="T13" s="49">
        <v>0</v>
      </c>
      <c r="U13" s="50" t="s">
        <v>483</v>
      </c>
      <c r="V13" s="50" t="s">
        <v>517</v>
      </c>
      <c r="W13" s="51">
        <v>0</v>
      </c>
      <c r="X13" s="51">
        <v>0</v>
      </c>
      <c r="Y13" s="51" t="s">
        <v>483</v>
      </c>
      <c r="Z13" s="51" t="s">
        <v>483</v>
      </c>
      <c r="AA13" s="53">
        <v>0</v>
      </c>
      <c r="AB13" s="54" t="s">
        <v>439</v>
      </c>
      <c r="AC13" s="38" t="s">
        <v>466</v>
      </c>
      <c r="AD13" s="39" t="str">
        <f t="shared" si="7"/>
        <v/>
      </c>
      <c r="AE13" s="55" t="s">
        <v>493</v>
      </c>
      <c r="AF13" s="104" t="s">
        <v>491</v>
      </c>
      <c r="AG13" s="54" t="s">
        <v>485</v>
      </c>
      <c r="AH13" s="54" t="s">
        <v>484</v>
      </c>
      <c r="AI13" s="117"/>
      <c r="AJ13" s="113"/>
      <c r="AK13" s="12">
        <f t="shared" si="0"/>
        <v>2</v>
      </c>
      <c r="AL13" s="150" t="str">
        <f t="shared" si="1"/>
        <v>non-LVC</v>
      </c>
      <c r="AM13" s="150" t="str" cm="1">
        <f t="array" ref="AM13">IF(OR(O13:O170="zero_recoverable", "zero_exalt", "zero_other", "zero_uncertain"),
   "Yes","No")</f>
        <v>Yes</v>
      </c>
      <c r="AN13" s="150">
        <f>1 + COUNTIF($V$2:V12,"main")</f>
        <v>4</v>
      </c>
      <c r="AO13" s="150" t="str">
        <f t="shared" si="2"/>
        <v>complement</v>
      </c>
      <c r="AP13" s="150">
        <f t="shared" si="3"/>
        <v>1</v>
      </c>
      <c r="AQ13" s="150">
        <f>IF(AP14=0,"",COUNTIFS($AN$2:$AN14,$AN14,$AP$2:$AP14,1))</f>
        <v>2</v>
      </c>
      <c r="AR13" s="150">
        <f t="shared" si="4"/>
        <v>0</v>
      </c>
      <c r="AS13" s="150" t="s">
        <v>508</v>
      </c>
      <c r="AT13" s="150" t="s">
        <v>461</v>
      </c>
      <c r="AU13" s="150">
        <f t="shared" si="5"/>
        <v>1</v>
      </c>
      <c r="AV13" s="150">
        <f t="shared" si="6"/>
        <v>0</v>
      </c>
    </row>
    <row r="14" spans="1:48" x14ac:dyDescent="0.2">
      <c r="A14" s="42" t="s">
        <v>40</v>
      </c>
      <c r="B14" s="43" t="s">
        <v>169</v>
      </c>
      <c r="C14" s="44" t="s">
        <v>246</v>
      </c>
      <c r="D14" s="45" t="s">
        <v>346</v>
      </c>
      <c r="E14" s="45" t="s">
        <v>693</v>
      </c>
      <c r="F14" s="45" t="s">
        <v>445</v>
      </c>
      <c r="G14" s="46" t="s">
        <v>435</v>
      </c>
      <c r="H14" s="45" t="s">
        <v>441</v>
      </c>
      <c r="I14" s="45" t="s">
        <v>451</v>
      </c>
      <c r="J14" s="45" t="s">
        <v>453</v>
      </c>
      <c r="K14" s="45">
        <v>1</v>
      </c>
      <c r="L14" s="47">
        <v>1</v>
      </c>
      <c r="M14" s="47" t="s">
        <v>464</v>
      </c>
      <c r="N14" s="47">
        <v>1</v>
      </c>
      <c r="O14" s="48" t="s">
        <v>508</v>
      </c>
      <c r="P14" s="48">
        <v>3</v>
      </c>
      <c r="Q14" s="48" t="s">
        <v>461</v>
      </c>
      <c r="R14" s="48" t="s">
        <v>483</v>
      </c>
      <c r="S14" s="49">
        <v>0</v>
      </c>
      <c r="T14" s="49">
        <v>0</v>
      </c>
      <c r="U14" s="50" t="s">
        <v>483</v>
      </c>
      <c r="V14" s="50" t="s">
        <v>1042</v>
      </c>
      <c r="W14" s="51">
        <v>0</v>
      </c>
      <c r="X14" s="51">
        <v>0</v>
      </c>
      <c r="Y14" s="51" t="s">
        <v>483</v>
      </c>
      <c r="Z14" s="51" t="s">
        <v>483</v>
      </c>
      <c r="AA14" s="53">
        <v>0</v>
      </c>
      <c r="AB14" s="54" t="s">
        <v>470</v>
      </c>
      <c r="AC14" s="38" t="s">
        <v>517</v>
      </c>
      <c r="AD14" s="39" t="str">
        <f t="shared" si="7"/>
        <v/>
      </c>
      <c r="AE14" s="55" t="s">
        <v>491</v>
      </c>
      <c r="AF14" s="104" t="s">
        <v>493</v>
      </c>
      <c r="AG14" s="54" t="s">
        <v>486</v>
      </c>
      <c r="AH14" s="54" t="s">
        <v>484</v>
      </c>
      <c r="AI14" s="116"/>
      <c r="AJ14" s="113"/>
      <c r="AK14" s="12">
        <f t="shared" si="0"/>
        <v>1</v>
      </c>
      <c r="AL14" s="150" t="str">
        <f t="shared" si="1"/>
        <v>LVC</v>
      </c>
      <c r="AM14" s="150" t="str" cm="1">
        <f t="array" ref="AM14">IF(OR(O14:O171="zero_recoverable", "zero_exalt", "zero_other", "zero_uncertain"),
   "Yes","No")</f>
        <v>Yes</v>
      </c>
      <c r="AN14" s="150">
        <f>1 + COUNTIF($V$2:V13,"main")</f>
        <v>4</v>
      </c>
      <c r="AO14" s="150" t="str">
        <f t="shared" si="2"/>
        <v/>
      </c>
      <c r="AP14" s="150">
        <f t="shared" si="3"/>
        <v>1</v>
      </c>
      <c r="AQ14" s="150">
        <f>IF(AP15=0,"",COUNTIFS($AN$2:$AN15,$AN15,$AP$2:$AP15,1))</f>
        <v>3</v>
      </c>
      <c r="AR14" s="150">
        <f t="shared" si="4"/>
        <v>0</v>
      </c>
      <c r="AS14" s="150" t="s">
        <v>461</v>
      </c>
      <c r="AT14" s="150" t="s">
        <v>483</v>
      </c>
      <c r="AU14" s="150">
        <f t="shared" si="5"/>
        <v>0</v>
      </c>
      <c r="AV14" s="150">
        <f t="shared" si="6"/>
        <v>0</v>
      </c>
    </row>
    <row r="15" spans="1:48" x14ac:dyDescent="0.2">
      <c r="A15" s="42" t="s">
        <v>41</v>
      </c>
      <c r="B15" s="43" t="s">
        <v>170</v>
      </c>
      <c r="C15" s="44" t="s">
        <v>247</v>
      </c>
      <c r="D15" s="45" t="s">
        <v>347</v>
      </c>
      <c r="E15" s="45" t="s">
        <v>1034</v>
      </c>
      <c r="F15" s="45" t="s">
        <v>448</v>
      </c>
      <c r="G15" s="46" t="s">
        <v>435</v>
      </c>
      <c r="H15" s="45" t="s">
        <v>442</v>
      </c>
      <c r="I15" s="59" t="s">
        <v>452</v>
      </c>
      <c r="J15" s="45" t="s">
        <v>453</v>
      </c>
      <c r="K15" s="45">
        <v>1</v>
      </c>
      <c r="L15" s="47">
        <v>1</v>
      </c>
      <c r="M15" s="47" t="s">
        <v>510</v>
      </c>
      <c r="N15" s="47">
        <v>0</v>
      </c>
      <c r="O15" s="48" t="s">
        <v>461</v>
      </c>
      <c r="P15" s="48" t="s">
        <v>483</v>
      </c>
      <c r="Q15" s="48" t="s">
        <v>483</v>
      </c>
      <c r="R15" s="48" t="s">
        <v>483</v>
      </c>
      <c r="S15" s="49">
        <v>0</v>
      </c>
      <c r="T15" s="49">
        <v>0</v>
      </c>
      <c r="U15" s="50" t="s">
        <v>483</v>
      </c>
      <c r="V15" s="50" t="s">
        <v>466</v>
      </c>
      <c r="W15" s="51">
        <v>0</v>
      </c>
      <c r="X15" s="51">
        <v>0</v>
      </c>
      <c r="Y15" s="51" t="s">
        <v>483</v>
      </c>
      <c r="Z15" s="51" t="s">
        <v>483</v>
      </c>
      <c r="AA15" s="53">
        <v>0</v>
      </c>
      <c r="AB15" s="54" t="s">
        <v>439</v>
      </c>
      <c r="AC15" s="38" t="s">
        <v>1042</v>
      </c>
      <c r="AD15" s="39" t="str">
        <f t="shared" si="7"/>
        <v/>
      </c>
      <c r="AE15" s="55" t="s">
        <v>493</v>
      </c>
      <c r="AF15" s="104" t="s">
        <v>493</v>
      </c>
      <c r="AG15" s="54" t="s">
        <v>507</v>
      </c>
      <c r="AH15" s="60" t="s">
        <v>511</v>
      </c>
      <c r="AI15" s="116"/>
      <c r="AJ15" s="113"/>
      <c r="AK15" s="12">
        <f t="shared" si="0"/>
        <v>1</v>
      </c>
      <c r="AL15" s="150" t="str">
        <f t="shared" si="1"/>
        <v>LVC</v>
      </c>
      <c r="AM15" s="150" t="str" cm="1">
        <f t="array" ref="AM15">IF(OR(O15:O172="zero_recoverable", "zero_exalt", "zero_other", "zero_uncertain"),
   "Yes","No")</f>
        <v>Yes</v>
      </c>
      <c r="AN15" s="150">
        <f>1 + COUNTIF($V$2:V14,"main")</f>
        <v>4</v>
      </c>
      <c r="AO15" s="150" t="str">
        <f t="shared" si="2"/>
        <v>te</v>
      </c>
      <c r="AP15" s="150">
        <f t="shared" si="3"/>
        <v>1</v>
      </c>
      <c r="AQ15" s="150">
        <f>IF(AP16=0,"",COUNTIFS($AN$2:$AN16,$AN16,$AP$2:$AP16,1))</f>
        <v>1</v>
      </c>
      <c r="AR15" s="150">
        <v>0</v>
      </c>
      <c r="AS15" s="150" t="s">
        <v>461</v>
      </c>
      <c r="AT15" s="150" t="s">
        <v>461</v>
      </c>
      <c r="AU15" s="150">
        <f t="shared" si="5"/>
        <v>0</v>
      </c>
      <c r="AV15" s="150">
        <f t="shared" si="6"/>
        <v>0</v>
      </c>
    </row>
    <row r="16" spans="1:48" x14ac:dyDescent="0.2">
      <c r="A16" s="42" t="s">
        <v>42</v>
      </c>
      <c r="B16" s="43" t="s">
        <v>171</v>
      </c>
      <c r="C16" s="44" t="s">
        <v>248</v>
      </c>
      <c r="D16" s="45" t="s">
        <v>348</v>
      </c>
      <c r="E16" s="45" t="s">
        <v>1034</v>
      </c>
      <c r="F16" s="45" t="s">
        <v>449</v>
      </c>
      <c r="G16" s="46" t="s">
        <v>1047</v>
      </c>
      <c r="H16" s="45" t="s">
        <v>441</v>
      </c>
      <c r="I16" s="45" t="s">
        <v>451</v>
      </c>
      <c r="J16" s="45" t="s">
        <v>453</v>
      </c>
      <c r="K16" s="45">
        <v>1</v>
      </c>
      <c r="L16" s="47">
        <v>2</v>
      </c>
      <c r="M16" s="47" t="s">
        <v>464</v>
      </c>
      <c r="N16" s="47">
        <v>0</v>
      </c>
      <c r="O16" s="48" t="s">
        <v>461</v>
      </c>
      <c r="P16" s="48">
        <v>3</v>
      </c>
      <c r="Q16" s="48" t="s">
        <v>461</v>
      </c>
      <c r="R16" s="48" t="s">
        <v>483</v>
      </c>
      <c r="S16" s="49">
        <v>0</v>
      </c>
      <c r="T16" s="49">
        <v>0</v>
      </c>
      <c r="U16" s="50" t="s">
        <v>483</v>
      </c>
      <c r="V16" s="50" t="s">
        <v>515</v>
      </c>
      <c r="W16" s="51">
        <v>0</v>
      </c>
      <c r="X16" s="51">
        <v>0</v>
      </c>
      <c r="Y16" s="51" t="s">
        <v>483</v>
      </c>
      <c r="Z16" s="51" t="s">
        <v>483</v>
      </c>
      <c r="AA16" s="53">
        <v>0</v>
      </c>
      <c r="AB16" s="54" t="s">
        <v>469</v>
      </c>
      <c r="AC16" s="38" t="s">
        <v>466</v>
      </c>
      <c r="AD16" s="39" t="str">
        <f t="shared" si="7"/>
        <v>te_initial</v>
      </c>
      <c r="AE16" s="55" t="s">
        <v>493</v>
      </c>
      <c r="AF16" s="104" t="s">
        <v>493</v>
      </c>
      <c r="AG16" s="54" t="s">
        <v>492</v>
      </c>
      <c r="AH16" s="54" t="s">
        <v>511</v>
      </c>
      <c r="AI16" s="116"/>
      <c r="AJ16" s="113"/>
      <c r="AK16" s="12">
        <f t="shared" si="0"/>
        <v>2</v>
      </c>
      <c r="AL16" s="150" t="str">
        <f t="shared" si="1"/>
        <v>non-LVC</v>
      </c>
      <c r="AM16" s="150" t="str" cm="1">
        <f t="array" ref="AM16">IF(OR(O16:O173="zero_recoverable", "zero_exalt", "zero_other", "zero_uncertain"),
   "Yes","No")</f>
        <v>Yes</v>
      </c>
      <c r="AN16" s="150">
        <f>1 + COUNTIF($V$2:V15,"main")</f>
        <v>5</v>
      </c>
      <c r="AO16" s="150" t="str">
        <f t="shared" si="2"/>
        <v/>
      </c>
      <c r="AP16" s="150">
        <f t="shared" si="3"/>
        <v>1</v>
      </c>
      <c r="AQ16" s="150">
        <f>IF(AP17=0,"",COUNTIFS($AN$2:$AN17,$AN17,$AP$2:$AP17,1))</f>
        <v>2</v>
      </c>
      <c r="AR16" s="150">
        <v>1</v>
      </c>
      <c r="AS16" s="150" t="s">
        <v>461</v>
      </c>
      <c r="AT16" s="150" t="s">
        <v>483</v>
      </c>
      <c r="AU16" s="150">
        <f t="shared" si="5"/>
        <v>0</v>
      </c>
      <c r="AV16" s="150">
        <f t="shared" si="6"/>
        <v>0</v>
      </c>
    </row>
    <row r="17" spans="1:48" x14ac:dyDescent="0.2">
      <c r="A17" s="42" t="s">
        <v>43</v>
      </c>
      <c r="B17" s="43" t="s">
        <v>172</v>
      </c>
      <c r="C17" s="44" t="s">
        <v>249</v>
      </c>
      <c r="D17" s="45" t="s">
        <v>349</v>
      </c>
      <c r="E17" s="45" t="s">
        <v>1034</v>
      </c>
      <c r="F17" s="45" t="s">
        <v>445</v>
      </c>
      <c r="G17" s="46" t="s">
        <v>436</v>
      </c>
      <c r="H17" s="45" t="s">
        <v>442</v>
      </c>
      <c r="I17" s="45" t="s">
        <v>451</v>
      </c>
      <c r="J17" s="45" t="s">
        <v>454</v>
      </c>
      <c r="K17" s="45">
        <v>1</v>
      </c>
      <c r="L17" s="47">
        <v>1</v>
      </c>
      <c r="M17" s="47" t="s">
        <v>456</v>
      </c>
      <c r="N17" s="47">
        <v>0</v>
      </c>
      <c r="O17" s="48" t="s">
        <v>461</v>
      </c>
      <c r="P17" s="48">
        <v>1</v>
      </c>
      <c r="Q17" s="48" t="s">
        <v>483</v>
      </c>
      <c r="R17" s="48" t="s">
        <v>483</v>
      </c>
      <c r="S17" s="49">
        <v>0</v>
      </c>
      <c r="T17" s="49">
        <v>0</v>
      </c>
      <c r="U17" s="50" t="s">
        <v>483</v>
      </c>
      <c r="V17" s="50" t="s">
        <v>487</v>
      </c>
      <c r="W17" s="51">
        <v>0</v>
      </c>
      <c r="X17" s="51">
        <v>0</v>
      </c>
      <c r="Y17" s="51" t="s">
        <v>483</v>
      </c>
      <c r="Z17" s="51" t="s">
        <v>483</v>
      </c>
      <c r="AA17" s="53">
        <v>0</v>
      </c>
      <c r="AB17" s="54" t="s">
        <v>469</v>
      </c>
      <c r="AC17" s="38" t="s">
        <v>515</v>
      </c>
      <c r="AD17" s="39" t="str">
        <f t="shared" si="7"/>
        <v/>
      </c>
      <c r="AE17" s="55" t="s">
        <v>493</v>
      </c>
      <c r="AF17" s="104" t="s">
        <v>491</v>
      </c>
      <c r="AG17" s="54" t="s">
        <v>492</v>
      </c>
      <c r="AH17" s="54" t="s">
        <v>484</v>
      </c>
      <c r="AI17" s="116"/>
      <c r="AJ17" s="113"/>
      <c r="AK17" s="12">
        <f t="shared" si="0"/>
        <v>1</v>
      </c>
      <c r="AL17" s="150" t="str">
        <f t="shared" si="1"/>
        <v>non-LVC</v>
      </c>
      <c r="AM17" s="150" t="str" cm="1">
        <f t="array" ref="AM17">IF(OR(O17:O174="zero_recoverable", "zero_exalt", "zero_other", "zero_uncertain"),
   "Yes","No")</f>
        <v>Yes</v>
      </c>
      <c r="AN17" s="150">
        <f>1 + COUNTIF($V$2:V16,"main")</f>
        <v>5</v>
      </c>
      <c r="AO17" s="150" t="str">
        <f t="shared" si="2"/>
        <v>te</v>
      </c>
      <c r="AP17" s="150">
        <f t="shared" si="3"/>
        <v>1</v>
      </c>
      <c r="AQ17" s="150">
        <f>IF(AP18=0,"",COUNTIFS($AN$2:$AN18,$AN18,$AP$2:$AP18,1))</f>
        <v>3</v>
      </c>
      <c r="AR17" s="150">
        <f t="shared" si="4"/>
        <v>0</v>
      </c>
      <c r="AS17" s="150" t="s">
        <v>508</v>
      </c>
      <c r="AT17" s="150" t="s">
        <v>483</v>
      </c>
      <c r="AU17" s="150">
        <f t="shared" si="5"/>
        <v>1</v>
      </c>
      <c r="AV17" s="150">
        <f t="shared" si="6"/>
        <v>0</v>
      </c>
    </row>
    <row r="18" spans="1:48" x14ac:dyDescent="0.2">
      <c r="A18" s="42" t="s">
        <v>44</v>
      </c>
      <c r="B18" s="43" t="s">
        <v>173</v>
      </c>
      <c r="C18" s="44" t="s">
        <v>250</v>
      </c>
      <c r="D18" s="45" t="s">
        <v>350</v>
      </c>
      <c r="E18" s="45" t="s">
        <v>1034</v>
      </c>
      <c r="F18" s="45" t="s">
        <v>445</v>
      </c>
      <c r="G18" s="46" t="s">
        <v>434</v>
      </c>
      <c r="H18" s="45" t="s">
        <v>442</v>
      </c>
      <c r="I18" s="59" t="s">
        <v>451</v>
      </c>
      <c r="J18" s="45" t="s">
        <v>453</v>
      </c>
      <c r="K18" s="45">
        <v>1</v>
      </c>
      <c r="L18" s="47">
        <v>1</v>
      </c>
      <c r="M18" s="47" t="s">
        <v>456</v>
      </c>
      <c r="N18" s="47">
        <v>1</v>
      </c>
      <c r="O18" s="48" t="s">
        <v>508</v>
      </c>
      <c r="P18" s="48">
        <v>1</v>
      </c>
      <c r="Q18" s="48" t="s">
        <v>483</v>
      </c>
      <c r="R18" s="48" t="s">
        <v>483</v>
      </c>
      <c r="S18" s="49">
        <v>0</v>
      </c>
      <c r="T18" s="49">
        <v>0</v>
      </c>
      <c r="U18" s="50" t="s">
        <v>483</v>
      </c>
      <c r="V18" s="50" t="s">
        <v>515</v>
      </c>
      <c r="W18" s="51">
        <v>0</v>
      </c>
      <c r="X18" s="51">
        <v>0</v>
      </c>
      <c r="Y18" s="51" t="s">
        <v>483</v>
      </c>
      <c r="Z18" s="51" t="s">
        <v>483</v>
      </c>
      <c r="AA18" s="53">
        <v>0</v>
      </c>
      <c r="AB18" s="54" t="s">
        <v>469</v>
      </c>
      <c r="AC18" s="38" t="s">
        <v>487</v>
      </c>
      <c r="AD18" s="39" t="s">
        <v>1111</v>
      </c>
      <c r="AE18" s="55" t="s">
        <v>491</v>
      </c>
      <c r="AF18" s="104" t="s">
        <v>491</v>
      </c>
      <c r="AG18" s="54" t="s">
        <v>507</v>
      </c>
      <c r="AH18" s="54" t="s">
        <v>484</v>
      </c>
      <c r="AI18" s="116"/>
      <c r="AJ18" s="113"/>
      <c r="AK18" s="12">
        <f t="shared" si="0"/>
        <v>1</v>
      </c>
      <c r="AL18" s="150" t="str">
        <f t="shared" si="1"/>
        <v>non-LVC</v>
      </c>
      <c r="AM18" s="150" t="str" cm="1">
        <f t="array" ref="AM18">IF(OR(O18:O175="zero_recoverable", "zero_exalt", "zero_other", "zero_uncertain"),
   "Yes","No")</f>
        <v>Yes</v>
      </c>
      <c r="AN18" s="150">
        <f>1 + COUNTIF($V$2:V17,"main")</f>
        <v>5</v>
      </c>
      <c r="AO18" s="150" t="str">
        <f t="shared" si="2"/>
        <v>relative</v>
      </c>
      <c r="AP18" s="150">
        <f t="shared" si="3"/>
        <v>1</v>
      </c>
      <c r="AQ18" s="150" t="str">
        <f>IF(AP19=0,"",COUNTIFS($AN$2:$AN19,$AN19,$AP$2:$AP19,1))</f>
        <v/>
      </c>
      <c r="AR18" s="150">
        <f t="shared" si="4"/>
        <v>0</v>
      </c>
      <c r="AS18" s="150" t="s">
        <v>508</v>
      </c>
      <c r="AT18" s="150" t="s">
        <v>483</v>
      </c>
      <c r="AU18" s="150">
        <f t="shared" si="5"/>
        <v>0</v>
      </c>
      <c r="AV18" s="150">
        <f t="shared" si="6"/>
        <v>0</v>
      </c>
    </row>
    <row r="19" spans="1:48" x14ac:dyDescent="0.2">
      <c r="A19" s="42" t="s">
        <v>45</v>
      </c>
      <c r="B19" s="43" t="s">
        <v>174</v>
      </c>
      <c r="C19" s="44" t="s">
        <v>251</v>
      </c>
      <c r="D19" s="45" t="s">
        <v>351</v>
      </c>
      <c r="E19" s="45" t="s">
        <v>1035</v>
      </c>
      <c r="F19" s="45" t="s">
        <v>445</v>
      </c>
      <c r="G19" s="46" t="s">
        <v>434</v>
      </c>
      <c r="H19" s="45" t="s">
        <v>442</v>
      </c>
      <c r="I19" s="45" t="s">
        <v>451</v>
      </c>
      <c r="J19" s="45" t="s">
        <v>453</v>
      </c>
      <c r="K19" s="45">
        <v>1</v>
      </c>
      <c r="L19" s="47">
        <v>1</v>
      </c>
      <c r="M19" s="47" t="s">
        <v>455</v>
      </c>
      <c r="N19" s="47">
        <v>1</v>
      </c>
      <c r="O19" s="48" t="s">
        <v>508</v>
      </c>
      <c r="P19" s="48" t="s">
        <v>483</v>
      </c>
      <c r="Q19" s="48" t="s">
        <v>483</v>
      </c>
      <c r="R19" s="48" t="s">
        <v>461</v>
      </c>
      <c r="S19" s="49">
        <v>0</v>
      </c>
      <c r="T19" s="49">
        <v>1</v>
      </c>
      <c r="U19" s="50" t="s">
        <v>483</v>
      </c>
      <c r="V19" s="50" t="s">
        <v>465</v>
      </c>
      <c r="W19" s="51">
        <v>0</v>
      </c>
      <c r="X19" s="51">
        <v>0</v>
      </c>
      <c r="Y19" s="51" t="s">
        <v>483</v>
      </c>
      <c r="Z19" s="51" t="s">
        <v>483</v>
      </c>
      <c r="AA19" s="53">
        <v>0</v>
      </c>
      <c r="AB19" s="54" t="s">
        <v>439</v>
      </c>
      <c r="AC19" s="38" t="s">
        <v>515</v>
      </c>
      <c r="AD19" s="39" t="str">
        <f t="shared" si="7"/>
        <v/>
      </c>
      <c r="AE19" s="55" t="s">
        <v>491</v>
      </c>
      <c r="AF19" s="104" t="s">
        <v>493</v>
      </c>
      <c r="AG19" s="54" t="s">
        <v>507</v>
      </c>
      <c r="AH19" s="54" t="s">
        <v>484</v>
      </c>
      <c r="AI19" s="116"/>
      <c r="AJ19" s="113"/>
      <c r="AK19" s="12">
        <f t="shared" si="0"/>
        <v>1</v>
      </c>
      <c r="AL19" s="150" t="str">
        <f t="shared" si="1"/>
        <v>non-LVC</v>
      </c>
      <c r="AM19" s="150" t="str" cm="1">
        <f t="array" ref="AM19">IF(OR(O19:O176="zero_recoverable", "zero_exalt", "zero_other", "zero_uncertain"),
   "Yes","No")</f>
        <v>Yes</v>
      </c>
      <c r="AN19" s="150">
        <f>1 + COUNTIF($V$2:V18,"main")</f>
        <v>5</v>
      </c>
      <c r="AO19" s="150" t="str">
        <f t="shared" si="2"/>
        <v>main</v>
      </c>
      <c r="AP19" s="150">
        <f t="shared" si="3"/>
        <v>0</v>
      </c>
      <c r="AQ19" s="150">
        <f>IF(AP20=0,"",COUNTIFS($AN$2:$AN20,$AN20,$AP$2:$AP20,1))</f>
        <v>4</v>
      </c>
      <c r="AR19" s="150">
        <f t="shared" si="4"/>
        <v>0</v>
      </c>
      <c r="AS19" s="150" t="s">
        <v>461</v>
      </c>
      <c r="AT19" s="150" t="s">
        <v>483</v>
      </c>
      <c r="AU19" s="150">
        <f t="shared" si="5"/>
        <v>0</v>
      </c>
      <c r="AV19" s="150">
        <f t="shared" si="6"/>
        <v>0</v>
      </c>
    </row>
    <row r="20" spans="1:48" x14ac:dyDescent="0.2">
      <c r="A20" s="42" t="s">
        <v>46</v>
      </c>
      <c r="B20" s="43" t="s">
        <v>175</v>
      </c>
      <c r="C20" s="44" t="s">
        <v>252</v>
      </c>
      <c r="D20" s="45" t="s">
        <v>514</v>
      </c>
      <c r="E20" s="45" t="s">
        <v>1035</v>
      </c>
      <c r="F20" s="45" t="s">
        <v>447</v>
      </c>
      <c r="G20" s="46" t="s">
        <v>438</v>
      </c>
      <c r="H20" s="45" t="s">
        <v>442</v>
      </c>
      <c r="I20" s="45" t="s">
        <v>451</v>
      </c>
      <c r="J20" s="45" t="s">
        <v>453</v>
      </c>
      <c r="K20" s="45">
        <v>1</v>
      </c>
      <c r="L20" s="47">
        <v>1</v>
      </c>
      <c r="M20" s="47" t="s">
        <v>456</v>
      </c>
      <c r="N20" s="47">
        <v>1</v>
      </c>
      <c r="O20" s="48" t="s">
        <v>461</v>
      </c>
      <c r="P20" s="48">
        <v>3</v>
      </c>
      <c r="Q20" s="48" t="s">
        <v>483</v>
      </c>
      <c r="R20" s="48" t="s">
        <v>483</v>
      </c>
      <c r="S20" s="49">
        <v>0</v>
      </c>
      <c r="T20" s="49">
        <v>0</v>
      </c>
      <c r="U20" s="50" t="s">
        <v>483</v>
      </c>
      <c r="V20" s="50" t="s">
        <v>466</v>
      </c>
      <c r="W20" s="51">
        <v>0</v>
      </c>
      <c r="X20" s="51">
        <v>0</v>
      </c>
      <c r="Y20" s="51" t="s">
        <v>483</v>
      </c>
      <c r="Z20" s="51" t="s">
        <v>483</v>
      </c>
      <c r="AA20" s="53">
        <v>0</v>
      </c>
      <c r="AB20" s="54" t="s">
        <v>439</v>
      </c>
      <c r="AC20" s="38" t="s">
        <v>465</v>
      </c>
      <c r="AD20" s="39" t="str">
        <f t="shared" si="7"/>
        <v/>
      </c>
      <c r="AE20" s="55" t="s">
        <v>493</v>
      </c>
      <c r="AF20" s="104">
        <v>0</v>
      </c>
      <c r="AG20" s="54" t="s">
        <v>507</v>
      </c>
      <c r="AH20" s="54" t="s">
        <v>484</v>
      </c>
      <c r="AI20" s="116"/>
      <c r="AJ20" s="113"/>
      <c r="AK20" s="12">
        <f t="shared" si="0"/>
        <v>1</v>
      </c>
      <c r="AL20" s="150" t="str">
        <f t="shared" si="1"/>
        <v>non-LVC</v>
      </c>
      <c r="AM20" s="150" t="str" cm="1">
        <f t="array" ref="AM20">IF(OR(O20:O177="zero_recoverable", "zero_exalt", "zero_other", "zero_uncertain"),
   "Yes","No")</f>
        <v>Yes</v>
      </c>
      <c r="AN20" s="150">
        <f>1 + COUNTIF($V$2:V19,"main")</f>
        <v>5</v>
      </c>
      <c r="AO20" s="150" t="str">
        <f t="shared" si="2"/>
        <v/>
      </c>
      <c r="AP20" s="150">
        <f t="shared" si="3"/>
        <v>1</v>
      </c>
      <c r="AQ20" s="150">
        <f>IF(AP21=0,"",COUNTIFS($AN$2:$AN21,$AN21,$AP$2:$AP21,1))</f>
        <v>1</v>
      </c>
      <c r="AR20" s="150">
        <v>0</v>
      </c>
      <c r="AS20" s="150"/>
      <c r="AT20" s="150"/>
      <c r="AU20" s="150">
        <f t="shared" si="5"/>
        <v>0</v>
      </c>
      <c r="AV20" s="150">
        <f t="shared" si="6"/>
        <v>0</v>
      </c>
    </row>
    <row r="21" spans="1:48" x14ac:dyDescent="0.2">
      <c r="A21" s="42" t="s">
        <v>47</v>
      </c>
      <c r="B21" s="43" t="s">
        <v>176</v>
      </c>
      <c r="C21" s="44" t="s">
        <v>253</v>
      </c>
      <c r="D21" s="45" t="s">
        <v>352</v>
      </c>
      <c r="E21" s="45" t="s">
        <v>1034</v>
      </c>
      <c r="F21" s="45" t="s">
        <v>445</v>
      </c>
      <c r="G21" s="46"/>
      <c r="H21" s="45"/>
      <c r="I21" s="45"/>
      <c r="J21" s="45"/>
      <c r="K21" s="45"/>
      <c r="L21" s="47"/>
      <c r="M21" s="47"/>
      <c r="N21" s="47"/>
      <c r="O21" s="48"/>
      <c r="P21" s="48"/>
      <c r="Q21" s="48" t="s">
        <v>483</v>
      </c>
      <c r="R21" s="48" t="s">
        <v>483</v>
      </c>
      <c r="S21" s="49"/>
      <c r="T21" s="49"/>
      <c r="U21" s="50"/>
      <c r="V21" s="50"/>
      <c r="W21" s="51"/>
      <c r="X21" s="51"/>
      <c r="Y21" s="51"/>
      <c r="Z21" s="51"/>
      <c r="AA21" s="53"/>
      <c r="AB21" s="54"/>
      <c r="AC21" s="38" t="s">
        <v>466</v>
      </c>
      <c r="AD21" s="39" t="str">
        <f t="shared" si="7"/>
        <v/>
      </c>
      <c r="AE21" s="55"/>
      <c r="AF21" s="104" t="s">
        <v>491</v>
      </c>
      <c r="AG21" s="54"/>
      <c r="AH21" s="54"/>
      <c r="AI21" s="116"/>
      <c r="AJ21" s="113"/>
      <c r="AL21" s="150" t="str">
        <f t="shared" si="1"/>
        <v>non-LVC</v>
      </c>
      <c r="AM21" s="150" t="str" cm="1">
        <f t="array" ref="AM21">IF(OR(O21:O178="zero_recoverable", "zero_exalt", "zero_other", "zero_uncertain"),
   "Yes","No")</f>
        <v>Yes</v>
      </c>
      <c r="AN21" s="150">
        <f>1 + COUNTIF($V$2:V20,"main")</f>
        <v>6</v>
      </c>
      <c r="AO21" s="150" t="str">
        <f t="shared" si="2"/>
        <v/>
      </c>
      <c r="AP21" s="150">
        <f t="shared" si="3"/>
        <v>1</v>
      </c>
      <c r="AQ21" s="150">
        <f>IF(AP22=0,"",COUNTIFS($AN$2:$AN22,$AN22,$AP$2:$AP22,1))</f>
        <v>2</v>
      </c>
      <c r="AR21" s="150">
        <f t="shared" si="4"/>
        <v>0</v>
      </c>
      <c r="AS21" s="150" t="s">
        <v>508</v>
      </c>
      <c r="AT21" s="150" t="s">
        <v>461</v>
      </c>
      <c r="AU21" s="150">
        <f t="shared" si="5"/>
        <v>0</v>
      </c>
      <c r="AV21" s="150">
        <f t="shared" si="6"/>
        <v>0</v>
      </c>
    </row>
    <row r="22" spans="1:48" x14ac:dyDescent="0.2">
      <c r="A22" s="42" t="s">
        <v>48</v>
      </c>
      <c r="B22" s="43" t="s">
        <v>177</v>
      </c>
      <c r="C22" s="44" t="s">
        <v>254</v>
      </c>
      <c r="D22" s="45" t="s">
        <v>353</v>
      </c>
      <c r="E22" s="45" t="s">
        <v>1034</v>
      </c>
      <c r="F22" s="45" t="s">
        <v>445</v>
      </c>
      <c r="G22" s="46" t="s">
        <v>435</v>
      </c>
      <c r="H22" s="45" t="s">
        <v>441</v>
      </c>
      <c r="I22" s="45" t="s">
        <v>451</v>
      </c>
      <c r="J22" s="45" t="s">
        <v>453</v>
      </c>
      <c r="K22" s="45">
        <v>1</v>
      </c>
      <c r="L22" s="47">
        <v>1</v>
      </c>
      <c r="M22" s="47" t="s">
        <v>464</v>
      </c>
      <c r="N22" s="47">
        <v>0</v>
      </c>
      <c r="O22" s="48" t="s">
        <v>508</v>
      </c>
      <c r="P22" s="48">
        <v>1</v>
      </c>
      <c r="Q22" s="48" t="s">
        <v>461</v>
      </c>
      <c r="R22" s="48" t="s">
        <v>483</v>
      </c>
      <c r="S22" s="49">
        <v>0</v>
      </c>
      <c r="T22" s="49">
        <v>0</v>
      </c>
      <c r="U22" s="50" t="s">
        <v>483</v>
      </c>
      <c r="V22" s="50" t="s">
        <v>515</v>
      </c>
      <c r="W22" s="51">
        <v>0</v>
      </c>
      <c r="X22" s="51">
        <v>0</v>
      </c>
      <c r="Y22" s="51" t="s">
        <v>483</v>
      </c>
      <c r="Z22" s="51" t="s">
        <v>483</v>
      </c>
      <c r="AA22" s="53">
        <v>0</v>
      </c>
      <c r="AB22" s="54" t="s">
        <v>469</v>
      </c>
      <c r="AC22" s="38">
        <v>0</v>
      </c>
      <c r="AD22" s="39" t="s">
        <v>1111</v>
      </c>
      <c r="AE22" s="55" t="s">
        <v>491</v>
      </c>
      <c r="AF22" s="104" t="s">
        <v>491</v>
      </c>
      <c r="AG22" s="54" t="s">
        <v>507</v>
      </c>
      <c r="AH22" s="54" t="s">
        <v>484</v>
      </c>
      <c r="AI22" s="116"/>
      <c r="AJ22" s="113"/>
      <c r="AK22" s="12">
        <f t="shared" si="0"/>
        <v>1</v>
      </c>
      <c r="AL22" s="150" t="str">
        <f t="shared" si="1"/>
        <v>LVC</v>
      </c>
      <c r="AM22" s="150" t="str" cm="1">
        <f t="array" ref="AM22">IF(OR(O22:O179="zero_recoverable", "zero_exalt", "zero_other", "zero_uncertain"),
   "Yes","No")</f>
        <v>Yes</v>
      </c>
      <c r="AN22" s="150">
        <f>1 + COUNTIF($V$2:V21,"main")</f>
        <v>6</v>
      </c>
      <c r="AO22" s="150" t="str">
        <f t="shared" si="2"/>
        <v>complement</v>
      </c>
      <c r="AP22" s="150">
        <f t="shared" si="3"/>
        <v>1</v>
      </c>
      <c r="AQ22" s="150">
        <f>IF(AP23=0,"",COUNTIFS($AN$2:$AN23,$AN23,$AP$2:$AP23,1))</f>
        <v>3</v>
      </c>
      <c r="AR22" s="150">
        <f t="shared" si="4"/>
        <v>0</v>
      </c>
      <c r="AS22" s="150" t="s">
        <v>460</v>
      </c>
      <c r="AT22" s="150" t="s">
        <v>483</v>
      </c>
      <c r="AU22" s="150">
        <f t="shared" si="5"/>
        <v>0</v>
      </c>
      <c r="AV22" s="150">
        <f t="shared" si="6"/>
        <v>0</v>
      </c>
    </row>
    <row r="23" spans="1:48" x14ac:dyDescent="0.2">
      <c r="A23" s="42" t="s">
        <v>49</v>
      </c>
      <c r="B23" s="43" t="s">
        <v>178</v>
      </c>
      <c r="C23" s="44" t="s">
        <v>516</v>
      </c>
      <c r="D23" s="45" t="s">
        <v>354</v>
      </c>
      <c r="E23" s="45" t="s">
        <v>692</v>
      </c>
      <c r="F23" s="45" t="s">
        <v>528</v>
      </c>
      <c r="G23" s="46" t="s">
        <v>434</v>
      </c>
      <c r="H23" s="45" t="s">
        <v>442</v>
      </c>
      <c r="I23" s="45" t="s">
        <v>451</v>
      </c>
      <c r="J23" s="45" t="s">
        <v>453</v>
      </c>
      <c r="K23" s="45">
        <v>1</v>
      </c>
      <c r="L23" s="47">
        <v>1</v>
      </c>
      <c r="M23" s="47" t="s">
        <v>455</v>
      </c>
      <c r="N23" s="47">
        <v>0</v>
      </c>
      <c r="O23" s="48" t="s">
        <v>460</v>
      </c>
      <c r="P23" s="48">
        <v>1</v>
      </c>
      <c r="Q23" s="48" t="s">
        <v>483</v>
      </c>
      <c r="R23" s="48" t="s">
        <v>461</v>
      </c>
      <c r="S23" s="49">
        <v>0</v>
      </c>
      <c r="T23" s="49">
        <v>0</v>
      </c>
      <c r="U23" s="50" t="s">
        <v>483</v>
      </c>
      <c r="V23" s="50" t="s">
        <v>1042</v>
      </c>
      <c r="W23" s="51">
        <v>1</v>
      </c>
      <c r="X23" s="51">
        <v>1</v>
      </c>
      <c r="Y23" s="51" t="s">
        <v>503</v>
      </c>
      <c r="Z23" s="51" t="s">
        <v>498</v>
      </c>
      <c r="AA23" s="53">
        <v>0</v>
      </c>
      <c r="AB23" s="54" t="s">
        <v>439</v>
      </c>
      <c r="AC23" s="38" t="s">
        <v>515</v>
      </c>
      <c r="AD23" s="39" t="str">
        <f t="shared" si="7"/>
        <v/>
      </c>
      <c r="AE23" s="55" t="s">
        <v>491</v>
      </c>
      <c r="AF23" s="104" t="s">
        <v>493</v>
      </c>
      <c r="AG23" s="54" t="s">
        <v>507</v>
      </c>
      <c r="AH23" s="54" t="s">
        <v>484</v>
      </c>
      <c r="AI23" s="116"/>
      <c r="AJ23" s="113"/>
      <c r="AK23" s="12">
        <f t="shared" si="0"/>
        <v>1</v>
      </c>
      <c r="AL23" s="150" t="str">
        <f t="shared" si="1"/>
        <v>non-LVC</v>
      </c>
      <c r="AM23" s="150" t="str" cm="1">
        <f t="array" ref="AM23">IF(OR(O23:O180="zero_recoverable", "zero_exalt", "zero_other", "zero_uncertain"),
   "Yes","No")</f>
        <v>Yes</v>
      </c>
      <c r="AN23" s="150">
        <f>1 + COUNTIF($V$2:V22,"main")</f>
        <v>6</v>
      </c>
      <c r="AO23" s="150" t="str">
        <f t="shared" si="2"/>
        <v>main</v>
      </c>
      <c r="AP23" s="150">
        <f t="shared" si="3"/>
        <v>1</v>
      </c>
      <c r="AQ23" s="150">
        <f>IF(AP24=0,"",COUNTIFS($AN$2:$AN24,$AN24,$AP$2:$AP24,1))</f>
        <v>4</v>
      </c>
      <c r="AR23" s="150">
        <f t="shared" si="4"/>
        <v>0</v>
      </c>
      <c r="AS23" s="150" t="s">
        <v>461</v>
      </c>
      <c r="AT23" s="150" t="s">
        <v>483</v>
      </c>
      <c r="AU23" s="150">
        <f t="shared" si="5"/>
        <v>0</v>
      </c>
      <c r="AV23" s="150">
        <f t="shared" si="6"/>
        <v>0</v>
      </c>
    </row>
    <row r="24" spans="1:48" x14ac:dyDescent="0.2">
      <c r="A24" s="42" t="s">
        <v>50</v>
      </c>
      <c r="B24" s="43" t="s">
        <v>179</v>
      </c>
      <c r="C24" s="44" t="s">
        <v>255</v>
      </c>
      <c r="D24" s="45" t="s">
        <v>355</v>
      </c>
      <c r="E24" s="45" t="s">
        <v>1034</v>
      </c>
      <c r="F24" s="45" t="s">
        <v>444</v>
      </c>
      <c r="G24" s="46" t="s">
        <v>437</v>
      </c>
      <c r="H24" s="45" t="s">
        <v>442</v>
      </c>
      <c r="I24" s="45" t="s">
        <v>451</v>
      </c>
      <c r="J24" s="45" t="s">
        <v>453</v>
      </c>
      <c r="K24" s="45">
        <v>1</v>
      </c>
      <c r="L24" s="47">
        <v>1</v>
      </c>
      <c r="M24" s="47" t="s">
        <v>456</v>
      </c>
      <c r="N24" s="47">
        <v>1</v>
      </c>
      <c r="O24" s="48" t="s">
        <v>461</v>
      </c>
      <c r="P24" s="48">
        <v>3</v>
      </c>
      <c r="Q24" s="48" t="s">
        <v>483</v>
      </c>
      <c r="R24" s="48" t="s">
        <v>483</v>
      </c>
      <c r="S24" s="49">
        <v>0</v>
      </c>
      <c r="T24" s="49">
        <v>0</v>
      </c>
      <c r="U24" s="50" t="s">
        <v>483</v>
      </c>
      <c r="V24" s="50" t="s">
        <v>466</v>
      </c>
      <c r="W24" s="51">
        <v>0</v>
      </c>
      <c r="X24" s="51">
        <v>0</v>
      </c>
      <c r="Y24" s="51" t="s">
        <v>483</v>
      </c>
      <c r="Z24" s="51" t="s">
        <v>483</v>
      </c>
      <c r="AA24" s="53">
        <v>0</v>
      </c>
      <c r="AB24" s="54" t="s">
        <v>439</v>
      </c>
      <c r="AC24" s="38" t="s">
        <v>1042</v>
      </c>
      <c r="AD24" s="39" t="str">
        <f t="shared" si="7"/>
        <v/>
      </c>
      <c r="AE24" s="55" t="s">
        <v>493</v>
      </c>
      <c r="AF24" s="104" t="s">
        <v>491</v>
      </c>
      <c r="AG24" s="54" t="s">
        <v>507</v>
      </c>
      <c r="AH24" s="54" t="s">
        <v>484</v>
      </c>
      <c r="AI24" s="117" t="s">
        <v>1051</v>
      </c>
      <c r="AJ24" s="113"/>
      <c r="AK24" s="12">
        <f t="shared" si="0"/>
        <v>1</v>
      </c>
      <c r="AL24" s="150" t="str">
        <f t="shared" si="1"/>
        <v>non-LVC</v>
      </c>
      <c r="AM24" s="150" t="str" cm="1">
        <f t="array" ref="AM24">IF(OR(O24:O181="zero_recoverable", "zero_exalt", "zero_other", "zero_uncertain"),
   "Yes","No")</f>
        <v>Yes</v>
      </c>
      <c r="AN24" s="150">
        <f>1 + COUNTIF($V$2:V23,"main")</f>
        <v>6</v>
      </c>
      <c r="AO24" s="150" t="str">
        <f t="shared" si="2"/>
        <v>inf</v>
      </c>
      <c r="AP24" s="150">
        <f t="shared" si="3"/>
        <v>1</v>
      </c>
      <c r="AQ24" s="150">
        <f>IF(AP25=0,"",COUNTIFS($AN$2:$AN25,$AN25,$AP$2:$AP25,1))</f>
        <v>1</v>
      </c>
      <c r="AR24" s="150">
        <v>0</v>
      </c>
      <c r="AS24" s="150" t="s">
        <v>508</v>
      </c>
      <c r="AT24" s="150" t="s">
        <v>461</v>
      </c>
      <c r="AU24" s="150">
        <f t="shared" si="5"/>
        <v>1</v>
      </c>
      <c r="AV24" s="150">
        <f t="shared" si="6"/>
        <v>0</v>
      </c>
    </row>
    <row r="25" spans="1:48" x14ac:dyDescent="0.2">
      <c r="A25" s="42" t="s">
        <v>51</v>
      </c>
      <c r="B25" s="43" t="s">
        <v>180</v>
      </c>
      <c r="C25" s="44" t="s">
        <v>256</v>
      </c>
      <c r="D25" s="45" t="s">
        <v>356</v>
      </c>
      <c r="E25" s="45" t="s">
        <v>1034</v>
      </c>
      <c r="F25" s="45" t="s">
        <v>445</v>
      </c>
      <c r="G25" s="46" t="s">
        <v>435</v>
      </c>
      <c r="H25" s="45" t="s">
        <v>441</v>
      </c>
      <c r="I25" s="45" t="s">
        <v>451</v>
      </c>
      <c r="J25" s="45" t="s">
        <v>453</v>
      </c>
      <c r="K25" s="45">
        <v>1</v>
      </c>
      <c r="L25" s="47">
        <v>1</v>
      </c>
      <c r="M25" s="47" t="s">
        <v>464</v>
      </c>
      <c r="N25" s="47">
        <v>1</v>
      </c>
      <c r="O25" s="48" t="s">
        <v>508</v>
      </c>
      <c r="P25" s="48">
        <v>3</v>
      </c>
      <c r="Q25" s="48" t="s">
        <v>461</v>
      </c>
      <c r="R25" s="48" t="s">
        <v>483</v>
      </c>
      <c r="S25" s="49">
        <v>0</v>
      </c>
      <c r="T25" s="49">
        <v>0</v>
      </c>
      <c r="U25" s="50" t="s">
        <v>483</v>
      </c>
      <c r="V25" s="50" t="s">
        <v>517</v>
      </c>
      <c r="W25" s="51">
        <v>0</v>
      </c>
      <c r="X25" s="51">
        <v>0</v>
      </c>
      <c r="Y25" s="51" t="s">
        <v>483</v>
      </c>
      <c r="Z25" s="51" t="s">
        <v>483</v>
      </c>
      <c r="AA25" s="53">
        <v>0</v>
      </c>
      <c r="AB25" s="54" t="s">
        <v>439</v>
      </c>
      <c r="AC25" s="38" t="s">
        <v>466</v>
      </c>
      <c r="AD25" s="39" t="str">
        <f t="shared" si="7"/>
        <v/>
      </c>
      <c r="AE25" s="55" t="s">
        <v>491</v>
      </c>
      <c r="AF25" s="104" t="s">
        <v>491</v>
      </c>
      <c r="AG25" s="54" t="s">
        <v>507</v>
      </c>
      <c r="AH25" s="54" t="s">
        <v>484</v>
      </c>
      <c r="AI25" s="117"/>
      <c r="AJ25" s="113"/>
      <c r="AK25" s="12">
        <f t="shared" si="0"/>
        <v>1</v>
      </c>
      <c r="AL25" s="150" t="str">
        <f t="shared" si="1"/>
        <v>LVC</v>
      </c>
      <c r="AM25" s="150" t="str" cm="1">
        <f t="array" ref="AM25">IF(OR(O25:O182="zero_recoverable", "zero_exalt", "zero_other", "zero_uncertain"),
   "Yes","No")</f>
        <v>Yes</v>
      </c>
      <c r="AN25" s="150">
        <f>1 + COUNTIF($V$2:V24,"main")</f>
        <v>7</v>
      </c>
      <c r="AO25" s="150" t="str">
        <f t="shared" si="2"/>
        <v>inf</v>
      </c>
      <c r="AP25" s="150">
        <f t="shared" si="3"/>
        <v>1</v>
      </c>
      <c r="AQ25" s="150">
        <f>IF(AP26=0,"",COUNTIFS($AN$2:$AN26,$AN26,$AP$2:$AP26,1))</f>
        <v>2</v>
      </c>
      <c r="AR25" s="150">
        <v>1</v>
      </c>
      <c r="AS25" s="150" t="s">
        <v>508</v>
      </c>
      <c r="AT25" s="150" t="s">
        <v>508</v>
      </c>
      <c r="AU25" s="150">
        <f t="shared" si="5"/>
        <v>0</v>
      </c>
      <c r="AV25" s="150">
        <f t="shared" si="6"/>
        <v>1</v>
      </c>
    </row>
    <row r="26" spans="1:48" x14ac:dyDescent="0.2">
      <c r="A26" s="42" t="s">
        <v>52</v>
      </c>
      <c r="B26" s="43" t="s">
        <v>181</v>
      </c>
      <c r="C26" s="44" t="s">
        <v>257</v>
      </c>
      <c r="D26" s="45" t="s">
        <v>357</v>
      </c>
      <c r="E26" s="45" t="s">
        <v>1034</v>
      </c>
      <c r="F26" s="45" t="s">
        <v>445</v>
      </c>
      <c r="G26" s="46" t="s">
        <v>434</v>
      </c>
      <c r="H26" s="45" t="s">
        <v>441</v>
      </c>
      <c r="I26" s="45" t="s">
        <v>451</v>
      </c>
      <c r="J26" s="45" t="s">
        <v>453</v>
      </c>
      <c r="K26" s="45">
        <v>1</v>
      </c>
      <c r="L26" s="47">
        <v>1</v>
      </c>
      <c r="M26" s="47" t="s">
        <v>455</v>
      </c>
      <c r="N26" s="47">
        <v>1</v>
      </c>
      <c r="O26" s="48" t="s">
        <v>508</v>
      </c>
      <c r="P26" s="48">
        <v>3</v>
      </c>
      <c r="Q26" s="48" t="s">
        <v>508</v>
      </c>
      <c r="R26" s="48" t="s">
        <v>461</v>
      </c>
      <c r="S26" s="49">
        <v>0</v>
      </c>
      <c r="T26" s="49">
        <v>0</v>
      </c>
      <c r="U26" s="50" t="s">
        <v>483</v>
      </c>
      <c r="V26" s="50" t="s">
        <v>517</v>
      </c>
      <c r="W26" s="51">
        <v>0</v>
      </c>
      <c r="X26" s="51">
        <v>0</v>
      </c>
      <c r="Y26" s="51" t="s">
        <v>483</v>
      </c>
      <c r="Z26" s="51" t="s">
        <v>483</v>
      </c>
      <c r="AA26" s="53">
        <v>0</v>
      </c>
      <c r="AB26" s="54" t="s">
        <v>439</v>
      </c>
      <c r="AC26" s="38" t="s">
        <v>517</v>
      </c>
      <c r="AD26" s="39" t="str">
        <f t="shared" si="7"/>
        <v/>
      </c>
      <c r="AE26" s="55" t="s">
        <v>491</v>
      </c>
      <c r="AF26" s="104" t="s">
        <v>491</v>
      </c>
      <c r="AG26" s="54" t="s">
        <v>507</v>
      </c>
      <c r="AH26" s="54" t="s">
        <v>484</v>
      </c>
      <c r="AI26" s="117"/>
      <c r="AJ26" s="113"/>
      <c r="AK26" s="12">
        <f t="shared" si="0"/>
        <v>1</v>
      </c>
      <c r="AL26" s="150" t="str">
        <f t="shared" si="1"/>
        <v>non-LVC</v>
      </c>
      <c r="AM26" s="150" t="str" cm="1">
        <f t="array" ref="AM26">IF(OR(O26:O183="zero_recoverable", "zero_exalt", "zero_other", "zero_uncertain"),
   "Yes","No")</f>
        <v>Yes</v>
      </c>
      <c r="AN26" s="150">
        <f>1 + COUNTIF($V$2:V25,"main")</f>
        <v>7</v>
      </c>
      <c r="AO26" s="150" t="str">
        <f t="shared" si="2"/>
        <v>te</v>
      </c>
      <c r="AP26" s="150">
        <f t="shared" si="3"/>
        <v>1</v>
      </c>
      <c r="AQ26" s="150">
        <f>IF(AP27=0,"",COUNTIFS($AN$2:$AN27,$AN27,$AP$2:$AP27,1))</f>
        <v>3</v>
      </c>
      <c r="AR26" s="150">
        <f t="shared" si="4"/>
        <v>0</v>
      </c>
      <c r="AS26" s="150" t="s">
        <v>508</v>
      </c>
      <c r="AT26" s="150" t="s">
        <v>483</v>
      </c>
      <c r="AU26" s="150">
        <f t="shared" si="5"/>
        <v>0</v>
      </c>
      <c r="AV26" s="150">
        <f t="shared" si="6"/>
        <v>0</v>
      </c>
    </row>
    <row r="27" spans="1:48" x14ac:dyDescent="0.2">
      <c r="A27" s="42" t="s">
        <v>53</v>
      </c>
      <c r="B27" s="43" t="s">
        <v>182</v>
      </c>
      <c r="C27" s="44" t="s">
        <v>258</v>
      </c>
      <c r="D27" s="45" t="s">
        <v>358</v>
      </c>
      <c r="E27" s="45" t="s">
        <v>1034</v>
      </c>
      <c r="F27" s="45" t="s">
        <v>445</v>
      </c>
      <c r="G27" s="46" t="s">
        <v>434</v>
      </c>
      <c r="H27" s="45" t="s">
        <v>442</v>
      </c>
      <c r="I27" s="45" t="s">
        <v>451</v>
      </c>
      <c r="J27" s="45" t="s">
        <v>453</v>
      </c>
      <c r="K27" s="45">
        <v>1</v>
      </c>
      <c r="L27" s="47">
        <v>1</v>
      </c>
      <c r="M27" s="47" t="s">
        <v>455</v>
      </c>
      <c r="N27" s="47">
        <v>1</v>
      </c>
      <c r="O27" s="48" t="s">
        <v>508</v>
      </c>
      <c r="P27" s="48">
        <v>3</v>
      </c>
      <c r="Q27" s="48" t="s">
        <v>483</v>
      </c>
      <c r="R27" s="48" t="s">
        <v>461</v>
      </c>
      <c r="S27" s="49">
        <v>0</v>
      </c>
      <c r="T27" s="49">
        <v>0</v>
      </c>
      <c r="U27" s="50" t="s">
        <v>483</v>
      </c>
      <c r="V27" s="50" t="s">
        <v>515</v>
      </c>
      <c r="W27" s="51">
        <v>0</v>
      </c>
      <c r="X27" s="51">
        <v>0</v>
      </c>
      <c r="Y27" s="51" t="s">
        <v>483</v>
      </c>
      <c r="Z27" s="51" t="s">
        <v>483</v>
      </c>
      <c r="AA27" s="53">
        <v>0</v>
      </c>
      <c r="AB27" s="54" t="s">
        <v>469</v>
      </c>
      <c r="AC27" s="38" t="s">
        <v>517</v>
      </c>
      <c r="AD27" s="39" t="s">
        <v>1111</v>
      </c>
      <c r="AE27" s="55" t="s">
        <v>491</v>
      </c>
      <c r="AF27" s="104" t="s">
        <v>491</v>
      </c>
      <c r="AG27" s="54" t="s">
        <v>507</v>
      </c>
      <c r="AH27" s="54" t="s">
        <v>484</v>
      </c>
      <c r="AI27" s="117"/>
      <c r="AJ27" s="113"/>
      <c r="AK27" s="12">
        <f t="shared" si="0"/>
        <v>1</v>
      </c>
      <c r="AL27" s="150" t="str">
        <f t="shared" si="1"/>
        <v>non-LVC</v>
      </c>
      <c r="AM27" s="150" t="str" cm="1">
        <f t="array" ref="AM27">IF(OR(O27:O184="zero_recoverable", "zero_exalt", "zero_other", "zero_uncertain"),
   "Yes","No")</f>
        <v>Yes</v>
      </c>
      <c r="AN27" s="150">
        <f>1 + COUNTIF($V$2:V26,"main")</f>
        <v>7</v>
      </c>
      <c r="AO27" s="150" t="str">
        <f t="shared" si="2"/>
        <v/>
      </c>
      <c r="AP27" s="150">
        <f t="shared" si="3"/>
        <v>1</v>
      </c>
      <c r="AQ27" s="150">
        <f>IF(AP28=0,"",COUNTIFS($AN$2:$AN28,$AN28,$AP$2:$AP28,1))</f>
        <v>4</v>
      </c>
      <c r="AR27" s="150">
        <f t="shared" si="4"/>
        <v>0</v>
      </c>
      <c r="AS27" s="150" t="s">
        <v>508</v>
      </c>
      <c r="AT27" s="150" t="s">
        <v>461</v>
      </c>
      <c r="AU27" s="150">
        <f t="shared" si="5"/>
        <v>0</v>
      </c>
      <c r="AV27" s="150">
        <f t="shared" si="6"/>
        <v>0</v>
      </c>
    </row>
    <row r="28" spans="1:48" x14ac:dyDescent="0.2">
      <c r="A28" s="42" t="s">
        <v>54</v>
      </c>
      <c r="B28" s="43" t="s">
        <v>518</v>
      </c>
      <c r="C28" s="44" t="s">
        <v>259</v>
      </c>
      <c r="D28" s="45" t="s">
        <v>359</v>
      </c>
      <c r="E28" s="45" t="s">
        <v>1034</v>
      </c>
      <c r="F28" s="45" t="s">
        <v>446</v>
      </c>
      <c r="G28" s="46" t="s">
        <v>1047</v>
      </c>
      <c r="H28" s="45" t="s">
        <v>441</v>
      </c>
      <c r="I28" s="45" t="s">
        <v>451</v>
      </c>
      <c r="J28" s="45" t="s">
        <v>453</v>
      </c>
      <c r="K28" s="45">
        <v>1</v>
      </c>
      <c r="L28" s="47">
        <v>1</v>
      </c>
      <c r="M28" s="47" t="s">
        <v>464</v>
      </c>
      <c r="N28" s="47">
        <v>0</v>
      </c>
      <c r="O28" s="48" t="s">
        <v>508</v>
      </c>
      <c r="P28" s="48">
        <v>3</v>
      </c>
      <c r="Q28" s="48" t="s">
        <v>461</v>
      </c>
      <c r="R28" s="48" t="s">
        <v>483</v>
      </c>
      <c r="S28" s="49">
        <v>0</v>
      </c>
      <c r="T28" s="49">
        <v>0</v>
      </c>
      <c r="U28" s="50" t="s">
        <v>483</v>
      </c>
      <c r="V28" s="50" t="s">
        <v>515</v>
      </c>
      <c r="W28" s="51">
        <v>0</v>
      </c>
      <c r="X28" s="51">
        <v>0</v>
      </c>
      <c r="Y28" s="51" t="s">
        <v>483</v>
      </c>
      <c r="Z28" s="51" t="s">
        <v>483</v>
      </c>
      <c r="AA28" s="53">
        <v>0</v>
      </c>
      <c r="AB28" s="54" t="s">
        <v>469</v>
      </c>
      <c r="AC28" s="38" t="s">
        <v>515</v>
      </c>
      <c r="AD28" s="39" t="str">
        <f t="shared" si="7"/>
        <v>te_medial</v>
      </c>
      <c r="AE28" s="55" t="s">
        <v>491</v>
      </c>
      <c r="AF28" s="104" t="s">
        <v>491</v>
      </c>
      <c r="AG28" s="54" t="s">
        <v>507</v>
      </c>
      <c r="AH28" s="60" t="s">
        <v>511</v>
      </c>
      <c r="AI28" s="117" t="s">
        <v>519</v>
      </c>
      <c r="AJ28" s="113"/>
      <c r="AK28" s="12">
        <f t="shared" si="0"/>
        <v>1</v>
      </c>
      <c r="AL28" s="150" t="str">
        <f t="shared" si="1"/>
        <v>non-LVC</v>
      </c>
      <c r="AM28" s="150" t="str" cm="1">
        <f t="array" ref="AM28">IF(OR(O28:O185="zero_recoverable", "zero_exalt", "zero_other", "zero_uncertain"),
   "Yes","No")</f>
        <v>Yes</v>
      </c>
      <c r="AN28" s="150">
        <f>1 + COUNTIF($V$2:V27,"main")</f>
        <v>7</v>
      </c>
      <c r="AO28" s="150" t="str">
        <f t="shared" si="2"/>
        <v/>
      </c>
      <c r="AP28" s="150">
        <f t="shared" si="3"/>
        <v>1</v>
      </c>
      <c r="AQ28" s="150">
        <f>IF(AP29=0,"",COUNTIFS($AN$2:$AN29,$AN29,$AP$2:$AP29,1))</f>
        <v>5</v>
      </c>
      <c r="AR28" s="150">
        <f t="shared" si="4"/>
        <v>0</v>
      </c>
      <c r="AS28" s="150" t="s">
        <v>460</v>
      </c>
      <c r="AT28" s="150" t="s">
        <v>508</v>
      </c>
      <c r="AU28" s="150">
        <f t="shared" si="5"/>
        <v>0</v>
      </c>
      <c r="AV28" s="150">
        <f t="shared" si="6"/>
        <v>1</v>
      </c>
    </row>
    <row r="29" spans="1:48" x14ac:dyDescent="0.2">
      <c r="A29" s="42" t="s">
        <v>55</v>
      </c>
      <c r="B29" s="43" t="s">
        <v>183</v>
      </c>
      <c r="C29" s="44" t="s">
        <v>260</v>
      </c>
      <c r="D29" s="45" t="s">
        <v>360</v>
      </c>
      <c r="E29" s="45" t="s">
        <v>1034</v>
      </c>
      <c r="F29" s="45" t="s">
        <v>446</v>
      </c>
      <c r="G29" s="46" t="s">
        <v>434</v>
      </c>
      <c r="H29" s="45" t="s">
        <v>441</v>
      </c>
      <c r="I29" s="45" t="s">
        <v>451</v>
      </c>
      <c r="J29" s="45" t="s">
        <v>453</v>
      </c>
      <c r="K29" s="45">
        <v>1</v>
      </c>
      <c r="L29" s="47">
        <v>1</v>
      </c>
      <c r="M29" s="47" t="s">
        <v>455</v>
      </c>
      <c r="N29" s="47">
        <v>0</v>
      </c>
      <c r="O29" s="48" t="s">
        <v>460</v>
      </c>
      <c r="P29" s="48">
        <v>3</v>
      </c>
      <c r="Q29" s="48" t="s">
        <v>508</v>
      </c>
      <c r="R29" s="48" t="s">
        <v>461</v>
      </c>
      <c r="S29" s="49">
        <v>0</v>
      </c>
      <c r="T29" s="49">
        <v>0</v>
      </c>
      <c r="U29" s="50" t="s">
        <v>483</v>
      </c>
      <c r="V29" s="50" t="s">
        <v>487</v>
      </c>
      <c r="W29" s="51">
        <v>0</v>
      </c>
      <c r="X29" s="51">
        <v>1</v>
      </c>
      <c r="Y29" s="51" t="s">
        <v>503</v>
      </c>
      <c r="Z29" s="51" t="s">
        <v>499</v>
      </c>
      <c r="AA29" s="53">
        <v>0</v>
      </c>
      <c r="AB29" s="54" t="s">
        <v>1052</v>
      </c>
      <c r="AC29" s="38" t="s">
        <v>515</v>
      </c>
      <c r="AD29" s="39" t="str">
        <f t="shared" si="7"/>
        <v/>
      </c>
      <c r="AE29" s="55" t="s">
        <v>491</v>
      </c>
      <c r="AF29" s="104" t="s">
        <v>493</v>
      </c>
      <c r="AG29" s="54" t="s">
        <v>507</v>
      </c>
      <c r="AH29" s="54" t="s">
        <v>484</v>
      </c>
      <c r="AI29" s="117" t="s">
        <v>476</v>
      </c>
      <c r="AJ29" s="113"/>
      <c r="AK29" s="12">
        <f t="shared" si="0"/>
        <v>1</v>
      </c>
      <c r="AL29" s="150" t="str">
        <f t="shared" si="1"/>
        <v>non-LVC</v>
      </c>
      <c r="AM29" s="150" t="str" cm="1">
        <f t="array" ref="AM29">IF(OR(O29:O186="zero_recoverable", "zero_exalt", "zero_other", "zero_uncertain"),
   "Yes","No")</f>
        <v>Yes</v>
      </c>
      <c r="AN29" s="150">
        <f>1 + COUNTIF($V$2:V28,"main")</f>
        <v>7</v>
      </c>
      <c r="AO29" s="150" t="str">
        <f t="shared" si="2"/>
        <v/>
      </c>
      <c r="AP29" s="150">
        <f t="shared" si="3"/>
        <v>1</v>
      </c>
      <c r="AQ29" s="150" t="str">
        <f>IF(AP30=0,"",COUNTIFS($AN$2:$AN30,$AN30,$AP$2:$AP30,1))</f>
        <v/>
      </c>
      <c r="AR29" s="150">
        <f t="shared" si="4"/>
        <v>0</v>
      </c>
      <c r="AS29" s="150" t="s">
        <v>508</v>
      </c>
      <c r="AT29" s="150" t="s">
        <v>483</v>
      </c>
      <c r="AU29" s="150">
        <f t="shared" si="5"/>
        <v>0</v>
      </c>
      <c r="AV29" s="150">
        <f t="shared" si="6"/>
        <v>0</v>
      </c>
    </row>
    <row r="30" spans="1:48" x14ac:dyDescent="0.2">
      <c r="A30" s="42" t="s">
        <v>56</v>
      </c>
      <c r="B30" s="43" t="s">
        <v>184</v>
      </c>
      <c r="C30" s="44" t="s">
        <v>261</v>
      </c>
      <c r="D30" s="45" t="s">
        <v>361</v>
      </c>
      <c r="E30" s="45" t="s">
        <v>1034</v>
      </c>
      <c r="F30" s="45" t="s">
        <v>449</v>
      </c>
      <c r="G30" s="46" t="s">
        <v>434</v>
      </c>
      <c r="H30" s="45" t="s">
        <v>442</v>
      </c>
      <c r="I30" s="45" t="s">
        <v>688</v>
      </c>
      <c r="J30" s="45" t="s">
        <v>453</v>
      </c>
      <c r="K30" s="45">
        <v>1</v>
      </c>
      <c r="L30" s="47">
        <v>0</v>
      </c>
      <c r="M30" s="47" t="s">
        <v>483</v>
      </c>
      <c r="N30" s="47">
        <v>2</v>
      </c>
      <c r="O30" s="48" t="s">
        <v>508</v>
      </c>
      <c r="P30" s="48">
        <v>3</v>
      </c>
      <c r="Q30" s="48" t="s">
        <v>483</v>
      </c>
      <c r="R30" s="48" t="s">
        <v>483</v>
      </c>
      <c r="S30" s="49">
        <v>0</v>
      </c>
      <c r="T30" s="49">
        <v>0</v>
      </c>
      <c r="U30" s="50" t="s">
        <v>483</v>
      </c>
      <c r="V30" s="50" t="s">
        <v>465</v>
      </c>
      <c r="W30" s="51">
        <v>0</v>
      </c>
      <c r="X30" s="51">
        <v>0</v>
      </c>
      <c r="Y30" s="51" t="s">
        <v>483</v>
      </c>
      <c r="Z30" s="51" t="s">
        <v>483</v>
      </c>
      <c r="AA30" s="53">
        <v>0</v>
      </c>
      <c r="AB30" s="54" t="s">
        <v>439</v>
      </c>
      <c r="AC30" s="38" t="s">
        <v>487</v>
      </c>
      <c r="AD30" s="39" t="str">
        <f t="shared" si="7"/>
        <v/>
      </c>
      <c r="AE30" s="55" t="s">
        <v>493</v>
      </c>
      <c r="AF30" s="104" t="s">
        <v>491</v>
      </c>
      <c r="AG30" s="54" t="s">
        <v>507</v>
      </c>
      <c r="AH30" s="54" t="s">
        <v>473</v>
      </c>
      <c r="AI30" s="117"/>
      <c r="AJ30" s="113"/>
      <c r="AK30" s="12">
        <f t="shared" si="0"/>
        <v>0</v>
      </c>
      <c r="AL30" s="150" t="str">
        <f t="shared" si="1"/>
        <v>non-LVC</v>
      </c>
      <c r="AM30" s="150" t="str" cm="1">
        <f t="array" ref="AM30">IF(OR(O30:O187="zero_recoverable", "zero_exalt", "zero_other", "zero_uncertain"),
   "Yes","No")</f>
        <v>Yes</v>
      </c>
      <c r="AN30" s="150">
        <f>1 + COUNTIF($V$2:V29,"main")</f>
        <v>7</v>
      </c>
      <c r="AO30" s="150" t="str">
        <f t="shared" si="2"/>
        <v/>
      </c>
      <c r="AP30" s="150">
        <f t="shared" si="3"/>
        <v>0</v>
      </c>
      <c r="AQ30" s="150">
        <f>IF(AP31=0,"",COUNTIFS($AN$2:$AN31,$AN31,$AP$2:$AP31,1))</f>
        <v>6</v>
      </c>
      <c r="AR30" s="150">
        <f t="shared" si="4"/>
        <v>0</v>
      </c>
      <c r="AS30" s="150" t="s">
        <v>508</v>
      </c>
      <c r="AT30" s="150" t="s">
        <v>461</v>
      </c>
      <c r="AU30" s="150">
        <f t="shared" si="5"/>
        <v>0</v>
      </c>
      <c r="AV30" s="150">
        <f t="shared" si="6"/>
        <v>0</v>
      </c>
    </row>
    <row r="31" spans="1:48" x14ac:dyDescent="0.2">
      <c r="A31" s="42" t="s">
        <v>57</v>
      </c>
      <c r="B31" s="43" t="s">
        <v>185</v>
      </c>
      <c r="C31" s="44" t="s">
        <v>262</v>
      </c>
      <c r="D31" s="45" t="s">
        <v>362</v>
      </c>
      <c r="E31" s="45" t="s">
        <v>1034</v>
      </c>
      <c r="F31" s="45" t="s">
        <v>445</v>
      </c>
      <c r="G31" s="46" t="s">
        <v>434</v>
      </c>
      <c r="H31" s="45" t="s">
        <v>441</v>
      </c>
      <c r="I31" s="45" t="s">
        <v>451</v>
      </c>
      <c r="J31" s="45" t="s">
        <v>453</v>
      </c>
      <c r="K31" s="45">
        <v>1</v>
      </c>
      <c r="L31" s="47">
        <v>2</v>
      </c>
      <c r="M31" s="61" t="s">
        <v>520</v>
      </c>
      <c r="N31" s="47">
        <v>0</v>
      </c>
      <c r="O31" s="48" t="s">
        <v>508</v>
      </c>
      <c r="P31" s="48">
        <v>3</v>
      </c>
      <c r="Q31" s="48" t="s">
        <v>461</v>
      </c>
      <c r="R31" s="48" t="s">
        <v>461</v>
      </c>
      <c r="S31" s="49">
        <v>0</v>
      </c>
      <c r="T31" s="49">
        <v>0</v>
      </c>
      <c r="U31" s="50" t="s">
        <v>483</v>
      </c>
      <c r="V31" s="50" t="s">
        <v>466</v>
      </c>
      <c r="W31" s="51">
        <v>0</v>
      </c>
      <c r="X31" s="51">
        <v>0</v>
      </c>
      <c r="Y31" s="51" t="s">
        <v>483</v>
      </c>
      <c r="Z31" s="51" t="s">
        <v>483</v>
      </c>
      <c r="AA31" s="53">
        <v>0</v>
      </c>
      <c r="AB31" s="54" t="s">
        <v>439</v>
      </c>
      <c r="AC31" s="38" t="s">
        <v>465</v>
      </c>
      <c r="AD31" s="39" t="str">
        <f t="shared" si="7"/>
        <v/>
      </c>
      <c r="AE31" s="55" t="s">
        <v>491</v>
      </c>
      <c r="AF31" s="104" t="s">
        <v>493</v>
      </c>
      <c r="AG31" s="54" t="s">
        <v>507</v>
      </c>
      <c r="AH31" s="54" t="s">
        <v>484</v>
      </c>
      <c r="AI31" s="117"/>
      <c r="AJ31" s="113"/>
      <c r="AK31" s="12">
        <f t="shared" si="0"/>
        <v>2</v>
      </c>
      <c r="AL31" s="150" t="str">
        <f t="shared" si="1"/>
        <v>non-LVC</v>
      </c>
      <c r="AM31" s="150" t="str" cm="1">
        <f t="array" ref="AM31">IF(OR(O31:O188="zero_recoverable", "zero_exalt", "zero_other", "zero_uncertain"),
   "Yes","No")</f>
        <v>Yes</v>
      </c>
      <c r="AN31" s="150">
        <f>1 + COUNTIF($V$2:V30,"main")</f>
        <v>7</v>
      </c>
      <c r="AO31" s="150" t="str">
        <f t="shared" si="2"/>
        <v>relative</v>
      </c>
      <c r="AP31" s="150">
        <f t="shared" si="3"/>
        <v>1</v>
      </c>
      <c r="AQ31" s="150" t="str">
        <f>IF(AP32=0,"",COUNTIFS($AN$2:$AN32,$AN32,$AP$2:$AP32,1))</f>
        <v/>
      </c>
      <c r="AR31" s="150">
        <v>1</v>
      </c>
      <c r="AS31" s="150" t="s">
        <v>461</v>
      </c>
      <c r="AT31" s="150" t="s">
        <v>483</v>
      </c>
      <c r="AU31" s="150">
        <f t="shared" si="5"/>
        <v>0</v>
      </c>
      <c r="AV31" s="150">
        <f t="shared" si="6"/>
        <v>0</v>
      </c>
    </row>
    <row r="32" spans="1:48" x14ac:dyDescent="0.2">
      <c r="A32" s="42" t="s">
        <v>58</v>
      </c>
      <c r="B32" s="43" t="s">
        <v>186</v>
      </c>
      <c r="C32" s="44" t="s">
        <v>263</v>
      </c>
      <c r="D32" s="45" t="s">
        <v>334</v>
      </c>
      <c r="E32" s="45" t="s">
        <v>1034</v>
      </c>
      <c r="F32" s="45" t="s">
        <v>445</v>
      </c>
      <c r="G32" s="46" t="s">
        <v>436</v>
      </c>
      <c r="H32" s="45" t="s">
        <v>442</v>
      </c>
      <c r="I32" s="45" t="s">
        <v>451</v>
      </c>
      <c r="J32" s="45" t="s">
        <v>453</v>
      </c>
      <c r="K32" s="45">
        <v>1</v>
      </c>
      <c r="L32" s="47">
        <v>1</v>
      </c>
      <c r="M32" s="47" t="s">
        <v>456</v>
      </c>
      <c r="N32" s="47">
        <v>1</v>
      </c>
      <c r="O32" s="48" t="s">
        <v>461</v>
      </c>
      <c r="P32" s="48">
        <v>3</v>
      </c>
      <c r="Q32" s="48" t="s">
        <v>483</v>
      </c>
      <c r="R32" s="48" t="s">
        <v>483</v>
      </c>
      <c r="S32" s="49">
        <v>0</v>
      </c>
      <c r="T32" s="49">
        <v>0</v>
      </c>
      <c r="U32" s="50" t="s">
        <v>463</v>
      </c>
      <c r="V32" s="50" t="s">
        <v>465</v>
      </c>
      <c r="W32" s="51">
        <v>0</v>
      </c>
      <c r="X32" s="51">
        <v>0</v>
      </c>
      <c r="Y32" s="51" t="s">
        <v>483</v>
      </c>
      <c r="Z32" s="51" t="s">
        <v>483</v>
      </c>
      <c r="AA32" s="53">
        <v>0</v>
      </c>
      <c r="AB32" s="54" t="s">
        <v>1052</v>
      </c>
      <c r="AC32" s="38" t="s">
        <v>466</v>
      </c>
      <c r="AD32" s="39" t="str">
        <f t="shared" si="7"/>
        <v/>
      </c>
      <c r="AE32" s="55" t="s">
        <v>493</v>
      </c>
      <c r="AF32" s="104" t="s">
        <v>491</v>
      </c>
      <c r="AG32" s="54" t="s">
        <v>485</v>
      </c>
      <c r="AH32" s="54" t="s">
        <v>484</v>
      </c>
      <c r="AI32" s="117"/>
      <c r="AJ32" s="113"/>
      <c r="AK32" s="12">
        <f t="shared" si="0"/>
        <v>1</v>
      </c>
      <c r="AL32" s="150" t="str">
        <f t="shared" si="1"/>
        <v>non-LVC</v>
      </c>
      <c r="AM32" s="150" t="str" cm="1">
        <f t="array" ref="AM32">IF(OR(O32:O189="zero_recoverable", "zero_exalt", "zero_other", "zero_uncertain"),
   "Yes","No")</f>
        <v>Yes</v>
      </c>
      <c r="AN32" s="150">
        <f>1 + COUNTIF($V$2:V31,"main")</f>
        <v>8</v>
      </c>
      <c r="AO32" s="150" t="str">
        <f t="shared" si="2"/>
        <v>main</v>
      </c>
      <c r="AP32" s="150">
        <f t="shared" si="3"/>
        <v>0</v>
      </c>
      <c r="AQ32" s="150">
        <f>IF(AP33=0,"",COUNTIFS($AN$2:$AN33,$AN33,$AP$2:$AP33,1))</f>
        <v>1</v>
      </c>
      <c r="AR32" s="150">
        <v>0</v>
      </c>
      <c r="AS32" s="150" t="s">
        <v>461</v>
      </c>
      <c r="AT32" s="150" t="s">
        <v>483</v>
      </c>
      <c r="AU32" s="150">
        <f t="shared" si="5"/>
        <v>0</v>
      </c>
      <c r="AV32" s="150">
        <f t="shared" si="6"/>
        <v>0</v>
      </c>
    </row>
    <row r="33" spans="1:48" x14ac:dyDescent="0.2">
      <c r="A33" s="42" t="s">
        <v>59</v>
      </c>
      <c r="B33" s="43" t="s">
        <v>187</v>
      </c>
      <c r="C33" s="44" t="s">
        <v>264</v>
      </c>
      <c r="D33" s="45" t="s">
        <v>355</v>
      </c>
      <c r="E33" s="45" t="s">
        <v>1034</v>
      </c>
      <c r="F33" s="45" t="s">
        <v>445</v>
      </c>
      <c r="G33" s="46" t="s">
        <v>437</v>
      </c>
      <c r="H33" s="45" t="s">
        <v>442</v>
      </c>
      <c r="I33" s="45" t="s">
        <v>451</v>
      </c>
      <c r="J33" s="45" t="s">
        <v>453</v>
      </c>
      <c r="K33" s="45">
        <v>1</v>
      </c>
      <c r="L33" s="47">
        <v>1</v>
      </c>
      <c r="M33" s="47" t="s">
        <v>456</v>
      </c>
      <c r="N33" s="47">
        <v>2</v>
      </c>
      <c r="O33" s="48" t="s">
        <v>461</v>
      </c>
      <c r="P33" s="48">
        <v>3</v>
      </c>
      <c r="Q33" s="48" t="s">
        <v>483</v>
      </c>
      <c r="R33" s="48" t="s">
        <v>483</v>
      </c>
      <c r="S33" s="49">
        <v>0</v>
      </c>
      <c r="T33" s="49">
        <v>0</v>
      </c>
      <c r="U33" s="50" t="s">
        <v>483</v>
      </c>
      <c r="V33" s="50" t="s">
        <v>466</v>
      </c>
      <c r="W33" s="51">
        <v>0</v>
      </c>
      <c r="X33" s="51">
        <v>0</v>
      </c>
      <c r="Y33" s="51" t="s">
        <v>483</v>
      </c>
      <c r="Z33" s="51" t="s">
        <v>483</v>
      </c>
      <c r="AA33" s="53">
        <v>0</v>
      </c>
      <c r="AB33" s="54" t="s">
        <v>439</v>
      </c>
      <c r="AC33" s="38" t="s">
        <v>465</v>
      </c>
      <c r="AD33" s="39" t="str">
        <f t="shared" si="7"/>
        <v/>
      </c>
      <c r="AE33" s="55" t="s">
        <v>491</v>
      </c>
      <c r="AF33" s="104" t="s">
        <v>491</v>
      </c>
      <c r="AG33" s="54" t="s">
        <v>485</v>
      </c>
      <c r="AH33" s="54" t="s">
        <v>484</v>
      </c>
      <c r="AI33" s="117" t="s">
        <v>1051</v>
      </c>
      <c r="AJ33" s="113"/>
      <c r="AK33" s="12">
        <f t="shared" si="0"/>
        <v>1</v>
      </c>
      <c r="AL33" s="150" t="str">
        <f t="shared" si="1"/>
        <v>non-LVC</v>
      </c>
      <c r="AM33" s="150" t="str" cm="1">
        <f t="array" ref="AM33">IF(OR(O33:O190="zero_recoverable", "zero_exalt", "zero_other", "zero_uncertain"),
   "Yes","No")</f>
        <v>Yes</v>
      </c>
      <c r="AN33" s="150">
        <f>1 + COUNTIF($V$2:V32,"main")</f>
        <v>8</v>
      </c>
      <c r="AO33" s="150" t="str">
        <f t="shared" si="2"/>
        <v>inf</v>
      </c>
      <c r="AP33" s="150">
        <f t="shared" si="3"/>
        <v>1</v>
      </c>
      <c r="AQ33" s="150">
        <f>IF(AP34=0,"",COUNTIFS($AN$2:$AN34,$AN34,$AP$2:$AP34,1))</f>
        <v>1</v>
      </c>
      <c r="AR33" s="150">
        <f t="shared" si="4"/>
        <v>1</v>
      </c>
      <c r="AS33" s="150" t="s">
        <v>508</v>
      </c>
      <c r="AT33" s="150" t="s">
        <v>461</v>
      </c>
      <c r="AU33" s="150">
        <f t="shared" si="5"/>
        <v>1</v>
      </c>
      <c r="AV33" s="150">
        <f t="shared" si="6"/>
        <v>0</v>
      </c>
    </row>
    <row r="34" spans="1:48" x14ac:dyDescent="0.2">
      <c r="A34" s="42" t="s">
        <v>60</v>
      </c>
      <c r="B34" s="43" t="s">
        <v>188</v>
      </c>
      <c r="C34" s="44" t="s">
        <v>265</v>
      </c>
      <c r="D34" s="45" t="s">
        <v>363</v>
      </c>
      <c r="E34" s="45" t="s">
        <v>1034</v>
      </c>
      <c r="F34" s="45" t="s">
        <v>445</v>
      </c>
      <c r="G34" s="46" t="s">
        <v>434</v>
      </c>
      <c r="H34" s="45" t="s">
        <v>441</v>
      </c>
      <c r="I34" s="45" t="s">
        <v>451</v>
      </c>
      <c r="J34" s="45" t="s">
        <v>453</v>
      </c>
      <c r="K34" s="45">
        <v>1</v>
      </c>
      <c r="L34" s="47">
        <v>1</v>
      </c>
      <c r="M34" s="47" t="s">
        <v>464</v>
      </c>
      <c r="N34" s="47">
        <v>1</v>
      </c>
      <c r="O34" s="48" t="s">
        <v>508</v>
      </c>
      <c r="P34" s="48">
        <v>3</v>
      </c>
      <c r="Q34" s="48" t="s">
        <v>461</v>
      </c>
      <c r="R34" s="48" t="s">
        <v>483</v>
      </c>
      <c r="S34" s="49">
        <v>0</v>
      </c>
      <c r="T34" s="49">
        <v>0</v>
      </c>
      <c r="U34" s="50" t="s">
        <v>483</v>
      </c>
      <c r="V34" s="50" t="s">
        <v>517</v>
      </c>
      <c r="W34" s="51">
        <v>0</v>
      </c>
      <c r="X34" s="51">
        <v>0</v>
      </c>
      <c r="Y34" s="51" t="s">
        <v>483</v>
      </c>
      <c r="Z34" s="51" t="s">
        <v>483</v>
      </c>
      <c r="AA34" s="53">
        <v>0</v>
      </c>
      <c r="AB34" s="54" t="s">
        <v>439</v>
      </c>
      <c r="AC34" s="38" t="s">
        <v>466</v>
      </c>
      <c r="AD34" s="39" t="str">
        <f t="shared" si="7"/>
        <v/>
      </c>
      <c r="AE34" s="55" t="s">
        <v>491</v>
      </c>
      <c r="AF34" s="104" t="s">
        <v>491</v>
      </c>
      <c r="AG34" s="54" t="s">
        <v>507</v>
      </c>
      <c r="AH34" s="54" t="s">
        <v>484</v>
      </c>
      <c r="AI34" s="117"/>
      <c r="AJ34" s="113"/>
      <c r="AK34" s="12">
        <f t="shared" si="0"/>
        <v>1</v>
      </c>
      <c r="AL34" s="150" t="str">
        <f t="shared" si="1"/>
        <v>non-LVC</v>
      </c>
      <c r="AM34" s="150" t="str" cm="1">
        <f t="array" ref="AM34">IF(OR(O34:O191="zero_recoverable", "zero_exalt", "zero_other", "zero_uncertain"),
   "Yes","No")</f>
        <v>Yes</v>
      </c>
      <c r="AN34" s="150">
        <f>1 + COUNTIF($V$2:V33,"main")</f>
        <v>9</v>
      </c>
      <c r="AO34" s="150" t="str">
        <f t="shared" si="2"/>
        <v>relative</v>
      </c>
      <c r="AP34" s="150">
        <f t="shared" si="3"/>
        <v>1</v>
      </c>
      <c r="AQ34" s="150" t="str">
        <f>IF(AP35=0,"",COUNTIFS($AN$2:$AN35,$AN35,$AP$2:$AP35,1))</f>
        <v/>
      </c>
      <c r="AR34" s="150">
        <f t="shared" si="4"/>
        <v>0</v>
      </c>
      <c r="AS34" s="150" t="s">
        <v>508</v>
      </c>
      <c r="AT34" s="150" t="s">
        <v>461</v>
      </c>
      <c r="AU34" s="150">
        <f t="shared" si="5"/>
        <v>0</v>
      </c>
      <c r="AV34" s="150">
        <f t="shared" si="6"/>
        <v>0</v>
      </c>
    </row>
    <row r="35" spans="1:48" x14ac:dyDescent="0.2">
      <c r="A35" s="42" t="s">
        <v>61</v>
      </c>
      <c r="B35" s="43" t="s">
        <v>189</v>
      </c>
      <c r="C35" s="44" t="s">
        <v>266</v>
      </c>
      <c r="D35" s="45" t="s">
        <v>364</v>
      </c>
      <c r="E35" s="45" t="s">
        <v>1034</v>
      </c>
      <c r="F35" s="45" t="s">
        <v>445</v>
      </c>
      <c r="G35" s="46" t="s">
        <v>434</v>
      </c>
      <c r="H35" s="45" t="s">
        <v>441</v>
      </c>
      <c r="I35" s="45" t="s">
        <v>451</v>
      </c>
      <c r="J35" s="45" t="s">
        <v>453</v>
      </c>
      <c r="K35" s="45">
        <v>1</v>
      </c>
      <c r="L35" s="47">
        <v>1</v>
      </c>
      <c r="M35" s="47" t="s">
        <v>464</v>
      </c>
      <c r="N35" s="47">
        <v>0</v>
      </c>
      <c r="O35" s="48" t="s">
        <v>508</v>
      </c>
      <c r="P35" s="48">
        <v>3</v>
      </c>
      <c r="Q35" s="48" t="s">
        <v>461</v>
      </c>
      <c r="R35" s="48" t="s">
        <v>483</v>
      </c>
      <c r="S35" s="49">
        <v>1</v>
      </c>
      <c r="T35" s="49">
        <v>0</v>
      </c>
      <c r="U35" s="50" t="s">
        <v>463</v>
      </c>
      <c r="V35" s="50" t="s">
        <v>465</v>
      </c>
      <c r="W35" s="51">
        <v>0</v>
      </c>
      <c r="X35" s="51">
        <v>0</v>
      </c>
      <c r="Y35" s="51" t="s">
        <v>483</v>
      </c>
      <c r="Z35" s="51" t="s">
        <v>483</v>
      </c>
      <c r="AA35" s="53">
        <v>0</v>
      </c>
      <c r="AB35" s="54" t="s">
        <v>439</v>
      </c>
      <c r="AC35" s="38" t="s">
        <v>517</v>
      </c>
      <c r="AD35" s="39" t="str">
        <f t="shared" si="7"/>
        <v/>
      </c>
      <c r="AE35" s="55" t="s">
        <v>491</v>
      </c>
      <c r="AF35" s="104" t="s">
        <v>491</v>
      </c>
      <c r="AG35" s="54" t="s">
        <v>507</v>
      </c>
      <c r="AH35" s="54" t="s">
        <v>484</v>
      </c>
      <c r="AI35" s="117"/>
      <c r="AJ35" s="113"/>
      <c r="AK35" s="12">
        <f t="shared" si="0"/>
        <v>1</v>
      </c>
      <c r="AL35" s="150" t="str">
        <f t="shared" si="1"/>
        <v>non-LVC</v>
      </c>
      <c r="AM35" s="150" t="str" cm="1">
        <f t="array" ref="AM35">IF(OR(O35:O192="zero_recoverable", "zero_exalt", "zero_other", "zero_uncertain"),
   "Yes","No")</f>
        <v>Yes</v>
      </c>
      <c r="AN35" s="150">
        <f>1 + COUNTIF($V$2:V34,"main")</f>
        <v>9</v>
      </c>
      <c r="AO35" s="150" t="str">
        <f t="shared" si="2"/>
        <v>te</v>
      </c>
      <c r="AP35" s="150">
        <f t="shared" si="3"/>
        <v>0</v>
      </c>
      <c r="AQ35" s="150">
        <f>IF(AP36=0,"",COUNTIFS($AN$2:$AN36,$AN36,$AP$2:$AP36,1))</f>
        <v>2</v>
      </c>
      <c r="AR35" s="150">
        <f t="shared" si="4"/>
        <v>0</v>
      </c>
      <c r="AS35" s="150" t="s">
        <v>508</v>
      </c>
      <c r="AT35" s="150" t="s">
        <v>461</v>
      </c>
      <c r="AU35" s="150">
        <f t="shared" si="5"/>
        <v>0</v>
      </c>
      <c r="AV35" s="150">
        <f t="shared" si="6"/>
        <v>0</v>
      </c>
    </row>
    <row r="36" spans="1:48" x14ac:dyDescent="0.2">
      <c r="A36" s="42" t="s">
        <v>62</v>
      </c>
      <c r="B36" s="43" t="s">
        <v>190</v>
      </c>
      <c r="C36" s="44" t="s">
        <v>267</v>
      </c>
      <c r="D36" s="45" t="s">
        <v>365</v>
      </c>
      <c r="E36" s="45" t="s">
        <v>1034</v>
      </c>
      <c r="F36" s="45" t="s">
        <v>445</v>
      </c>
      <c r="G36" s="46" t="s">
        <v>434</v>
      </c>
      <c r="H36" s="45" t="s">
        <v>441</v>
      </c>
      <c r="I36" s="45" t="s">
        <v>451</v>
      </c>
      <c r="J36" s="45" t="s">
        <v>453</v>
      </c>
      <c r="K36" s="45">
        <v>1</v>
      </c>
      <c r="L36" s="47">
        <v>2</v>
      </c>
      <c r="M36" s="47" t="s">
        <v>520</v>
      </c>
      <c r="N36" s="47">
        <v>0</v>
      </c>
      <c r="O36" s="48" t="s">
        <v>508</v>
      </c>
      <c r="P36" s="48">
        <v>3</v>
      </c>
      <c r="Q36" s="48" t="s">
        <v>461</v>
      </c>
      <c r="R36" s="48" t="s">
        <v>461</v>
      </c>
      <c r="S36" s="49">
        <v>0</v>
      </c>
      <c r="T36" s="49">
        <v>0</v>
      </c>
      <c r="U36" s="50" t="s">
        <v>483</v>
      </c>
      <c r="V36" s="50" t="s">
        <v>515</v>
      </c>
      <c r="W36" s="51">
        <v>0</v>
      </c>
      <c r="X36" s="51">
        <v>0</v>
      </c>
      <c r="Y36" s="51" t="s">
        <v>483</v>
      </c>
      <c r="Z36" s="51" t="s">
        <v>483</v>
      </c>
      <c r="AA36" s="53">
        <v>0</v>
      </c>
      <c r="AB36" s="54" t="s">
        <v>439</v>
      </c>
      <c r="AC36" s="38" t="s">
        <v>465</v>
      </c>
      <c r="AD36" s="39" t="s">
        <v>1111</v>
      </c>
      <c r="AE36" s="55" t="s">
        <v>491</v>
      </c>
      <c r="AF36" s="104" t="s">
        <v>491</v>
      </c>
      <c r="AG36" s="54" t="s">
        <v>507</v>
      </c>
      <c r="AH36" s="54" t="s">
        <v>484</v>
      </c>
      <c r="AI36" s="117"/>
      <c r="AJ36" s="113"/>
      <c r="AK36" s="12">
        <f t="shared" si="0"/>
        <v>2</v>
      </c>
      <c r="AL36" s="150" t="str">
        <f t="shared" si="1"/>
        <v>non-LVC</v>
      </c>
      <c r="AM36" s="150" t="str" cm="1">
        <f t="array" ref="AM36">IF(OR(O36:O193="zero_recoverable", "zero_exalt", "zero_other", "zero_uncertain"),
   "Yes","No")</f>
        <v>Yes</v>
      </c>
      <c r="AN36" s="150">
        <f>1 + COUNTIF($V$2:V35,"main")</f>
        <v>9</v>
      </c>
      <c r="AO36" s="150" t="str">
        <f t="shared" si="2"/>
        <v/>
      </c>
      <c r="AP36" s="150">
        <f t="shared" si="3"/>
        <v>1</v>
      </c>
      <c r="AQ36" s="150">
        <f>IF(AP37=0,"",COUNTIFS($AN$2:$AN37,$AN37,$AP$2:$AP37,1))</f>
        <v>3</v>
      </c>
      <c r="AR36" s="150">
        <f t="shared" si="4"/>
        <v>0</v>
      </c>
      <c r="AS36" s="150" t="s">
        <v>508</v>
      </c>
      <c r="AT36" s="150" t="s">
        <v>483</v>
      </c>
      <c r="AU36" s="150">
        <f t="shared" si="5"/>
        <v>0</v>
      </c>
      <c r="AV36" s="150">
        <f t="shared" si="6"/>
        <v>0</v>
      </c>
    </row>
    <row r="37" spans="1:48" x14ac:dyDescent="0.2">
      <c r="A37" s="42" t="s">
        <v>63</v>
      </c>
      <c r="B37" s="43" t="s">
        <v>521</v>
      </c>
      <c r="C37" s="44" t="s">
        <v>268</v>
      </c>
      <c r="D37" s="45" t="s">
        <v>366</v>
      </c>
      <c r="E37" s="45" t="s">
        <v>1034</v>
      </c>
      <c r="F37" s="45" t="s">
        <v>445</v>
      </c>
      <c r="G37" s="46" t="s">
        <v>1046</v>
      </c>
      <c r="H37" s="45" t="s">
        <v>442</v>
      </c>
      <c r="I37" s="45" t="s">
        <v>451</v>
      </c>
      <c r="J37" s="45" t="s">
        <v>453</v>
      </c>
      <c r="K37" s="45">
        <v>1</v>
      </c>
      <c r="L37" s="47">
        <v>0</v>
      </c>
      <c r="M37" s="47" t="s">
        <v>483</v>
      </c>
      <c r="N37" s="47">
        <v>1</v>
      </c>
      <c r="O37" s="48" t="s">
        <v>508</v>
      </c>
      <c r="P37" s="48">
        <v>3</v>
      </c>
      <c r="Q37" s="48" t="s">
        <v>483</v>
      </c>
      <c r="R37" s="48" t="s">
        <v>483</v>
      </c>
      <c r="S37" s="49">
        <v>0</v>
      </c>
      <c r="T37" s="49">
        <v>0</v>
      </c>
      <c r="U37" s="50" t="s">
        <v>483</v>
      </c>
      <c r="V37" s="50" t="s">
        <v>466</v>
      </c>
      <c r="W37" s="51">
        <v>0</v>
      </c>
      <c r="X37" s="51">
        <v>1</v>
      </c>
      <c r="Y37" s="51" t="s">
        <v>503</v>
      </c>
      <c r="Z37" s="51" t="s">
        <v>498</v>
      </c>
      <c r="AA37" s="53">
        <v>0</v>
      </c>
      <c r="AB37" s="54" t="s">
        <v>439</v>
      </c>
      <c r="AC37" s="38" t="s">
        <v>515</v>
      </c>
      <c r="AD37" s="39" t="str">
        <f t="shared" si="7"/>
        <v/>
      </c>
      <c r="AE37" s="55" t="s">
        <v>491</v>
      </c>
      <c r="AF37" s="104" t="s">
        <v>493</v>
      </c>
      <c r="AG37" s="54" t="s">
        <v>507</v>
      </c>
      <c r="AH37" s="54" t="s">
        <v>473</v>
      </c>
      <c r="AI37" s="117"/>
      <c r="AJ37" s="113"/>
      <c r="AK37" s="12">
        <f t="shared" si="0"/>
        <v>0</v>
      </c>
      <c r="AL37" s="150" t="str">
        <f t="shared" si="1"/>
        <v>non-LVC</v>
      </c>
      <c r="AM37" s="150" t="str" cm="1">
        <f t="array" ref="AM37">IF(OR(O37:O194="zero_recoverable", "zero_exalt", "zero_other", "zero_uncertain"),
   "Yes","No")</f>
        <v>Yes</v>
      </c>
      <c r="AN37" s="150">
        <f>1 + COUNTIF($V$2:V36,"main")</f>
        <v>9</v>
      </c>
      <c r="AO37" s="150" t="str">
        <f t="shared" si="2"/>
        <v/>
      </c>
      <c r="AP37" s="150">
        <f t="shared" si="3"/>
        <v>1</v>
      </c>
      <c r="AQ37" s="150">
        <f>IF(AP38=0,"",COUNTIFS($AN$2:$AN38,$AN38,$AP$2:$AP38,1))</f>
        <v>1</v>
      </c>
      <c r="AR37" s="150">
        <v>0</v>
      </c>
      <c r="AS37" s="150" t="s">
        <v>461</v>
      </c>
      <c r="AT37" s="150" t="s">
        <v>461</v>
      </c>
      <c r="AU37" s="150">
        <f t="shared" si="5"/>
        <v>0</v>
      </c>
      <c r="AV37" s="150">
        <f t="shared" si="6"/>
        <v>0</v>
      </c>
    </row>
    <row r="38" spans="1:48" x14ac:dyDescent="0.2">
      <c r="A38" s="42" t="s">
        <v>64</v>
      </c>
      <c r="B38" s="43" t="s">
        <v>191</v>
      </c>
      <c r="C38" s="44" t="s">
        <v>269</v>
      </c>
      <c r="D38" s="45" t="s">
        <v>367</v>
      </c>
      <c r="E38" s="45" t="s">
        <v>1034</v>
      </c>
      <c r="F38" s="45" t="s">
        <v>445</v>
      </c>
      <c r="G38" s="46" t="s">
        <v>522</v>
      </c>
      <c r="H38" s="45" t="s">
        <v>441</v>
      </c>
      <c r="I38" s="45" t="s">
        <v>451</v>
      </c>
      <c r="J38" s="45" t="s">
        <v>454</v>
      </c>
      <c r="K38" s="45">
        <v>1</v>
      </c>
      <c r="L38" s="47">
        <v>2</v>
      </c>
      <c r="M38" s="47" t="s">
        <v>458</v>
      </c>
      <c r="N38" s="47">
        <v>0</v>
      </c>
      <c r="O38" s="48" t="s">
        <v>461</v>
      </c>
      <c r="P38" s="48">
        <v>3</v>
      </c>
      <c r="Q38" s="48" t="s">
        <v>461</v>
      </c>
      <c r="R38" s="48" t="s">
        <v>483</v>
      </c>
      <c r="S38" s="49">
        <v>0</v>
      </c>
      <c r="T38" s="49">
        <v>0</v>
      </c>
      <c r="U38" s="50" t="s">
        <v>483</v>
      </c>
      <c r="V38" s="50" t="s">
        <v>515</v>
      </c>
      <c r="W38" s="51">
        <v>0</v>
      </c>
      <c r="X38" s="51">
        <v>0</v>
      </c>
      <c r="Y38" s="51" t="s">
        <v>483</v>
      </c>
      <c r="Z38" s="51" t="s">
        <v>483</v>
      </c>
      <c r="AA38" s="53">
        <v>0</v>
      </c>
      <c r="AB38" s="54" t="s">
        <v>469</v>
      </c>
      <c r="AC38" s="38" t="s">
        <v>466</v>
      </c>
      <c r="AD38" s="39" t="str">
        <f t="shared" si="7"/>
        <v>te_initial</v>
      </c>
      <c r="AE38" s="55" t="s">
        <v>493</v>
      </c>
      <c r="AF38" s="104" t="s">
        <v>491</v>
      </c>
      <c r="AG38" s="54" t="s">
        <v>492</v>
      </c>
      <c r="AH38" s="54" t="s">
        <v>484</v>
      </c>
      <c r="AI38" s="117"/>
      <c r="AJ38" s="113"/>
      <c r="AK38" s="12">
        <f t="shared" si="0"/>
        <v>2</v>
      </c>
      <c r="AL38" s="150" t="str">
        <f t="shared" si="1"/>
        <v>LVC</v>
      </c>
      <c r="AM38" s="150" t="str" cm="1">
        <f t="array" ref="AM38">IF(OR(O38:O195="zero_recoverable", "zero_exalt", "zero_other", "zero_uncertain"),
   "Yes","No")</f>
        <v>Yes</v>
      </c>
      <c r="AN38" s="150">
        <f>1 + COUNTIF($V$2:V37,"main")</f>
        <v>10</v>
      </c>
      <c r="AO38" s="150" t="str">
        <f t="shared" si="2"/>
        <v>nominalised</v>
      </c>
      <c r="AP38" s="150">
        <f t="shared" si="3"/>
        <v>1</v>
      </c>
      <c r="AQ38" s="150" t="str">
        <f>IF(AP39=0,"",COUNTIFS($AN$2:$AN39,$AN39,$AP$2:$AP39,1))</f>
        <v/>
      </c>
      <c r="AR38" s="150">
        <f t="shared" si="4"/>
        <v>0</v>
      </c>
      <c r="AS38" s="150" t="s">
        <v>461</v>
      </c>
      <c r="AT38" s="150" t="s">
        <v>483</v>
      </c>
      <c r="AU38" s="150">
        <f t="shared" si="5"/>
        <v>0</v>
      </c>
      <c r="AV38" s="150">
        <f t="shared" si="6"/>
        <v>0</v>
      </c>
    </row>
    <row r="39" spans="1:48" x14ac:dyDescent="0.2">
      <c r="A39" s="42" t="s">
        <v>65</v>
      </c>
      <c r="B39" s="43" t="s">
        <v>523</v>
      </c>
      <c r="C39" s="44" t="s">
        <v>270</v>
      </c>
      <c r="D39" s="45" t="s">
        <v>368</v>
      </c>
      <c r="E39" s="45" t="s">
        <v>1034</v>
      </c>
      <c r="F39" s="45" t="s">
        <v>445</v>
      </c>
      <c r="G39" s="46" t="s">
        <v>434</v>
      </c>
      <c r="H39" s="45" t="s">
        <v>442</v>
      </c>
      <c r="I39" s="45" t="s">
        <v>451</v>
      </c>
      <c r="J39" s="45" t="s">
        <v>453</v>
      </c>
      <c r="K39" s="45">
        <v>1</v>
      </c>
      <c r="L39" s="47">
        <v>1</v>
      </c>
      <c r="M39" s="47" t="s">
        <v>456</v>
      </c>
      <c r="N39" s="47">
        <v>1</v>
      </c>
      <c r="O39" s="48" t="s">
        <v>461</v>
      </c>
      <c r="P39" s="48">
        <v>3</v>
      </c>
      <c r="Q39" s="48" t="s">
        <v>483</v>
      </c>
      <c r="R39" s="48" t="s">
        <v>483</v>
      </c>
      <c r="S39" s="49">
        <v>0</v>
      </c>
      <c r="T39" s="49">
        <v>0</v>
      </c>
      <c r="U39" s="50" t="s">
        <v>456</v>
      </c>
      <c r="V39" s="50" t="s">
        <v>467</v>
      </c>
      <c r="W39" s="51">
        <v>1</v>
      </c>
      <c r="X39" s="51">
        <v>0</v>
      </c>
      <c r="Y39" s="51" t="s">
        <v>503</v>
      </c>
      <c r="Z39" s="51" t="s">
        <v>498</v>
      </c>
      <c r="AA39" s="53">
        <v>0</v>
      </c>
      <c r="AB39" s="54" t="s">
        <v>439</v>
      </c>
      <c r="AC39" s="38" t="s">
        <v>515</v>
      </c>
      <c r="AD39" s="39" t="str">
        <f t="shared" si="7"/>
        <v/>
      </c>
      <c r="AE39" s="55" t="s">
        <v>491</v>
      </c>
      <c r="AF39" s="104" t="s">
        <v>491</v>
      </c>
      <c r="AG39" s="54" t="s">
        <v>492</v>
      </c>
      <c r="AH39" s="54" t="s">
        <v>484</v>
      </c>
      <c r="AI39" s="117" t="s">
        <v>1039</v>
      </c>
      <c r="AJ39" s="113"/>
      <c r="AK39" s="12">
        <f t="shared" si="0"/>
        <v>1</v>
      </c>
      <c r="AL39" s="150" t="str">
        <f t="shared" si="1"/>
        <v>non-LVC</v>
      </c>
      <c r="AM39" s="150" t="str" cm="1">
        <f t="array" ref="AM39">IF(OR(O39:O196="zero_recoverable", "zero_exalt", "zero_other", "zero_uncertain"),
   "Yes","No")</f>
        <v>Yes</v>
      </c>
      <c r="AN39" s="150">
        <f>1 + COUNTIF($V$2:V38,"main")</f>
        <v>10</v>
      </c>
      <c r="AO39" s="150" t="str">
        <f t="shared" si="2"/>
        <v/>
      </c>
      <c r="AP39" s="150">
        <f t="shared" si="3"/>
        <v>0</v>
      </c>
      <c r="AQ39" s="150">
        <f>IF(AP40=0,"",COUNTIFS($AN$2:$AN40,$AN40,$AP$2:$AP40,1))</f>
        <v>2</v>
      </c>
      <c r="AR39" s="150">
        <f t="shared" si="4"/>
        <v>0</v>
      </c>
      <c r="AS39" s="150" t="s">
        <v>461</v>
      </c>
      <c r="AT39" s="150" t="s">
        <v>483</v>
      </c>
      <c r="AU39" s="150">
        <f t="shared" si="5"/>
        <v>0</v>
      </c>
      <c r="AV39" s="150">
        <f t="shared" si="6"/>
        <v>0</v>
      </c>
    </row>
    <row r="40" spans="1:48" x14ac:dyDescent="0.2">
      <c r="A40" s="42" t="s">
        <v>66</v>
      </c>
      <c r="B40" s="43" t="s">
        <v>192</v>
      </c>
      <c r="C40" s="44" t="s">
        <v>271</v>
      </c>
      <c r="D40" s="45" t="s">
        <v>369</v>
      </c>
      <c r="E40" s="45" t="s">
        <v>1034</v>
      </c>
      <c r="F40" s="45" t="s">
        <v>445</v>
      </c>
      <c r="G40" s="46" t="s">
        <v>436</v>
      </c>
      <c r="H40" s="45" t="s">
        <v>442</v>
      </c>
      <c r="I40" s="45" t="s">
        <v>451</v>
      </c>
      <c r="J40" s="45" t="s">
        <v>453</v>
      </c>
      <c r="K40" s="45">
        <v>1</v>
      </c>
      <c r="L40" s="47">
        <v>1</v>
      </c>
      <c r="M40" s="47" t="s">
        <v>456</v>
      </c>
      <c r="N40" s="47">
        <v>0</v>
      </c>
      <c r="O40" s="48" t="s">
        <v>461</v>
      </c>
      <c r="P40" s="48">
        <v>3</v>
      </c>
      <c r="Q40" s="48" t="s">
        <v>483</v>
      </c>
      <c r="R40" s="48" t="s">
        <v>483</v>
      </c>
      <c r="S40" s="49">
        <v>0</v>
      </c>
      <c r="T40" s="49">
        <v>0</v>
      </c>
      <c r="U40" s="50" t="s">
        <v>483</v>
      </c>
      <c r="V40" s="50" t="s">
        <v>466</v>
      </c>
      <c r="W40" s="51">
        <v>0</v>
      </c>
      <c r="X40" s="51">
        <v>0</v>
      </c>
      <c r="Y40" s="51" t="s">
        <v>483</v>
      </c>
      <c r="Z40" s="51" t="s">
        <v>483</v>
      </c>
      <c r="AA40" s="53">
        <v>0</v>
      </c>
      <c r="AB40" s="54" t="s">
        <v>439</v>
      </c>
      <c r="AC40" s="38" t="s">
        <v>467</v>
      </c>
      <c r="AD40" s="39" t="str">
        <f t="shared" si="7"/>
        <v/>
      </c>
      <c r="AE40" s="55" t="s">
        <v>491</v>
      </c>
      <c r="AF40" s="104" t="s">
        <v>491</v>
      </c>
      <c r="AG40" s="54" t="s">
        <v>486</v>
      </c>
      <c r="AH40" s="54" t="s">
        <v>511</v>
      </c>
      <c r="AI40" s="117"/>
      <c r="AJ40" s="113"/>
      <c r="AK40" s="12">
        <f t="shared" si="0"/>
        <v>1</v>
      </c>
      <c r="AL40" s="150" t="str">
        <f t="shared" si="1"/>
        <v>non-LVC</v>
      </c>
      <c r="AM40" s="150" t="str" cm="1">
        <f t="array" ref="AM40">IF(OR(O40:O197="zero_recoverable", "zero_exalt", "zero_other", "zero_uncertain"),
   "Yes","No")</f>
        <v>Yes</v>
      </c>
      <c r="AN40" s="150">
        <f>1 + COUNTIF($V$2:V39,"main")</f>
        <v>10</v>
      </c>
      <c r="AO40" s="150" t="str">
        <f t="shared" si="2"/>
        <v/>
      </c>
      <c r="AP40" s="150">
        <f t="shared" si="3"/>
        <v>1</v>
      </c>
      <c r="AQ40" s="150">
        <f>IF(AP41=0,"",COUNTIFS($AN$2:$AN41,$AN41,$AP$2:$AP41,1))</f>
        <v>1</v>
      </c>
      <c r="AR40" s="150">
        <v>0</v>
      </c>
      <c r="AS40" s="150" t="s">
        <v>459</v>
      </c>
      <c r="AT40" s="150" t="s">
        <v>483</v>
      </c>
      <c r="AU40" s="150">
        <f t="shared" si="5"/>
        <v>1</v>
      </c>
      <c r="AV40" s="150">
        <f t="shared" si="6"/>
        <v>0</v>
      </c>
    </row>
    <row r="41" spans="1:48" x14ac:dyDescent="0.2">
      <c r="A41" s="42" t="s">
        <v>67</v>
      </c>
      <c r="B41" s="43" t="s">
        <v>193</v>
      </c>
      <c r="C41" s="44" t="s">
        <v>272</v>
      </c>
      <c r="D41" s="45" t="s">
        <v>338</v>
      </c>
      <c r="E41" s="45" t="s">
        <v>1034</v>
      </c>
      <c r="F41" s="45" t="s">
        <v>444</v>
      </c>
      <c r="G41" s="46" t="s">
        <v>436</v>
      </c>
      <c r="H41" s="45" t="s">
        <v>442</v>
      </c>
      <c r="I41" s="45" t="s">
        <v>451</v>
      </c>
      <c r="J41" s="45" t="s">
        <v>453</v>
      </c>
      <c r="K41" s="45">
        <v>1</v>
      </c>
      <c r="L41" s="47">
        <v>0</v>
      </c>
      <c r="M41" s="47" t="s">
        <v>483</v>
      </c>
      <c r="N41" s="47">
        <v>0</v>
      </c>
      <c r="O41" s="48" t="s">
        <v>459</v>
      </c>
      <c r="P41" s="48">
        <v>3</v>
      </c>
      <c r="Q41" s="48" t="s">
        <v>483</v>
      </c>
      <c r="R41" s="48" t="s">
        <v>483</v>
      </c>
      <c r="S41" s="49">
        <v>0</v>
      </c>
      <c r="T41" s="49">
        <v>0</v>
      </c>
      <c r="U41" s="50" t="s">
        <v>483</v>
      </c>
      <c r="V41" s="50" t="s">
        <v>466</v>
      </c>
      <c r="W41" s="51">
        <v>0</v>
      </c>
      <c r="X41" s="51">
        <v>0</v>
      </c>
      <c r="Y41" s="51" t="s">
        <v>483</v>
      </c>
      <c r="Z41" s="51" t="s">
        <v>483</v>
      </c>
      <c r="AA41" s="53">
        <v>0</v>
      </c>
      <c r="AB41" s="54" t="s">
        <v>439</v>
      </c>
      <c r="AC41" s="38" t="s">
        <v>466</v>
      </c>
      <c r="AD41" s="39" t="str">
        <f t="shared" si="7"/>
        <v/>
      </c>
      <c r="AE41" s="55" t="s">
        <v>491</v>
      </c>
      <c r="AF41" s="104" t="s">
        <v>491</v>
      </c>
      <c r="AG41" s="54" t="s">
        <v>507</v>
      </c>
      <c r="AH41" s="54" t="s">
        <v>473</v>
      </c>
      <c r="AI41" s="117"/>
      <c r="AJ41" s="113"/>
      <c r="AK41" s="12">
        <f t="shared" si="0"/>
        <v>0</v>
      </c>
      <c r="AL41" s="150" t="str">
        <f t="shared" si="1"/>
        <v>non-LVC</v>
      </c>
      <c r="AM41" s="150" t="str" cm="1">
        <f t="array" ref="AM41">IF(OR(O41:O198="zero_recoverable", "zero_exalt", "zero_other", "zero_uncertain"),
   "Yes","No")</f>
        <v>Yes</v>
      </c>
      <c r="AN41" s="150">
        <f>1 + COUNTIF($V$2:V40,"main")</f>
        <v>11</v>
      </c>
      <c r="AO41" s="150" t="str">
        <f t="shared" si="2"/>
        <v>complement</v>
      </c>
      <c r="AP41" s="150">
        <f t="shared" si="3"/>
        <v>1</v>
      </c>
      <c r="AQ41" s="150">
        <f>IF(AP42=0,"",COUNTIFS($AN$2:$AN42,$AN42,$AP$2:$AP42,1))</f>
        <v>1</v>
      </c>
      <c r="AR41" s="150">
        <f t="shared" si="4"/>
        <v>1</v>
      </c>
      <c r="AS41" s="150" t="s">
        <v>508</v>
      </c>
      <c r="AT41" s="150" t="s">
        <v>483</v>
      </c>
      <c r="AU41" s="150">
        <f t="shared" si="5"/>
        <v>0</v>
      </c>
      <c r="AV41" s="150">
        <f t="shared" si="6"/>
        <v>0</v>
      </c>
    </row>
    <row r="42" spans="1:48" x14ac:dyDescent="0.2">
      <c r="A42" s="42" t="s">
        <v>68</v>
      </c>
      <c r="B42" s="43" t="s">
        <v>1054</v>
      </c>
      <c r="C42" s="44" t="s">
        <v>273</v>
      </c>
      <c r="D42" s="45" t="s">
        <v>370</v>
      </c>
      <c r="E42" s="45" t="s">
        <v>692</v>
      </c>
      <c r="F42" s="45" t="s">
        <v>446</v>
      </c>
      <c r="G42" s="46" t="s">
        <v>434</v>
      </c>
      <c r="H42" s="45" t="s">
        <v>442</v>
      </c>
      <c r="I42" s="45" t="s">
        <v>451</v>
      </c>
      <c r="J42" s="45" t="s">
        <v>453</v>
      </c>
      <c r="K42" s="45">
        <v>1</v>
      </c>
      <c r="L42" s="47">
        <v>0</v>
      </c>
      <c r="M42" s="47" t="s">
        <v>483</v>
      </c>
      <c r="N42" s="47">
        <v>0</v>
      </c>
      <c r="O42" s="48" t="s">
        <v>508</v>
      </c>
      <c r="P42" s="48">
        <v>2</v>
      </c>
      <c r="Q42" s="48" t="s">
        <v>483</v>
      </c>
      <c r="R42" s="48" t="s">
        <v>483</v>
      </c>
      <c r="S42" s="49">
        <v>0</v>
      </c>
      <c r="T42" s="49">
        <v>0</v>
      </c>
      <c r="U42" s="50" t="s">
        <v>483</v>
      </c>
      <c r="V42" s="50" t="s">
        <v>1042</v>
      </c>
      <c r="W42" s="51">
        <v>0</v>
      </c>
      <c r="X42" s="51">
        <v>1</v>
      </c>
      <c r="Y42" s="51" t="s">
        <v>503</v>
      </c>
      <c r="Z42" s="51" t="s">
        <v>498</v>
      </c>
      <c r="AA42" s="53">
        <v>0</v>
      </c>
      <c r="AB42" s="54" t="s">
        <v>470</v>
      </c>
      <c r="AC42" s="38" t="s">
        <v>466</v>
      </c>
      <c r="AD42" s="39" t="str">
        <f t="shared" si="7"/>
        <v/>
      </c>
      <c r="AE42" s="55" t="s">
        <v>491</v>
      </c>
      <c r="AF42" s="104" t="s">
        <v>491</v>
      </c>
      <c r="AG42" s="54" t="s">
        <v>507</v>
      </c>
      <c r="AH42" s="54" t="s">
        <v>473</v>
      </c>
      <c r="AI42" s="117" t="s">
        <v>1049</v>
      </c>
      <c r="AJ42" s="113"/>
      <c r="AK42" s="12">
        <f t="shared" si="0"/>
        <v>0</v>
      </c>
      <c r="AL42" s="150" t="str">
        <f t="shared" si="1"/>
        <v>non-LVC</v>
      </c>
      <c r="AM42" s="150" t="str" cm="1">
        <f t="array" ref="AM42">IF(OR(O42:O199="zero_recoverable", "zero_exalt", "zero_other", "zero_uncertain"),
   "Yes","No")</f>
        <v>Yes</v>
      </c>
      <c r="AN42" s="150">
        <f>1 + COUNTIF($V$2:V41,"main")</f>
        <v>12</v>
      </c>
      <c r="AO42" s="150" t="str">
        <f t="shared" si="2"/>
        <v/>
      </c>
      <c r="AP42" s="150">
        <f t="shared" si="3"/>
        <v>1</v>
      </c>
      <c r="AQ42" s="150">
        <f>IF(AP43=0,"",COUNTIFS($AN$2:$AN43,$AN43,$AP$2:$AP43,1))</f>
        <v>2</v>
      </c>
      <c r="AR42" s="150">
        <v>1</v>
      </c>
      <c r="AS42" s="150" t="s">
        <v>508</v>
      </c>
      <c r="AT42" s="150" t="s">
        <v>461</v>
      </c>
      <c r="AU42" s="150">
        <f t="shared" si="5"/>
        <v>0</v>
      </c>
      <c r="AV42" s="150">
        <f t="shared" si="6"/>
        <v>0</v>
      </c>
    </row>
    <row r="43" spans="1:48" x14ac:dyDescent="0.2">
      <c r="A43" s="42" t="s">
        <v>69</v>
      </c>
      <c r="B43" s="43" t="s">
        <v>1053</v>
      </c>
      <c r="C43" s="44" t="s">
        <v>274</v>
      </c>
      <c r="D43" s="45" t="s">
        <v>371</v>
      </c>
      <c r="E43" s="45" t="s">
        <v>1034</v>
      </c>
      <c r="F43" s="45" t="s">
        <v>444</v>
      </c>
      <c r="G43" s="46" t="s">
        <v>434</v>
      </c>
      <c r="H43" s="45" t="s">
        <v>442</v>
      </c>
      <c r="I43" s="45" t="s">
        <v>694</v>
      </c>
      <c r="J43" s="45" t="s">
        <v>453</v>
      </c>
      <c r="K43" s="45">
        <v>1</v>
      </c>
      <c r="L43" s="47">
        <v>2</v>
      </c>
      <c r="M43" s="47" t="s">
        <v>697</v>
      </c>
      <c r="N43" s="47">
        <v>1</v>
      </c>
      <c r="O43" s="48" t="s">
        <v>508</v>
      </c>
      <c r="P43" s="48">
        <v>3</v>
      </c>
      <c r="Q43" s="48" t="s">
        <v>461</v>
      </c>
      <c r="R43" s="48" t="s">
        <v>483</v>
      </c>
      <c r="S43" s="49">
        <v>0</v>
      </c>
      <c r="T43" s="49">
        <v>0</v>
      </c>
      <c r="U43" s="50" t="s">
        <v>483</v>
      </c>
      <c r="V43" s="50" t="s">
        <v>487</v>
      </c>
      <c r="W43" s="51">
        <v>1</v>
      </c>
      <c r="X43" s="51">
        <v>0</v>
      </c>
      <c r="Y43" s="51" t="s">
        <v>483</v>
      </c>
      <c r="Z43" s="51" t="s">
        <v>499</v>
      </c>
      <c r="AA43" s="53">
        <v>0</v>
      </c>
      <c r="AB43" s="54" t="s">
        <v>439</v>
      </c>
      <c r="AC43" s="38" t="s">
        <v>1042</v>
      </c>
      <c r="AD43" s="39" t="str">
        <f t="shared" si="7"/>
        <v/>
      </c>
      <c r="AE43" s="55" t="s">
        <v>491</v>
      </c>
      <c r="AF43" s="104" t="s">
        <v>491</v>
      </c>
      <c r="AG43" s="54" t="s">
        <v>507</v>
      </c>
      <c r="AH43" s="54" t="s">
        <v>484</v>
      </c>
      <c r="AI43" s="117"/>
      <c r="AJ43" s="113"/>
      <c r="AK43" s="12">
        <f t="shared" si="0"/>
        <v>2</v>
      </c>
      <c r="AL43" s="150" t="str">
        <f t="shared" si="1"/>
        <v>non-LVC</v>
      </c>
      <c r="AM43" s="150" t="str" cm="1">
        <f t="array" ref="AM43">IF(OR(O43:O200="zero_recoverable", "zero_exalt", "zero_other", "zero_uncertain"),
   "Yes","No")</f>
        <v>Yes</v>
      </c>
      <c r="AN43" s="150">
        <f>1 + COUNTIF($V$2:V42,"main")</f>
        <v>12</v>
      </c>
      <c r="AO43" s="150" t="str">
        <f t="shared" si="2"/>
        <v/>
      </c>
      <c r="AP43" s="150">
        <f t="shared" si="3"/>
        <v>1</v>
      </c>
      <c r="AQ43" s="150">
        <f>IF(AP44=0,"",COUNTIFS($AN$2:$AN44,$AN44,$AP$2:$AP44,1))</f>
        <v>3</v>
      </c>
      <c r="AR43" s="150">
        <f t="shared" si="4"/>
        <v>0</v>
      </c>
      <c r="AS43" s="150" t="s">
        <v>461</v>
      </c>
      <c r="AT43" s="150" t="s">
        <v>459</v>
      </c>
      <c r="AU43" s="150">
        <f t="shared" si="5"/>
        <v>0</v>
      </c>
      <c r="AV43" s="150">
        <f t="shared" si="6"/>
        <v>1</v>
      </c>
    </row>
    <row r="44" spans="1:48" x14ac:dyDescent="0.2">
      <c r="A44" s="42" t="s">
        <v>70</v>
      </c>
      <c r="B44" s="43" t="s">
        <v>194</v>
      </c>
      <c r="C44" s="44" t="s">
        <v>275</v>
      </c>
      <c r="D44" s="45" t="s">
        <v>372</v>
      </c>
      <c r="E44" s="45" t="s">
        <v>1034</v>
      </c>
      <c r="F44" s="45" t="s">
        <v>528</v>
      </c>
      <c r="G44" s="46" t="s">
        <v>434</v>
      </c>
      <c r="H44" s="45" t="s">
        <v>441</v>
      </c>
      <c r="I44" s="45" t="s">
        <v>451</v>
      </c>
      <c r="J44" s="45" t="s">
        <v>453</v>
      </c>
      <c r="K44" s="45">
        <v>1</v>
      </c>
      <c r="L44" s="47">
        <v>1</v>
      </c>
      <c r="M44" s="47" t="s">
        <v>456</v>
      </c>
      <c r="N44" s="47">
        <v>0</v>
      </c>
      <c r="O44" s="48" t="s">
        <v>461</v>
      </c>
      <c r="P44" s="48">
        <v>3</v>
      </c>
      <c r="Q44" s="48" t="s">
        <v>459</v>
      </c>
      <c r="R44" s="48" t="s">
        <v>483</v>
      </c>
      <c r="S44" s="49">
        <v>1</v>
      </c>
      <c r="T44" s="49">
        <v>0</v>
      </c>
      <c r="U44" s="50" t="s">
        <v>456</v>
      </c>
      <c r="V44" s="50" t="s">
        <v>487</v>
      </c>
      <c r="W44" s="51">
        <v>1</v>
      </c>
      <c r="X44" s="51">
        <v>0</v>
      </c>
      <c r="Y44" s="51" t="s">
        <v>503</v>
      </c>
      <c r="Z44" s="51" t="s">
        <v>498</v>
      </c>
      <c r="AA44" s="53">
        <v>0</v>
      </c>
      <c r="AB44" s="54" t="s">
        <v>439</v>
      </c>
      <c r="AC44" s="38" t="s">
        <v>487</v>
      </c>
      <c r="AD44" s="39" t="str">
        <f t="shared" si="7"/>
        <v/>
      </c>
      <c r="AE44" s="55" t="s">
        <v>491</v>
      </c>
      <c r="AF44" s="104" t="s">
        <v>493</v>
      </c>
      <c r="AG44" s="54" t="s">
        <v>486</v>
      </c>
      <c r="AH44" s="54" t="s">
        <v>511</v>
      </c>
      <c r="AI44" s="117" t="s">
        <v>1039</v>
      </c>
      <c r="AJ44" s="113"/>
      <c r="AK44" s="12">
        <f t="shared" si="0"/>
        <v>1</v>
      </c>
      <c r="AL44" s="150" t="str">
        <f t="shared" si="1"/>
        <v>non-LVC</v>
      </c>
      <c r="AM44" s="150" t="str" cm="1">
        <f t="array" ref="AM44">IF(OR(O44:O201="zero_recoverable", "zero_exalt", "zero_other", "zero_uncertain"),
   "Yes","No")</f>
        <v>Yes</v>
      </c>
      <c r="AN44" s="150">
        <f>1 + COUNTIF($V$2:V43,"main")</f>
        <v>12</v>
      </c>
      <c r="AO44" s="150" t="str">
        <f t="shared" si="2"/>
        <v/>
      </c>
      <c r="AP44" s="150">
        <f t="shared" si="3"/>
        <v>1</v>
      </c>
      <c r="AQ44" s="150" t="str">
        <f>IF(AP45=0,"",COUNTIFS($AN$2:$AN45,$AN45,$AP$2:$AP45,1))</f>
        <v/>
      </c>
      <c r="AR44" s="150">
        <f t="shared" si="4"/>
        <v>0</v>
      </c>
      <c r="AS44" s="150" t="s">
        <v>461</v>
      </c>
      <c r="AT44" s="150" t="s">
        <v>483</v>
      </c>
      <c r="AU44" s="150">
        <f t="shared" si="5"/>
        <v>0</v>
      </c>
      <c r="AV44" s="150">
        <f t="shared" si="6"/>
        <v>0</v>
      </c>
    </row>
    <row r="45" spans="1:48" x14ac:dyDescent="0.2">
      <c r="A45" s="42" t="s">
        <v>71</v>
      </c>
      <c r="B45" s="43" t="s">
        <v>195</v>
      </c>
      <c r="C45" s="44" t="s">
        <v>524</v>
      </c>
      <c r="D45" s="45" t="s">
        <v>373</v>
      </c>
      <c r="E45" s="45" t="s">
        <v>1034</v>
      </c>
      <c r="F45" s="45" t="s">
        <v>445</v>
      </c>
      <c r="G45" s="46" t="s">
        <v>435</v>
      </c>
      <c r="H45" s="45" t="s">
        <v>442</v>
      </c>
      <c r="I45" s="45" t="s">
        <v>452</v>
      </c>
      <c r="J45" s="45" t="s">
        <v>453</v>
      </c>
      <c r="K45" s="45">
        <v>1</v>
      </c>
      <c r="L45" s="47">
        <v>1</v>
      </c>
      <c r="M45" s="47" t="s">
        <v>456</v>
      </c>
      <c r="N45" s="47">
        <v>1</v>
      </c>
      <c r="O45" s="48" t="s">
        <v>461</v>
      </c>
      <c r="P45" s="48">
        <v>3</v>
      </c>
      <c r="Q45" s="48" t="s">
        <v>483</v>
      </c>
      <c r="R45" s="48" t="s">
        <v>483</v>
      </c>
      <c r="S45" s="49">
        <v>0</v>
      </c>
      <c r="T45" s="49">
        <v>1</v>
      </c>
      <c r="U45" s="50" t="s">
        <v>463</v>
      </c>
      <c r="V45" s="50" t="s">
        <v>465</v>
      </c>
      <c r="W45" s="51">
        <v>1</v>
      </c>
      <c r="X45" s="51">
        <v>0</v>
      </c>
      <c r="Y45" s="51" t="s">
        <v>503</v>
      </c>
      <c r="Z45" s="51" t="s">
        <v>497</v>
      </c>
      <c r="AA45" s="53">
        <v>0</v>
      </c>
      <c r="AB45" s="54" t="s">
        <v>439</v>
      </c>
      <c r="AC45" s="38" t="s">
        <v>487</v>
      </c>
      <c r="AD45" s="39" t="str">
        <f t="shared" si="7"/>
        <v/>
      </c>
      <c r="AE45" s="55" t="s">
        <v>493</v>
      </c>
      <c r="AF45" s="104" t="s">
        <v>491</v>
      </c>
      <c r="AG45" s="54" t="s">
        <v>492</v>
      </c>
      <c r="AH45" s="54" t="s">
        <v>484</v>
      </c>
      <c r="AI45" s="117"/>
      <c r="AJ45" s="113"/>
      <c r="AK45" s="12">
        <f t="shared" si="0"/>
        <v>1</v>
      </c>
      <c r="AL45" s="150" t="str">
        <f t="shared" si="1"/>
        <v>LVC</v>
      </c>
      <c r="AM45" s="150" t="str" cm="1">
        <f t="array" ref="AM45">IF(OR(O45:O202="zero_recoverable", "zero_exalt", "zero_other", "zero_uncertain"),
   "Yes","No")</f>
        <v>Yes</v>
      </c>
      <c r="AN45" s="150">
        <f>1 + COUNTIF($V$2:V44,"main")</f>
        <v>12</v>
      </c>
      <c r="AO45" s="150" t="str">
        <f t="shared" si="2"/>
        <v>te</v>
      </c>
      <c r="AP45" s="150">
        <f t="shared" si="3"/>
        <v>0</v>
      </c>
      <c r="AQ45" s="150">
        <f>IF(AP46=0,"",COUNTIFS($AN$2:$AN46,$AN46,$AP$2:$AP46,1))</f>
        <v>4</v>
      </c>
      <c r="AR45" s="150">
        <f t="shared" si="4"/>
        <v>0</v>
      </c>
      <c r="AS45" s="150" t="s">
        <v>508</v>
      </c>
      <c r="AT45" s="150" t="s">
        <v>461</v>
      </c>
      <c r="AU45" s="150">
        <f t="shared" si="5"/>
        <v>1</v>
      </c>
      <c r="AV45" s="150">
        <f t="shared" si="6"/>
        <v>0</v>
      </c>
    </row>
    <row r="46" spans="1:48" x14ac:dyDescent="0.2">
      <c r="A46" s="42" t="s">
        <v>72</v>
      </c>
      <c r="B46" s="43" t="s">
        <v>196</v>
      </c>
      <c r="C46" s="44" t="s">
        <v>276</v>
      </c>
      <c r="D46" s="45" t="s">
        <v>374</v>
      </c>
      <c r="E46" s="45" t="s">
        <v>1034</v>
      </c>
      <c r="F46" s="45" t="s">
        <v>448</v>
      </c>
      <c r="G46" s="46" t="s">
        <v>434</v>
      </c>
      <c r="H46" s="45" t="s">
        <v>441</v>
      </c>
      <c r="I46" s="45" t="s">
        <v>451</v>
      </c>
      <c r="J46" s="45" t="s">
        <v>453</v>
      </c>
      <c r="K46" s="45">
        <v>1</v>
      </c>
      <c r="L46" s="47">
        <v>1</v>
      </c>
      <c r="M46" s="47" t="s">
        <v>464</v>
      </c>
      <c r="N46" s="47">
        <v>0</v>
      </c>
      <c r="O46" s="48" t="s">
        <v>508</v>
      </c>
      <c r="P46" s="48">
        <v>1</v>
      </c>
      <c r="Q46" s="48" t="s">
        <v>461</v>
      </c>
      <c r="R46" s="48" t="s">
        <v>483</v>
      </c>
      <c r="S46" s="49">
        <v>0</v>
      </c>
      <c r="T46" s="49">
        <v>0</v>
      </c>
      <c r="U46" s="50" t="s">
        <v>483</v>
      </c>
      <c r="V46" s="50" t="s">
        <v>515</v>
      </c>
      <c r="W46" s="51">
        <v>0</v>
      </c>
      <c r="X46" s="51">
        <v>1</v>
      </c>
      <c r="Y46" s="51" t="s">
        <v>503</v>
      </c>
      <c r="Z46" s="51" t="s">
        <v>499</v>
      </c>
      <c r="AA46" s="53">
        <v>0</v>
      </c>
      <c r="AB46" s="54" t="s">
        <v>469</v>
      </c>
      <c r="AC46" s="38" t="s">
        <v>465</v>
      </c>
      <c r="AD46" s="39" t="s">
        <v>1111</v>
      </c>
      <c r="AE46" s="55" t="s">
        <v>491</v>
      </c>
      <c r="AF46" s="104" t="s">
        <v>493</v>
      </c>
      <c r="AG46" s="54" t="s">
        <v>507</v>
      </c>
      <c r="AH46" s="54" t="s">
        <v>484</v>
      </c>
      <c r="AI46" s="117"/>
      <c r="AJ46" s="113"/>
      <c r="AK46" s="12">
        <f t="shared" si="0"/>
        <v>1</v>
      </c>
      <c r="AL46" s="150" t="str">
        <f t="shared" si="1"/>
        <v>non-LVC</v>
      </c>
      <c r="AM46" s="150" t="str" cm="1">
        <f t="array" ref="AM46">IF(OR(O46:O203="zero_recoverable", "zero_exalt", "zero_other", "zero_uncertain"),
   "Yes","No")</f>
        <v>Yes</v>
      </c>
      <c r="AN46" s="150">
        <f>1 + COUNTIF($V$2:V45,"main")</f>
        <v>12</v>
      </c>
      <c r="AO46" s="150" t="str">
        <f t="shared" si="2"/>
        <v/>
      </c>
      <c r="AP46" s="150">
        <f t="shared" si="3"/>
        <v>1</v>
      </c>
      <c r="AQ46" s="150" t="str">
        <f>IF(AP47=0,"",COUNTIFS($AN$2:$AN47,$AN47,$AP$2:$AP47,1))</f>
        <v/>
      </c>
      <c r="AR46" s="150">
        <f t="shared" si="4"/>
        <v>0</v>
      </c>
      <c r="AS46" s="150" t="s">
        <v>461</v>
      </c>
      <c r="AT46" s="150" t="s">
        <v>483</v>
      </c>
      <c r="AU46" s="150">
        <f t="shared" si="5"/>
        <v>0</v>
      </c>
      <c r="AV46" s="150">
        <f t="shared" si="6"/>
        <v>0</v>
      </c>
    </row>
    <row r="47" spans="1:48" x14ac:dyDescent="0.2">
      <c r="A47" s="42" t="s">
        <v>73</v>
      </c>
      <c r="B47" s="43" t="s">
        <v>197</v>
      </c>
      <c r="C47" s="44" t="s">
        <v>277</v>
      </c>
      <c r="D47" s="45" t="s">
        <v>375</v>
      </c>
      <c r="E47" s="45" t="s">
        <v>1035</v>
      </c>
      <c r="F47" s="45" t="s">
        <v>445</v>
      </c>
      <c r="G47" s="46" t="s">
        <v>434</v>
      </c>
      <c r="H47" s="45" t="s">
        <v>442</v>
      </c>
      <c r="I47" s="45" t="s">
        <v>451</v>
      </c>
      <c r="J47" s="45" t="s">
        <v>453</v>
      </c>
      <c r="K47" s="45">
        <v>1</v>
      </c>
      <c r="L47" s="47">
        <v>1</v>
      </c>
      <c r="M47" s="47" t="s">
        <v>456</v>
      </c>
      <c r="N47" s="47">
        <v>0</v>
      </c>
      <c r="O47" s="48" t="s">
        <v>461</v>
      </c>
      <c r="P47" s="48">
        <v>3</v>
      </c>
      <c r="Q47" s="48" t="s">
        <v>483</v>
      </c>
      <c r="R47" s="48" t="s">
        <v>483</v>
      </c>
      <c r="S47" s="49">
        <v>0</v>
      </c>
      <c r="T47" s="49">
        <v>1</v>
      </c>
      <c r="U47" s="50" t="s">
        <v>463</v>
      </c>
      <c r="V47" s="50" t="s">
        <v>465</v>
      </c>
      <c r="W47" s="51">
        <v>0</v>
      </c>
      <c r="X47" s="51">
        <v>0</v>
      </c>
      <c r="Y47" s="51" t="s">
        <v>483</v>
      </c>
      <c r="Z47" s="51" t="s">
        <v>483</v>
      </c>
      <c r="AA47" s="53">
        <v>0</v>
      </c>
      <c r="AB47" s="54" t="s">
        <v>439</v>
      </c>
      <c r="AC47" s="38" t="s">
        <v>515</v>
      </c>
      <c r="AD47" s="39" t="str">
        <f t="shared" si="7"/>
        <v/>
      </c>
      <c r="AE47" s="55" t="s">
        <v>493</v>
      </c>
      <c r="AF47" s="104" t="s">
        <v>493</v>
      </c>
      <c r="AG47" s="54" t="s">
        <v>486</v>
      </c>
      <c r="AH47" s="54" t="s">
        <v>511</v>
      </c>
      <c r="AI47" s="117"/>
      <c r="AJ47" s="113"/>
      <c r="AK47" s="12">
        <f t="shared" si="0"/>
        <v>1</v>
      </c>
      <c r="AL47" s="150" t="str">
        <f t="shared" si="1"/>
        <v>non-LVC</v>
      </c>
      <c r="AM47" s="150" t="str" cm="1">
        <f t="array" ref="AM47">IF(OR(O47:O204="zero_recoverable", "zero_exalt", "zero_other", "zero_uncertain"),
   "Yes","No")</f>
        <v>Yes</v>
      </c>
      <c r="AN47" s="150">
        <f>1 + COUNTIF($V$2:V46,"main")</f>
        <v>12</v>
      </c>
      <c r="AO47" s="150" t="str">
        <f t="shared" si="2"/>
        <v/>
      </c>
      <c r="AP47" s="150">
        <f t="shared" si="3"/>
        <v>0</v>
      </c>
      <c r="AQ47" s="150">
        <f>IF(AP48=0,"",COUNTIFS($AN$2:$AN48,$AN48,$AP$2:$AP48,1))</f>
        <v>5</v>
      </c>
      <c r="AR47" s="150">
        <f t="shared" si="4"/>
        <v>0</v>
      </c>
      <c r="AS47" s="150" t="s">
        <v>508</v>
      </c>
      <c r="AT47" s="150" t="s">
        <v>461</v>
      </c>
      <c r="AU47" s="150">
        <f t="shared" si="5"/>
        <v>1</v>
      </c>
      <c r="AV47" s="150">
        <f t="shared" si="6"/>
        <v>0</v>
      </c>
    </row>
    <row r="48" spans="1:48" x14ac:dyDescent="0.2">
      <c r="A48" s="42" t="s">
        <v>74</v>
      </c>
      <c r="B48" s="43" t="s">
        <v>198</v>
      </c>
      <c r="C48" s="44" t="s">
        <v>278</v>
      </c>
      <c r="D48" s="45" t="s">
        <v>376</v>
      </c>
      <c r="E48" s="45" t="s">
        <v>693</v>
      </c>
      <c r="F48" s="45" t="s">
        <v>449</v>
      </c>
      <c r="G48" s="46" t="s">
        <v>434</v>
      </c>
      <c r="H48" s="45" t="s">
        <v>441</v>
      </c>
      <c r="I48" s="45" t="s">
        <v>451</v>
      </c>
      <c r="J48" s="45" t="s">
        <v>453</v>
      </c>
      <c r="K48" s="45">
        <v>1</v>
      </c>
      <c r="L48" s="47">
        <v>1</v>
      </c>
      <c r="M48" s="47" t="s">
        <v>464</v>
      </c>
      <c r="N48" s="47">
        <v>0</v>
      </c>
      <c r="O48" s="48" t="s">
        <v>508</v>
      </c>
      <c r="P48" s="48">
        <v>1</v>
      </c>
      <c r="Q48" s="48" t="s">
        <v>461</v>
      </c>
      <c r="R48" s="48" t="s">
        <v>483</v>
      </c>
      <c r="S48" s="49">
        <v>0</v>
      </c>
      <c r="T48" s="49">
        <v>0</v>
      </c>
      <c r="U48" s="50" t="s">
        <v>463</v>
      </c>
      <c r="V48" s="50" t="s">
        <v>487</v>
      </c>
      <c r="W48" s="51">
        <v>0</v>
      </c>
      <c r="X48" s="51">
        <v>0</v>
      </c>
      <c r="Y48" s="51" t="s">
        <v>483</v>
      </c>
      <c r="Z48" s="51" t="s">
        <v>483</v>
      </c>
      <c r="AA48" s="53">
        <v>0</v>
      </c>
      <c r="AB48" s="54" t="s">
        <v>525</v>
      </c>
      <c r="AC48" s="38" t="s">
        <v>465</v>
      </c>
      <c r="AD48" s="39" t="str">
        <f t="shared" si="7"/>
        <v/>
      </c>
      <c r="AE48" s="55" t="s">
        <v>493</v>
      </c>
      <c r="AF48" s="104" t="s">
        <v>491</v>
      </c>
      <c r="AG48" s="54" t="s">
        <v>507</v>
      </c>
      <c r="AH48" s="54" t="s">
        <v>484</v>
      </c>
      <c r="AI48" s="117"/>
      <c r="AJ48" s="113"/>
      <c r="AK48" s="12">
        <f t="shared" si="0"/>
        <v>1</v>
      </c>
      <c r="AL48" s="150" t="str">
        <f t="shared" si="1"/>
        <v>non-LVC</v>
      </c>
      <c r="AM48" s="150" t="str" cm="1">
        <f t="array" ref="AM48">IF(OR(O48:O205="zero_recoverable", "zero_exalt", "zero_other", "zero_uncertain"),
   "Yes","No")</f>
        <v>Yes</v>
      </c>
      <c r="AN48" s="150">
        <f>1 + COUNTIF($V$2:V47,"main")</f>
        <v>12</v>
      </c>
      <c r="AO48" s="150" t="str">
        <f t="shared" si="2"/>
        <v/>
      </c>
      <c r="AP48" s="150">
        <f t="shared" si="3"/>
        <v>1</v>
      </c>
      <c r="AQ48" s="150">
        <f>IF(AP49=0,"",COUNTIFS($AN$2:$AN49,$AN49,$AP$2:$AP49,1))</f>
        <v>6</v>
      </c>
      <c r="AR48" s="150">
        <f t="shared" si="4"/>
        <v>0</v>
      </c>
      <c r="AS48" s="150" t="s">
        <v>460</v>
      </c>
      <c r="AT48" s="150" t="s">
        <v>483</v>
      </c>
      <c r="AU48" s="150">
        <f t="shared" si="5"/>
        <v>0</v>
      </c>
      <c r="AV48" s="150">
        <f t="shared" si="6"/>
        <v>0</v>
      </c>
    </row>
    <row r="49" spans="1:48" x14ac:dyDescent="0.2">
      <c r="A49" s="42" t="s">
        <v>75</v>
      </c>
      <c r="B49" s="43" t="s">
        <v>199</v>
      </c>
      <c r="C49" s="44" t="s">
        <v>279</v>
      </c>
      <c r="D49" s="45" t="s">
        <v>377</v>
      </c>
      <c r="E49" s="45" t="s">
        <v>1034</v>
      </c>
      <c r="F49" s="45" t="s">
        <v>444</v>
      </c>
      <c r="G49" s="46" t="s">
        <v>1046</v>
      </c>
      <c r="H49" s="45" t="s">
        <v>442</v>
      </c>
      <c r="I49" s="45" t="s">
        <v>451</v>
      </c>
      <c r="J49" s="45" t="s">
        <v>453</v>
      </c>
      <c r="K49" s="45">
        <v>1</v>
      </c>
      <c r="L49" s="47">
        <v>0</v>
      </c>
      <c r="M49" s="47" t="s">
        <v>483</v>
      </c>
      <c r="N49" s="47">
        <v>1</v>
      </c>
      <c r="O49" s="48" t="s">
        <v>460</v>
      </c>
      <c r="P49" s="48">
        <v>1</v>
      </c>
      <c r="Q49" s="48" t="s">
        <v>483</v>
      </c>
      <c r="R49" s="48" t="s">
        <v>483</v>
      </c>
      <c r="S49" s="49">
        <v>0</v>
      </c>
      <c r="T49" s="49">
        <v>0</v>
      </c>
      <c r="U49" s="50" t="s">
        <v>483</v>
      </c>
      <c r="V49" s="50" t="s">
        <v>466</v>
      </c>
      <c r="W49" s="51">
        <v>0</v>
      </c>
      <c r="X49" s="51">
        <v>1</v>
      </c>
      <c r="Y49" s="51" t="s">
        <v>503</v>
      </c>
      <c r="Z49" s="51" t="s">
        <v>498</v>
      </c>
      <c r="AA49" s="53">
        <v>0</v>
      </c>
      <c r="AB49" s="54" t="s">
        <v>439</v>
      </c>
      <c r="AC49" s="38" t="s">
        <v>487</v>
      </c>
      <c r="AD49" s="39" t="str">
        <f t="shared" si="7"/>
        <v/>
      </c>
      <c r="AE49" s="55" t="s">
        <v>491</v>
      </c>
      <c r="AF49" s="104" t="s">
        <v>491</v>
      </c>
      <c r="AG49" s="54" t="s">
        <v>507</v>
      </c>
      <c r="AH49" s="54" t="s">
        <v>473</v>
      </c>
      <c r="AI49" s="117"/>
      <c r="AJ49" s="113"/>
      <c r="AK49" s="12">
        <f t="shared" si="0"/>
        <v>0</v>
      </c>
      <c r="AL49" s="150" t="str">
        <f t="shared" si="1"/>
        <v>non-LVC</v>
      </c>
      <c r="AM49" s="150" t="str" cm="1">
        <f t="array" ref="AM49">IF(OR(O49:O206="zero_recoverable", "zero_exalt", "zero_other", "zero_uncertain"),
   "Yes","No")</f>
        <v>Yes</v>
      </c>
      <c r="AN49" s="150">
        <f>1 + COUNTIF($V$2:V48,"main")</f>
        <v>12</v>
      </c>
      <c r="AO49" s="150" t="str">
        <f t="shared" si="2"/>
        <v>main</v>
      </c>
      <c r="AP49" s="150">
        <f t="shared" si="3"/>
        <v>1</v>
      </c>
      <c r="AQ49" s="150">
        <f>IF(AP50=0,"",COUNTIFS($AN$2:$AN50,$AN50,$AP$2:$AP50,1))</f>
        <v>1</v>
      </c>
      <c r="AR49" s="150">
        <v>0</v>
      </c>
      <c r="AS49" s="150" t="s">
        <v>460</v>
      </c>
      <c r="AT49" s="150" t="s">
        <v>483</v>
      </c>
      <c r="AU49" s="150">
        <f t="shared" si="5"/>
        <v>0</v>
      </c>
      <c r="AV49" s="150">
        <f t="shared" si="6"/>
        <v>0</v>
      </c>
    </row>
    <row r="50" spans="1:48" x14ac:dyDescent="0.2">
      <c r="A50" s="42" t="s">
        <v>76</v>
      </c>
      <c r="B50" s="43" t="s">
        <v>200</v>
      </c>
      <c r="C50" s="44" t="s">
        <v>280</v>
      </c>
      <c r="D50" s="45" t="s">
        <v>378</v>
      </c>
      <c r="E50" s="45" t="s">
        <v>693</v>
      </c>
      <c r="F50" s="45" t="s">
        <v>446</v>
      </c>
      <c r="G50" s="46" t="s">
        <v>434</v>
      </c>
      <c r="H50" s="45" t="s">
        <v>442</v>
      </c>
      <c r="I50" s="45" t="s">
        <v>451</v>
      </c>
      <c r="J50" s="45" t="s">
        <v>454</v>
      </c>
      <c r="K50" s="45">
        <v>1</v>
      </c>
      <c r="L50" s="47">
        <v>0</v>
      </c>
      <c r="M50" s="47" t="s">
        <v>483</v>
      </c>
      <c r="N50" s="47">
        <v>0</v>
      </c>
      <c r="O50" s="48" t="s">
        <v>460</v>
      </c>
      <c r="P50" s="48">
        <v>1</v>
      </c>
      <c r="Q50" s="48" t="s">
        <v>483</v>
      </c>
      <c r="R50" s="48" t="s">
        <v>483</v>
      </c>
      <c r="S50" s="49">
        <v>0</v>
      </c>
      <c r="T50" s="49">
        <v>0</v>
      </c>
      <c r="U50" s="50" t="s">
        <v>483</v>
      </c>
      <c r="V50" s="50" t="s">
        <v>466</v>
      </c>
      <c r="W50" s="51">
        <v>0</v>
      </c>
      <c r="X50" s="51">
        <v>1</v>
      </c>
      <c r="Y50" s="51" t="s">
        <v>503</v>
      </c>
      <c r="Z50" s="51" t="s">
        <v>500</v>
      </c>
      <c r="AA50" s="53">
        <v>0</v>
      </c>
      <c r="AB50" s="54" t="s">
        <v>439</v>
      </c>
      <c r="AC50" s="38" t="s">
        <v>466</v>
      </c>
      <c r="AD50" s="39" t="str">
        <f t="shared" si="7"/>
        <v/>
      </c>
      <c r="AE50" s="55" t="s">
        <v>491</v>
      </c>
      <c r="AF50" s="104" t="s">
        <v>493</v>
      </c>
      <c r="AG50" s="54" t="s">
        <v>507</v>
      </c>
      <c r="AH50" s="54" t="s">
        <v>473</v>
      </c>
      <c r="AI50" s="117"/>
      <c r="AJ50" s="113"/>
      <c r="AK50" s="12">
        <f t="shared" si="0"/>
        <v>0</v>
      </c>
      <c r="AL50" s="150" t="str">
        <f t="shared" si="1"/>
        <v>non-LVC</v>
      </c>
      <c r="AM50" s="150" t="str" cm="1">
        <f t="array" ref="AM50">IF(OR(O50:O207="zero_recoverable", "zero_exalt", "zero_other", "zero_uncertain"),
   "Yes","No")</f>
        <v>Yes</v>
      </c>
      <c r="AN50" s="150">
        <f>1 + COUNTIF($V$2:V49,"main")</f>
        <v>13</v>
      </c>
      <c r="AO50" s="150" t="str">
        <f t="shared" si="2"/>
        <v/>
      </c>
      <c r="AP50" s="150">
        <f t="shared" si="3"/>
        <v>1</v>
      </c>
      <c r="AQ50" s="150">
        <f>IF(AP51=0,"",COUNTIFS($AN$2:$AN51,$AN51,$AP$2:$AP51,1))</f>
        <v>1</v>
      </c>
      <c r="AR50" s="150">
        <f t="shared" si="4"/>
        <v>1</v>
      </c>
      <c r="AS50" s="150" t="s">
        <v>461</v>
      </c>
      <c r="AT50" s="150" t="s">
        <v>483</v>
      </c>
      <c r="AU50" s="150">
        <f t="shared" si="5"/>
        <v>0</v>
      </c>
      <c r="AV50" s="150">
        <f t="shared" si="6"/>
        <v>0</v>
      </c>
    </row>
    <row r="51" spans="1:48" x14ac:dyDescent="0.2">
      <c r="A51" s="42" t="s">
        <v>77</v>
      </c>
      <c r="B51" s="43" t="s">
        <v>1055</v>
      </c>
      <c r="C51" s="44" t="s">
        <v>698</v>
      </c>
      <c r="D51" s="45" t="s">
        <v>406</v>
      </c>
      <c r="E51" s="45" t="s">
        <v>1034</v>
      </c>
      <c r="F51" s="45" t="s">
        <v>444</v>
      </c>
      <c r="G51" s="46" t="s">
        <v>437</v>
      </c>
      <c r="H51" s="45" t="s">
        <v>442</v>
      </c>
      <c r="I51" s="45" t="s">
        <v>451</v>
      </c>
      <c r="J51" s="45" t="s">
        <v>454</v>
      </c>
      <c r="K51" s="45">
        <v>1</v>
      </c>
      <c r="L51" s="47">
        <v>1</v>
      </c>
      <c r="M51" s="47" t="s">
        <v>456</v>
      </c>
      <c r="N51" s="47">
        <v>1</v>
      </c>
      <c r="O51" s="48" t="s">
        <v>461</v>
      </c>
      <c r="P51" s="48">
        <v>3</v>
      </c>
      <c r="Q51" s="48" t="s">
        <v>483</v>
      </c>
      <c r="R51" s="48" t="s">
        <v>483</v>
      </c>
      <c r="S51" s="49">
        <v>0</v>
      </c>
      <c r="T51" s="49">
        <v>0</v>
      </c>
      <c r="U51" s="50" t="s">
        <v>483</v>
      </c>
      <c r="V51" s="50" t="s">
        <v>1042</v>
      </c>
      <c r="W51" s="51">
        <v>0</v>
      </c>
      <c r="X51" s="51">
        <v>0</v>
      </c>
      <c r="Y51" s="51" t="s">
        <v>483</v>
      </c>
      <c r="Z51" s="51" t="s">
        <v>483</v>
      </c>
      <c r="AA51" s="53">
        <v>0</v>
      </c>
      <c r="AB51" s="54" t="s">
        <v>470</v>
      </c>
      <c r="AC51" s="38" t="s">
        <v>466</v>
      </c>
      <c r="AD51" s="39" t="str">
        <f t="shared" si="7"/>
        <v/>
      </c>
      <c r="AE51" s="55" t="s">
        <v>493</v>
      </c>
      <c r="AF51" s="104" t="s">
        <v>1094</v>
      </c>
      <c r="AG51" s="54" t="s">
        <v>486</v>
      </c>
      <c r="AH51" s="54" t="s">
        <v>484</v>
      </c>
      <c r="AI51" s="117"/>
      <c r="AJ51" s="113"/>
      <c r="AK51" s="12">
        <f t="shared" si="0"/>
        <v>1</v>
      </c>
      <c r="AL51" s="150" t="str">
        <f t="shared" si="1"/>
        <v>non-LVC</v>
      </c>
      <c r="AM51" s="150" t="str" cm="1">
        <f t="array" ref="AM51">IF(OR(O51:O208="zero_recoverable", "zero_exalt", "zero_other", "zero_uncertain"),
   "Yes","No")</f>
        <v>Yes</v>
      </c>
      <c r="AN51" s="150">
        <f>1 + COUNTIF($V$2:V50,"main")</f>
        <v>14</v>
      </c>
      <c r="AO51" s="150" t="str">
        <f t="shared" si="2"/>
        <v>main</v>
      </c>
      <c r="AP51" s="150">
        <f t="shared" si="3"/>
        <v>1</v>
      </c>
      <c r="AQ51" s="150">
        <f>IF(AP52=0,"",COUNTIFS($AN$2:$AN52,$AN52,$AP$2:$AP52,1))</f>
        <v>2</v>
      </c>
      <c r="AR51" s="150">
        <f t="shared" si="4"/>
        <v>0</v>
      </c>
      <c r="AS51" s="150" t="s">
        <v>460</v>
      </c>
      <c r="AT51" s="150" t="s">
        <v>461</v>
      </c>
      <c r="AU51" s="150">
        <f t="shared" si="5"/>
        <v>1</v>
      </c>
      <c r="AV51" s="150">
        <f t="shared" si="6"/>
        <v>0</v>
      </c>
    </row>
    <row r="52" spans="1:48" x14ac:dyDescent="0.2">
      <c r="A52" s="42"/>
      <c r="B52" s="43" t="s">
        <v>1056</v>
      </c>
      <c r="C52" s="44" t="s">
        <v>699</v>
      </c>
      <c r="D52" s="45" t="s">
        <v>379</v>
      </c>
      <c r="E52" s="45" t="s">
        <v>1035</v>
      </c>
      <c r="F52" s="45" t="s">
        <v>447</v>
      </c>
      <c r="G52" s="46" t="s">
        <v>434</v>
      </c>
      <c r="H52" s="45" t="s">
        <v>441</v>
      </c>
      <c r="I52" s="45" t="s">
        <v>451</v>
      </c>
      <c r="J52" s="45" t="s">
        <v>453</v>
      </c>
      <c r="K52" s="45">
        <v>1</v>
      </c>
      <c r="L52" s="47">
        <v>1</v>
      </c>
      <c r="M52" s="47" t="s">
        <v>457</v>
      </c>
      <c r="N52" s="47">
        <v>0</v>
      </c>
      <c r="O52" s="48" t="s">
        <v>460</v>
      </c>
      <c r="P52" s="48">
        <v>3</v>
      </c>
      <c r="Q52" s="48" t="s">
        <v>461</v>
      </c>
      <c r="R52" s="48" t="s">
        <v>483</v>
      </c>
      <c r="S52" s="49">
        <v>0</v>
      </c>
      <c r="T52" s="49">
        <v>0</v>
      </c>
      <c r="U52" s="50" t="s">
        <v>483</v>
      </c>
      <c r="V52" s="50" t="s">
        <v>466</v>
      </c>
      <c r="W52" s="51">
        <v>0</v>
      </c>
      <c r="X52" s="51">
        <v>1</v>
      </c>
      <c r="Y52" s="51" t="s">
        <v>503</v>
      </c>
      <c r="Z52" s="51" t="s">
        <v>499</v>
      </c>
      <c r="AA52" s="53">
        <v>0</v>
      </c>
      <c r="AB52" s="54" t="s">
        <v>466</v>
      </c>
      <c r="AC52" s="38" t="s">
        <v>1094</v>
      </c>
      <c r="AD52" s="39" t="str">
        <f t="shared" si="7"/>
        <v/>
      </c>
      <c r="AE52" s="55" t="s">
        <v>493</v>
      </c>
      <c r="AF52" s="104" t="s">
        <v>1094</v>
      </c>
      <c r="AG52" s="54" t="s">
        <v>507</v>
      </c>
      <c r="AH52" s="54" t="s">
        <v>484</v>
      </c>
      <c r="AI52" s="117"/>
      <c r="AJ52" s="113"/>
      <c r="AK52" s="12">
        <f t="shared" si="0"/>
        <v>1</v>
      </c>
      <c r="AL52" s="150" t="str">
        <f t="shared" si="1"/>
        <v>non-LVC</v>
      </c>
      <c r="AM52" s="150" t="str" cm="1">
        <f t="array" ref="AM52">IF(OR(O52:O209="zero_recoverable", "zero_exalt", "zero_other", "zero_uncertain"),
   "Yes","No")</f>
        <v>Yes</v>
      </c>
      <c r="AN52" s="150">
        <f>1 + COUNTIF($V$2:V51,"main")</f>
        <v>14</v>
      </c>
      <c r="AO52" s="150" t="str">
        <f t="shared" si="2"/>
        <v/>
      </c>
      <c r="AP52" s="150">
        <f t="shared" si="3"/>
        <v>1</v>
      </c>
      <c r="AQ52" s="150">
        <f>IF(AP53=0,"",COUNTIFS($AN$2:$AN53,$AN53,$AP$2:$AP53,1))</f>
        <v>1</v>
      </c>
      <c r="AR52" s="150">
        <v>0</v>
      </c>
      <c r="AS52" s="150" t="s">
        <v>461</v>
      </c>
      <c r="AT52" s="150" t="s">
        <v>483</v>
      </c>
      <c r="AU52" s="150">
        <f t="shared" si="5"/>
        <v>0</v>
      </c>
      <c r="AV52" s="150">
        <f t="shared" si="6"/>
        <v>0</v>
      </c>
    </row>
    <row r="53" spans="1:48" x14ac:dyDescent="0.2">
      <c r="A53" s="42" t="s">
        <v>78</v>
      </c>
      <c r="B53" s="43" t="s">
        <v>201</v>
      </c>
      <c r="C53" s="44" t="s">
        <v>281</v>
      </c>
      <c r="D53" s="45" t="s">
        <v>380</v>
      </c>
      <c r="E53" s="45" t="s">
        <v>1034</v>
      </c>
      <c r="F53" s="45" t="s">
        <v>450</v>
      </c>
      <c r="G53" s="46" t="s">
        <v>434</v>
      </c>
      <c r="H53" s="45" t="s">
        <v>442</v>
      </c>
      <c r="I53" s="45" t="s">
        <v>451</v>
      </c>
      <c r="J53" s="45" t="s">
        <v>454</v>
      </c>
      <c r="K53" s="45">
        <v>1</v>
      </c>
      <c r="L53" s="47">
        <v>1</v>
      </c>
      <c r="M53" s="47" t="s">
        <v>456</v>
      </c>
      <c r="N53" s="47">
        <v>0</v>
      </c>
      <c r="O53" s="48" t="s">
        <v>461</v>
      </c>
      <c r="P53" s="48" t="s">
        <v>526</v>
      </c>
      <c r="Q53" s="48" t="s">
        <v>483</v>
      </c>
      <c r="R53" s="48" t="s">
        <v>483</v>
      </c>
      <c r="S53" s="49">
        <v>0</v>
      </c>
      <c r="T53" s="49">
        <v>0</v>
      </c>
      <c r="U53" s="50" t="s">
        <v>483</v>
      </c>
      <c r="V53" s="50" t="s">
        <v>466</v>
      </c>
      <c r="W53" s="51">
        <v>0</v>
      </c>
      <c r="X53" s="51">
        <v>0</v>
      </c>
      <c r="Y53" s="51" t="s">
        <v>483</v>
      </c>
      <c r="Z53" s="51" t="s">
        <v>483</v>
      </c>
      <c r="AA53" s="53">
        <v>0</v>
      </c>
      <c r="AB53" s="54" t="s">
        <v>439</v>
      </c>
      <c r="AC53" s="38" t="s">
        <v>466</v>
      </c>
      <c r="AD53" s="39" t="str">
        <f t="shared" si="7"/>
        <v/>
      </c>
      <c r="AE53" s="55" t="s">
        <v>491</v>
      </c>
      <c r="AF53" s="104" t="s">
        <v>493</v>
      </c>
      <c r="AG53" s="54" t="s">
        <v>492</v>
      </c>
      <c r="AH53" s="54" t="s">
        <v>484</v>
      </c>
      <c r="AI53" s="117"/>
      <c r="AJ53" s="113"/>
      <c r="AK53" s="12">
        <f t="shared" si="0"/>
        <v>1</v>
      </c>
      <c r="AL53" s="150" t="str">
        <f t="shared" si="1"/>
        <v>non-LVC</v>
      </c>
      <c r="AM53" s="150" t="str" cm="1">
        <f t="array" ref="AM53">IF(OR(O53:O210="zero_recoverable", "zero_exalt", "zero_other", "zero_uncertain"),
   "Yes","No")</f>
        <v>Yes</v>
      </c>
      <c r="AN53" s="150">
        <f>1 + COUNTIF($V$2:V52,"main")</f>
        <v>15</v>
      </c>
      <c r="AO53" s="150" t="str">
        <f t="shared" si="2"/>
        <v>subordinate</v>
      </c>
      <c r="AP53" s="150">
        <f t="shared" si="3"/>
        <v>1</v>
      </c>
      <c r="AQ53" s="150">
        <f>IF(AP54=0,"",COUNTIFS($AN$2:$AN54,$AN54,$AP$2:$AP54,1))</f>
        <v>1</v>
      </c>
      <c r="AR53" s="150">
        <f t="shared" si="4"/>
        <v>1</v>
      </c>
      <c r="AS53" s="150" t="s">
        <v>461</v>
      </c>
      <c r="AT53" s="150" t="s">
        <v>483</v>
      </c>
      <c r="AU53" s="150">
        <f t="shared" si="5"/>
        <v>0</v>
      </c>
      <c r="AV53" s="150">
        <f t="shared" si="6"/>
        <v>0</v>
      </c>
    </row>
    <row r="54" spans="1:48" x14ac:dyDescent="0.2">
      <c r="A54" s="42" t="s">
        <v>79</v>
      </c>
      <c r="B54" s="43" t="s">
        <v>202</v>
      </c>
      <c r="C54" s="44" t="s">
        <v>282</v>
      </c>
      <c r="D54" s="45" t="s">
        <v>381</v>
      </c>
      <c r="E54" s="45" t="s">
        <v>1034</v>
      </c>
      <c r="F54" s="45" t="s">
        <v>528</v>
      </c>
      <c r="G54" s="46" t="s">
        <v>434</v>
      </c>
      <c r="H54" s="45" t="s">
        <v>442</v>
      </c>
      <c r="I54" s="45" t="s">
        <v>451</v>
      </c>
      <c r="J54" s="45" t="s">
        <v>453</v>
      </c>
      <c r="K54" s="45">
        <v>1</v>
      </c>
      <c r="L54" s="47">
        <v>1</v>
      </c>
      <c r="M54" s="47" t="s">
        <v>456</v>
      </c>
      <c r="N54" s="47">
        <v>1</v>
      </c>
      <c r="O54" s="48" t="s">
        <v>461</v>
      </c>
      <c r="P54" s="48">
        <v>3</v>
      </c>
      <c r="Q54" s="48" t="s">
        <v>483</v>
      </c>
      <c r="R54" s="48" t="s">
        <v>483</v>
      </c>
      <c r="S54" s="49">
        <v>0</v>
      </c>
      <c r="T54" s="49">
        <v>0</v>
      </c>
      <c r="U54" s="50" t="s">
        <v>463</v>
      </c>
      <c r="V54" s="50" t="s">
        <v>487</v>
      </c>
      <c r="W54" s="51">
        <v>1</v>
      </c>
      <c r="X54" s="51">
        <v>0</v>
      </c>
      <c r="Y54" s="51" t="s">
        <v>503</v>
      </c>
      <c r="Z54" s="51" t="s">
        <v>499</v>
      </c>
      <c r="AA54" s="53">
        <v>0</v>
      </c>
      <c r="AB54" s="54" t="s">
        <v>468</v>
      </c>
      <c r="AC54" s="38" t="s">
        <v>466</v>
      </c>
      <c r="AD54" s="39" t="str">
        <f t="shared" si="7"/>
        <v/>
      </c>
      <c r="AE54" s="55" t="s">
        <v>493</v>
      </c>
      <c r="AF54" s="104" t="s">
        <v>493</v>
      </c>
      <c r="AG54" s="54" t="s">
        <v>492</v>
      </c>
      <c r="AH54" s="54" t="s">
        <v>484</v>
      </c>
      <c r="AI54" s="117"/>
      <c r="AJ54" s="113"/>
      <c r="AK54" s="12">
        <f t="shared" si="0"/>
        <v>1</v>
      </c>
      <c r="AL54" s="150" t="str">
        <f t="shared" si="1"/>
        <v>non-LVC</v>
      </c>
      <c r="AM54" s="150" t="str" cm="1">
        <f t="array" ref="AM54">IF(OR(O54:O211="zero_recoverable", "zero_exalt", "zero_other", "zero_uncertain"),
   "Yes","No")</f>
        <v>Yes</v>
      </c>
      <c r="AN54" s="150">
        <f>1 + COUNTIF($V$2:V53,"main")</f>
        <v>16</v>
      </c>
      <c r="AO54" s="150" t="str">
        <f t="shared" si="2"/>
        <v>te</v>
      </c>
      <c r="AP54" s="150">
        <f t="shared" si="3"/>
        <v>1</v>
      </c>
      <c r="AQ54" s="150">
        <f>IF(AP55=0,"",COUNTIFS($AN$2:$AN55,$AN55,$AP$2:$AP55,1))</f>
        <v>2</v>
      </c>
      <c r="AR54" s="150">
        <v>0</v>
      </c>
      <c r="AS54" s="150" t="s">
        <v>461</v>
      </c>
      <c r="AT54" s="150" t="s">
        <v>461</v>
      </c>
      <c r="AU54" s="150">
        <f t="shared" si="5"/>
        <v>0</v>
      </c>
      <c r="AV54" s="150">
        <f t="shared" si="6"/>
        <v>0</v>
      </c>
    </row>
    <row r="55" spans="1:48" x14ac:dyDescent="0.2">
      <c r="A55" s="42" t="s">
        <v>80</v>
      </c>
      <c r="B55" s="43" t="s">
        <v>203</v>
      </c>
      <c r="C55" s="44" t="s">
        <v>283</v>
      </c>
      <c r="D55" s="45" t="s">
        <v>382</v>
      </c>
      <c r="E55" s="45" t="s">
        <v>1034</v>
      </c>
      <c r="F55" s="45" t="s">
        <v>445</v>
      </c>
      <c r="G55" s="46" t="s">
        <v>434</v>
      </c>
      <c r="H55" s="45" t="s">
        <v>441</v>
      </c>
      <c r="I55" s="45" t="s">
        <v>451</v>
      </c>
      <c r="J55" s="45" t="s">
        <v>453</v>
      </c>
      <c r="K55" s="45">
        <v>1</v>
      </c>
      <c r="L55" s="47">
        <v>2</v>
      </c>
      <c r="M55" s="47" t="s">
        <v>458</v>
      </c>
      <c r="N55" s="47">
        <v>0</v>
      </c>
      <c r="O55" s="48" t="s">
        <v>461</v>
      </c>
      <c r="P55" s="48">
        <v>3</v>
      </c>
      <c r="Q55" s="48" t="s">
        <v>461</v>
      </c>
      <c r="R55" s="48" t="s">
        <v>483</v>
      </c>
      <c r="S55" s="49">
        <v>0</v>
      </c>
      <c r="T55" s="49">
        <v>0</v>
      </c>
      <c r="U55" s="50" t="s">
        <v>483</v>
      </c>
      <c r="V55" s="50" t="s">
        <v>515</v>
      </c>
      <c r="W55" s="51">
        <v>0</v>
      </c>
      <c r="X55" s="51">
        <v>0</v>
      </c>
      <c r="Y55" s="51" t="s">
        <v>483</v>
      </c>
      <c r="Z55" s="51" t="s">
        <v>483</v>
      </c>
      <c r="AA55" s="53">
        <v>0</v>
      </c>
      <c r="AB55" s="54" t="s">
        <v>469</v>
      </c>
      <c r="AC55" s="38" t="s">
        <v>487</v>
      </c>
      <c r="AD55" s="39" t="s">
        <v>1111</v>
      </c>
      <c r="AE55" s="55" t="s">
        <v>493</v>
      </c>
      <c r="AF55" s="104" t="s">
        <v>493</v>
      </c>
      <c r="AG55" s="54" t="s">
        <v>492</v>
      </c>
      <c r="AH55" s="54" t="s">
        <v>484</v>
      </c>
      <c r="AI55" s="117"/>
      <c r="AJ55" s="113"/>
      <c r="AK55" s="12">
        <f t="shared" si="0"/>
        <v>2</v>
      </c>
      <c r="AL55" s="150" t="str">
        <f t="shared" si="1"/>
        <v>non-LVC</v>
      </c>
      <c r="AM55" s="150" t="str" cm="1">
        <f t="array" ref="AM55">IF(OR(O55:O212="zero_recoverable", "zero_exalt", "zero_other", "zero_uncertain"),
   "Yes","No")</f>
        <v>Yes</v>
      </c>
      <c r="AN55" s="150">
        <f>1 + COUNTIF($V$2:V54,"main")</f>
        <v>16</v>
      </c>
      <c r="AO55" s="150" t="str">
        <f t="shared" si="2"/>
        <v>complement</v>
      </c>
      <c r="AP55" s="150">
        <f t="shared" si="3"/>
        <v>1</v>
      </c>
      <c r="AQ55" s="150">
        <f>IF(AP56=0,"",COUNTIFS($AN$2:$AN56,$AN56,$AP$2:$AP56,1))</f>
        <v>3</v>
      </c>
      <c r="AR55" s="150">
        <f t="shared" si="4"/>
        <v>0</v>
      </c>
      <c r="AS55" s="150" t="s">
        <v>461</v>
      </c>
      <c r="AT55" s="150" t="s">
        <v>483</v>
      </c>
      <c r="AU55" s="150">
        <f t="shared" si="5"/>
        <v>0</v>
      </c>
      <c r="AV55" s="150">
        <f t="shared" si="6"/>
        <v>0</v>
      </c>
    </row>
    <row r="56" spans="1:48" x14ac:dyDescent="0.2">
      <c r="A56" s="42" t="s">
        <v>81</v>
      </c>
      <c r="B56" s="43" t="s">
        <v>1058</v>
      </c>
      <c r="C56" s="44" t="s">
        <v>284</v>
      </c>
      <c r="D56" s="45" t="s">
        <v>383</v>
      </c>
      <c r="E56" s="45" t="s">
        <v>1034</v>
      </c>
      <c r="F56" s="45" t="s">
        <v>444</v>
      </c>
      <c r="G56" s="46" t="s">
        <v>436</v>
      </c>
      <c r="H56" s="45" t="s">
        <v>442</v>
      </c>
      <c r="I56" s="45" t="s">
        <v>451</v>
      </c>
      <c r="J56" s="45" t="s">
        <v>453</v>
      </c>
      <c r="K56" s="45">
        <v>1</v>
      </c>
      <c r="L56" s="47">
        <v>1</v>
      </c>
      <c r="M56" s="47" t="s">
        <v>456</v>
      </c>
      <c r="N56" s="47">
        <v>0</v>
      </c>
      <c r="O56" s="48" t="s">
        <v>461</v>
      </c>
      <c r="P56" s="48">
        <v>3</v>
      </c>
      <c r="Q56" s="48" t="s">
        <v>483</v>
      </c>
      <c r="R56" s="48" t="s">
        <v>483</v>
      </c>
      <c r="S56" s="49">
        <v>0</v>
      </c>
      <c r="T56" s="49">
        <v>0</v>
      </c>
      <c r="U56" s="50" t="s">
        <v>483</v>
      </c>
      <c r="V56" s="50" t="s">
        <v>1042</v>
      </c>
      <c r="W56" s="51">
        <v>0</v>
      </c>
      <c r="X56" s="51">
        <v>0</v>
      </c>
      <c r="Y56" s="51" t="s">
        <v>483</v>
      </c>
      <c r="Z56" s="51" t="s">
        <v>483</v>
      </c>
      <c r="AA56" s="53">
        <v>0</v>
      </c>
      <c r="AB56" s="54" t="s">
        <v>470</v>
      </c>
      <c r="AC56" s="38" t="s">
        <v>515</v>
      </c>
      <c r="AD56" s="39" t="str">
        <f t="shared" si="7"/>
        <v/>
      </c>
      <c r="AE56" s="55" t="s">
        <v>493</v>
      </c>
      <c r="AF56" s="104" t="s">
        <v>491</v>
      </c>
      <c r="AG56" s="54" t="s">
        <v>485</v>
      </c>
      <c r="AH56" s="54" t="s">
        <v>484</v>
      </c>
      <c r="AI56" s="117"/>
      <c r="AJ56" s="113"/>
      <c r="AK56" s="12">
        <f t="shared" si="0"/>
        <v>1</v>
      </c>
      <c r="AL56" s="150" t="str">
        <f t="shared" si="1"/>
        <v>non-LVC</v>
      </c>
      <c r="AM56" s="150" t="str" cm="1">
        <f t="array" ref="AM56">IF(OR(O56:O213="zero_recoverable", "zero_exalt", "zero_other", "zero_uncertain"),
   "Yes","No")</f>
        <v>Yes</v>
      </c>
      <c r="AN56" s="150">
        <f>1 + COUNTIF($V$2:V55,"main")</f>
        <v>16</v>
      </c>
      <c r="AO56" s="150" t="str">
        <f t="shared" si="2"/>
        <v>main</v>
      </c>
      <c r="AP56" s="150">
        <f t="shared" si="3"/>
        <v>1</v>
      </c>
      <c r="AQ56" s="150">
        <f>IF(AP57=0,"",COUNTIFS($AN$2:$AN57,$AN57,$AP$2:$AP57,1))</f>
        <v>4</v>
      </c>
      <c r="AR56" s="150">
        <f t="shared" si="4"/>
        <v>0</v>
      </c>
      <c r="AS56" s="150" t="s">
        <v>460</v>
      </c>
      <c r="AT56" s="150" t="s">
        <v>461</v>
      </c>
      <c r="AU56" s="150">
        <f t="shared" si="5"/>
        <v>1</v>
      </c>
      <c r="AV56" s="150">
        <f t="shared" si="6"/>
        <v>0</v>
      </c>
    </row>
    <row r="57" spans="1:48" x14ac:dyDescent="0.2">
      <c r="A57" s="42" t="s">
        <v>82</v>
      </c>
      <c r="B57" s="43" t="s">
        <v>1057</v>
      </c>
      <c r="C57" s="44" t="s">
        <v>285</v>
      </c>
      <c r="D57" s="45" t="s">
        <v>384</v>
      </c>
      <c r="E57" s="45" t="s">
        <v>1034</v>
      </c>
      <c r="F57" s="45" t="s">
        <v>528</v>
      </c>
      <c r="G57" s="46" t="s">
        <v>434</v>
      </c>
      <c r="H57" s="45" t="s">
        <v>441</v>
      </c>
      <c r="I57" s="45" t="s">
        <v>451</v>
      </c>
      <c r="J57" s="45" t="s">
        <v>453</v>
      </c>
      <c r="K57" s="45">
        <v>1</v>
      </c>
      <c r="L57" s="47">
        <v>1</v>
      </c>
      <c r="M57" s="47" t="s">
        <v>457</v>
      </c>
      <c r="N57" s="47">
        <v>0</v>
      </c>
      <c r="O57" s="48" t="s">
        <v>460</v>
      </c>
      <c r="P57" s="48">
        <v>3</v>
      </c>
      <c r="Q57" s="48" t="s">
        <v>461</v>
      </c>
      <c r="R57" s="48" t="s">
        <v>483</v>
      </c>
      <c r="S57" s="49">
        <v>0</v>
      </c>
      <c r="T57" s="49">
        <v>0</v>
      </c>
      <c r="U57" s="50" t="s">
        <v>1041</v>
      </c>
      <c r="V57" s="50" t="s">
        <v>466</v>
      </c>
      <c r="W57" s="51">
        <v>0</v>
      </c>
      <c r="X57" s="51">
        <v>1</v>
      </c>
      <c r="Y57" s="51" t="s">
        <v>503</v>
      </c>
      <c r="Z57" s="51" t="s">
        <v>499</v>
      </c>
      <c r="AA57" s="53">
        <v>0</v>
      </c>
      <c r="AB57" s="54" t="s">
        <v>466</v>
      </c>
      <c r="AC57" s="38" t="s">
        <v>1042</v>
      </c>
      <c r="AD57" s="39" t="str">
        <f t="shared" si="7"/>
        <v/>
      </c>
      <c r="AE57" s="55" t="s">
        <v>491</v>
      </c>
      <c r="AF57" s="104" t="s">
        <v>491</v>
      </c>
      <c r="AG57" s="54" t="s">
        <v>507</v>
      </c>
      <c r="AH57" s="54" t="s">
        <v>484</v>
      </c>
      <c r="AI57" s="117"/>
      <c r="AJ57" s="113"/>
      <c r="AK57" s="12">
        <f t="shared" si="0"/>
        <v>1</v>
      </c>
      <c r="AL57" s="150" t="str">
        <f t="shared" si="1"/>
        <v>non-LVC</v>
      </c>
      <c r="AM57" s="150" t="str" cm="1">
        <f t="array" ref="AM57">IF(OR(O57:O214="zero_recoverable", "zero_exalt", "zero_other", "zero_uncertain"),
   "Yes","No")</f>
        <v>Yes</v>
      </c>
      <c r="AN57" s="150">
        <f>1 + COUNTIF($V$2:V56,"main")</f>
        <v>16</v>
      </c>
      <c r="AO57" s="150" t="str">
        <f t="shared" si="2"/>
        <v>subordinate</v>
      </c>
      <c r="AP57" s="150">
        <f t="shared" si="3"/>
        <v>1</v>
      </c>
      <c r="AQ57" s="150">
        <f>IF(AP58=0,"",COUNTIFS($AN$2:$AN58,$AN58,$AP$2:$AP58,1))</f>
        <v>1</v>
      </c>
      <c r="AR57" s="150">
        <v>0</v>
      </c>
      <c r="AS57" s="150" t="s">
        <v>461</v>
      </c>
      <c r="AT57" s="150" t="s">
        <v>461</v>
      </c>
      <c r="AU57" s="150">
        <f t="shared" si="5"/>
        <v>0</v>
      </c>
      <c r="AV57" s="150">
        <f t="shared" si="6"/>
        <v>0</v>
      </c>
    </row>
    <row r="58" spans="1:48" x14ac:dyDescent="0.2">
      <c r="A58" s="42" t="s">
        <v>83</v>
      </c>
      <c r="B58" s="43" t="s">
        <v>204</v>
      </c>
      <c r="C58" s="44" t="s">
        <v>286</v>
      </c>
      <c r="D58" s="45" t="s">
        <v>385</v>
      </c>
      <c r="E58" s="45" t="s">
        <v>1034</v>
      </c>
      <c r="F58" s="45" t="s">
        <v>448</v>
      </c>
      <c r="G58" s="46" t="s">
        <v>434</v>
      </c>
      <c r="H58" s="45" t="s">
        <v>441</v>
      </c>
      <c r="I58" s="45" t="s">
        <v>451</v>
      </c>
      <c r="J58" s="45" t="s">
        <v>453</v>
      </c>
      <c r="K58" s="45">
        <v>1</v>
      </c>
      <c r="L58" s="47">
        <v>2</v>
      </c>
      <c r="M58" s="47" t="s">
        <v>700</v>
      </c>
      <c r="N58" s="47">
        <v>1</v>
      </c>
      <c r="O58" s="48" t="s">
        <v>461</v>
      </c>
      <c r="P58" s="48">
        <v>3</v>
      </c>
      <c r="Q58" s="48" t="s">
        <v>461</v>
      </c>
      <c r="R58" s="48" t="s">
        <v>483</v>
      </c>
      <c r="S58" s="49">
        <v>0</v>
      </c>
      <c r="T58" s="49">
        <v>0</v>
      </c>
      <c r="U58" s="50" t="s">
        <v>483</v>
      </c>
      <c r="V58" s="50" t="s">
        <v>487</v>
      </c>
      <c r="W58" s="51">
        <v>1</v>
      </c>
      <c r="X58" s="51">
        <v>0</v>
      </c>
      <c r="Y58" s="51" t="s">
        <v>503</v>
      </c>
      <c r="Z58" s="51" t="s">
        <v>498</v>
      </c>
      <c r="AA58" s="53">
        <v>0</v>
      </c>
      <c r="AB58" s="54" t="s">
        <v>468</v>
      </c>
      <c r="AC58" s="38" t="s">
        <v>466</v>
      </c>
      <c r="AD58" s="39" t="str">
        <f t="shared" si="7"/>
        <v/>
      </c>
      <c r="AE58" s="55" t="s">
        <v>491</v>
      </c>
      <c r="AF58" s="104" t="s">
        <v>493</v>
      </c>
      <c r="AG58" s="54" t="s">
        <v>492</v>
      </c>
      <c r="AH58" s="54" t="s">
        <v>484</v>
      </c>
      <c r="AI58" s="117"/>
      <c r="AJ58" s="113"/>
      <c r="AK58" s="12">
        <f t="shared" si="0"/>
        <v>2</v>
      </c>
      <c r="AL58" s="150" t="str">
        <f t="shared" si="1"/>
        <v>non-LVC</v>
      </c>
      <c r="AM58" s="150" t="str" cm="1">
        <f t="array" ref="AM58">IF(OR(O58:O215="zero_recoverable", "zero_exalt", "zero_other", "zero_uncertain"),
   "Yes","No")</f>
        <v>Yes</v>
      </c>
      <c r="AN58" s="150">
        <f>1 + COUNTIF($V$2:V57,"main")</f>
        <v>17</v>
      </c>
      <c r="AO58" s="150" t="str">
        <f t="shared" si="2"/>
        <v>main</v>
      </c>
      <c r="AP58" s="150">
        <f t="shared" si="3"/>
        <v>1</v>
      </c>
      <c r="AQ58" s="150">
        <f>IF(AP59=0,"",COUNTIFS($AN$2:$AN59,$AN59,$AP$2:$AP59,1))</f>
        <v>2</v>
      </c>
      <c r="AR58" s="150">
        <v>1</v>
      </c>
      <c r="AS58" s="150" t="s">
        <v>461</v>
      </c>
      <c r="AT58" s="150" t="s">
        <v>483</v>
      </c>
      <c r="AU58" s="150">
        <f t="shared" si="5"/>
        <v>0</v>
      </c>
      <c r="AV58" s="150">
        <f t="shared" si="6"/>
        <v>0</v>
      </c>
    </row>
    <row r="59" spans="1:48" x14ac:dyDescent="0.2">
      <c r="A59" s="42" t="s">
        <v>84</v>
      </c>
      <c r="B59" s="43" t="s">
        <v>205</v>
      </c>
      <c r="C59" s="44" t="s">
        <v>287</v>
      </c>
      <c r="D59" s="45" t="s">
        <v>386</v>
      </c>
      <c r="E59" s="45" t="s">
        <v>1034</v>
      </c>
      <c r="F59" s="45" t="s">
        <v>447</v>
      </c>
      <c r="G59" s="46" t="s">
        <v>438</v>
      </c>
      <c r="H59" s="45" t="s">
        <v>442</v>
      </c>
      <c r="I59" s="45" t="s">
        <v>451</v>
      </c>
      <c r="J59" s="45" t="s">
        <v>453</v>
      </c>
      <c r="K59" s="45">
        <v>1</v>
      </c>
      <c r="L59" s="47">
        <v>1</v>
      </c>
      <c r="M59" s="47" t="s">
        <v>456</v>
      </c>
      <c r="N59" s="47">
        <v>1</v>
      </c>
      <c r="O59" s="48" t="s">
        <v>461</v>
      </c>
      <c r="P59" s="48">
        <v>3</v>
      </c>
      <c r="Q59" s="48" t="s">
        <v>483</v>
      </c>
      <c r="R59" s="48" t="s">
        <v>483</v>
      </c>
      <c r="S59" s="49">
        <v>0</v>
      </c>
      <c r="T59" s="49">
        <v>0</v>
      </c>
      <c r="U59" s="50" t="s">
        <v>483</v>
      </c>
      <c r="V59" s="50" t="s">
        <v>466</v>
      </c>
      <c r="W59" s="51">
        <v>0</v>
      </c>
      <c r="X59" s="51">
        <v>0</v>
      </c>
      <c r="Y59" s="51" t="s">
        <v>483</v>
      </c>
      <c r="Z59" s="51" t="s">
        <v>483</v>
      </c>
      <c r="AA59" s="53">
        <v>0</v>
      </c>
      <c r="AB59" s="54" t="s">
        <v>439</v>
      </c>
      <c r="AC59" s="38" t="s">
        <v>487</v>
      </c>
      <c r="AD59" s="39" t="str">
        <f t="shared" si="7"/>
        <v/>
      </c>
      <c r="AE59" s="55" t="s">
        <v>493</v>
      </c>
      <c r="AF59" s="104" t="s">
        <v>491</v>
      </c>
      <c r="AG59" s="54" t="s">
        <v>492</v>
      </c>
      <c r="AH59" s="54" t="s">
        <v>484</v>
      </c>
      <c r="AI59" s="117"/>
      <c r="AJ59" s="113"/>
      <c r="AK59" s="12">
        <f t="shared" si="0"/>
        <v>1</v>
      </c>
      <c r="AL59" s="150" t="str">
        <f t="shared" si="1"/>
        <v>non-LVC</v>
      </c>
      <c r="AM59" s="150" t="str" cm="1">
        <f t="array" ref="AM59">IF(OR(O59:O216="zero_recoverable", "zero_exalt", "zero_other", "zero_uncertain"),
   "Yes","No")</f>
        <v>Yes</v>
      </c>
      <c r="AN59" s="150">
        <f>1 + COUNTIF($V$2:V58,"main")</f>
        <v>17</v>
      </c>
      <c r="AO59" s="150" t="str">
        <f t="shared" si="2"/>
        <v>te</v>
      </c>
      <c r="AP59" s="150">
        <f t="shared" si="3"/>
        <v>1</v>
      </c>
      <c r="AQ59" s="150">
        <f>IF(AP60=0,"",COUNTIFS($AN$2:$AN60,$AN60,$AP$2:$AP60,1))</f>
        <v>1</v>
      </c>
      <c r="AR59" s="150">
        <v>0</v>
      </c>
      <c r="AS59" s="150" t="s">
        <v>508</v>
      </c>
      <c r="AT59" s="150" t="s">
        <v>483</v>
      </c>
      <c r="AU59" s="150">
        <f t="shared" si="5"/>
        <v>1</v>
      </c>
      <c r="AV59" s="150">
        <f t="shared" si="6"/>
        <v>0</v>
      </c>
    </row>
    <row r="60" spans="1:48" x14ac:dyDescent="0.2">
      <c r="A60" s="42" t="s">
        <v>85</v>
      </c>
      <c r="B60" s="43" t="s">
        <v>206</v>
      </c>
      <c r="C60" s="44" t="s">
        <v>288</v>
      </c>
      <c r="D60" s="45" t="s">
        <v>387</v>
      </c>
      <c r="E60" s="45" t="s">
        <v>1034</v>
      </c>
      <c r="F60" s="45" t="s">
        <v>445</v>
      </c>
      <c r="G60" s="46" t="s">
        <v>1047</v>
      </c>
      <c r="H60" s="45" t="s">
        <v>442</v>
      </c>
      <c r="I60" s="45" t="s">
        <v>451</v>
      </c>
      <c r="J60" s="45" t="s">
        <v>453</v>
      </c>
      <c r="K60" s="45">
        <v>1</v>
      </c>
      <c r="L60" s="47">
        <v>1</v>
      </c>
      <c r="M60" s="47" t="s">
        <v>455</v>
      </c>
      <c r="N60" s="47">
        <v>0</v>
      </c>
      <c r="O60" s="48" t="s">
        <v>508</v>
      </c>
      <c r="P60" s="48">
        <v>3</v>
      </c>
      <c r="Q60" s="48" t="s">
        <v>483</v>
      </c>
      <c r="R60" s="48" t="s">
        <v>461</v>
      </c>
      <c r="S60" s="49">
        <v>0</v>
      </c>
      <c r="T60" s="49">
        <v>0</v>
      </c>
      <c r="U60" s="50" t="s">
        <v>483</v>
      </c>
      <c r="V60" s="50" t="s">
        <v>515</v>
      </c>
      <c r="W60" s="51">
        <v>0</v>
      </c>
      <c r="X60" s="51">
        <v>0</v>
      </c>
      <c r="Y60" s="51" t="s">
        <v>483</v>
      </c>
      <c r="Z60" s="51" t="s">
        <v>483</v>
      </c>
      <c r="AA60" s="53">
        <v>0</v>
      </c>
      <c r="AB60" s="54" t="s">
        <v>469</v>
      </c>
      <c r="AC60" s="38" t="s">
        <v>466</v>
      </c>
      <c r="AD60" s="39" t="s">
        <v>1111</v>
      </c>
      <c r="AE60" s="55" t="s">
        <v>491</v>
      </c>
      <c r="AF60" s="104" t="s">
        <v>491</v>
      </c>
      <c r="AG60" s="54" t="s">
        <v>507</v>
      </c>
      <c r="AH60" s="54" t="s">
        <v>484</v>
      </c>
      <c r="AI60" s="117"/>
      <c r="AJ60" s="113"/>
      <c r="AK60" s="12">
        <f t="shared" si="0"/>
        <v>1</v>
      </c>
      <c r="AL60" s="150" t="str">
        <f t="shared" si="1"/>
        <v>non-LVC</v>
      </c>
      <c r="AM60" s="150" t="str" cm="1">
        <f t="array" ref="AM60">IF(OR(O60:O217="zero_recoverable", "zero_exalt", "zero_other", "zero_uncertain"),
   "Yes","No")</f>
        <v>Yes</v>
      </c>
      <c r="AN60" s="150">
        <f>1 + COUNTIF($V$2:V59,"main")</f>
        <v>18</v>
      </c>
      <c r="AO60" s="150" t="str">
        <f t="shared" si="2"/>
        <v>subordinate</v>
      </c>
      <c r="AP60" s="150">
        <f t="shared" si="3"/>
        <v>1</v>
      </c>
      <c r="AQ60" s="150">
        <f>IF(AP61=0,"",COUNTIFS($AN$2:$AN61,$AN61,$AP$2:$AP61,1))</f>
        <v>2</v>
      </c>
      <c r="AR60" s="150">
        <f t="shared" si="4"/>
        <v>0</v>
      </c>
      <c r="AS60" s="150" t="s">
        <v>508</v>
      </c>
      <c r="AT60" s="150" t="s">
        <v>483</v>
      </c>
      <c r="AU60" s="150">
        <f t="shared" si="5"/>
        <v>0</v>
      </c>
      <c r="AV60" s="150">
        <f t="shared" si="6"/>
        <v>0</v>
      </c>
    </row>
    <row r="61" spans="1:48" x14ac:dyDescent="0.2">
      <c r="A61" s="42" t="s">
        <v>86</v>
      </c>
      <c r="B61" s="43" t="s">
        <v>207</v>
      </c>
      <c r="C61" s="44" t="s">
        <v>289</v>
      </c>
      <c r="D61" s="45" t="s">
        <v>388</v>
      </c>
      <c r="E61" s="45" t="s">
        <v>1034</v>
      </c>
      <c r="F61" s="45" t="s">
        <v>447</v>
      </c>
      <c r="G61" s="46" t="s">
        <v>438</v>
      </c>
      <c r="H61" s="45" t="s">
        <v>442</v>
      </c>
      <c r="I61" s="45" t="s">
        <v>451</v>
      </c>
      <c r="J61" s="45" t="s">
        <v>453</v>
      </c>
      <c r="K61" s="45">
        <v>1</v>
      </c>
      <c r="L61" s="47">
        <v>1</v>
      </c>
      <c r="M61" s="47" t="s">
        <v>456</v>
      </c>
      <c r="N61" s="47">
        <v>1</v>
      </c>
      <c r="O61" s="48" t="s">
        <v>508</v>
      </c>
      <c r="P61" s="48">
        <v>3</v>
      </c>
      <c r="Q61" s="48" t="s">
        <v>483</v>
      </c>
      <c r="R61" s="48" t="s">
        <v>483</v>
      </c>
      <c r="S61" s="49">
        <v>0</v>
      </c>
      <c r="T61" s="49">
        <v>0</v>
      </c>
      <c r="U61" s="50" t="s">
        <v>483</v>
      </c>
      <c r="V61" s="50" t="s">
        <v>487</v>
      </c>
      <c r="W61" s="51">
        <v>0</v>
      </c>
      <c r="X61" s="51">
        <v>0</v>
      </c>
      <c r="Y61" s="51" t="s">
        <v>483</v>
      </c>
      <c r="Z61" s="51" t="s">
        <v>483</v>
      </c>
      <c r="AA61" s="53">
        <v>0</v>
      </c>
      <c r="AB61" s="54" t="s">
        <v>494</v>
      </c>
      <c r="AC61" s="38" t="s">
        <v>515</v>
      </c>
      <c r="AD61" s="39" t="str">
        <f t="shared" si="7"/>
        <v/>
      </c>
      <c r="AE61" s="55" t="s">
        <v>491</v>
      </c>
      <c r="AF61" s="104" t="s">
        <v>493</v>
      </c>
      <c r="AG61" s="54" t="s">
        <v>507</v>
      </c>
      <c r="AH61" s="54" t="s">
        <v>484</v>
      </c>
      <c r="AI61" s="117"/>
      <c r="AJ61" s="113"/>
      <c r="AK61" s="12">
        <f t="shared" si="0"/>
        <v>1</v>
      </c>
      <c r="AL61" s="150" t="str">
        <f t="shared" si="1"/>
        <v>non-LVC</v>
      </c>
      <c r="AM61" s="150" t="str" cm="1">
        <f t="array" ref="AM61">IF(OR(O61:O218="zero_recoverable", "zero_exalt", "zero_other", "zero_uncertain"),
   "Yes","No")</f>
        <v>Yes</v>
      </c>
      <c r="AN61" s="150">
        <f>1 + COUNTIF($V$2:V60,"main")</f>
        <v>18</v>
      </c>
      <c r="AO61" s="150" t="str">
        <f t="shared" si="2"/>
        <v>te</v>
      </c>
      <c r="AP61" s="150">
        <f t="shared" si="3"/>
        <v>1</v>
      </c>
      <c r="AQ61" s="150">
        <f>IF(AP62=0,"",COUNTIFS($AN$2:$AN62,$AN62,$AP$2:$AP62,1))</f>
        <v>3</v>
      </c>
      <c r="AR61" s="150">
        <f t="shared" si="4"/>
        <v>0</v>
      </c>
      <c r="AS61" s="150" t="s">
        <v>527</v>
      </c>
      <c r="AT61" s="150" t="s">
        <v>527</v>
      </c>
      <c r="AU61" s="150">
        <f t="shared" si="5"/>
        <v>0</v>
      </c>
      <c r="AV61" s="150">
        <f t="shared" si="6"/>
        <v>0</v>
      </c>
    </row>
    <row r="62" spans="1:48" x14ac:dyDescent="0.2">
      <c r="A62" s="42" t="s">
        <v>87</v>
      </c>
      <c r="B62" s="43" t="s">
        <v>208</v>
      </c>
      <c r="C62" s="44" t="s">
        <v>290</v>
      </c>
      <c r="D62" s="45" t="s">
        <v>389</v>
      </c>
      <c r="E62" s="45" t="s">
        <v>1034</v>
      </c>
      <c r="F62" s="45" t="s">
        <v>448</v>
      </c>
      <c r="G62" s="46" t="s">
        <v>434</v>
      </c>
      <c r="H62" s="45" t="s">
        <v>443</v>
      </c>
      <c r="I62" s="45" t="s">
        <v>451</v>
      </c>
      <c r="J62" s="45" t="s">
        <v>453</v>
      </c>
      <c r="K62" s="45">
        <v>1</v>
      </c>
      <c r="L62" s="47">
        <v>1</v>
      </c>
      <c r="M62" s="47" t="s">
        <v>455</v>
      </c>
      <c r="N62" s="47">
        <v>0</v>
      </c>
      <c r="O62" s="48" t="s">
        <v>527</v>
      </c>
      <c r="P62" s="48">
        <v>3</v>
      </c>
      <c r="Q62" s="48" t="s">
        <v>527</v>
      </c>
      <c r="R62" s="48" t="s">
        <v>461</v>
      </c>
      <c r="S62" s="49">
        <v>0</v>
      </c>
      <c r="T62" s="49">
        <v>0</v>
      </c>
      <c r="U62" s="50" t="s">
        <v>483</v>
      </c>
      <c r="V62" s="50" t="s">
        <v>515</v>
      </c>
      <c r="W62" s="51">
        <v>0</v>
      </c>
      <c r="X62" s="51">
        <v>0</v>
      </c>
      <c r="Y62" s="51" t="s">
        <v>483</v>
      </c>
      <c r="Z62" s="51" t="s">
        <v>483</v>
      </c>
      <c r="AA62" s="53">
        <v>0</v>
      </c>
      <c r="AB62" s="54" t="s">
        <v>469</v>
      </c>
      <c r="AC62" s="38" t="s">
        <v>487</v>
      </c>
      <c r="AD62" s="39" t="s">
        <v>1111</v>
      </c>
      <c r="AE62" s="55" t="s">
        <v>493</v>
      </c>
      <c r="AF62" s="104" t="s">
        <v>491</v>
      </c>
      <c r="AG62" s="54" t="s">
        <v>507</v>
      </c>
      <c r="AH62" s="54" t="s">
        <v>484</v>
      </c>
      <c r="AI62" s="117"/>
      <c r="AJ62" s="113"/>
      <c r="AK62" s="12">
        <f t="shared" si="0"/>
        <v>1</v>
      </c>
      <c r="AL62" s="150" t="str">
        <f t="shared" si="1"/>
        <v>non-LVC</v>
      </c>
      <c r="AM62" s="150" t="str" cm="1">
        <f t="array" ref="AM62">IF(OR(O62:O219="zero_recoverable", "zero_exalt", "zero_other", "zero_uncertain"),
   "Yes","No")</f>
        <v>Yes</v>
      </c>
      <c r="AN62" s="150">
        <f>1 + COUNTIF($V$2:V61,"main")</f>
        <v>18</v>
      </c>
      <c r="AO62" s="150" t="str">
        <f t="shared" si="2"/>
        <v>main</v>
      </c>
      <c r="AP62" s="150">
        <f t="shared" si="3"/>
        <v>1</v>
      </c>
      <c r="AQ62" s="150">
        <f>IF(AP63=0,"",COUNTIFS($AN$2:$AN63,$AN63,$AP$2:$AP63,1))</f>
        <v>4</v>
      </c>
      <c r="AR62" s="150">
        <f t="shared" si="4"/>
        <v>0</v>
      </c>
      <c r="AS62" s="150" t="s">
        <v>508</v>
      </c>
      <c r="AT62" s="150" t="s">
        <v>483</v>
      </c>
      <c r="AU62" s="150">
        <f t="shared" si="5"/>
        <v>0</v>
      </c>
      <c r="AV62" s="150">
        <f t="shared" si="6"/>
        <v>0</v>
      </c>
    </row>
    <row r="63" spans="1:48" x14ac:dyDescent="0.2">
      <c r="A63" s="42" t="s">
        <v>88</v>
      </c>
      <c r="B63" s="43" t="s">
        <v>209</v>
      </c>
      <c r="C63" s="44" t="s">
        <v>291</v>
      </c>
      <c r="D63" s="45" t="s">
        <v>384</v>
      </c>
      <c r="E63" s="45" t="s">
        <v>1034</v>
      </c>
      <c r="F63" s="45" t="s">
        <v>528</v>
      </c>
      <c r="G63" s="46" t="s">
        <v>434</v>
      </c>
      <c r="H63" s="45" t="s">
        <v>442</v>
      </c>
      <c r="I63" s="45" t="s">
        <v>452</v>
      </c>
      <c r="J63" s="45" t="s">
        <v>453</v>
      </c>
      <c r="K63" s="45">
        <v>1</v>
      </c>
      <c r="L63" s="47">
        <v>1</v>
      </c>
      <c r="M63" s="47" t="s">
        <v>457</v>
      </c>
      <c r="N63" s="47">
        <v>0</v>
      </c>
      <c r="O63" s="48" t="s">
        <v>508</v>
      </c>
      <c r="P63" s="48">
        <v>3</v>
      </c>
      <c r="Q63" s="48" t="s">
        <v>483</v>
      </c>
      <c r="R63" s="48" t="s">
        <v>461</v>
      </c>
      <c r="S63" s="49">
        <v>0</v>
      </c>
      <c r="T63" s="49">
        <v>0</v>
      </c>
      <c r="U63" s="50" t="s">
        <v>1041</v>
      </c>
      <c r="V63" s="50" t="s">
        <v>466</v>
      </c>
      <c r="W63" s="51">
        <v>0</v>
      </c>
      <c r="X63" s="51">
        <v>0</v>
      </c>
      <c r="Y63" s="51" t="s">
        <v>483</v>
      </c>
      <c r="Z63" s="51" t="s">
        <v>483</v>
      </c>
      <c r="AA63" s="53">
        <v>0</v>
      </c>
      <c r="AB63" s="54" t="s">
        <v>439</v>
      </c>
      <c r="AC63" s="38" t="s">
        <v>515</v>
      </c>
      <c r="AD63" s="39" t="str">
        <f t="shared" si="7"/>
        <v/>
      </c>
      <c r="AE63" s="55" t="s">
        <v>491</v>
      </c>
      <c r="AF63" s="104" t="s">
        <v>493</v>
      </c>
      <c r="AG63" s="54" t="s">
        <v>507</v>
      </c>
      <c r="AH63" s="54" t="s">
        <v>484</v>
      </c>
      <c r="AI63" s="117"/>
      <c r="AJ63" s="113"/>
      <c r="AK63" s="12">
        <f t="shared" si="0"/>
        <v>1</v>
      </c>
      <c r="AL63" s="150" t="str">
        <f t="shared" si="1"/>
        <v>non-LVC</v>
      </c>
      <c r="AM63" s="150" t="str" cm="1">
        <f t="array" ref="AM63">IF(OR(O63:O220="zero_recoverable", "zero_exalt", "zero_other", "zero_uncertain"),
   "Yes","No")</f>
        <v>Yes</v>
      </c>
      <c r="AN63" s="150">
        <f>1 + COUNTIF($V$2:V62,"main")</f>
        <v>18</v>
      </c>
      <c r="AO63" s="150" t="str">
        <f t="shared" si="2"/>
        <v>subordinate</v>
      </c>
      <c r="AP63" s="150">
        <f t="shared" si="3"/>
        <v>1</v>
      </c>
      <c r="AQ63" s="150">
        <f>IF(AP64=0,"",COUNTIFS($AN$2:$AN64,$AN64,$AP$2:$AP64,1))</f>
        <v>1</v>
      </c>
      <c r="AR63" s="150">
        <v>0</v>
      </c>
      <c r="AS63" s="150" t="s">
        <v>461</v>
      </c>
      <c r="AT63" s="150" t="s">
        <v>483</v>
      </c>
      <c r="AU63" s="150">
        <f t="shared" si="5"/>
        <v>0</v>
      </c>
      <c r="AV63" s="150">
        <f t="shared" si="6"/>
        <v>0</v>
      </c>
    </row>
    <row r="64" spans="1:48" x14ac:dyDescent="0.2">
      <c r="A64" s="42" t="s">
        <v>89</v>
      </c>
      <c r="B64" s="43" t="s">
        <v>1060</v>
      </c>
      <c r="C64" s="44" t="s">
        <v>530</v>
      </c>
      <c r="D64" s="45" t="s">
        <v>390</v>
      </c>
      <c r="E64" s="45" t="s">
        <v>1034</v>
      </c>
      <c r="F64" s="45" t="s">
        <v>528</v>
      </c>
      <c r="G64" s="46" t="s">
        <v>434</v>
      </c>
      <c r="H64" s="45" t="s">
        <v>442</v>
      </c>
      <c r="I64" s="45" t="s">
        <v>451</v>
      </c>
      <c r="J64" s="45" t="s">
        <v>453</v>
      </c>
      <c r="K64" s="45">
        <v>1</v>
      </c>
      <c r="L64" s="47">
        <v>1</v>
      </c>
      <c r="M64" s="47" t="s">
        <v>456</v>
      </c>
      <c r="N64" s="47">
        <v>1</v>
      </c>
      <c r="O64" s="48" t="s">
        <v>461</v>
      </c>
      <c r="P64" s="48">
        <v>3</v>
      </c>
      <c r="Q64" s="48" t="s">
        <v>483</v>
      </c>
      <c r="R64" s="48" t="s">
        <v>483</v>
      </c>
      <c r="S64" s="49">
        <v>0</v>
      </c>
      <c r="T64" s="49">
        <v>1</v>
      </c>
      <c r="U64" s="50" t="s">
        <v>463</v>
      </c>
      <c r="V64" s="50" t="s">
        <v>487</v>
      </c>
      <c r="W64" s="51">
        <v>0</v>
      </c>
      <c r="X64" s="51">
        <v>0</v>
      </c>
      <c r="Y64" s="51" t="s">
        <v>483</v>
      </c>
      <c r="Z64" s="51" t="s">
        <v>483</v>
      </c>
      <c r="AA64" s="53">
        <v>0</v>
      </c>
      <c r="AB64" s="54" t="s">
        <v>494</v>
      </c>
      <c r="AC64" s="38" t="s">
        <v>466</v>
      </c>
      <c r="AD64" s="39" t="str">
        <f t="shared" si="7"/>
        <v/>
      </c>
      <c r="AE64" s="55" t="s">
        <v>493</v>
      </c>
      <c r="AF64" s="104" t="s">
        <v>491</v>
      </c>
      <c r="AG64" s="54" t="s">
        <v>486</v>
      </c>
      <c r="AH64" s="54" t="s">
        <v>484</v>
      </c>
      <c r="AI64" s="117"/>
      <c r="AJ64" s="113"/>
      <c r="AK64" s="12">
        <f t="shared" si="0"/>
        <v>1</v>
      </c>
      <c r="AL64" s="150" t="str">
        <f t="shared" si="1"/>
        <v>non-LVC</v>
      </c>
      <c r="AM64" s="150" t="str" cm="1">
        <f t="array" ref="AM64">IF(OR(O64:O221="zero_recoverable", "zero_exalt", "zero_other", "zero_uncertain"),
   "Yes","No")</f>
        <v>Yes</v>
      </c>
      <c r="AN64" s="150">
        <f>1 + COUNTIF($V$2:V63,"main")</f>
        <v>19</v>
      </c>
      <c r="AO64" s="150" t="str">
        <f t="shared" si="2"/>
        <v/>
      </c>
      <c r="AP64" s="150">
        <f t="shared" si="3"/>
        <v>1</v>
      </c>
      <c r="AQ64" s="150">
        <f>IF(AP65=0,"",COUNTIFS($AN$2:$AN65,$AN65,$AP$2:$AP65,1))</f>
        <v>2</v>
      </c>
      <c r="AR64" s="150">
        <v>1</v>
      </c>
      <c r="AS64" s="150" t="s">
        <v>508</v>
      </c>
      <c r="AT64" s="150" t="s">
        <v>483</v>
      </c>
      <c r="AU64" s="150">
        <f t="shared" si="5"/>
        <v>1</v>
      </c>
      <c r="AV64" s="150">
        <f t="shared" si="6"/>
        <v>0</v>
      </c>
    </row>
    <row r="65" spans="1:48" x14ac:dyDescent="0.2">
      <c r="A65" s="42" t="s">
        <v>90</v>
      </c>
      <c r="B65" s="43" t="s">
        <v>1059</v>
      </c>
      <c r="C65" s="44" t="s">
        <v>529</v>
      </c>
      <c r="D65" s="45" t="s">
        <v>391</v>
      </c>
      <c r="E65" s="45" t="s">
        <v>1034</v>
      </c>
      <c r="F65" s="45" t="s">
        <v>445</v>
      </c>
      <c r="G65" s="46" t="s">
        <v>434</v>
      </c>
      <c r="H65" s="45" t="s">
        <v>442</v>
      </c>
      <c r="I65" s="45" t="s">
        <v>452</v>
      </c>
      <c r="J65" s="45" t="s">
        <v>453</v>
      </c>
      <c r="K65" s="45">
        <v>1</v>
      </c>
      <c r="L65" s="47">
        <v>0</v>
      </c>
      <c r="M65" s="47" t="s">
        <v>483</v>
      </c>
      <c r="N65" s="47">
        <v>0</v>
      </c>
      <c r="O65" s="48" t="s">
        <v>508</v>
      </c>
      <c r="P65" s="48">
        <v>3</v>
      </c>
      <c r="Q65" s="48" t="s">
        <v>483</v>
      </c>
      <c r="R65" s="48" t="s">
        <v>483</v>
      </c>
      <c r="S65" s="49">
        <v>0</v>
      </c>
      <c r="T65" s="49">
        <v>0</v>
      </c>
      <c r="U65" s="50" t="s">
        <v>1041</v>
      </c>
      <c r="V65" s="50" t="s">
        <v>466</v>
      </c>
      <c r="W65" s="51">
        <v>0</v>
      </c>
      <c r="X65" s="51">
        <v>0</v>
      </c>
      <c r="Y65" s="51" t="s">
        <v>483</v>
      </c>
      <c r="Z65" s="51" t="s">
        <v>483</v>
      </c>
      <c r="AA65" s="53">
        <v>0</v>
      </c>
      <c r="AB65" s="54" t="s">
        <v>439</v>
      </c>
      <c r="AC65" s="38" t="s">
        <v>487</v>
      </c>
      <c r="AD65" s="39" t="str">
        <f t="shared" si="7"/>
        <v/>
      </c>
      <c r="AE65" s="55" t="s">
        <v>491</v>
      </c>
      <c r="AF65" s="104" t="s">
        <v>491</v>
      </c>
      <c r="AG65" s="54" t="s">
        <v>507</v>
      </c>
      <c r="AH65" s="54" t="s">
        <v>473</v>
      </c>
      <c r="AI65" s="117"/>
      <c r="AJ65" s="113"/>
      <c r="AK65" s="12">
        <f t="shared" si="0"/>
        <v>0</v>
      </c>
      <c r="AL65" s="150" t="str">
        <f t="shared" si="1"/>
        <v>non-LVC</v>
      </c>
      <c r="AM65" s="150" t="str" cm="1">
        <f t="array" ref="AM65">IF(OR(O65:O222="zero_recoverable", "zero_exalt", "zero_other", "zero_uncertain"),
   "Yes","No")</f>
        <v>Yes</v>
      </c>
      <c r="AN65" s="150">
        <f>1 + COUNTIF($V$2:V64,"main")</f>
        <v>19</v>
      </c>
      <c r="AO65" s="150" t="str">
        <f t="shared" si="2"/>
        <v/>
      </c>
      <c r="AP65" s="150">
        <f t="shared" si="3"/>
        <v>1</v>
      </c>
      <c r="AQ65" s="150">
        <f>IF(AP66=0,"",COUNTIFS($AN$2:$AN66,$AN66,$AP$2:$AP66,1))</f>
        <v>1</v>
      </c>
      <c r="AR65" s="150">
        <v>0</v>
      </c>
      <c r="AS65" s="150" t="s">
        <v>461</v>
      </c>
      <c r="AT65" s="150" t="s">
        <v>461</v>
      </c>
      <c r="AU65" s="150">
        <f t="shared" si="5"/>
        <v>0</v>
      </c>
      <c r="AV65" s="150">
        <f t="shared" si="6"/>
        <v>0</v>
      </c>
    </row>
    <row r="66" spans="1:48" x14ac:dyDescent="0.2">
      <c r="A66" s="42" t="s">
        <v>91</v>
      </c>
      <c r="B66" s="43" t="s">
        <v>210</v>
      </c>
      <c r="C66" s="44" t="s">
        <v>292</v>
      </c>
      <c r="D66" s="45" t="s">
        <v>392</v>
      </c>
      <c r="E66" s="45" t="s">
        <v>1034</v>
      </c>
      <c r="F66" s="45" t="s">
        <v>445</v>
      </c>
      <c r="G66" s="46" t="s">
        <v>434</v>
      </c>
      <c r="H66" s="45" t="s">
        <v>441</v>
      </c>
      <c r="I66" s="45" t="s">
        <v>451</v>
      </c>
      <c r="J66" s="45" t="s">
        <v>454</v>
      </c>
      <c r="K66" s="45">
        <v>1</v>
      </c>
      <c r="L66" s="47">
        <v>2</v>
      </c>
      <c r="M66" s="47" t="s">
        <v>458</v>
      </c>
      <c r="N66" s="47">
        <v>0</v>
      </c>
      <c r="O66" s="48" t="s">
        <v>461</v>
      </c>
      <c r="P66" s="48">
        <v>3</v>
      </c>
      <c r="Q66" s="48" t="s">
        <v>461</v>
      </c>
      <c r="R66" s="48" t="s">
        <v>483</v>
      </c>
      <c r="S66" s="49">
        <v>0</v>
      </c>
      <c r="T66" s="49">
        <v>0</v>
      </c>
      <c r="U66" s="50" t="s">
        <v>483</v>
      </c>
      <c r="V66" s="50" t="s">
        <v>515</v>
      </c>
      <c r="W66" s="51">
        <v>0</v>
      </c>
      <c r="X66" s="51">
        <v>0</v>
      </c>
      <c r="Y66" s="51" t="s">
        <v>483</v>
      </c>
      <c r="Z66" s="51" t="s">
        <v>483</v>
      </c>
      <c r="AA66" s="53">
        <v>0</v>
      </c>
      <c r="AB66" s="54" t="s">
        <v>469</v>
      </c>
      <c r="AC66" s="38" t="s">
        <v>466</v>
      </c>
      <c r="AD66" s="39" t="str">
        <f t="shared" si="7"/>
        <v>te_initial</v>
      </c>
      <c r="AE66" s="55" t="s">
        <v>491</v>
      </c>
      <c r="AF66" s="104" t="s">
        <v>493</v>
      </c>
      <c r="AG66" s="54" t="s">
        <v>486</v>
      </c>
      <c r="AH66" s="54" t="s">
        <v>484</v>
      </c>
      <c r="AI66" s="117"/>
      <c r="AJ66" s="113"/>
      <c r="AK66" s="12">
        <f t="shared" ref="AK66:AK129" si="8">L66/K66</f>
        <v>2</v>
      </c>
      <c r="AL66" s="150" t="str">
        <f t="shared" si="1"/>
        <v>non-LVC</v>
      </c>
      <c r="AM66" s="150" t="str" cm="1">
        <f t="array" ref="AM66">IF(OR(O66:O223="zero_recoverable", "zero_exalt", "zero_other", "zero_uncertain"),
   "Yes","No")</f>
        <v>Yes</v>
      </c>
      <c r="AN66" s="150">
        <f>1 + COUNTIF($V$2:V65,"main")</f>
        <v>20</v>
      </c>
      <c r="AO66" s="150" t="str">
        <f t="shared" si="2"/>
        <v>subordinate</v>
      </c>
      <c r="AP66" s="150">
        <f t="shared" si="3"/>
        <v>1</v>
      </c>
      <c r="AQ66" s="150">
        <f>IF(AP67=0,"",COUNTIFS($AN$2:$AN67,$AN67,$AP$2:$AP67,1))</f>
        <v>2</v>
      </c>
      <c r="AR66" s="150">
        <v>1</v>
      </c>
      <c r="AS66" s="150" t="s">
        <v>461</v>
      </c>
      <c r="AT66" s="150" t="s">
        <v>483</v>
      </c>
      <c r="AU66" s="150">
        <f t="shared" si="5"/>
        <v>0</v>
      </c>
      <c r="AV66" s="150">
        <f t="shared" si="6"/>
        <v>0</v>
      </c>
    </row>
    <row r="67" spans="1:48" x14ac:dyDescent="0.2">
      <c r="A67" s="42" t="s">
        <v>92</v>
      </c>
      <c r="B67" s="43" t="s">
        <v>531</v>
      </c>
      <c r="C67" s="44" t="s">
        <v>293</v>
      </c>
      <c r="D67" s="45" t="s">
        <v>393</v>
      </c>
      <c r="E67" s="45" t="s">
        <v>1034</v>
      </c>
      <c r="F67" s="45" t="s">
        <v>445</v>
      </c>
      <c r="G67" s="46" t="s">
        <v>434</v>
      </c>
      <c r="H67" s="45" t="s">
        <v>442</v>
      </c>
      <c r="I67" s="45" t="s">
        <v>451</v>
      </c>
      <c r="J67" s="45" t="s">
        <v>454</v>
      </c>
      <c r="K67" s="45">
        <v>1</v>
      </c>
      <c r="L67" s="47">
        <v>1</v>
      </c>
      <c r="M67" s="47" t="s">
        <v>456</v>
      </c>
      <c r="N67" s="47">
        <v>1</v>
      </c>
      <c r="O67" s="48" t="s">
        <v>461</v>
      </c>
      <c r="P67" s="48">
        <v>3</v>
      </c>
      <c r="Q67" s="48" t="s">
        <v>483</v>
      </c>
      <c r="R67" s="48" t="s">
        <v>483</v>
      </c>
      <c r="S67" s="49">
        <v>0</v>
      </c>
      <c r="T67" s="49">
        <v>1</v>
      </c>
      <c r="U67" s="50" t="s">
        <v>463</v>
      </c>
      <c r="V67" s="50" t="s">
        <v>487</v>
      </c>
      <c r="W67" s="51">
        <v>0</v>
      </c>
      <c r="X67" s="51">
        <v>0</v>
      </c>
      <c r="Y67" s="51" t="s">
        <v>483</v>
      </c>
      <c r="Z67" s="51" t="s">
        <v>483</v>
      </c>
      <c r="AA67" s="53">
        <v>0</v>
      </c>
      <c r="AB67" s="54" t="s">
        <v>468</v>
      </c>
      <c r="AC67" s="38" t="s">
        <v>515</v>
      </c>
      <c r="AD67" s="39" t="str">
        <f t="shared" ref="AD67:AD130" si="9">IF(V67&lt;&gt;"te","",
   IF(OR(AC67="",AC67&lt;&gt;"te"),
      "te_initial",
      "te_medial"))</f>
        <v/>
      </c>
      <c r="AE67" s="55" t="s">
        <v>493</v>
      </c>
      <c r="AF67" s="104" t="s">
        <v>493</v>
      </c>
      <c r="AG67" s="54" t="s">
        <v>507</v>
      </c>
      <c r="AH67" s="54" t="s">
        <v>484</v>
      </c>
      <c r="AI67" s="117"/>
      <c r="AJ67" s="113"/>
      <c r="AK67" s="12">
        <f t="shared" si="8"/>
        <v>1</v>
      </c>
      <c r="AL67" s="150" t="str">
        <f t="shared" ref="AL67:AL130" si="10">IF(OR(G67="LVC",
 G67="LVC (j)",
  G67="LVC (inf)"),
   "LVC","non-LVC")</f>
        <v>non-LVC</v>
      </c>
      <c r="AM67" s="150" t="str" cm="1">
        <f t="array" ref="AM67">IF(OR(O67:O224="zero_recoverable", "zero_exalt", "zero_other", "zero_uncertain"),
   "Yes","No")</f>
        <v>Yes</v>
      </c>
      <c r="AN67" s="150">
        <f>1 + COUNTIF($V$2:V66,"main")</f>
        <v>20</v>
      </c>
      <c r="AO67" s="150" t="str">
        <f t="shared" ref="AO67:AO130" si="11">IF($A67="","",IF($AH67=$AH68,$V68,""))</f>
        <v/>
      </c>
      <c r="AP67" s="150">
        <f t="shared" ref="AP67:AP130" si="12">IF(OR($V67="relative",$V67="nominalised"),0,1)</f>
        <v>1</v>
      </c>
      <c r="AQ67" s="150">
        <f>IF(AP68=0,"",COUNTIFS($AN$2:$AN68,$AN68,$AP$2:$AP68,1))</f>
        <v>3</v>
      </c>
      <c r="AR67" s="150">
        <f t="shared" ref="AR67:AR130" si="13">IF(AQ67=1,1,0)</f>
        <v>0</v>
      </c>
      <c r="AS67" s="150" t="s">
        <v>460</v>
      </c>
      <c r="AT67" s="150" t="s">
        <v>483</v>
      </c>
      <c r="AU67" s="150">
        <f t="shared" ref="AU67:AU130" si="14">IF(AND($O67="overt",LEFT($AS67,5)="zero_"),1,0)</f>
        <v>1</v>
      </c>
      <c r="AV67" s="150">
        <f t="shared" ref="AV67:AV130" si="15">IF(AND($Q67="overt",LEFT($AT67,5)="zero_"),1,0)</f>
        <v>0</v>
      </c>
    </row>
    <row r="68" spans="1:48" x14ac:dyDescent="0.2">
      <c r="A68" s="42" t="s">
        <v>93</v>
      </c>
      <c r="B68" s="43" t="s">
        <v>532</v>
      </c>
      <c r="C68" s="44" t="s">
        <v>294</v>
      </c>
      <c r="D68" s="45" t="s">
        <v>394</v>
      </c>
      <c r="E68" s="45" t="s">
        <v>1034</v>
      </c>
      <c r="F68" s="45" t="s">
        <v>446</v>
      </c>
      <c r="G68" s="46" t="s">
        <v>434</v>
      </c>
      <c r="H68" s="45" t="s">
        <v>442</v>
      </c>
      <c r="I68" s="45" t="s">
        <v>451</v>
      </c>
      <c r="J68" s="45" t="s">
        <v>453</v>
      </c>
      <c r="K68" s="45">
        <v>1</v>
      </c>
      <c r="L68" s="47">
        <v>0</v>
      </c>
      <c r="M68" s="47" t="s">
        <v>483</v>
      </c>
      <c r="N68" s="47">
        <v>1</v>
      </c>
      <c r="O68" s="48" t="s">
        <v>460</v>
      </c>
      <c r="P68" s="48">
        <v>3</v>
      </c>
      <c r="Q68" s="48" t="s">
        <v>483</v>
      </c>
      <c r="R68" s="48" t="s">
        <v>483</v>
      </c>
      <c r="S68" s="49">
        <v>0</v>
      </c>
      <c r="T68" s="49">
        <v>0</v>
      </c>
      <c r="U68" s="50" t="s">
        <v>463</v>
      </c>
      <c r="V68" s="50" t="s">
        <v>487</v>
      </c>
      <c r="W68" s="51">
        <v>0</v>
      </c>
      <c r="X68" s="51">
        <v>1</v>
      </c>
      <c r="Y68" s="51" t="s">
        <v>503</v>
      </c>
      <c r="Z68" s="51" t="s">
        <v>512</v>
      </c>
      <c r="AA68" s="53">
        <v>0</v>
      </c>
      <c r="AB68" s="54" t="s">
        <v>468</v>
      </c>
      <c r="AC68" s="38" t="s">
        <v>487</v>
      </c>
      <c r="AD68" s="39" t="str">
        <f t="shared" si="9"/>
        <v/>
      </c>
      <c r="AE68" s="55" t="s">
        <v>493</v>
      </c>
      <c r="AF68" s="104" t="s">
        <v>491</v>
      </c>
      <c r="AG68" s="54" t="s">
        <v>507</v>
      </c>
      <c r="AH68" s="54" t="s">
        <v>473</v>
      </c>
      <c r="AI68" s="117"/>
      <c r="AJ68" s="113"/>
      <c r="AK68" s="12">
        <f t="shared" si="8"/>
        <v>0</v>
      </c>
      <c r="AL68" s="150" t="str">
        <f t="shared" si="10"/>
        <v>non-LVC</v>
      </c>
      <c r="AM68" s="150" t="str" cm="1">
        <f t="array" ref="AM68">IF(OR(O68:O225="zero_recoverable", "zero_exalt", "zero_other", "zero_uncertain"),
   "Yes","No")</f>
        <v>Yes</v>
      </c>
      <c r="AN68" s="150">
        <f>1 + COUNTIF($V$2:V67,"main")</f>
        <v>20</v>
      </c>
      <c r="AO68" s="150" t="str">
        <f t="shared" si="11"/>
        <v>te</v>
      </c>
      <c r="AP68" s="150">
        <f t="shared" si="12"/>
        <v>1</v>
      </c>
      <c r="AQ68" s="150">
        <f>IF(AP69=0,"",COUNTIFS($AN$2:$AN69,$AN69,$AP$2:$AP69,1))</f>
        <v>4</v>
      </c>
      <c r="AR68" s="150">
        <f t="shared" si="13"/>
        <v>0</v>
      </c>
      <c r="AS68" s="150" t="s">
        <v>508</v>
      </c>
      <c r="AT68" s="150" t="s">
        <v>483</v>
      </c>
      <c r="AU68" s="150">
        <f t="shared" si="14"/>
        <v>0</v>
      </c>
      <c r="AV68" s="150">
        <f t="shared" si="15"/>
        <v>0</v>
      </c>
    </row>
    <row r="69" spans="1:48" x14ac:dyDescent="0.2">
      <c r="A69" s="42" t="s">
        <v>94</v>
      </c>
      <c r="B69" s="43" t="s">
        <v>533</v>
      </c>
      <c r="C69" s="44" t="s">
        <v>295</v>
      </c>
      <c r="D69" s="45" t="s">
        <v>534</v>
      </c>
      <c r="E69" s="45" t="s">
        <v>1034</v>
      </c>
      <c r="F69" s="45" t="s">
        <v>445</v>
      </c>
      <c r="G69" s="46" t="s">
        <v>695</v>
      </c>
      <c r="H69" s="45" t="s">
        <v>442</v>
      </c>
      <c r="I69" s="45" t="s">
        <v>451</v>
      </c>
      <c r="J69" s="45" t="s">
        <v>453</v>
      </c>
      <c r="K69" s="45">
        <v>1</v>
      </c>
      <c r="L69" s="47">
        <v>0</v>
      </c>
      <c r="M69" s="47" t="s">
        <v>483</v>
      </c>
      <c r="N69" s="47">
        <v>1</v>
      </c>
      <c r="O69" s="48" t="s">
        <v>508</v>
      </c>
      <c r="P69" s="48">
        <v>3</v>
      </c>
      <c r="Q69" s="48" t="s">
        <v>483</v>
      </c>
      <c r="R69" s="48" t="s">
        <v>483</v>
      </c>
      <c r="S69" s="49">
        <v>0</v>
      </c>
      <c r="T69" s="49">
        <v>0</v>
      </c>
      <c r="U69" s="50" t="s">
        <v>483</v>
      </c>
      <c r="V69" s="50" t="s">
        <v>515</v>
      </c>
      <c r="W69" s="51">
        <v>0</v>
      </c>
      <c r="X69" s="51">
        <v>0</v>
      </c>
      <c r="Y69" s="51" t="s">
        <v>483</v>
      </c>
      <c r="Z69" s="51" t="s">
        <v>483</v>
      </c>
      <c r="AA69" s="53">
        <v>0</v>
      </c>
      <c r="AB69" s="54" t="s">
        <v>469</v>
      </c>
      <c r="AC69" s="38" t="s">
        <v>487</v>
      </c>
      <c r="AD69" s="39" t="s">
        <v>1111</v>
      </c>
      <c r="AE69" s="55" t="s">
        <v>491</v>
      </c>
      <c r="AF69" s="104" t="s">
        <v>493</v>
      </c>
      <c r="AG69" s="54" t="s">
        <v>507</v>
      </c>
      <c r="AH69" s="54" t="s">
        <v>473</v>
      </c>
      <c r="AI69" s="117"/>
      <c r="AJ69" s="113"/>
      <c r="AK69" s="12">
        <f t="shared" si="8"/>
        <v>0</v>
      </c>
      <c r="AL69" s="150" t="str">
        <f t="shared" si="10"/>
        <v>LVC</v>
      </c>
      <c r="AM69" s="150" t="str" cm="1">
        <f t="array" ref="AM69">IF(OR(O69:O226="zero_recoverable", "zero_exalt", "zero_other", "zero_uncertain"),
   "Yes","No")</f>
        <v>Yes</v>
      </c>
      <c r="AN69" s="150">
        <f>1 + COUNTIF($V$2:V68,"main")</f>
        <v>20</v>
      </c>
      <c r="AO69" s="150" t="str">
        <f t="shared" si="11"/>
        <v/>
      </c>
      <c r="AP69" s="150">
        <f t="shared" si="12"/>
        <v>1</v>
      </c>
      <c r="AQ69" s="150" t="str">
        <f>IF(AP70=0,"",COUNTIFS($AN$2:$AN70,$AN70,$AP$2:$AP70,1))</f>
        <v/>
      </c>
      <c r="AR69" s="150">
        <f t="shared" si="13"/>
        <v>0</v>
      </c>
      <c r="AS69" s="150" t="s">
        <v>461</v>
      </c>
      <c r="AT69" s="150" t="s">
        <v>508</v>
      </c>
      <c r="AU69" s="150">
        <f t="shared" si="14"/>
        <v>0</v>
      </c>
      <c r="AV69" s="150">
        <f t="shared" si="15"/>
        <v>0</v>
      </c>
    </row>
    <row r="70" spans="1:48" x14ac:dyDescent="0.2">
      <c r="A70" s="42" t="s">
        <v>95</v>
      </c>
      <c r="B70" s="43" t="s">
        <v>211</v>
      </c>
      <c r="C70" s="44" t="s">
        <v>296</v>
      </c>
      <c r="D70" s="45" t="s">
        <v>395</v>
      </c>
      <c r="E70" s="45" t="s">
        <v>1034</v>
      </c>
      <c r="F70" s="45" t="s">
        <v>528</v>
      </c>
      <c r="G70" s="46" t="s">
        <v>434</v>
      </c>
      <c r="H70" s="45" t="s">
        <v>441</v>
      </c>
      <c r="I70" s="45" t="s">
        <v>451</v>
      </c>
      <c r="J70" s="45" t="s">
        <v>453</v>
      </c>
      <c r="K70" s="45">
        <v>1</v>
      </c>
      <c r="L70" s="47">
        <v>1</v>
      </c>
      <c r="M70" s="47" t="s">
        <v>456</v>
      </c>
      <c r="N70" s="47">
        <v>0</v>
      </c>
      <c r="O70" s="48" t="s">
        <v>461</v>
      </c>
      <c r="P70" s="48">
        <v>3</v>
      </c>
      <c r="Q70" s="62" t="s">
        <v>508</v>
      </c>
      <c r="R70" s="48" t="s">
        <v>483</v>
      </c>
      <c r="S70" s="49">
        <v>0</v>
      </c>
      <c r="T70" s="49">
        <v>1</v>
      </c>
      <c r="U70" s="50" t="s">
        <v>463</v>
      </c>
      <c r="V70" s="50" t="s">
        <v>465</v>
      </c>
      <c r="W70" s="51">
        <v>1</v>
      </c>
      <c r="X70" s="51">
        <v>0</v>
      </c>
      <c r="Y70" s="51" t="s">
        <v>503</v>
      </c>
      <c r="Z70" s="51" t="s">
        <v>499</v>
      </c>
      <c r="AA70" s="53">
        <v>0</v>
      </c>
      <c r="AB70" s="54" t="s">
        <v>439</v>
      </c>
      <c r="AC70" s="38" t="s">
        <v>515</v>
      </c>
      <c r="AD70" s="39" t="str">
        <f t="shared" si="9"/>
        <v/>
      </c>
      <c r="AE70" s="55" t="s">
        <v>493</v>
      </c>
      <c r="AF70" s="104" t="s">
        <v>491</v>
      </c>
      <c r="AG70" s="54" t="s">
        <v>485</v>
      </c>
      <c r="AH70" s="54" t="s">
        <v>484</v>
      </c>
      <c r="AI70" s="117"/>
      <c r="AJ70" s="113"/>
      <c r="AK70" s="12">
        <f t="shared" si="8"/>
        <v>1</v>
      </c>
      <c r="AL70" s="150" t="str">
        <f t="shared" si="10"/>
        <v>non-LVC</v>
      </c>
      <c r="AM70" s="150" t="str" cm="1">
        <f t="array" ref="AM70">IF(OR(O70:O227="zero_recoverable", "zero_exalt", "zero_other", "zero_uncertain"),
   "Yes","No")</f>
        <v>Yes</v>
      </c>
      <c r="AN70" s="150">
        <f>1 + COUNTIF($V$2:V69,"main")</f>
        <v>20</v>
      </c>
      <c r="AO70" s="150" t="str">
        <f t="shared" si="11"/>
        <v>te</v>
      </c>
      <c r="AP70" s="150">
        <f t="shared" si="12"/>
        <v>0</v>
      </c>
      <c r="AQ70" s="150">
        <f>IF(AP71=0,"",COUNTIFS($AN$2:$AN71,$AN71,$AP$2:$AP71,1))</f>
        <v>5</v>
      </c>
      <c r="AR70" s="150">
        <f t="shared" si="13"/>
        <v>0</v>
      </c>
      <c r="AS70" s="150" t="s">
        <v>460</v>
      </c>
      <c r="AT70" s="150" t="s">
        <v>461</v>
      </c>
      <c r="AU70" s="150">
        <f t="shared" si="14"/>
        <v>1</v>
      </c>
      <c r="AV70" s="150">
        <f t="shared" si="15"/>
        <v>0</v>
      </c>
    </row>
    <row r="71" spans="1:48" x14ac:dyDescent="0.2">
      <c r="A71" s="42" t="s">
        <v>96</v>
      </c>
      <c r="B71" s="43" t="s">
        <v>212</v>
      </c>
      <c r="C71" s="44" t="s">
        <v>536</v>
      </c>
      <c r="D71" s="45" t="s">
        <v>396</v>
      </c>
      <c r="E71" s="45" t="s">
        <v>1034</v>
      </c>
      <c r="F71" s="45" t="s">
        <v>528</v>
      </c>
      <c r="G71" s="46" t="s">
        <v>434</v>
      </c>
      <c r="H71" s="45" t="s">
        <v>441</v>
      </c>
      <c r="I71" s="45" t="s">
        <v>451</v>
      </c>
      <c r="J71" s="45" t="s">
        <v>453</v>
      </c>
      <c r="K71" s="45">
        <v>1</v>
      </c>
      <c r="L71" s="47">
        <v>1</v>
      </c>
      <c r="M71" s="47" t="s">
        <v>464</v>
      </c>
      <c r="N71" s="47">
        <v>1</v>
      </c>
      <c r="O71" s="48" t="s">
        <v>460</v>
      </c>
      <c r="P71" s="48">
        <v>3</v>
      </c>
      <c r="Q71" s="48" t="s">
        <v>461</v>
      </c>
      <c r="R71" s="48" t="s">
        <v>483</v>
      </c>
      <c r="S71" s="49">
        <v>0</v>
      </c>
      <c r="T71" s="49">
        <v>0</v>
      </c>
      <c r="U71" s="50" t="s">
        <v>483</v>
      </c>
      <c r="V71" s="50" t="s">
        <v>515</v>
      </c>
      <c r="W71" s="51">
        <v>0</v>
      </c>
      <c r="X71" s="51">
        <v>1</v>
      </c>
      <c r="Y71" s="51" t="s">
        <v>503</v>
      </c>
      <c r="Z71" s="51" t="s">
        <v>497</v>
      </c>
      <c r="AA71" s="53">
        <v>0</v>
      </c>
      <c r="AB71" s="54" t="s">
        <v>469</v>
      </c>
      <c r="AC71" s="38" t="s">
        <v>465</v>
      </c>
      <c r="AD71" s="39" t="s">
        <v>1111</v>
      </c>
      <c r="AE71" s="55" t="s">
        <v>491</v>
      </c>
      <c r="AF71" s="104" t="s">
        <v>491</v>
      </c>
      <c r="AG71" s="54" t="s">
        <v>507</v>
      </c>
      <c r="AH71" s="54" t="s">
        <v>484</v>
      </c>
      <c r="AI71" s="117"/>
      <c r="AJ71" s="113"/>
      <c r="AK71" s="12">
        <f t="shared" si="8"/>
        <v>1</v>
      </c>
      <c r="AL71" s="150" t="str">
        <f t="shared" si="10"/>
        <v>non-LVC</v>
      </c>
      <c r="AM71" s="150" t="str" cm="1">
        <f t="array" ref="AM71">IF(OR(O71:O228="zero_recoverable", "zero_exalt", "zero_other", "zero_uncertain"),
   "Yes","No")</f>
        <v>Yes</v>
      </c>
      <c r="AN71" s="150">
        <f>1 + COUNTIF($V$2:V70,"main")</f>
        <v>20</v>
      </c>
      <c r="AO71" s="150" t="str">
        <f t="shared" si="11"/>
        <v/>
      </c>
      <c r="AP71" s="150">
        <f t="shared" si="12"/>
        <v>1</v>
      </c>
      <c r="AQ71" s="150">
        <f>IF(AP72=0,"",COUNTIFS($AN$2:$AN72,$AN72,$AP$2:$AP72,1))</f>
        <v>6</v>
      </c>
      <c r="AR71" s="150">
        <f t="shared" si="13"/>
        <v>0</v>
      </c>
      <c r="AS71" s="150" t="s">
        <v>508</v>
      </c>
      <c r="AT71" s="150" t="s">
        <v>508</v>
      </c>
      <c r="AU71" s="150">
        <f t="shared" si="14"/>
        <v>0</v>
      </c>
      <c r="AV71" s="150">
        <f t="shared" si="15"/>
        <v>1</v>
      </c>
    </row>
    <row r="72" spans="1:48" x14ac:dyDescent="0.2">
      <c r="A72" s="42" t="s">
        <v>97</v>
      </c>
      <c r="B72" s="43" t="s">
        <v>213</v>
      </c>
      <c r="C72" s="44" t="s">
        <v>535</v>
      </c>
      <c r="D72" s="45" t="s">
        <v>397</v>
      </c>
      <c r="E72" s="45" t="s">
        <v>1034</v>
      </c>
      <c r="F72" s="45" t="s">
        <v>445</v>
      </c>
      <c r="G72" s="46" t="s">
        <v>434</v>
      </c>
      <c r="H72" s="45" t="s">
        <v>441</v>
      </c>
      <c r="I72" s="45" t="s">
        <v>451</v>
      </c>
      <c r="J72" s="45" t="s">
        <v>453</v>
      </c>
      <c r="K72" s="45">
        <v>1</v>
      </c>
      <c r="L72" s="47">
        <v>0</v>
      </c>
      <c r="M72" s="47" t="s">
        <v>483</v>
      </c>
      <c r="N72" s="47">
        <v>0</v>
      </c>
      <c r="O72" s="48" t="s">
        <v>508</v>
      </c>
      <c r="P72" s="48">
        <v>3</v>
      </c>
      <c r="Q72" s="62" t="s">
        <v>508</v>
      </c>
      <c r="R72" s="48" t="s">
        <v>483</v>
      </c>
      <c r="S72" s="49">
        <v>0</v>
      </c>
      <c r="T72" s="49">
        <v>0</v>
      </c>
      <c r="U72" s="50" t="s">
        <v>483</v>
      </c>
      <c r="V72" s="50" t="s">
        <v>515</v>
      </c>
      <c r="W72" s="51">
        <v>0</v>
      </c>
      <c r="X72" s="51">
        <v>0</v>
      </c>
      <c r="Y72" s="51" t="s">
        <v>483</v>
      </c>
      <c r="Z72" s="51" t="s">
        <v>483</v>
      </c>
      <c r="AA72" s="53">
        <v>0</v>
      </c>
      <c r="AB72" s="54" t="s">
        <v>439</v>
      </c>
      <c r="AC72" s="38" t="s">
        <v>515</v>
      </c>
      <c r="AD72" s="39" t="str">
        <f t="shared" si="9"/>
        <v>te_medial</v>
      </c>
      <c r="AE72" s="55" t="s">
        <v>491</v>
      </c>
      <c r="AF72" s="104" t="s">
        <v>491</v>
      </c>
      <c r="AG72" s="54" t="s">
        <v>507</v>
      </c>
      <c r="AH72" s="54" t="s">
        <v>473</v>
      </c>
      <c r="AI72" s="117"/>
      <c r="AJ72" s="113"/>
      <c r="AK72" s="12">
        <f t="shared" si="8"/>
        <v>0</v>
      </c>
      <c r="AL72" s="150" t="str">
        <f t="shared" si="10"/>
        <v>non-LVC</v>
      </c>
      <c r="AM72" s="150" t="str" cm="1">
        <f t="array" ref="AM72">IF(OR(O72:O229="zero_recoverable", "zero_exalt", "zero_other", "zero_uncertain"),
   "Yes","No")</f>
        <v>Yes</v>
      </c>
      <c r="AN72" s="150">
        <f>1 + COUNTIF($V$2:V71,"main")</f>
        <v>20</v>
      </c>
      <c r="AO72" s="150" t="str">
        <f t="shared" si="11"/>
        <v>main</v>
      </c>
      <c r="AP72" s="150">
        <f t="shared" si="12"/>
        <v>1</v>
      </c>
      <c r="AQ72" s="150">
        <f>IF(AP73=0,"",COUNTIFS($AN$2:$AN73,$AN73,$AP$2:$AP73,1))</f>
        <v>7</v>
      </c>
      <c r="AR72" s="150">
        <f t="shared" si="13"/>
        <v>0</v>
      </c>
      <c r="AS72" s="150" t="s">
        <v>460</v>
      </c>
      <c r="AT72" s="150" t="s">
        <v>483</v>
      </c>
      <c r="AU72" s="150">
        <f t="shared" si="14"/>
        <v>0</v>
      </c>
      <c r="AV72" s="150">
        <f t="shared" si="15"/>
        <v>0</v>
      </c>
    </row>
    <row r="73" spans="1:48" x14ac:dyDescent="0.2">
      <c r="A73" s="42" t="s">
        <v>98</v>
      </c>
      <c r="B73" s="43" t="s">
        <v>214</v>
      </c>
      <c r="C73" s="44" t="s">
        <v>537</v>
      </c>
      <c r="D73" s="45" t="s">
        <v>214</v>
      </c>
      <c r="E73" s="45" t="s">
        <v>1034</v>
      </c>
      <c r="F73" s="45" t="s">
        <v>446</v>
      </c>
      <c r="G73" s="46" t="s">
        <v>434</v>
      </c>
      <c r="H73" s="45" t="s">
        <v>442</v>
      </c>
      <c r="I73" s="45" t="s">
        <v>451</v>
      </c>
      <c r="J73" s="45" t="s">
        <v>453</v>
      </c>
      <c r="K73" s="45">
        <v>1</v>
      </c>
      <c r="L73" s="47">
        <v>0</v>
      </c>
      <c r="M73" s="47" t="s">
        <v>483</v>
      </c>
      <c r="N73" s="47">
        <v>0</v>
      </c>
      <c r="O73" s="48" t="s">
        <v>460</v>
      </c>
      <c r="P73" s="48">
        <v>3</v>
      </c>
      <c r="Q73" s="48" t="s">
        <v>483</v>
      </c>
      <c r="R73" s="48" t="s">
        <v>483</v>
      </c>
      <c r="S73" s="49">
        <v>0</v>
      </c>
      <c r="T73" s="49">
        <v>0</v>
      </c>
      <c r="U73" s="50" t="s">
        <v>483</v>
      </c>
      <c r="V73" s="50" t="s">
        <v>466</v>
      </c>
      <c r="W73" s="51">
        <v>0</v>
      </c>
      <c r="X73" s="51">
        <v>1</v>
      </c>
      <c r="Y73" s="51" t="s">
        <v>503</v>
      </c>
      <c r="Z73" s="51" t="s">
        <v>499</v>
      </c>
      <c r="AA73" s="53">
        <v>0</v>
      </c>
      <c r="AB73" s="54" t="s">
        <v>439</v>
      </c>
      <c r="AC73" s="38" t="s">
        <v>515</v>
      </c>
      <c r="AD73" s="39" t="str">
        <f t="shared" si="9"/>
        <v/>
      </c>
      <c r="AE73" s="55" t="s">
        <v>491</v>
      </c>
      <c r="AF73" s="104" t="s">
        <v>493</v>
      </c>
      <c r="AG73" s="54" t="s">
        <v>507</v>
      </c>
      <c r="AH73" s="54" t="s">
        <v>473</v>
      </c>
      <c r="AI73" s="117"/>
      <c r="AJ73" s="113"/>
      <c r="AK73" s="12">
        <f t="shared" si="8"/>
        <v>0</v>
      </c>
      <c r="AL73" s="150" t="str">
        <f t="shared" si="10"/>
        <v>non-LVC</v>
      </c>
      <c r="AM73" s="150" t="str" cm="1">
        <f t="array" ref="AM73">IF(OR(O73:O230="zero_recoverable", "zero_exalt", "zero_other", "zero_uncertain"),
   "Yes","No")</f>
        <v>Yes</v>
      </c>
      <c r="AN73" s="150">
        <f>1 + COUNTIF($V$2:V72,"main")</f>
        <v>20</v>
      </c>
      <c r="AO73" s="150" t="str">
        <f t="shared" si="11"/>
        <v/>
      </c>
      <c r="AP73" s="150">
        <f t="shared" si="12"/>
        <v>1</v>
      </c>
      <c r="AQ73" s="150">
        <f>IF(AP74=0,"",COUNTIFS($AN$2:$AN74,$AN74,$AP$2:$AP74,1))</f>
        <v>1</v>
      </c>
      <c r="AR73" s="150">
        <v>0</v>
      </c>
      <c r="AS73" s="150" t="s">
        <v>461</v>
      </c>
      <c r="AT73" s="150" t="s">
        <v>508</v>
      </c>
      <c r="AU73" s="150">
        <f t="shared" si="14"/>
        <v>0</v>
      </c>
      <c r="AV73" s="150">
        <f t="shared" si="15"/>
        <v>0</v>
      </c>
    </row>
    <row r="74" spans="1:48" x14ac:dyDescent="0.2">
      <c r="A74" s="42" t="s">
        <v>99</v>
      </c>
      <c r="B74" s="43" t="s">
        <v>215</v>
      </c>
      <c r="C74" s="44" t="s">
        <v>297</v>
      </c>
      <c r="D74" s="45" t="s">
        <v>398</v>
      </c>
      <c r="E74" s="45" t="s">
        <v>1034</v>
      </c>
      <c r="F74" s="45" t="s">
        <v>528</v>
      </c>
      <c r="G74" s="46" t="s">
        <v>1046</v>
      </c>
      <c r="H74" s="45" t="s">
        <v>441</v>
      </c>
      <c r="I74" s="45" t="s">
        <v>451</v>
      </c>
      <c r="J74" s="45" t="s">
        <v>453</v>
      </c>
      <c r="K74" s="45">
        <v>1</v>
      </c>
      <c r="L74" s="47">
        <v>1</v>
      </c>
      <c r="M74" s="47" t="s">
        <v>456</v>
      </c>
      <c r="N74" s="47">
        <v>0</v>
      </c>
      <c r="O74" s="48" t="s">
        <v>461</v>
      </c>
      <c r="P74" s="48">
        <v>3</v>
      </c>
      <c r="Q74" s="48" t="s">
        <v>508</v>
      </c>
      <c r="R74" s="48" t="s">
        <v>483</v>
      </c>
      <c r="S74" s="49">
        <v>0</v>
      </c>
      <c r="T74" s="49">
        <v>0</v>
      </c>
      <c r="U74" s="50" t="s">
        <v>483</v>
      </c>
      <c r="V74" s="50" t="s">
        <v>515</v>
      </c>
      <c r="W74" s="51">
        <v>1</v>
      </c>
      <c r="X74" s="51">
        <v>0</v>
      </c>
      <c r="Y74" s="51" t="s">
        <v>503</v>
      </c>
      <c r="Z74" s="51" t="s">
        <v>498</v>
      </c>
      <c r="AA74" s="53">
        <v>0</v>
      </c>
      <c r="AB74" s="54" t="s">
        <v>469</v>
      </c>
      <c r="AC74" s="38" t="s">
        <v>466</v>
      </c>
      <c r="AD74" s="39" t="str">
        <f t="shared" si="9"/>
        <v>te_initial</v>
      </c>
      <c r="AE74" s="55" t="s">
        <v>493</v>
      </c>
      <c r="AF74" s="104" t="s">
        <v>491</v>
      </c>
      <c r="AG74" s="54" t="s">
        <v>492</v>
      </c>
      <c r="AH74" s="54" t="s">
        <v>484</v>
      </c>
      <c r="AI74" s="117"/>
      <c r="AJ74" s="113"/>
      <c r="AK74" s="12">
        <f t="shared" si="8"/>
        <v>1</v>
      </c>
      <c r="AL74" s="150" t="str">
        <f t="shared" si="10"/>
        <v>non-LVC</v>
      </c>
      <c r="AM74" s="150" t="str" cm="1">
        <f t="array" ref="AM74">IF(OR(O74:O231="zero_recoverable", "zero_exalt", "zero_other", "zero_uncertain"),
   "Yes","No")</f>
        <v>Yes</v>
      </c>
      <c r="AN74" s="150">
        <f>1 + COUNTIF($V$2:V73,"main")</f>
        <v>21</v>
      </c>
      <c r="AO74" s="150" t="str">
        <f t="shared" si="11"/>
        <v/>
      </c>
      <c r="AP74" s="150">
        <f t="shared" si="12"/>
        <v>1</v>
      </c>
      <c r="AQ74" s="150">
        <f>IF(AP75=0,"",COUNTIFS($AN$2:$AN75,$AN75,$AP$2:$AP75,1))</f>
        <v>2</v>
      </c>
      <c r="AR74" s="150">
        <v>1</v>
      </c>
      <c r="AS74" s="150" t="s">
        <v>459</v>
      </c>
      <c r="AT74" s="150" t="s">
        <v>483</v>
      </c>
      <c r="AU74" s="150">
        <f t="shared" si="14"/>
        <v>1</v>
      </c>
      <c r="AV74" s="150">
        <f t="shared" si="15"/>
        <v>0</v>
      </c>
    </row>
    <row r="75" spans="1:48" x14ac:dyDescent="0.2">
      <c r="A75" s="42" t="s">
        <v>100</v>
      </c>
      <c r="B75" s="43" t="s">
        <v>1061</v>
      </c>
      <c r="C75" s="44" t="s">
        <v>298</v>
      </c>
      <c r="D75" s="45" t="s">
        <v>399</v>
      </c>
      <c r="E75" s="45" t="s">
        <v>1034</v>
      </c>
      <c r="F75" s="45" t="s">
        <v>445</v>
      </c>
      <c r="G75" s="46" t="s">
        <v>434</v>
      </c>
      <c r="H75" s="45" t="s">
        <v>442</v>
      </c>
      <c r="I75" s="45" t="s">
        <v>451</v>
      </c>
      <c r="J75" s="45" t="s">
        <v>453</v>
      </c>
      <c r="K75" s="45">
        <v>1</v>
      </c>
      <c r="L75" s="47">
        <v>0</v>
      </c>
      <c r="M75" s="47" t="s">
        <v>483</v>
      </c>
      <c r="N75" s="47">
        <v>1</v>
      </c>
      <c r="O75" s="48" t="s">
        <v>459</v>
      </c>
      <c r="P75" s="48">
        <v>3</v>
      </c>
      <c r="Q75" s="48" t="s">
        <v>483</v>
      </c>
      <c r="R75" s="48" t="s">
        <v>483</v>
      </c>
      <c r="S75" s="49">
        <v>0</v>
      </c>
      <c r="T75" s="49">
        <v>0</v>
      </c>
      <c r="U75" s="50" t="s">
        <v>463</v>
      </c>
      <c r="V75" s="50" t="s">
        <v>1042</v>
      </c>
      <c r="W75" s="51">
        <v>0</v>
      </c>
      <c r="X75" s="51">
        <v>0</v>
      </c>
      <c r="Y75" s="51" t="s">
        <v>483</v>
      </c>
      <c r="Z75" s="51" t="s">
        <v>500</v>
      </c>
      <c r="AA75" s="53">
        <v>0</v>
      </c>
      <c r="AB75" s="54" t="s">
        <v>470</v>
      </c>
      <c r="AC75" s="38" t="s">
        <v>515</v>
      </c>
      <c r="AD75" s="39" t="str">
        <f t="shared" si="9"/>
        <v/>
      </c>
      <c r="AE75" s="55" t="s">
        <v>491</v>
      </c>
      <c r="AF75" s="104" t="s">
        <v>491</v>
      </c>
      <c r="AG75" s="54" t="s">
        <v>507</v>
      </c>
      <c r="AH75" s="54" t="s">
        <v>473</v>
      </c>
      <c r="AI75" s="117"/>
      <c r="AJ75" s="113"/>
      <c r="AK75" s="12">
        <f t="shared" si="8"/>
        <v>0</v>
      </c>
      <c r="AL75" s="150" t="str">
        <f t="shared" si="10"/>
        <v>non-LVC</v>
      </c>
      <c r="AM75" s="150" t="str" cm="1">
        <f t="array" ref="AM75">IF(OR(O75:O232="zero_recoverable", "zero_exalt", "zero_other", "zero_uncertain"),
   "Yes","No")</f>
        <v>Yes</v>
      </c>
      <c r="AN75" s="150">
        <f>1 + COUNTIF($V$2:V74,"main")</f>
        <v>21</v>
      </c>
      <c r="AO75" s="150" t="str">
        <f t="shared" si="11"/>
        <v/>
      </c>
      <c r="AP75" s="150">
        <f t="shared" si="12"/>
        <v>1</v>
      </c>
      <c r="AQ75" s="150">
        <f>IF(AP76=0,"",COUNTIFS($AN$2:$AN76,$AN76,$AP$2:$AP76,1))</f>
        <v>3</v>
      </c>
      <c r="AR75" s="150">
        <f t="shared" si="13"/>
        <v>0</v>
      </c>
      <c r="AS75" s="150" t="s">
        <v>460</v>
      </c>
      <c r="AT75" s="150" t="s">
        <v>461</v>
      </c>
      <c r="AU75" s="150">
        <f t="shared" si="14"/>
        <v>0</v>
      </c>
      <c r="AV75" s="150">
        <f t="shared" si="15"/>
        <v>0</v>
      </c>
    </row>
    <row r="76" spans="1:48" x14ac:dyDescent="0.2">
      <c r="A76" s="42" t="s">
        <v>101</v>
      </c>
      <c r="B76" s="43" t="s">
        <v>1062</v>
      </c>
      <c r="C76" s="44" t="s">
        <v>299</v>
      </c>
      <c r="D76" s="45" t="s">
        <v>400</v>
      </c>
      <c r="E76" s="45" t="s">
        <v>1034</v>
      </c>
      <c r="F76" s="45" t="s">
        <v>528</v>
      </c>
      <c r="G76" s="46" t="s">
        <v>434</v>
      </c>
      <c r="H76" s="45" t="s">
        <v>442</v>
      </c>
      <c r="I76" s="45" t="s">
        <v>452</v>
      </c>
      <c r="J76" s="45" t="s">
        <v>453</v>
      </c>
      <c r="K76" s="45">
        <v>1</v>
      </c>
      <c r="L76" s="47">
        <v>1</v>
      </c>
      <c r="M76" s="47" t="s">
        <v>457</v>
      </c>
      <c r="N76" s="47">
        <v>0</v>
      </c>
      <c r="O76" s="48" t="s">
        <v>460</v>
      </c>
      <c r="P76" s="48">
        <v>3</v>
      </c>
      <c r="Q76" s="48" t="s">
        <v>461</v>
      </c>
      <c r="R76" s="48" t="s">
        <v>483</v>
      </c>
      <c r="S76" s="49">
        <v>0</v>
      </c>
      <c r="T76" s="49">
        <v>0</v>
      </c>
      <c r="U76" s="50" t="s">
        <v>483</v>
      </c>
      <c r="V76" s="50" t="s">
        <v>466</v>
      </c>
      <c r="W76" s="51">
        <v>0</v>
      </c>
      <c r="X76" s="51">
        <v>1</v>
      </c>
      <c r="Y76" s="51" t="s">
        <v>503</v>
      </c>
      <c r="Z76" s="51" t="s">
        <v>513</v>
      </c>
      <c r="AA76" s="53">
        <v>0</v>
      </c>
      <c r="AB76" s="54" t="s">
        <v>468</v>
      </c>
      <c r="AC76" s="38" t="s">
        <v>1042</v>
      </c>
      <c r="AD76" s="39" t="str">
        <f t="shared" si="9"/>
        <v/>
      </c>
      <c r="AE76" s="55" t="s">
        <v>491</v>
      </c>
      <c r="AF76" s="104" t="s">
        <v>491</v>
      </c>
      <c r="AG76" s="54" t="s">
        <v>507</v>
      </c>
      <c r="AH76" s="54" t="s">
        <v>484</v>
      </c>
      <c r="AI76" s="117"/>
      <c r="AJ76" s="113"/>
      <c r="AK76" s="12">
        <f t="shared" si="8"/>
        <v>1</v>
      </c>
      <c r="AL76" s="150" t="str">
        <f t="shared" si="10"/>
        <v>non-LVC</v>
      </c>
      <c r="AM76" s="150" t="str" cm="1">
        <f t="array" ref="AM76">IF(OR(O76:O233="zero_recoverable", "zero_exalt", "zero_other", "zero_uncertain"),
   "Yes","No")</f>
        <v>Yes</v>
      </c>
      <c r="AN76" s="150">
        <f>1 + COUNTIF($V$2:V75,"main")</f>
        <v>21</v>
      </c>
      <c r="AO76" s="150" t="str">
        <f t="shared" si="11"/>
        <v/>
      </c>
      <c r="AP76" s="150">
        <f t="shared" si="12"/>
        <v>1</v>
      </c>
      <c r="AQ76" s="150">
        <f>IF(AP77=0,"",COUNTIFS($AN$2:$AN77,$AN77,$AP$2:$AP77,1))</f>
        <v>1</v>
      </c>
      <c r="AR76" s="150">
        <v>0</v>
      </c>
      <c r="AS76" s="150" t="s">
        <v>459</v>
      </c>
      <c r="AT76" s="150" t="s">
        <v>462</v>
      </c>
      <c r="AU76" s="150">
        <f t="shared" si="14"/>
        <v>0</v>
      </c>
      <c r="AV76" s="150">
        <f t="shared" si="15"/>
        <v>0</v>
      </c>
    </row>
    <row r="77" spans="1:48" x14ac:dyDescent="0.2">
      <c r="A77" s="42" t="s">
        <v>102</v>
      </c>
      <c r="B77" s="43" t="s">
        <v>216</v>
      </c>
      <c r="C77" s="44" t="s">
        <v>300</v>
      </c>
      <c r="D77" s="45" t="s">
        <v>401</v>
      </c>
      <c r="E77" s="45" t="s">
        <v>1036</v>
      </c>
      <c r="F77" s="45" t="s">
        <v>445</v>
      </c>
      <c r="G77" s="46" t="s">
        <v>434</v>
      </c>
      <c r="H77" s="45" t="s">
        <v>442</v>
      </c>
      <c r="I77" s="45" t="s">
        <v>451</v>
      </c>
      <c r="J77" s="45" t="s">
        <v>453</v>
      </c>
      <c r="K77" s="45">
        <v>1</v>
      </c>
      <c r="L77" s="47">
        <v>0</v>
      </c>
      <c r="M77" s="47" t="s">
        <v>483</v>
      </c>
      <c r="N77" s="47">
        <v>1</v>
      </c>
      <c r="O77" s="48" t="s">
        <v>459</v>
      </c>
      <c r="P77" s="48">
        <v>3</v>
      </c>
      <c r="Q77" s="48" t="s">
        <v>483</v>
      </c>
      <c r="R77" s="48" t="s">
        <v>483</v>
      </c>
      <c r="S77" s="49">
        <v>0</v>
      </c>
      <c r="T77" s="49">
        <v>0</v>
      </c>
      <c r="U77" s="50" t="s">
        <v>483</v>
      </c>
      <c r="V77" s="50" t="s">
        <v>466</v>
      </c>
      <c r="W77" s="51">
        <v>0</v>
      </c>
      <c r="X77" s="51">
        <v>0</v>
      </c>
      <c r="Y77" s="51" t="s">
        <v>483</v>
      </c>
      <c r="Z77" s="51" t="s">
        <v>483</v>
      </c>
      <c r="AA77" s="53">
        <v>0</v>
      </c>
      <c r="AB77" s="54" t="s">
        <v>439</v>
      </c>
      <c r="AC77" s="38" t="s">
        <v>466</v>
      </c>
      <c r="AD77" s="39" t="str">
        <f t="shared" si="9"/>
        <v/>
      </c>
      <c r="AE77" s="55" t="s">
        <v>491</v>
      </c>
      <c r="AF77" s="104" t="s">
        <v>491</v>
      </c>
      <c r="AG77" s="54" t="s">
        <v>507</v>
      </c>
      <c r="AH77" s="54" t="s">
        <v>473</v>
      </c>
      <c r="AI77" s="117"/>
      <c r="AJ77" s="113"/>
      <c r="AK77" s="12">
        <f t="shared" si="8"/>
        <v>0</v>
      </c>
      <c r="AL77" s="150" t="str">
        <f t="shared" si="10"/>
        <v>non-LVC</v>
      </c>
      <c r="AM77" s="150" t="str" cm="1">
        <f t="array" ref="AM77">IF(OR(O77:O234="zero_recoverable", "zero_exalt", "zero_other", "zero_uncertain"),
   "Yes","No")</f>
        <v>Yes</v>
      </c>
      <c r="AN77" s="150">
        <f>1 + COUNTIF($V$2:V76,"main")</f>
        <v>22</v>
      </c>
      <c r="AO77" s="150" t="str">
        <f t="shared" si="11"/>
        <v/>
      </c>
      <c r="AP77" s="150">
        <f t="shared" si="12"/>
        <v>1</v>
      </c>
      <c r="AQ77" s="150">
        <f>IF(AP78=0,"",COUNTIFS($AN$2:$AN78,$AN78,$AP$2:$AP78,1))</f>
        <v>1</v>
      </c>
      <c r="AR77" s="150">
        <v>0</v>
      </c>
      <c r="AS77" s="150" t="s">
        <v>459</v>
      </c>
      <c r="AT77" s="150" t="s">
        <v>461</v>
      </c>
      <c r="AU77" s="150">
        <f t="shared" si="14"/>
        <v>0</v>
      </c>
      <c r="AV77" s="150">
        <f t="shared" si="15"/>
        <v>0</v>
      </c>
    </row>
    <row r="78" spans="1:48" x14ac:dyDescent="0.2">
      <c r="A78" s="42" t="s">
        <v>103</v>
      </c>
      <c r="B78" s="43" t="s">
        <v>217</v>
      </c>
      <c r="C78" s="44" t="s">
        <v>301</v>
      </c>
      <c r="D78" s="45" t="s">
        <v>402</v>
      </c>
      <c r="E78" s="45" t="s">
        <v>1034</v>
      </c>
      <c r="F78" s="45" t="s">
        <v>447</v>
      </c>
      <c r="G78" s="46" t="s">
        <v>434</v>
      </c>
      <c r="H78" s="45" t="s">
        <v>441</v>
      </c>
      <c r="I78" s="45" t="s">
        <v>451</v>
      </c>
      <c r="J78" s="45" t="s">
        <v>453</v>
      </c>
      <c r="K78" s="45">
        <v>1</v>
      </c>
      <c r="L78" s="47">
        <v>1</v>
      </c>
      <c r="M78" s="47" t="s">
        <v>457</v>
      </c>
      <c r="N78" s="47">
        <v>1</v>
      </c>
      <c r="O78" s="48" t="s">
        <v>459</v>
      </c>
      <c r="P78" s="48">
        <v>3</v>
      </c>
      <c r="Q78" s="48" t="s">
        <v>461</v>
      </c>
      <c r="R78" s="48" t="s">
        <v>483</v>
      </c>
      <c r="S78" s="49">
        <v>0</v>
      </c>
      <c r="T78" s="49">
        <v>0</v>
      </c>
      <c r="U78" s="50" t="s">
        <v>483</v>
      </c>
      <c r="V78" s="50" t="s">
        <v>466</v>
      </c>
      <c r="W78" s="51">
        <v>0</v>
      </c>
      <c r="X78" s="51">
        <v>0</v>
      </c>
      <c r="Y78" s="51" t="s">
        <v>483</v>
      </c>
      <c r="Z78" s="51" t="s">
        <v>483</v>
      </c>
      <c r="AA78" s="53">
        <v>0</v>
      </c>
      <c r="AB78" s="54" t="s">
        <v>472</v>
      </c>
      <c r="AC78" s="38" t="s">
        <v>466</v>
      </c>
      <c r="AD78" s="39" t="str">
        <f t="shared" si="9"/>
        <v/>
      </c>
      <c r="AE78" s="55" t="s">
        <v>491</v>
      </c>
      <c r="AF78" s="104" t="s">
        <v>491</v>
      </c>
      <c r="AG78" s="54" t="s">
        <v>507</v>
      </c>
      <c r="AH78" s="54" t="s">
        <v>484</v>
      </c>
      <c r="AI78" s="117" t="s">
        <v>477</v>
      </c>
      <c r="AJ78" s="113"/>
      <c r="AK78" s="12">
        <f t="shared" si="8"/>
        <v>1</v>
      </c>
      <c r="AL78" s="150" t="str">
        <f t="shared" si="10"/>
        <v>non-LVC</v>
      </c>
      <c r="AM78" s="150" t="str" cm="1">
        <f t="array" ref="AM78">IF(OR(O78:O235="zero_recoverable", "zero_exalt", "zero_other", "zero_uncertain"),
   "Yes","No")</f>
        <v>Yes</v>
      </c>
      <c r="AN78" s="150">
        <f>1 + COUNTIF($V$2:V77,"main")</f>
        <v>23</v>
      </c>
      <c r="AO78" s="150" t="str">
        <f t="shared" si="11"/>
        <v/>
      </c>
      <c r="AP78" s="150">
        <f t="shared" si="12"/>
        <v>1</v>
      </c>
      <c r="AQ78" s="150">
        <f>IF(AP79=0,"",COUNTIFS($AN$2:$AN79,$AN79,$AP$2:$AP79,1))</f>
        <v>1</v>
      </c>
      <c r="AR78" s="150">
        <v>0</v>
      </c>
      <c r="AS78" s="150" t="s">
        <v>459</v>
      </c>
      <c r="AT78" s="150" t="s">
        <v>508</v>
      </c>
      <c r="AU78" s="150">
        <f t="shared" si="14"/>
        <v>0</v>
      </c>
      <c r="AV78" s="150">
        <f t="shared" si="15"/>
        <v>1</v>
      </c>
    </row>
    <row r="79" spans="1:48" x14ac:dyDescent="0.2">
      <c r="A79" s="42" t="s">
        <v>104</v>
      </c>
      <c r="B79" s="43" t="s">
        <v>1064</v>
      </c>
      <c r="C79" s="44" t="s">
        <v>302</v>
      </c>
      <c r="D79" s="45" t="s">
        <v>403</v>
      </c>
      <c r="E79" s="45" t="s">
        <v>1034</v>
      </c>
      <c r="F79" s="45" t="s">
        <v>445</v>
      </c>
      <c r="G79" s="46" t="s">
        <v>434</v>
      </c>
      <c r="H79" s="45" t="s">
        <v>441</v>
      </c>
      <c r="I79" s="45" t="s">
        <v>451</v>
      </c>
      <c r="J79" s="45" t="s">
        <v>453</v>
      </c>
      <c r="K79" s="45">
        <v>1</v>
      </c>
      <c r="L79" s="47">
        <v>0</v>
      </c>
      <c r="M79" s="47" t="s">
        <v>483</v>
      </c>
      <c r="N79" s="47">
        <v>0</v>
      </c>
      <c r="O79" s="48" t="s">
        <v>459</v>
      </c>
      <c r="P79" s="48">
        <v>3</v>
      </c>
      <c r="Q79" s="48" t="s">
        <v>508</v>
      </c>
      <c r="R79" s="48" t="s">
        <v>483</v>
      </c>
      <c r="S79" s="49">
        <v>0</v>
      </c>
      <c r="T79" s="49">
        <v>1</v>
      </c>
      <c r="U79" s="50" t="s">
        <v>463</v>
      </c>
      <c r="V79" s="50" t="s">
        <v>487</v>
      </c>
      <c r="W79" s="51">
        <v>0</v>
      </c>
      <c r="X79" s="51">
        <v>0</v>
      </c>
      <c r="Y79" s="51" t="s">
        <v>483</v>
      </c>
      <c r="Z79" s="51" t="s">
        <v>483</v>
      </c>
      <c r="AA79" s="53">
        <v>0</v>
      </c>
      <c r="AB79" s="54" t="s">
        <v>471</v>
      </c>
      <c r="AC79" s="38" t="s">
        <v>466</v>
      </c>
      <c r="AD79" s="39" t="str">
        <f t="shared" si="9"/>
        <v/>
      </c>
      <c r="AE79" s="55" t="s">
        <v>491</v>
      </c>
      <c r="AF79" s="104" t="s">
        <v>493</v>
      </c>
      <c r="AG79" s="54" t="s">
        <v>507</v>
      </c>
      <c r="AH79" s="54" t="s">
        <v>473</v>
      </c>
      <c r="AI79" s="117"/>
      <c r="AJ79" s="113"/>
      <c r="AK79" s="12">
        <f t="shared" si="8"/>
        <v>0</v>
      </c>
      <c r="AL79" s="150" t="str">
        <f t="shared" si="10"/>
        <v>non-LVC</v>
      </c>
      <c r="AM79" s="150" t="str" cm="1">
        <f t="array" ref="AM79">IF(OR(O79:O236="zero_recoverable", "zero_exalt", "zero_other", "zero_uncertain"),
   "Yes","No")</f>
        <v>Yes</v>
      </c>
      <c r="AN79" s="150">
        <f>1 + COUNTIF($V$2:V78,"main")</f>
        <v>24</v>
      </c>
      <c r="AO79" s="150" t="str">
        <f t="shared" si="11"/>
        <v>relative</v>
      </c>
      <c r="AP79" s="150">
        <f t="shared" si="12"/>
        <v>1</v>
      </c>
      <c r="AQ79" s="150" t="str">
        <f>IF(AP80=0,"",COUNTIFS($AN$2:$AN80,$AN80,$AP$2:$AP80,1))</f>
        <v/>
      </c>
      <c r="AR79" s="150">
        <v>0</v>
      </c>
      <c r="AS79" s="150" t="s">
        <v>508</v>
      </c>
      <c r="AT79" s="150" t="s">
        <v>483</v>
      </c>
      <c r="AU79" s="150">
        <f t="shared" si="14"/>
        <v>0</v>
      </c>
      <c r="AV79" s="150">
        <f t="shared" si="15"/>
        <v>0</v>
      </c>
    </row>
    <row r="80" spans="1:48" x14ac:dyDescent="0.2">
      <c r="A80" s="42" t="s">
        <v>105</v>
      </c>
      <c r="B80" s="43" t="s">
        <v>1063</v>
      </c>
      <c r="C80" s="44" t="s">
        <v>303</v>
      </c>
      <c r="D80" s="45" t="s">
        <v>404</v>
      </c>
      <c r="E80" s="45" t="s">
        <v>693</v>
      </c>
      <c r="F80" s="45" t="s">
        <v>445</v>
      </c>
      <c r="G80" s="46" t="s">
        <v>434</v>
      </c>
      <c r="H80" s="45" t="s">
        <v>442</v>
      </c>
      <c r="I80" s="45" t="s">
        <v>451</v>
      </c>
      <c r="J80" s="45" t="s">
        <v>453</v>
      </c>
      <c r="K80" s="45">
        <v>1</v>
      </c>
      <c r="L80" s="47">
        <v>0</v>
      </c>
      <c r="M80" s="47" t="s">
        <v>483</v>
      </c>
      <c r="N80" s="47">
        <v>2</v>
      </c>
      <c r="O80" s="48" t="s">
        <v>508</v>
      </c>
      <c r="P80" s="48">
        <v>3</v>
      </c>
      <c r="Q80" s="48" t="s">
        <v>483</v>
      </c>
      <c r="R80" s="48" t="s">
        <v>483</v>
      </c>
      <c r="S80" s="49">
        <v>1</v>
      </c>
      <c r="T80" s="49">
        <v>0</v>
      </c>
      <c r="U80" s="50" t="s">
        <v>463</v>
      </c>
      <c r="V80" s="50" t="s">
        <v>465</v>
      </c>
      <c r="W80" s="51">
        <v>0</v>
      </c>
      <c r="X80" s="51">
        <v>0</v>
      </c>
      <c r="Y80" s="51" t="s">
        <v>483</v>
      </c>
      <c r="Z80" s="51" t="s">
        <v>483</v>
      </c>
      <c r="AA80" s="53">
        <v>0</v>
      </c>
      <c r="AB80" s="54" t="s">
        <v>439</v>
      </c>
      <c r="AC80" s="38" t="s">
        <v>487</v>
      </c>
      <c r="AD80" s="39" t="str">
        <f t="shared" si="9"/>
        <v/>
      </c>
      <c r="AE80" s="55" t="s">
        <v>493</v>
      </c>
      <c r="AF80" s="104" t="s">
        <v>491</v>
      </c>
      <c r="AG80" s="54" t="s">
        <v>507</v>
      </c>
      <c r="AH80" s="54" t="s">
        <v>473</v>
      </c>
      <c r="AI80" s="117"/>
      <c r="AJ80" s="113"/>
      <c r="AK80" s="12">
        <f t="shared" si="8"/>
        <v>0</v>
      </c>
      <c r="AL80" s="150" t="str">
        <f t="shared" si="10"/>
        <v>non-LVC</v>
      </c>
      <c r="AM80" s="150" t="str" cm="1">
        <f t="array" ref="AM80">IF(OR(O80:O237="zero_recoverable", "zero_exalt", "zero_other", "zero_uncertain"),
   "Yes","No")</f>
        <v>Yes</v>
      </c>
      <c r="AN80" s="150">
        <f>1 + COUNTIF($V$2:V79,"main")</f>
        <v>24</v>
      </c>
      <c r="AO80" s="150" t="str">
        <f t="shared" si="11"/>
        <v>subordinate</v>
      </c>
      <c r="AP80" s="150">
        <f t="shared" si="12"/>
        <v>0</v>
      </c>
      <c r="AQ80" s="150">
        <f>IF(AP81=0,"",COUNTIFS($AN$2:$AN81,$AN81,$AP$2:$AP81,1))</f>
        <v>2</v>
      </c>
      <c r="AR80" s="150">
        <f t="shared" si="13"/>
        <v>0</v>
      </c>
      <c r="AS80" s="150" t="s">
        <v>508</v>
      </c>
      <c r="AT80" s="150" t="s">
        <v>483</v>
      </c>
      <c r="AU80" s="150">
        <f t="shared" si="14"/>
        <v>0</v>
      </c>
      <c r="AV80" s="150">
        <f t="shared" si="15"/>
        <v>0</v>
      </c>
    </row>
    <row r="81" spans="1:48" x14ac:dyDescent="0.2">
      <c r="A81" s="42" t="s">
        <v>106</v>
      </c>
      <c r="B81" s="43" t="s">
        <v>538</v>
      </c>
      <c r="C81" s="44" t="s">
        <v>304</v>
      </c>
      <c r="D81" s="45" t="s">
        <v>539</v>
      </c>
      <c r="E81" s="45" t="s">
        <v>1034</v>
      </c>
      <c r="F81" s="45" t="s">
        <v>445</v>
      </c>
      <c r="G81" s="46" t="s">
        <v>436</v>
      </c>
      <c r="H81" s="45" t="s">
        <v>442</v>
      </c>
      <c r="I81" s="45" t="s">
        <v>451</v>
      </c>
      <c r="J81" s="45" t="s">
        <v>453</v>
      </c>
      <c r="K81" s="45">
        <v>1</v>
      </c>
      <c r="L81" s="47">
        <v>0</v>
      </c>
      <c r="M81" s="47" t="s">
        <v>483</v>
      </c>
      <c r="N81" s="47">
        <v>0</v>
      </c>
      <c r="O81" s="48" t="s">
        <v>508</v>
      </c>
      <c r="P81" s="48">
        <v>3</v>
      </c>
      <c r="Q81" s="48" t="s">
        <v>483</v>
      </c>
      <c r="R81" s="48" t="s">
        <v>483</v>
      </c>
      <c r="S81" s="49">
        <v>0</v>
      </c>
      <c r="T81" s="49">
        <v>0</v>
      </c>
      <c r="U81" s="50" t="s">
        <v>463</v>
      </c>
      <c r="V81" s="50" t="s">
        <v>487</v>
      </c>
      <c r="W81" s="51">
        <v>0</v>
      </c>
      <c r="X81" s="51">
        <v>0</v>
      </c>
      <c r="Y81" s="51" t="s">
        <v>483</v>
      </c>
      <c r="Z81" s="51" t="s">
        <v>483</v>
      </c>
      <c r="AA81" s="53">
        <v>0</v>
      </c>
      <c r="AB81" s="54" t="s">
        <v>468</v>
      </c>
      <c r="AC81" s="38" t="s">
        <v>465</v>
      </c>
      <c r="AD81" s="39" t="str">
        <f t="shared" si="9"/>
        <v/>
      </c>
      <c r="AE81" s="55" t="s">
        <v>491</v>
      </c>
      <c r="AF81" s="104" t="s">
        <v>493</v>
      </c>
      <c r="AG81" s="54" t="s">
        <v>507</v>
      </c>
      <c r="AH81" s="54" t="s">
        <v>473</v>
      </c>
      <c r="AI81" s="117"/>
      <c r="AJ81" s="113"/>
      <c r="AK81" s="12">
        <f t="shared" si="8"/>
        <v>0</v>
      </c>
      <c r="AL81" s="150" t="str">
        <f t="shared" si="10"/>
        <v>non-LVC</v>
      </c>
      <c r="AM81" s="150" t="str" cm="1">
        <f t="array" ref="AM81">IF(OR(O81:O238="zero_recoverable", "zero_exalt", "zero_other", "zero_uncertain"),
   "Yes","No")</f>
        <v>Yes</v>
      </c>
      <c r="AN81" s="150">
        <f>1 + COUNTIF($V$2:V80,"main")</f>
        <v>24</v>
      </c>
      <c r="AO81" s="150" t="str">
        <f t="shared" si="11"/>
        <v/>
      </c>
      <c r="AP81" s="150">
        <f t="shared" si="12"/>
        <v>1</v>
      </c>
      <c r="AQ81" s="150">
        <f>IF(AP82=0,"",COUNTIFS($AN$2:$AN82,$AN82,$AP$2:$AP82,1))</f>
        <v>3</v>
      </c>
      <c r="AR81" s="150">
        <f t="shared" si="13"/>
        <v>0</v>
      </c>
      <c r="AS81" s="150" t="s">
        <v>461</v>
      </c>
      <c r="AT81" s="150" t="s">
        <v>483</v>
      </c>
      <c r="AU81" s="150">
        <f t="shared" si="14"/>
        <v>0</v>
      </c>
      <c r="AV81" s="150">
        <f t="shared" si="15"/>
        <v>0</v>
      </c>
    </row>
    <row r="82" spans="1:48" x14ac:dyDescent="0.2">
      <c r="A82" s="42" t="s">
        <v>107</v>
      </c>
      <c r="B82" s="43" t="s">
        <v>218</v>
      </c>
      <c r="C82" s="44" t="s">
        <v>305</v>
      </c>
      <c r="D82" s="45" t="s">
        <v>406</v>
      </c>
      <c r="E82" s="45" t="s">
        <v>1034</v>
      </c>
      <c r="F82" s="45" t="s">
        <v>445</v>
      </c>
      <c r="G82" s="46" t="s">
        <v>437</v>
      </c>
      <c r="H82" s="45" t="s">
        <v>442</v>
      </c>
      <c r="I82" s="45" t="s">
        <v>451</v>
      </c>
      <c r="J82" s="45" t="s">
        <v>454</v>
      </c>
      <c r="K82" s="45">
        <v>1</v>
      </c>
      <c r="L82" s="47">
        <v>1</v>
      </c>
      <c r="M82" s="47" t="s">
        <v>456</v>
      </c>
      <c r="N82" s="47">
        <v>0</v>
      </c>
      <c r="O82" s="48" t="s">
        <v>461</v>
      </c>
      <c r="P82" s="48">
        <v>3</v>
      </c>
      <c r="Q82" s="48" t="s">
        <v>483</v>
      </c>
      <c r="R82" s="48" t="s">
        <v>483</v>
      </c>
      <c r="S82" s="49">
        <v>0</v>
      </c>
      <c r="T82" s="49">
        <v>0</v>
      </c>
      <c r="U82" s="50" t="s">
        <v>483</v>
      </c>
      <c r="V82" s="50" t="s">
        <v>466</v>
      </c>
      <c r="W82" s="51">
        <v>0</v>
      </c>
      <c r="X82" s="51">
        <v>0</v>
      </c>
      <c r="Y82" s="51" t="s">
        <v>483</v>
      </c>
      <c r="Z82" s="51" t="s">
        <v>483</v>
      </c>
      <c r="AA82" s="53">
        <v>0</v>
      </c>
      <c r="AB82" s="54" t="s">
        <v>439</v>
      </c>
      <c r="AC82" s="38" t="s">
        <v>487</v>
      </c>
      <c r="AD82" s="39" t="str">
        <f t="shared" si="9"/>
        <v/>
      </c>
      <c r="AE82" s="55" t="s">
        <v>493</v>
      </c>
      <c r="AF82" s="104" t="s">
        <v>493</v>
      </c>
      <c r="AG82" s="54" t="s">
        <v>507</v>
      </c>
      <c r="AH82" s="54" t="s">
        <v>484</v>
      </c>
      <c r="AI82" s="117" t="s">
        <v>478</v>
      </c>
      <c r="AJ82" s="113"/>
      <c r="AK82" s="12">
        <f t="shared" si="8"/>
        <v>1</v>
      </c>
      <c r="AL82" s="150" t="str">
        <f t="shared" si="10"/>
        <v>non-LVC</v>
      </c>
      <c r="AM82" s="150" t="str" cm="1">
        <f t="array" ref="AM82">IF(OR(O82:O239="zero_recoverable", "zero_exalt", "zero_other", "zero_uncertain"),
   "Yes","No")</f>
        <v>Yes</v>
      </c>
      <c r="AN82" s="150">
        <f>1 + COUNTIF($V$2:V81,"main")</f>
        <v>24</v>
      </c>
      <c r="AO82" s="150" t="str">
        <f t="shared" si="11"/>
        <v>subordinate</v>
      </c>
      <c r="AP82" s="150">
        <f t="shared" si="12"/>
        <v>1</v>
      </c>
      <c r="AQ82" s="150">
        <f>IF(AP83=0,"",COUNTIFS($AN$2:$AN83,$AN83,$AP$2:$AP83,1))</f>
        <v>1</v>
      </c>
      <c r="AR82" s="150">
        <v>0</v>
      </c>
      <c r="AS82" s="150" t="s">
        <v>460</v>
      </c>
      <c r="AT82" s="150" t="s">
        <v>461</v>
      </c>
      <c r="AU82" s="150">
        <f t="shared" si="14"/>
        <v>1</v>
      </c>
      <c r="AV82" s="150">
        <f t="shared" si="15"/>
        <v>0</v>
      </c>
    </row>
    <row r="83" spans="1:48" x14ac:dyDescent="0.2">
      <c r="A83" s="42" t="s">
        <v>108</v>
      </c>
      <c r="B83" s="43" t="s">
        <v>219</v>
      </c>
      <c r="C83" s="44" t="s">
        <v>306</v>
      </c>
      <c r="D83" s="45" t="s">
        <v>407</v>
      </c>
      <c r="E83" s="45" t="s">
        <v>1034</v>
      </c>
      <c r="F83" s="45" t="s">
        <v>445</v>
      </c>
      <c r="G83" s="46" t="s">
        <v>1047</v>
      </c>
      <c r="H83" s="45" t="s">
        <v>441</v>
      </c>
      <c r="I83" s="45" t="s">
        <v>451</v>
      </c>
      <c r="J83" s="45" t="s">
        <v>453</v>
      </c>
      <c r="K83" s="45">
        <v>1</v>
      </c>
      <c r="L83" s="47">
        <v>1</v>
      </c>
      <c r="M83" s="47" t="s">
        <v>464</v>
      </c>
      <c r="N83" s="47">
        <v>2</v>
      </c>
      <c r="O83" s="48" t="s">
        <v>460</v>
      </c>
      <c r="P83" s="48">
        <v>3</v>
      </c>
      <c r="Q83" s="48" t="s">
        <v>461</v>
      </c>
      <c r="R83" s="48" t="s">
        <v>483</v>
      </c>
      <c r="S83" s="49">
        <v>0</v>
      </c>
      <c r="T83" s="49">
        <v>0</v>
      </c>
      <c r="U83" s="50" t="s">
        <v>463</v>
      </c>
      <c r="V83" s="50" t="s">
        <v>487</v>
      </c>
      <c r="W83" s="51">
        <v>0</v>
      </c>
      <c r="X83" s="51">
        <v>1</v>
      </c>
      <c r="Y83" s="51" t="s">
        <v>503</v>
      </c>
      <c r="Z83" s="51" t="s">
        <v>499</v>
      </c>
      <c r="AA83" s="53">
        <v>0</v>
      </c>
      <c r="AB83" s="54" t="s">
        <v>472</v>
      </c>
      <c r="AC83" s="38" t="s">
        <v>466</v>
      </c>
      <c r="AD83" s="39" t="str">
        <f t="shared" si="9"/>
        <v/>
      </c>
      <c r="AE83" s="55" t="s">
        <v>493</v>
      </c>
      <c r="AF83" s="104" t="s">
        <v>493</v>
      </c>
      <c r="AG83" s="54" t="s">
        <v>492</v>
      </c>
      <c r="AH83" s="54" t="s">
        <v>484</v>
      </c>
      <c r="AI83" s="117" t="s">
        <v>479</v>
      </c>
      <c r="AJ83" s="113"/>
      <c r="AK83" s="12">
        <f t="shared" si="8"/>
        <v>1</v>
      </c>
      <c r="AL83" s="150" t="str">
        <f t="shared" si="10"/>
        <v>non-LVC</v>
      </c>
      <c r="AM83" s="150" t="str" cm="1">
        <f t="array" ref="AM83">IF(OR(O83:O240="zero_recoverable", "zero_exalt", "zero_other", "zero_uncertain"),
   "Yes","No")</f>
        <v>Yes</v>
      </c>
      <c r="AN83" s="150">
        <f>1 + COUNTIF($V$2:V82,"main")</f>
        <v>25</v>
      </c>
      <c r="AO83" s="150" t="str">
        <f t="shared" si="11"/>
        <v>main</v>
      </c>
      <c r="AP83" s="150">
        <f t="shared" si="12"/>
        <v>1</v>
      </c>
      <c r="AQ83" s="150">
        <f>IF(AP84=0,"",COUNTIFS($AN$2:$AN84,$AN84,$AP$2:$AP84,1))</f>
        <v>2</v>
      </c>
      <c r="AR83" s="150">
        <v>1</v>
      </c>
      <c r="AS83" s="150" t="s">
        <v>461</v>
      </c>
      <c r="AT83" s="150" t="s">
        <v>483</v>
      </c>
      <c r="AU83" s="150">
        <f t="shared" si="14"/>
        <v>0</v>
      </c>
      <c r="AV83" s="150">
        <f t="shared" si="15"/>
        <v>0</v>
      </c>
    </row>
    <row r="84" spans="1:48" x14ac:dyDescent="0.2">
      <c r="A84" s="42" t="s">
        <v>109</v>
      </c>
      <c r="B84" s="43" t="s">
        <v>220</v>
      </c>
      <c r="C84" s="44" t="s">
        <v>307</v>
      </c>
      <c r="D84" s="45" t="s">
        <v>408</v>
      </c>
      <c r="E84" s="45" t="s">
        <v>1034</v>
      </c>
      <c r="F84" s="45" t="s">
        <v>444</v>
      </c>
      <c r="G84" s="46" t="s">
        <v>437</v>
      </c>
      <c r="H84" s="45" t="s">
        <v>442</v>
      </c>
      <c r="I84" s="45" t="s">
        <v>451</v>
      </c>
      <c r="J84" s="45" t="s">
        <v>453</v>
      </c>
      <c r="K84" s="45">
        <v>1</v>
      </c>
      <c r="L84" s="47">
        <v>1</v>
      </c>
      <c r="M84" s="47" t="s">
        <v>456</v>
      </c>
      <c r="N84" s="47">
        <v>1</v>
      </c>
      <c r="O84" s="48" t="s">
        <v>461</v>
      </c>
      <c r="P84" s="48">
        <v>3</v>
      </c>
      <c r="Q84" s="48" t="s">
        <v>483</v>
      </c>
      <c r="R84" s="48" t="s">
        <v>483</v>
      </c>
      <c r="S84" s="49">
        <v>0</v>
      </c>
      <c r="T84" s="49">
        <v>0</v>
      </c>
      <c r="U84" s="50" t="s">
        <v>483</v>
      </c>
      <c r="V84" s="50" t="s">
        <v>466</v>
      </c>
      <c r="W84" s="51">
        <v>0</v>
      </c>
      <c r="X84" s="51">
        <v>0</v>
      </c>
      <c r="Y84" s="51" t="s">
        <v>483</v>
      </c>
      <c r="Z84" s="51" t="s">
        <v>483</v>
      </c>
      <c r="AA84" s="53">
        <v>0</v>
      </c>
      <c r="AB84" s="54" t="s">
        <v>439</v>
      </c>
      <c r="AC84" s="38" t="s">
        <v>487</v>
      </c>
      <c r="AD84" s="39" t="str">
        <f t="shared" si="9"/>
        <v/>
      </c>
      <c r="AE84" s="55" t="s">
        <v>493</v>
      </c>
      <c r="AF84" s="104" t="s">
        <v>493</v>
      </c>
      <c r="AG84" s="54" t="s">
        <v>485</v>
      </c>
      <c r="AH84" s="54" t="s">
        <v>484</v>
      </c>
      <c r="AI84" s="117" t="s">
        <v>1051</v>
      </c>
      <c r="AJ84" s="113"/>
      <c r="AK84" s="12">
        <f t="shared" si="8"/>
        <v>1</v>
      </c>
      <c r="AL84" s="150" t="str">
        <f t="shared" si="10"/>
        <v>non-LVC</v>
      </c>
      <c r="AM84" s="150" t="str" cm="1">
        <f t="array" ref="AM84">IF(OR(O84:O241="zero_recoverable", "zero_exalt", "zero_other", "zero_uncertain"),
   "Yes","No")</f>
        <v>Yes</v>
      </c>
      <c r="AN84" s="150">
        <f>1 + COUNTIF($V$2:V83,"main")</f>
        <v>25</v>
      </c>
      <c r="AO84" s="150" t="str">
        <f t="shared" si="11"/>
        <v>subordinate</v>
      </c>
      <c r="AP84" s="150">
        <f t="shared" si="12"/>
        <v>1</v>
      </c>
      <c r="AQ84" s="150">
        <f>IF(AP85=0,"",COUNTIFS($AN$2:$AN85,$AN85,$AP$2:$AP85,1))</f>
        <v>1</v>
      </c>
      <c r="AR84" s="150">
        <v>0</v>
      </c>
      <c r="AS84" s="150" t="s">
        <v>461</v>
      </c>
      <c r="AT84" s="150" t="s">
        <v>483</v>
      </c>
      <c r="AU84" s="150">
        <f t="shared" si="14"/>
        <v>0</v>
      </c>
      <c r="AV84" s="150">
        <f t="shared" si="15"/>
        <v>0</v>
      </c>
    </row>
    <row r="85" spans="1:48" x14ac:dyDescent="0.2">
      <c r="A85" s="42" t="s">
        <v>110</v>
      </c>
      <c r="B85" s="43" t="s">
        <v>221</v>
      </c>
      <c r="C85" s="44" t="s">
        <v>308</v>
      </c>
      <c r="D85" s="45" t="s">
        <v>409</v>
      </c>
      <c r="E85" s="45" t="s">
        <v>1034</v>
      </c>
      <c r="F85" s="45" t="s">
        <v>445</v>
      </c>
      <c r="G85" s="46" t="s">
        <v>438</v>
      </c>
      <c r="H85" s="45" t="s">
        <v>442</v>
      </c>
      <c r="I85" s="45" t="s">
        <v>451</v>
      </c>
      <c r="J85" s="45" t="s">
        <v>453</v>
      </c>
      <c r="K85" s="45">
        <v>1</v>
      </c>
      <c r="L85" s="47">
        <v>1</v>
      </c>
      <c r="M85" s="47" t="s">
        <v>456</v>
      </c>
      <c r="N85" s="47">
        <v>1</v>
      </c>
      <c r="O85" s="48" t="s">
        <v>461</v>
      </c>
      <c r="P85" s="48">
        <v>3</v>
      </c>
      <c r="Q85" s="48" t="s">
        <v>483</v>
      </c>
      <c r="R85" s="48" t="s">
        <v>483</v>
      </c>
      <c r="S85" s="49">
        <v>0</v>
      </c>
      <c r="T85" s="49">
        <v>0</v>
      </c>
      <c r="U85" s="50" t="s">
        <v>483</v>
      </c>
      <c r="V85" s="50" t="s">
        <v>487</v>
      </c>
      <c r="W85" s="51">
        <v>0</v>
      </c>
      <c r="X85" s="51">
        <v>0</v>
      </c>
      <c r="Y85" s="51" t="s">
        <v>483</v>
      </c>
      <c r="Z85" s="51" t="s">
        <v>483</v>
      </c>
      <c r="AA85" s="53">
        <v>0</v>
      </c>
      <c r="AB85" s="54" t="s">
        <v>494</v>
      </c>
      <c r="AC85" s="38" t="s">
        <v>466</v>
      </c>
      <c r="AD85" s="39" t="str">
        <f t="shared" si="9"/>
        <v/>
      </c>
      <c r="AE85" s="55" t="s">
        <v>493</v>
      </c>
      <c r="AF85" s="104" t="s">
        <v>493</v>
      </c>
      <c r="AG85" s="54" t="s">
        <v>507</v>
      </c>
      <c r="AH85" s="54" t="s">
        <v>484</v>
      </c>
      <c r="AI85" s="117" t="s">
        <v>480</v>
      </c>
      <c r="AJ85" s="113"/>
      <c r="AK85" s="12">
        <f t="shared" si="8"/>
        <v>1</v>
      </c>
      <c r="AL85" s="150" t="str">
        <f t="shared" si="10"/>
        <v>non-LVC</v>
      </c>
      <c r="AM85" s="150" t="str" cm="1">
        <f t="array" ref="AM85">IF(OR(O85:O242="zero_recoverable", "zero_exalt", "zero_other", "zero_uncertain"),
   "Yes","No")</f>
        <v>Yes</v>
      </c>
      <c r="AN85" s="150">
        <f>1 + COUNTIF($V$2:V84,"main")</f>
        <v>26</v>
      </c>
      <c r="AO85" s="150" t="str">
        <f t="shared" si="11"/>
        <v>main</v>
      </c>
      <c r="AP85" s="150">
        <f t="shared" si="12"/>
        <v>1</v>
      </c>
      <c r="AQ85" s="150">
        <f>IF(AP86=0,"",COUNTIFS($AN$2:$AN86,$AN86,$AP$2:$AP86,1))</f>
        <v>2</v>
      </c>
      <c r="AR85" s="150">
        <f t="shared" si="13"/>
        <v>0</v>
      </c>
      <c r="AS85" s="150" t="s">
        <v>461</v>
      </c>
      <c r="AT85" s="150" t="s">
        <v>461</v>
      </c>
      <c r="AU85" s="150">
        <f t="shared" si="14"/>
        <v>0</v>
      </c>
      <c r="AV85" s="150">
        <f t="shared" si="15"/>
        <v>0</v>
      </c>
    </row>
    <row r="86" spans="1:48" x14ac:dyDescent="0.2">
      <c r="A86" s="42" t="s">
        <v>111</v>
      </c>
      <c r="B86" s="43" t="s">
        <v>222</v>
      </c>
      <c r="C86" s="44" t="s">
        <v>309</v>
      </c>
      <c r="D86" s="45" t="s">
        <v>372</v>
      </c>
      <c r="E86" s="45" t="s">
        <v>1034</v>
      </c>
      <c r="F86" s="45" t="s">
        <v>528</v>
      </c>
      <c r="G86" s="46" t="s">
        <v>434</v>
      </c>
      <c r="H86" s="45" t="s">
        <v>441</v>
      </c>
      <c r="I86" s="45" t="s">
        <v>451</v>
      </c>
      <c r="J86" s="45" t="s">
        <v>453</v>
      </c>
      <c r="K86" s="45">
        <v>1</v>
      </c>
      <c r="L86" s="47">
        <v>2</v>
      </c>
      <c r="M86" s="47" t="s">
        <v>458</v>
      </c>
      <c r="N86" s="47">
        <v>0</v>
      </c>
      <c r="O86" s="48" t="s">
        <v>461</v>
      </c>
      <c r="P86" s="48">
        <v>3</v>
      </c>
      <c r="Q86" s="48" t="s">
        <v>461</v>
      </c>
      <c r="R86" s="48" t="s">
        <v>483</v>
      </c>
      <c r="S86" s="49">
        <v>0</v>
      </c>
      <c r="T86" s="49">
        <v>0</v>
      </c>
      <c r="U86" s="50" t="s">
        <v>483</v>
      </c>
      <c r="V86" s="50" t="s">
        <v>466</v>
      </c>
      <c r="W86" s="51">
        <v>1</v>
      </c>
      <c r="X86" s="51">
        <v>0</v>
      </c>
      <c r="Y86" s="51" t="s">
        <v>483</v>
      </c>
      <c r="Z86" s="51" t="s">
        <v>498</v>
      </c>
      <c r="AA86" s="53">
        <v>0</v>
      </c>
      <c r="AB86" s="54" t="s">
        <v>439</v>
      </c>
      <c r="AC86" s="38" t="s">
        <v>487</v>
      </c>
      <c r="AD86" s="39" t="str">
        <f t="shared" si="9"/>
        <v/>
      </c>
      <c r="AE86" s="55" t="s">
        <v>493</v>
      </c>
      <c r="AF86" s="104" t="s">
        <v>491</v>
      </c>
      <c r="AG86" s="54" t="s">
        <v>507</v>
      </c>
      <c r="AH86" s="54" t="s">
        <v>484</v>
      </c>
      <c r="AI86" s="117" t="s">
        <v>481</v>
      </c>
      <c r="AJ86" s="113"/>
      <c r="AK86" s="12">
        <f t="shared" si="8"/>
        <v>2</v>
      </c>
      <c r="AL86" s="150" t="str">
        <f t="shared" si="10"/>
        <v>non-LVC</v>
      </c>
      <c r="AM86" s="150" t="str" cm="1">
        <f t="array" ref="AM86">IF(OR(O86:O243="zero_recoverable", "zero_exalt", "zero_other", "zero_uncertain"),
   "Yes","No")</f>
        <v>Yes</v>
      </c>
      <c r="AN86" s="150">
        <f>1 + COUNTIF($V$2:V85,"main")</f>
        <v>26</v>
      </c>
      <c r="AO86" s="150" t="str">
        <f t="shared" si="11"/>
        <v/>
      </c>
      <c r="AP86" s="150">
        <f t="shared" si="12"/>
        <v>1</v>
      </c>
      <c r="AQ86" s="150">
        <f>IF(AP87=0,"",COUNTIFS($AN$2:$AN87,$AN87,$AP$2:$AP87,1))</f>
        <v>1</v>
      </c>
      <c r="AR86" s="150">
        <v>0</v>
      </c>
      <c r="AS86" s="150" t="s">
        <v>461</v>
      </c>
      <c r="AT86" s="150" t="s">
        <v>483</v>
      </c>
      <c r="AU86" s="150">
        <f t="shared" si="14"/>
        <v>0</v>
      </c>
      <c r="AV86" s="150">
        <f t="shared" si="15"/>
        <v>0</v>
      </c>
    </row>
    <row r="87" spans="1:48" x14ac:dyDescent="0.2">
      <c r="A87" s="42" t="s">
        <v>112</v>
      </c>
      <c r="B87" s="43" t="s">
        <v>541</v>
      </c>
      <c r="C87" s="44" t="s">
        <v>543</v>
      </c>
      <c r="D87" s="45" t="s">
        <v>334</v>
      </c>
      <c r="E87" s="45" t="s">
        <v>1034</v>
      </c>
      <c r="F87" s="45" t="s">
        <v>444</v>
      </c>
      <c r="G87" s="46" t="s">
        <v>436</v>
      </c>
      <c r="H87" s="45" t="s">
        <v>442</v>
      </c>
      <c r="I87" s="45" t="s">
        <v>451</v>
      </c>
      <c r="J87" s="45" t="s">
        <v>453</v>
      </c>
      <c r="K87" s="45">
        <v>1</v>
      </c>
      <c r="L87" s="47">
        <v>1</v>
      </c>
      <c r="M87" s="47" t="s">
        <v>456</v>
      </c>
      <c r="N87" s="47">
        <v>0</v>
      </c>
      <c r="O87" s="48" t="s">
        <v>461</v>
      </c>
      <c r="P87" s="48">
        <v>3</v>
      </c>
      <c r="Q87" s="48" t="s">
        <v>483</v>
      </c>
      <c r="R87" s="48" t="s">
        <v>483</v>
      </c>
      <c r="S87" s="49">
        <v>0</v>
      </c>
      <c r="T87" s="49">
        <v>0</v>
      </c>
      <c r="U87" s="50" t="s">
        <v>463</v>
      </c>
      <c r="V87" s="50" t="s">
        <v>487</v>
      </c>
      <c r="W87" s="51">
        <v>0</v>
      </c>
      <c r="X87" s="51">
        <v>0</v>
      </c>
      <c r="Y87" s="51" t="s">
        <v>483</v>
      </c>
      <c r="Z87" s="51" t="s">
        <v>499</v>
      </c>
      <c r="AA87" s="53">
        <v>0</v>
      </c>
      <c r="AB87" s="54" t="s">
        <v>468</v>
      </c>
      <c r="AC87" s="38" t="s">
        <v>466</v>
      </c>
      <c r="AD87" s="39" t="str">
        <f t="shared" si="9"/>
        <v/>
      </c>
      <c r="AE87" s="55" t="s">
        <v>491</v>
      </c>
      <c r="AF87" s="104" t="s">
        <v>491</v>
      </c>
      <c r="AG87" s="54" t="s">
        <v>486</v>
      </c>
      <c r="AH87" s="54" t="s">
        <v>473</v>
      </c>
      <c r="AI87" s="117"/>
      <c r="AJ87" s="113"/>
      <c r="AK87" s="12">
        <f t="shared" si="8"/>
        <v>1</v>
      </c>
      <c r="AL87" s="150" t="str">
        <f t="shared" si="10"/>
        <v>non-LVC</v>
      </c>
      <c r="AM87" s="150" t="str" cm="1">
        <f t="array" ref="AM87">IF(OR(O87:O244="zero_recoverable", "zero_exalt", "zero_other", "zero_uncertain"),
   "Yes","No")</f>
        <v>Yes</v>
      </c>
      <c r="AN87" s="150">
        <f>1 + COUNTIF($V$2:V86,"main")</f>
        <v>27</v>
      </c>
      <c r="AO87" s="150" t="str">
        <f t="shared" si="11"/>
        <v>subordinate</v>
      </c>
      <c r="AP87" s="150">
        <f t="shared" si="12"/>
        <v>1</v>
      </c>
      <c r="AQ87" s="150">
        <f>IF(AP88=0,"",COUNTIFS($AN$2:$AN88,$AN88,$AP$2:$AP88,1))</f>
        <v>2</v>
      </c>
      <c r="AR87" s="150">
        <f t="shared" si="13"/>
        <v>0</v>
      </c>
      <c r="AS87" s="150" t="s">
        <v>460</v>
      </c>
      <c r="AT87" s="150" t="s">
        <v>483</v>
      </c>
      <c r="AU87" s="150">
        <f t="shared" si="14"/>
        <v>1</v>
      </c>
      <c r="AV87" s="150">
        <f t="shared" si="15"/>
        <v>0</v>
      </c>
    </row>
    <row r="88" spans="1:48" x14ac:dyDescent="0.2">
      <c r="A88" s="42" t="s">
        <v>113</v>
      </c>
      <c r="B88" s="43" t="s">
        <v>542</v>
      </c>
      <c r="C88" s="44" t="s">
        <v>544</v>
      </c>
      <c r="D88" s="45" t="s">
        <v>381</v>
      </c>
      <c r="E88" s="45" t="s">
        <v>1034</v>
      </c>
      <c r="F88" s="45" t="s">
        <v>528</v>
      </c>
      <c r="G88" s="46" t="s">
        <v>434</v>
      </c>
      <c r="H88" s="45" t="s">
        <v>442</v>
      </c>
      <c r="I88" s="45" t="s">
        <v>451</v>
      </c>
      <c r="J88" s="45" t="s">
        <v>453</v>
      </c>
      <c r="K88" s="45">
        <v>1</v>
      </c>
      <c r="L88" s="47">
        <v>0</v>
      </c>
      <c r="M88" s="47" t="s">
        <v>483</v>
      </c>
      <c r="N88" s="47">
        <v>0</v>
      </c>
      <c r="O88" s="48" t="s">
        <v>460</v>
      </c>
      <c r="P88" s="48">
        <v>3</v>
      </c>
      <c r="Q88" s="48" t="s">
        <v>483</v>
      </c>
      <c r="R88" s="48" t="s">
        <v>483</v>
      </c>
      <c r="S88" s="49">
        <v>0</v>
      </c>
      <c r="T88" s="49">
        <v>0</v>
      </c>
      <c r="U88" s="50" t="s">
        <v>463</v>
      </c>
      <c r="V88" s="50" t="s">
        <v>487</v>
      </c>
      <c r="W88" s="51">
        <v>0</v>
      </c>
      <c r="X88" s="51">
        <v>1</v>
      </c>
      <c r="Y88" s="51" t="s">
        <v>503</v>
      </c>
      <c r="Z88" s="51" t="s">
        <v>497</v>
      </c>
      <c r="AA88" s="53">
        <v>0</v>
      </c>
      <c r="AB88" s="54" t="s">
        <v>468</v>
      </c>
      <c r="AC88" s="38" t="s">
        <v>487</v>
      </c>
      <c r="AD88" s="39" t="str">
        <f t="shared" si="9"/>
        <v/>
      </c>
      <c r="AE88" s="55" t="s">
        <v>491</v>
      </c>
      <c r="AF88" s="104" t="s">
        <v>493</v>
      </c>
      <c r="AG88" s="54" t="s">
        <v>507</v>
      </c>
      <c r="AH88" s="54" t="s">
        <v>473</v>
      </c>
      <c r="AI88" s="117"/>
      <c r="AJ88" s="113"/>
      <c r="AK88" s="12">
        <f t="shared" si="8"/>
        <v>0</v>
      </c>
      <c r="AL88" s="150" t="str">
        <f t="shared" si="10"/>
        <v>non-LVC</v>
      </c>
      <c r="AM88" s="150" t="str" cm="1">
        <f t="array" ref="AM88">IF(OR(O88:O245="zero_recoverable", "zero_exalt", "zero_other", "zero_uncertain"),
   "Yes","No")</f>
        <v>Yes</v>
      </c>
      <c r="AN88" s="150">
        <f>1 + COUNTIF($V$2:V87,"main")</f>
        <v>27</v>
      </c>
      <c r="AO88" s="150" t="str">
        <f t="shared" si="11"/>
        <v/>
      </c>
      <c r="AP88" s="150">
        <f t="shared" si="12"/>
        <v>1</v>
      </c>
      <c r="AQ88" s="150">
        <f>IF(AP89=0,"",COUNTIFS($AN$2:$AN89,$AN89,$AP$2:$AP89,1))</f>
        <v>3</v>
      </c>
      <c r="AR88" s="150">
        <f t="shared" si="13"/>
        <v>0</v>
      </c>
      <c r="AS88" s="150" t="s">
        <v>461</v>
      </c>
      <c r="AT88" s="150" t="s">
        <v>461</v>
      </c>
      <c r="AU88" s="150">
        <f t="shared" si="14"/>
        <v>0</v>
      </c>
      <c r="AV88" s="150">
        <f t="shared" si="15"/>
        <v>0</v>
      </c>
    </row>
    <row r="89" spans="1:48" x14ac:dyDescent="0.2">
      <c r="A89" s="42" t="s">
        <v>114</v>
      </c>
      <c r="B89" s="43" t="s">
        <v>203</v>
      </c>
      <c r="C89" s="44" t="s">
        <v>310</v>
      </c>
      <c r="D89" s="45" t="s">
        <v>382</v>
      </c>
      <c r="E89" s="45" t="s">
        <v>1034</v>
      </c>
      <c r="F89" s="45" t="s">
        <v>445</v>
      </c>
      <c r="G89" s="46" t="s">
        <v>434</v>
      </c>
      <c r="H89" s="45" t="s">
        <v>441</v>
      </c>
      <c r="I89" s="45" t="s">
        <v>451</v>
      </c>
      <c r="J89" s="45" t="s">
        <v>453</v>
      </c>
      <c r="K89" s="45">
        <v>1</v>
      </c>
      <c r="L89" s="47">
        <v>2</v>
      </c>
      <c r="M89" s="47" t="s">
        <v>458</v>
      </c>
      <c r="N89" s="47">
        <v>0</v>
      </c>
      <c r="O89" s="48" t="s">
        <v>461</v>
      </c>
      <c r="P89" s="48">
        <v>3</v>
      </c>
      <c r="Q89" s="48" t="s">
        <v>461</v>
      </c>
      <c r="R89" s="48" t="s">
        <v>483</v>
      </c>
      <c r="S89" s="49">
        <v>0</v>
      </c>
      <c r="T89" s="49">
        <v>0</v>
      </c>
      <c r="U89" s="50" t="s">
        <v>483</v>
      </c>
      <c r="V89" s="50" t="s">
        <v>515</v>
      </c>
      <c r="W89" s="51">
        <v>0</v>
      </c>
      <c r="X89" s="51">
        <v>0</v>
      </c>
      <c r="Y89" s="51" t="s">
        <v>483</v>
      </c>
      <c r="Z89" s="51" t="s">
        <v>483</v>
      </c>
      <c r="AA89" s="53">
        <v>0</v>
      </c>
      <c r="AB89" s="54" t="s">
        <v>469</v>
      </c>
      <c r="AC89" s="38" t="s">
        <v>487</v>
      </c>
      <c r="AD89" s="39" t="s">
        <v>1111</v>
      </c>
      <c r="AE89" s="55" t="s">
        <v>493</v>
      </c>
      <c r="AF89" s="104" t="s">
        <v>491</v>
      </c>
      <c r="AG89" s="54" t="s">
        <v>507</v>
      </c>
      <c r="AH89" s="54" t="s">
        <v>484</v>
      </c>
      <c r="AI89" s="117"/>
      <c r="AJ89" s="113"/>
      <c r="AK89" s="12">
        <f t="shared" si="8"/>
        <v>2</v>
      </c>
      <c r="AL89" s="150" t="str">
        <f t="shared" si="10"/>
        <v>non-LVC</v>
      </c>
      <c r="AM89" s="150" t="str" cm="1">
        <f t="array" ref="AM89">IF(OR(O89:O246="zero_recoverable", "zero_exalt", "zero_other", "zero_uncertain"),
   "Yes","No")</f>
        <v>Yes</v>
      </c>
      <c r="AN89" s="150">
        <f>1 + COUNTIF($V$2:V88,"main")</f>
        <v>27</v>
      </c>
      <c r="AO89" s="150" t="str">
        <f t="shared" si="11"/>
        <v>main</v>
      </c>
      <c r="AP89" s="150">
        <f t="shared" si="12"/>
        <v>1</v>
      </c>
      <c r="AQ89" s="150">
        <f>IF(AP90=0,"",COUNTIFS($AN$2:$AN90,$AN90,$AP$2:$AP90,1))</f>
        <v>4</v>
      </c>
      <c r="AR89" s="150">
        <f t="shared" si="13"/>
        <v>0</v>
      </c>
      <c r="AS89" s="150" t="s">
        <v>461</v>
      </c>
      <c r="AT89" s="150" t="s">
        <v>483</v>
      </c>
      <c r="AU89" s="150">
        <f t="shared" si="14"/>
        <v>0</v>
      </c>
      <c r="AV89" s="150">
        <f t="shared" si="15"/>
        <v>0</v>
      </c>
    </row>
    <row r="90" spans="1:48" x14ac:dyDescent="0.2">
      <c r="A90" s="42" t="s">
        <v>115</v>
      </c>
      <c r="B90" s="43" t="s">
        <v>223</v>
      </c>
      <c r="C90" s="44" t="s">
        <v>311</v>
      </c>
      <c r="D90" s="45" t="s">
        <v>410</v>
      </c>
      <c r="E90" s="45" t="s">
        <v>1034</v>
      </c>
      <c r="F90" s="45" t="s">
        <v>445</v>
      </c>
      <c r="G90" s="46" t="s">
        <v>439</v>
      </c>
      <c r="H90" s="45" t="s">
        <v>442</v>
      </c>
      <c r="I90" s="45"/>
      <c r="J90" s="45"/>
      <c r="K90" s="45">
        <v>0</v>
      </c>
      <c r="L90" s="47">
        <v>1</v>
      </c>
      <c r="M90" s="47" t="s">
        <v>456</v>
      </c>
      <c r="N90" s="47">
        <v>0</v>
      </c>
      <c r="O90" s="48" t="s">
        <v>461</v>
      </c>
      <c r="P90" s="48">
        <v>3</v>
      </c>
      <c r="Q90" s="48" t="s">
        <v>483</v>
      </c>
      <c r="R90" s="48" t="s">
        <v>483</v>
      </c>
      <c r="S90" s="49">
        <v>0</v>
      </c>
      <c r="T90" s="49">
        <v>0</v>
      </c>
      <c r="U90" s="50" t="s">
        <v>483</v>
      </c>
      <c r="V90" s="50" t="s">
        <v>466</v>
      </c>
      <c r="W90" s="51">
        <v>0</v>
      </c>
      <c r="X90" s="51">
        <v>0</v>
      </c>
      <c r="Y90" s="51" t="s">
        <v>483</v>
      </c>
      <c r="Z90" s="51" t="s">
        <v>483</v>
      </c>
      <c r="AA90" s="53">
        <v>0</v>
      </c>
      <c r="AB90" s="54" t="s">
        <v>439</v>
      </c>
      <c r="AC90" s="38" t="s">
        <v>515</v>
      </c>
      <c r="AD90" s="39" t="str">
        <f t="shared" si="9"/>
        <v/>
      </c>
      <c r="AE90" s="55" t="s">
        <v>491</v>
      </c>
      <c r="AF90" s="104" t="s">
        <v>493</v>
      </c>
      <c r="AG90" s="54" t="s">
        <v>507</v>
      </c>
      <c r="AH90" s="54" t="s">
        <v>484</v>
      </c>
      <c r="AI90" s="117"/>
      <c r="AJ90" s="113"/>
      <c r="AL90" s="150" t="str">
        <f t="shared" si="10"/>
        <v>non-LVC</v>
      </c>
      <c r="AM90" s="150" t="str" cm="1">
        <f t="array" ref="AM90">IF(OR(O90:O247="zero_recoverable", "zero_exalt", "zero_other", "zero_uncertain"),
   "Yes","No")</f>
        <v>Yes</v>
      </c>
      <c r="AN90" s="150">
        <f>1 + COUNTIF($V$2:V89,"main")</f>
        <v>27</v>
      </c>
      <c r="AO90" s="150" t="str">
        <f t="shared" si="11"/>
        <v>complement</v>
      </c>
      <c r="AP90" s="150">
        <f t="shared" si="12"/>
        <v>1</v>
      </c>
      <c r="AQ90" s="150">
        <f>IF(AP91=0,"",COUNTIFS($AN$2:$AN91,$AN91,$AP$2:$AP91,1))</f>
        <v>1</v>
      </c>
      <c r="AR90" s="150">
        <v>0</v>
      </c>
      <c r="AS90" s="150" t="s">
        <v>461</v>
      </c>
      <c r="AT90" s="150" t="s">
        <v>461</v>
      </c>
      <c r="AU90" s="150">
        <f t="shared" si="14"/>
        <v>0</v>
      </c>
      <c r="AV90" s="150">
        <f t="shared" si="15"/>
        <v>0</v>
      </c>
    </row>
    <row r="91" spans="1:48" x14ac:dyDescent="0.2">
      <c r="A91" s="42" t="s">
        <v>116</v>
      </c>
      <c r="B91" s="43" t="s">
        <v>1066</v>
      </c>
      <c r="C91" s="44" t="s">
        <v>312</v>
      </c>
      <c r="D91" s="45" t="s">
        <v>411</v>
      </c>
      <c r="E91" s="45" t="s">
        <v>1035</v>
      </c>
      <c r="F91" s="45" t="s">
        <v>445</v>
      </c>
      <c r="G91" s="46" t="s">
        <v>434</v>
      </c>
      <c r="H91" s="45" t="s">
        <v>441</v>
      </c>
      <c r="I91" s="45" t="s">
        <v>451</v>
      </c>
      <c r="J91" s="45" t="s">
        <v>453</v>
      </c>
      <c r="K91" s="45">
        <v>1</v>
      </c>
      <c r="L91" s="47">
        <v>2</v>
      </c>
      <c r="M91" s="47" t="s">
        <v>458</v>
      </c>
      <c r="N91" s="47">
        <v>0</v>
      </c>
      <c r="O91" s="48" t="s">
        <v>461</v>
      </c>
      <c r="P91" s="48">
        <v>3</v>
      </c>
      <c r="Q91" s="48" t="s">
        <v>461</v>
      </c>
      <c r="R91" s="48" t="s">
        <v>483</v>
      </c>
      <c r="S91" s="49">
        <v>0</v>
      </c>
      <c r="T91" s="49">
        <v>0</v>
      </c>
      <c r="U91" s="50" t="s">
        <v>483</v>
      </c>
      <c r="V91" s="50" t="s">
        <v>1042</v>
      </c>
      <c r="W91" s="51">
        <v>0</v>
      </c>
      <c r="X91" s="51">
        <v>0</v>
      </c>
      <c r="Y91" s="51" t="s">
        <v>483</v>
      </c>
      <c r="Z91" s="51" t="s">
        <v>483</v>
      </c>
      <c r="AA91" s="53">
        <v>0</v>
      </c>
      <c r="AB91" s="54" t="s">
        <v>470</v>
      </c>
      <c r="AC91" s="38" t="s">
        <v>466</v>
      </c>
      <c r="AD91" s="39" t="str">
        <f t="shared" si="9"/>
        <v/>
      </c>
      <c r="AE91" s="55" t="s">
        <v>493</v>
      </c>
      <c r="AF91" s="104" t="s">
        <v>493</v>
      </c>
      <c r="AG91" s="54" t="s">
        <v>507</v>
      </c>
      <c r="AH91" s="54" t="s">
        <v>484</v>
      </c>
      <c r="AI91" s="117"/>
      <c r="AJ91" s="113"/>
      <c r="AK91" s="12">
        <f t="shared" si="8"/>
        <v>2</v>
      </c>
      <c r="AL91" s="150" t="str">
        <f t="shared" si="10"/>
        <v>non-LVC</v>
      </c>
      <c r="AM91" s="150" t="str" cm="1">
        <f t="array" ref="AM91">IF(OR(O91:O248="zero_recoverable", "zero_exalt", "zero_other", "zero_uncertain"),
   "Yes","No")</f>
        <v>Yes</v>
      </c>
      <c r="AN91" s="150">
        <f>1 + COUNTIF($V$2:V90,"main")</f>
        <v>28</v>
      </c>
      <c r="AO91" s="150" t="str">
        <f t="shared" si="11"/>
        <v/>
      </c>
      <c r="AP91" s="150">
        <f t="shared" si="12"/>
        <v>1</v>
      </c>
      <c r="AQ91" s="150">
        <f>IF(AP92=0,"",COUNTIFS($AN$2:$AN92,$AN92,$AP$2:$AP92,1))</f>
        <v>2</v>
      </c>
      <c r="AR91" s="150">
        <v>1</v>
      </c>
      <c r="AS91" s="150" t="s">
        <v>460</v>
      </c>
      <c r="AT91" s="150" t="s">
        <v>461</v>
      </c>
      <c r="AU91" s="150">
        <f t="shared" si="14"/>
        <v>1</v>
      </c>
      <c r="AV91" s="150">
        <f t="shared" si="15"/>
        <v>0</v>
      </c>
    </row>
    <row r="92" spans="1:48" x14ac:dyDescent="0.2">
      <c r="A92" s="42" t="s">
        <v>117</v>
      </c>
      <c r="B92" s="43" t="s">
        <v>1065</v>
      </c>
      <c r="C92" s="44" t="s">
        <v>313</v>
      </c>
      <c r="D92" s="45" t="s">
        <v>384</v>
      </c>
      <c r="E92" s="45" t="s">
        <v>1034</v>
      </c>
      <c r="F92" s="45" t="s">
        <v>448</v>
      </c>
      <c r="G92" s="46" t="s">
        <v>434</v>
      </c>
      <c r="H92" s="45" t="s">
        <v>441</v>
      </c>
      <c r="I92" s="45" t="s">
        <v>451</v>
      </c>
      <c r="J92" s="45" t="s">
        <v>453</v>
      </c>
      <c r="K92" s="45">
        <v>1</v>
      </c>
      <c r="L92" s="47">
        <v>1</v>
      </c>
      <c r="M92" s="47" t="s">
        <v>457</v>
      </c>
      <c r="N92" s="47">
        <v>0</v>
      </c>
      <c r="O92" s="48" t="s">
        <v>460</v>
      </c>
      <c r="P92" s="48">
        <v>3</v>
      </c>
      <c r="Q92" s="48" t="s">
        <v>461</v>
      </c>
      <c r="R92" s="48" t="s">
        <v>483</v>
      </c>
      <c r="S92" s="49">
        <v>0</v>
      </c>
      <c r="T92" s="49">
        <v>0</v>
      </c>
      <c r="U92" s="50" t="s">
        <v>483</v>
      </c>
      <c r="V92" s="50" t="s">
        <v>466</v>
      </c>
      <c r="W92" s="51">
        <v>0</v>
      </c>
      <c r="X92" s="51">
        <v>1</v>
      </c>
      <c r="Y92" s="51" t="s">
        <v>503</v>
      </c>
      <c r="Z92" s="51" t="s">
        <v>499</v>
      </c>
      <c r="AA92" s="53">
        <v>0</v>
      </c>
      <c r="AB92" s="54" t="s">
        <v>439</v>
      </c>
      <c r="AC92" s="38" t="s">
        <v>1042</v>
      </c>
      <c r="AD92" s="39" t="str">
        <f t="shared" si="9"/>
        <v/>
      </c>
      <c r="AE92" s="55" t="s">
        <v>493</v>
      </c>
      <c r="AF92" s="104" t="s">
        <v>493</v>
      </c>
      <c r="AG92" s="54" t="s">
        <v>507</v>
      </c>
      <c r="AH92" s="54" t="s">
        <v>473</v>
      </c>
      <c r="AI92" s="117"/>
      <c r="AJ92" s="113"/>
      <c r="AK92" s="12">
        <f t="shared" si="8"/>
        <v>1</v>
      </c>
      <c r="AL92" s="150" t="str">
        <f t="shared" si="10"/>
        <v>non-LVC</v>
      </c>
      <c r="AM92" s="150" t="str" cm="1">
        <f t="array" ref="AM92">IF(OR(O92:O249="zero_recoverable", "zero_exalt", "zero_other", "zero_uncertain"),
   "Yes","No")</f>
        <v>Yes</v>
      </c>
      <c r="AN92" s="150">
        <f>1 + COUNTIF($V$2:V91,"main")</f>
        <v>28</v>
      </c>
      <c r="AO92" s="150" t="str">
        <f t="shared" si="11"/>
        <v/>
      </c>
      <c r="AP92" s="150">
        <f t="shared" si="12"/>
        <v>1</v>
      </c>
      <c r="AQ92" s="150">
        <f>IF(AP93=0,"",COUNTIFS($AN$2:$AN93,$AN93,$AP$2:$AP93,1))</f>
        <v>1</v>
      </c>
      <c r="AR92" s="150">
        <v>0</v>
      </c>
      <c r="AS92" s="150" t="s">
        <v>461</v>
      </c>
      <c r="AT92" s="150" t="s">
        <v>483</v>
      </c>
      <c r="AU92" s="150">
        <f t="shared" si="14"/>
        <v>0</v>
      </c>
      <c r="AV92" s="150">
        <f t="shared" si="15"/>
        <v>0</v>
      </c>
    </row>
    <row r="93" spans="1:48" x14ac:dyDescent="0.2">
      <c r="A93" s="42" t="s">
        <v>118</v>
      </c>
      <c r="B93" s="43" t="s">
        <v>224</v>
      </c>
      <c r="C93" s="44" t="s">
        <v>314</v>
      </c>
      <c r="D93" s="45" t="s">
        <v>412</v>
      </c>
      <c r="E93" s="45" t="s">
        <v>1034</v>
      </c>
      <c r="F93" s="45" t="s">
        <v>528</v>
      </c>
      <c r="G93" s="46" t="s">
        <v>434</v>
      </c>
      <c r="H93" s="45" t="s">
        <v>442</v>
      </c>
      <c r="I93" s="45" t="s">
        <v>451</v>
      </c>
      <c r="J93" s="45" t="s">
        <v>453</v>
      </c>
      <c r="K93" s="45">
        <v>1</v>
      </c>
      <c r="L93" s="47">
        <v>1</v>
      </c>
      <c r="M93" s="47" t="s">
        <v>456</v>
      </c>
      <c r="N93" s="47">
        <v>1</v>
      </c>
      <c r="O93" s="48" t="s">
        <v>461</v>
      </c>
      <c r="P93" s="48">
        <v>3</v>
      </c>
      <c r="Q93" s="48" t="s">
        <v>483</v>
      </c>
      <c r="R93" s="48" t="s">
        <v>483</v>
      </c>
      <c r="S93" s="49">
        <v>0</v>
      </c>
      <c r="T93" s="49">
        <v>0</v>
      </c>
      <c r="U93" s="50" t="s">
        <v>483</v>
      </c>
      <c r="V93" s="50" t="s">
        <v>487</v>
      </c>
      <c r="W93" s="51">
        <v>1</v>
      </c>
      <c r="X93" s="51">
        <v>0</v>
      </c>
      <c r="Y93" s="51" t="s">
        <v>503</v>
      </c>
      <c r="Z93" s="51" t="s">
        <v>498</v>
      </c>
      <c r="AA93" s="53">
        <v>0</v>
      </c>
      <c r="AB93" s="54" t="s">
        <v>468</v>
      </c>
      <c r="AC93" s="38" t="s">
        <v>466</v>
      </c>
      <c r="AD93" s="39" t="str">
        <f t="shared" si="9"/>
        <v/>
      </c>
      <c r="AE93" s="55" t="s">
        <v>493</v>
      </c>
      <c r="AF93" s="104" t="s">
        <v>491</v>
      </c>
      <c r="AG93" s="54" t="s">
        <v>485</v>
      </c>
      <c r="AH93" s="54" t="s">
        <v>484</v>
      </c>
      <c r="AI93" s="117"/>
      <c r="AJ93" s="113"/>
      <c r="AK93" s="12">
        <f t="shared" si="8"/>
        <v>1</v>
      </c>
      <c r="AL93" s="150" t="str">
        <f t="shared" si="10"/>
        <v>non-LVC</v>
      </c>
      <c r="AM93" s="150" t="str" cm="1">
        <f t="array" ref="AM93">IF(OR(O93:O250="zero_recoverable", "zero_exalt", "zero_other", "zero_uncertain"),
   "Yes","No")</f>
        <v>Yes</v>
      </c>
      <c r="AN93" s="150">
        <f>1 + COUNTIF($V$2:V92,"main")</f>
        <v>29</v>
      </c>
      <c r="AO93" s="150" t="str">
        <f t="shared" si="11"/>
        <v>te</v>
      </c>
      <c r="AP93" s="150">
        <f t="shared" si="12"/>
        <v>1</v>
      </c>
      <c r="AQ93" s="150">
        <f>IF(AP94=0,"",COUNTIFS($AN$2:$AN94,$AN94,$AP$2:$AP94,1))</f>
        <v>2</v>
      </c>
      <c r="AR93" s="150">
        <v>1</v>
      </c>
      <c r="AS93" s="150" t="s">
        <v>460</v>
      </c>
      <c r="AT93" s="150" t="s">
        <v>483</v>
      </c>
      <c r="AU93" s="150">
        <f t="shared" si="14"/>
        <v>1</v>
      </c>
      <c r="AV93" s="150">
        <f t="shared" si="15"/>
        <v>0</v>
      </c>
    </row>
    <row r="94" spans="1:48" x14ac:dyDescent="0.2">
      <c r="A94" s="42" t="s">
        <v>119</v>
      </c>
      <c r="B94" s="43" t="s">
        <v>225</v>
      </c>
      <c r="C94" s="44" t="s">
        <v>315</v>
      </c>
      <c r="D94" s="45" t="s">
        <v>413</v>
      </c>
      <c r="E94" s="45" t="s">
        <v>1034</v>
      </c>
      <c r="F94" s="45" t="s">
        <v>528</v>
      </c>
      <c r="G94" s="46" t="s">
        <v>434</v>
      </c>
      <c r="H94" s="45" t="s">
        <v>442</v>
      </c>
      <c r="I94" s="45" t="s">
        <v>451</v>
      </c>
      <c r="J94" s="45" t="s">
        <v>453</v>
      </c>
      <c r="K94" s="45">
        <v>1</v>
      </c>
      <c r="L94" s="47">
        <v>1</v>
      </c>
      <c r="M94" s="47" t="s">
        <v>455</v>
      </c>
      <c r="N94" s="47">
        <v>0</v>
      </c>
      <c r="O94" s="48" t="s">
        <v>460</v>
      </c>
      <c r="P94" s="48">
        <v>3</v>
      </c>
      <c r="Q94" s="48" t="s">
        <v>483</v>
      </c>
      <c r="R94" s="48" t="s">
        <v>461</v>
      </c>
      <c r="S94" s="49">
        <v>0</v>
      </c>
      <c r="T94" s="49">
        <v>0</v>
      </c>
      <c r="U94" s="50" t="s">
        <v>483</v>
      </c>
      <c r="V94" s="50" t="s">
        <v>515</v>
      </c>
      <c r="W94" s="51">
        <v>0</v>
      </c>
      <c r="X94" s="51">
        <v>1</v>
      </c>
      <c r="Y94" s="51" t="s">
        <v>503</v>
      </c>
      <c r="Z94" s="51" t="s">
        <v>497</v>
      </c>
      <c r="AA94" s="53">
        <v>0</v>
      </c>
      <c r="AB94" s="54" t="s">
        <v>469</v>
      </c>
      <c r="AC94" s="38" t="s">
        <v>487</v>
      </c>
      <c r="AD94" s="39" t="s">
        <v>1111</v>
      </c>
      <c r="AE94" s="55" t="s">
        <v>491</v>
      </c>
      <c r="AF94" s="104" t="s">
        <v>491</v>
      </c>
      <c r="AG94" s="54" t="s">
        <v>485</v>
      </c>
      <c r="AH94" s="54" t="s">
        <v>484</v>
      </c>
      <c r="AI94" s="117"/>
      <c r="AJ94" s="113"/>
      <c r="AK94" s="12">
        <f t="shared" si="8"/>
        <v>1</v>
      </c>
      <c r="AL94" s="150" t="str">
        <f t="shared" si="10"/>
        <v>non-LVC</v>
      </c>
      <c r="AM94" s="150" t="str" cm="1">
        <f t="array" ref="AM94">IF(OR(O94:O251="zero_recoverable", "zero_exalt", "zero_other", "zero_uncertain"),
   "Yes","No")</f>
        <v>Yes</v>
      </c>
      <c r="AN94" s="150">
        <f>1 + COUNTIF($V$2:V93,"main")</f>
        <v>29</v>
      </c>
      <c r="AO94" s="150" t="str">
        <f t="shared" si="11"/>
        <v>subordinate</v>
      </c>
      <c r="AP94" s="150">
        <f t="shared" si="12"/>
        <v>1</v>
      </c>
      <c r="AQ94" s="150">
        <f>IF(AP95=0,"",COUNTIFS($AN$2:$AN95,$AN95,$AP$2:$AP95,1))</f>
        <v>3</v>
      </c>
      <c r="AR94" s="150">
        <f t="shared" si="13"/>
        <v>0</v>
      </c>
      <c r="AS94" s="150" t="s">
        <v>460</v>
      </c>
      <c r="AT94" s="150" t="s">
        <v>483</v>
      </c>
      <c r="AU94" s="150">
        <f t="shared" si="14"/>
        <v>0</v>
      </c>
      <c r="AV94" s="150">
        <f t="shared" si="15"/>
        <v>0</v>
      </c>
    </row>
    <row r="95" spans="1:48" x14ac:dyDescent="0.2">
      <c r="A95" s="42" t="s">
        <v>120</v>
      </c>
      <c r="B95" s="43" t="s">
        <v>226</v>
      </c>
      <c r="C95" s="44" t="s">
        <v>316</v>
      </c>
      <c r="D95" s="45" t="s">
        <v>414</v>
      </c>
      <c r="E95" s="45" t="s">
        <v>1034</v>
      </c>
      <c r="F95" s="45" t="s">
        <v>528</v>
      </c>
      <c r="G95" s="46" t="s">
        <v>437</v>
      </c>
      <c r="H95" s="45" t="s">
        <v>442</v>
      </c>
      <c r="I95" s="45" t="s">
        <v>451</v>
      </c>
      <c r="J95" s="45" t="s">
        <v>453</v>
      </c>
      <c r="K95" s="45">
        <v>1</v>
      </c>
      <c r="L95" s="47">
        <v>0</v>
      </c>
      <c r="M95" s="47" t="s">
        <v>483</v>
      </c>
      <c r="N95" s="47">
        <v>0</v>
      </c>
      <c r="O95" s="48" t="s">
        <v>460</v>
      </c>
      <c r="P95" s="48">
        <v>3</v>
      </c>
      <c r="Q95" s="48" t="s">
        <v>483</v>
      </c>
      <c r="R95" s="48" t="s">
        <v>483</v>
      </c>
      <c r="S95" s="49">
        <v>0</v>
      </c>
      <c r="T95" s="49">
        <v>0</v>
      </c>
      <c r="U95" s="50" t="s">
        <v>463</v>
      </c>
      <c r="V95" s="50" t="s">
        <v>487</v>
      </c>
      <c r="W95" s="51">
        <v>0</v>
      </c>
      <c r="X95" s="51">
        <v>1</v>
      </c>
      <c r="Y95" s="51" t="s">
        <v>503</v>
      </c>
      <c r="Z95" s="51" t="s">
        <v>497</v>
      </c>
      <c r="AA95" s="53">
        <v>0</v>
      </c>
      <c r="AB95" s="54" t="s">
        <v>472</v>
      </c>
      <c r="AC95" s="38" t="s">
        <v>515</v>
      </c>
      <c r="AD95" s="39" t="str">
        <f t="shared" si="9"/>
        <v/>
      </c>
      <c r="AE95" s="55" t="s">
        <v>491</v>
      </c>
      <c r="AF95" s="104" t="s">
        <v>493</v>
      </c>
      <c r="AG95" s="54" t="s">
        <v>507</v>
      </c>
      <c r="AH95" s="54" t="s">
        <v>484</v>
      </c>
      <c r="AI95" s="117"/>
      <c r="AJ95" s="113"/>
      <c r="AK95" s="12">
        <f t="shared" si="8"/>
        <v>0</v>
      </c>
      <c r="AL95" s="150" t="str">
        <f t="shared" si="10"/>
        <v>non-LVC</v>
      </c>
      <c r="AM95" s="150" t="str" cm="1">
        <f t="array" ref="AM95">IF(OR(O95:O252="zero_recoverable", "zero_exalt", "zero_other", "zero_uncertain"),
   "Yes","No")</f>
        <v>Yes</v>
      </c>
      <c r="AN95" s="150">
        <f>1 + COUNTIF($V$2:V94,"main")</f>
        <v>29</v>
      </c>
      <c r="AO95" s="150" t="str">
        <f t="shared" si="11"/>
        <v>subordinate</v>
      </c>
      <c r="AP95" s="150">
        <f t="shared" si="12"/>
        <v>1</v>
      </c>
      <c r="AQ95" s="150">
        <f>IF(AP96=0,"",COUNTIFS($AN$2:$AN96,$AN96,$AP$2:$AP96,1))</f>
        <v>4</v>
      </c>
      <c r="AR95" s="150">
        <f t="shared" si="13"/>
        <v>0</v>
      </c>
      <c r="AS95" s="150" t="s">
        <v>461</v>
      </c>
      <c r="AT95" s="150" t="s">
        <v>483</v>
      </c>
      <c r="AU95" s="150">
        <f t="shared" si="14"/>
        <v>0</v>
      </c>
      <c r="AV95" s="150">
        <f t="shared" si="15"/>
        <v>0</v>
      </c>
    </row>
    <row r="96" spans="1:48" x14ac:dyDescent="0.2">
      <c r="A96" s="42" t="s">
        <v>121</v>
      </c>
      <c r="B96" s="43" t="s">
        <v>547</v>
      </c>
      <c r="C96" s="44" t="s">
        <v>550</v>
      </c>
      <c r="D96" s="45" t="s">
        <v>553</v>
      </c>
      <c r="E96" s="45" t="s">
        <v>1034</v>
      </c>
      <c r="F96" s="45" t="s">
        <v>444</v>
      </c>
      <c r="G96" s="46" t="s">
        <v>436</v>
      </c>
      <c r="H96" s="45" t="s">
        <v>442</v>
      </c>
      <c r="I96" s="45" t="s">
        <v>451</v>
      </c>
      <c r="J96" s="45" t="s">
        <v>453</v>
      </c>
      <c r="K96" s="45">
        <v>1</v>
      </c>
      <c r="L96" s="47">
        <v>1</v>
      </c>
      <c r="M96" s="47" t="s">
        <v>456</v>
      </c>
      <c r="N96" s="47">
        <v>1</v>
      </c>
      <c r="O96" s="48" t="s">
        <v>461</v>
      </c>
      <c r="P96" s="48">
        <v>3</v>
      </c>
      <c r="Q96" s="48" t="s">
        <v>483</v>
      </c>
      <c r="R96" s="48" t="s">
        <v>483</v>
      </c>
      <c r="S96" s="49">
        <v>0</v>
      </c>
      <c r="T96" s="49">
        <v>0</v>
      </c>
      <c r="U96" s="50" t="s">
        <v>463</v>
      </c>
      <c r="V96" s="50" t="s">
        <v>487</v>
      </c>
      <c r="W96" s="51">
        <v>1</v>
      </c>
      <c r="X96" s="51">
        <v>0</v>
      </c>
      <c r="Y96" s="51" t="s">
        <v>503</v>
      </c>
      <c r="Z96" s="51" t="s">
        <v>497</v>
      </c>
      <c r="AA96" s="53">
        <v>0</v>
      </c>
      <c r="AB96" s="54" t="s">
        <v>472</v>
      </c>
      <c r="AC96" s="38" t="s">
        <v>487</v>
      </c>
      <c r="AD96" s="39" t="str">
        <f t="shared" si="9"/>
        <v/>
      </c>
      <c r="AE96" s="55" t="s">
        <v>493</v>
      </c>
      <c r="AF96" s="104" t="s">
        <v>491</v>
      </c>
      <c r="AG96" s="54" t="s">
        <v>485</v>
      </c>
      <c r="AH96" s="54" t="s">
        <v>484</v>
      </c>
      <c r="AI96" s="117"/>
      <c r="AJ96" s="113"/>
      <c r="AK96" s="12">
        <f t="shared" si="8"/>
        <v>1</v>
      </c>
      <c r="AL96" s="150" t="str">
        <f t="shared" si="10"/>
        <v>non-LVC</v>
      </c>
      <c r="AM96" s="150" t="str" cm="1">
        <f t="array" ref="AM96">IF(OR(O96:O253="zero_recoverable", "zero_exalt", "zero_other", "zero_uncertain"),
   "Yes","No")</f>
        <v>Yes</v>
      </c>
      <c r="AN96" s="150">
        <f>1 + COUNTIF($V$2:V95,"main")</f>
        <v>29</v>
      </c>
      <c r="AO96" s="150" t="str">
        <f t="shared" si="11"/>
        <v>te</v>
      </c>
      <c r="AP96" s="150">
        <f t="shared" si="12"/>
        <v>1</v>
      </c>
      <c r="AQ96" s="150">
        <f>IF(AP97=0,"",COUNTIFS($AN$2:$AN97,$AN97,$AP$2:$AP97,1))</f>
        <v>5</v>
      </c>
      <c r="AR96" s="150">
        <f t="shared" si="13"/>
        <v>0</v>
      </c>
      <c r="AS96" s="150" t="s">
        <v>508</v>
      </c>
      <c r="AT96" s="150" t="s">
        <v>508</v>
      </c>
      <c r="AU96" s="150">
        <f t="shared" si="14"/>
        <v>1</v>
      </c>
      <c r="AV96" s="150">
        <f t="shared" si="15"/>
        <v>0</v>
      </c>
    </row>
    <row r="97" spans="1:48" x14ac:dyDescent="0.2">
      <c r="A97" s="42" t="s">
        <v>122</v>
      </c>
      <c r="B97" s="43" t="s">
        <v>545</v>
      </c>
      <c r="C97" s="44" t="s">
        <v>549</v>
      </c>
      <c r="D97" s="45" t="s">
        <v>551</v>
      </c>
      <c r="E97" s="45" t="s">
        <v>1034</v>
      </c>
      <c r="F97" s="45" t="s">
        <v>528</v>
      </c>
      <c r="G97" s="46" t="s">
        <v>434</v>
      </c>
      <c r="H97" s="45" t="s">
        <v>441</v>
      </c>
      <c r="I97" s="59" t="s">
        <v>451</v>
      </c>
      <c r="J97" s="45" t="s">
        <v>453</v>
      </c>
      <c r="K97" s="45">
        <v>1</v>
      </c>
      <c r="L97" s="47">
        <v>1</v>
      </c>
      <c r="M97" s="47" t="s">
        <v>455</v>
      </c>
      <c r="N97" s="47">
        <v>0</v>
      </c>
      <c r="O97" s="48" t="s">
        <v>508</v>
      </c>
      <c r="P97" s="48">
        <v>3</v>
      </c>
      <c r="Q97" s="48" t="s">
        <v>508</v>
      </c>
      <c r="R97" s="48" t="s">
        <v>461</v>
      </c>
      <c r="S97" s="49">
        <v>0</v>
      </c>
      <c r="T97" s="49">
        <v>0</v>
      </c>
      <c r="U97" s="50" t="s">
        <v>483</v>
      </c>
      <c r="V97" s="50" t="s">
        <v>515</v>
      </c>
      <c r="W97" s="51">
        <v>0</v>
      </c>
      <c r="X97" s="51">
        <v>0</v>
      </c>
      <c r="Y97" s="51" t="s">
        <v>483</v>
      </c>
      <c r="Z97" s="51" t="s">
        <v>483</v>
      </c>
      <c r="AA97" s="53">
        <v>0</v>
      </c>
      <c r="AB97" s="54" t="s">
        <v>439</v>
      </c>
      <c r="AC97" s="38" t="s">
        <v>487</v>
      </c>
      <c r="AD97" s="39" t="s">
        <v>1111</v>
      </c>
      <c r="AE97" s="55" t="s">
        <v>491</v>
      </c>
      <c r="AF97" s="104" t="s">
        <v>491</v>
      </c>
      <c r="AG97" s="54" t="s">
        <v>507</v>
      </c>
      <c r="AH97" s="54" t="s">
        <v>484</v>
      </c>
      <c r="AI97" s="117"/>
      <c r="AJ97" s="113"/>
      <c r="AK97" s="12">
        <f t="shared" si="8"/>
        <v>1</v>
      </c>
      <c r="AL97" s="150" t="str">
        <f t="shared" si="10"/>
        <v>non-LVC</v>
      </c>
      <c r="AM97" s="150" t="str" cm="1">
        <f t="array" ref="AM97">IF(OR(O97:O254="zero_recoverable", "zero_exalt", "zero_other", "zero_uncertain"),
   "Yes","No")</f>
        <v>Yes</v>
      </c>
      <c r="AN97" s="150">
        <f>1 + COUNTIF($V$2:V96,"main")</f>
        <v>29</v>
      </c>
      <c r="AO97" s="150" t="str">
        <f t="shared" si="11"/>
        <v>subordinate</v>
      </c>
      <c r="AP97" s="150">
        <f t="shared" si="12"/>
        <v>1</v>
      </c>
      <c r="AQ97" s="150">
        <f>IF(AP98=0,"",COUNTIFS($AN$2:$AN98,$AN98,$AP$2:$AP98,1))</f>
        <v>6</v>
      </c>
      <c r="AR97" s="150">
        <f t="shared" si="13"/>
        <v>0</v>
      </c>
      <c r="AS97" s="150" t="s">
        <v>508</v>
      </c>
      <c r="AT97" s="150" t="s">
        <v>483</v>
      </c>
      <c r="AU97" s="150">
        <f t="shared" si="14"/>
        <v>0</v>
      </c>
      <c r="AV97" s="150">
        <f t="shared" si="15"/>
        <v>0</v>
      </c>
    </row>
    <row r="98" spans="1:48" x14ac:dyDescent="0.2">
      <c r="A98" s="42" t="s">
        <v>123</v>
      </c>
      <c r="B98" s="43" t="s">
        <v>546</v>
      </c>
      <c r="C98" s="44" t="s">
        <v>548</v>
      </c>
      <c r="D98" s="45" t="s">
        <v>552</v>
      </c>
      <c r="E98" s="45" t="s">
        <v>1034</v>
      </c>
      <c r="F98" s="45" t="s">
        <v>528</v>
      </c>
      <c r="G98" s="46" t="s">
        <v>434</v>
      </c>
      <c r="H98" s="45" t="s">
        <v>442</v>
      </c>
      <c r="I98" s="45" t="s">
        <v>452</v>
      </c>
      <c r="J98" s="45" t="s">
        <v>453</v>
      </c>
      <c r="K98" s="45">
        <v>1</v>
      </c>
      <c r="L98" s="47">
        <v>0</v>
      </c>
      <c r="M98" s="47" t="s">
        <v>483</v>
      </c>
      <c r="N98" s="47">
        <v>0</v>
      </c>
      <c r="O98" s="48" t="s">
        <v>508</v>
      </c>
      <c r="P98" s="48">
        <v>3</v>
      </c>
      <c r="Q98" s="48" t="s">
        <v>483</v>
      </c>
      <c r="R98" s="48" t="s">
        <v>508</v>
      </c>
      <c r="S98" s="49">
        <v>0</v>
      </c>
      <c r="T98" s="49">
        <v>0</v>
      </c>
      <c r="U98" s="50" t="s">
        <v>483</v>
      </c>
      <c r="V98" s="50" t="s">
        <v>487</v>
      </c>
      <c r="W98" s="51">
        <v>0</v>
      </c>
      <c r="X98" s="51">
        <v>0</v>
      </c>
      <c r="Y98" s="51" t="s">
        <v>483</v>
      </c>
      <c r="Z98" s="51" t="s">
        <v>483</v>
      </c>
      <c r="AA98" s="53">
        <v>0</v>
      </c>
      <c r="AB98" s="54" t="s">
        <v>494</v>
      </c>
      <c r="AC98" s="38" t="s">
        <v>515</v>
      </c>
      <c r="AD98" s="39" t="str">
        <f t="shared" si="9"/>
        <v/>
      </c>
      <c r="AE98" s="55" t="s">
        <v>491</v>
      </c>
      <c r="AF98" s="104" t="s">
        <v>493</v>
      </c>
      <c r="AG98" s="54" t="s">
        <v>507</v>
      </c>
      <c r="AH98" s="54" t="s">
        <v>484</v>
      </c>
      <c r="AI98" s="116" t="s">
        <v>554</v>
      </c>
      <c r="AJ98" s="113"/>
      <c r="AK98" s="12">
        <f t="shared" si="8"/>
        <v>0</v>
      </c>
      <c r="AL98" s="150" t="str">
        <f t="shared" si="10"/>
        <v>non-LVC</v>
      </c>
      <c r="AM98" s="150" t="str" cm="1">
        <f t="array" ref="AM98">IF(OR(O98:O255="zero_recoverable", "zero_exalt", "zero_other", "zero_uncertain"),
   "Yes","No")</f>
        <v>Yes</v>
      </c>
      <c r="AN98" s="150">
        <f>1 + COUNTIF($V$2:V97,"main")</f>
        <v>29</v>
      </c>
      <c r="AO98" s="150" t="str">
        <f t="shared" si="11"/>
        <v>complement</v>
      </c>
      <c r="AP98" s="150">
        <f t="shared" si="12"/>
        <v>1</v>
      </c>
      <c r="AQ98" s="150">
        <f>IF(AP99=0,"",COUNTIFS($AN$2:$AN99,$AN99,$AP$2:$AP99,1))</f>
        <v>7</v>
      </c>
      <c r="AR98" s="150">
        <f t="shared" si="13"/>
        <v>0</v>
      </c>
      <c r="AS98" s="150" t="s">
        <v>461</v>
      </c>
      <c r="AT98" s="150" t="s">
        <v>461</v>
      </c>
      <c r="AU98" s="150">
        <f t="shared" si="14"/>
        <v>0</v>
      </c>
      <c r="AV98" s="150">
        <f t="shared" si="15"/>
        <v>0</v>
      </c>
    </row>
    <row r="99" spans="1:48" x14ac:dyDescent="0.2">
      <c r="A99" s="42" t="s">
        <v>124</v>
      </c>
      <c r="B99" s="43" t="s">
        <v>1068</v>
      </c>
      <c r="C99" s="44" t="s">
        <v>555</v>
      </c>
      <c r="D99" s="45" t="s">
        <v>557</v>
      </c>
      <c r="E99" s="45" t="s">
        <v>1034</v>
      </c>
      <c r="F99" s="45" t="s">
        <v>528</v>
      </c>
      <c r="G99" s="46" t="s">
        <v>434</v>
      </c>
      <c r="H99" s="45" t="s">
        <v>441</v>
      </c>
      <c r="I99" s="45" t="s">
        <v>451</v>
      </c>
      <c r="J99" s="45" t="s">
        <v>453</v>
      </c>
      <c r="K99" s="45">
        <v>1</v>
      </c>
      <c r="L99" s="47">
        <v>2</v>
      </c>
      <c r="M99" s="47" t="s">
        <v>458</v>
      </c>
      <c r="N99" s="47">
        <v>1</v>
      </c>
      <c r="O99" s="48" t="s">
        <v>461</v>
      </c>
      <c r="P99" s="48">
        <v>3</v>
      </c>
      <c r="Q99" s="48" t="s">
        <v>461</v>
      </c>
      <c r="R99" s="48" t="s">
        <v>483</v>
      </c>
      <c r="S99" s="49">
        <v>0</v>
      </c>
      <c r="T99" s="49">
        <v>0</v>
      </c>
      <c r="U99" s="50" t="s">
        <v>463</v>
      </c>
      <c r="V99" s="50" t="s">
        <v>1042</v>
      </c>
      <c r="W99" s="51">
        <v>0</v>
      </c>
      <c r="X99" s="51">
        <v>0</v>
      </c>
      <c r="Y99" s="51" t="s">
        <v>483</v>
      </c>
      <c r="Z99" s="51" t="s">
        <v>499</v>
      </c>
      <c r="AA99" s="53">
        <v>0</v>
      </c>
      <c r="AB99" s="54" t="s">
        <v>439</v>
      </c>
      <c r="AC99" s="38" t="s">
        <v>487</v>
      </c>
      <c r="AD99" s="39" t="str">
        <f t="shared" si="9"/>
        <v/>
      </c>
      <c r="AE99" s="55" t="s">
        <v>493</v>
      </c>
      <c r="AF99" s="104" t="s">
        <v>493</v>
      </c>
      <c r="AG99" s="54" t="s">
        <v>507</v>
      </c>
      <c r="AH99" s="54" t="s">
        <v>484</v>
      </c>
      <c r="AI99" s="117"/>
      <c r="AJ99" s="113"/>
      <c r="AK99" s="12">
        <f t="shared" si="8"/>
        <v>2</v>
      </c>
      <c r="AL99" s="150" t="str">
        <f t="shared" si="10"/>
        <v>non-LVC</v>
      </c>
      <c r="AM99" s="150" t="str" cm="1">
        <f t="array" ref="AM99">IF(OR(O99:O256="zero_recoverable", "zero_exalt", "zero_other", "zero_uncertain"),
   "Yes","No")</f>
        <v>Yes</v>
      </c>
      <c r="AN99" s="150">
        <f>1 + COUNTIF($V$2:V98,"main")</f>
        <v>29</v>
      </c>
      <c r="AO99" s="150" t="str">
        <f t="shared" si="11"/>
        <v/>
      </c>
      <c r="AP99" s="150">
        <f t="shared" si="12"/>
        <v>1</v>
      </c>
      <c r="AQ99" s="150">
        <f>IF(AP100=0,"",COUNTIFS($AN$2:$AN100,$AN100,$AP$2:$AP100,1))</f>
        <v>8</v>
      </c>
      <c r="AR99" s="150">
        <f t="shared" si="13"/>
        <v>0</v>
      </c>
      <c r="AS99" s="150" t="s">
        <v>508</v>
      </c>
      <c r="AT99" s="150" t="s">
        <v>483</v>
      </c>
      <c r="AU99" s="150">
        <f t="shared" si="14"/>
        <v>1</v>
      </c>
      <c r="AV99" s="150">
        <f t="shared" si="15"/>
        <v>0</v>
      </c>
    </row>
    <row r="100" spans="1:48" x14ac:dyDescent="0.2">
      <c r="A100" s="42" t="s">
        <v>125</v>
      </c>
      <c r="B100" s="43" t="s">
        <v>1067</v>
      </c>
      <c r="C100" s="44" t="s">
        <v>556</v>
      </c>
      <c r="D100" s="45" t="s">
        <v>384</v>
      </c>
      <c r="E100" s="45" t="s">
        <v>1034</v>
      </c>
      <c r="F100" s="45" t="s">
        <v>528</v>
      </c>
      <c r="G100" s="46" t="s">
        <v>434</v>
      </c>
      <c r="H100" s="45" t="s">
        <v>442</v>
      </c>
      <c r="I100" s="45" t="s">
        <v>452</v>
      </c>
      <c r="J100" s="45" t="s">
        <v>453</v>
      </c>
      <c r="K100" s="45">
        <v>1</v>
      </c>
      <c r="L100" s="47">
        <v>0</v>
      </c>
      <c r="M100" s="47" t="s">
        <v>483</v>
      </c>
      <c r="N100" s="47">
        <v>1</v>
      </c>
      <c r="O100" s="48" t="s">
        <v>508</v>
      </c>
      <c r="P100" s="48">
        <v>3</v>
      </c>
      <c r="Q100" s="48" t="s">
        <v>483</v>
      </c>
      <c r="R100" s="48" t="s">
        <v>483</v>
      </c>
      <c r="S100" s="49">
        <v>0</v>
      </c>
      <c r="T100" s="49">
        <v>0</v>
      </c>
      <c r="U100" s="50" t="s">
        <v>1041</v>
      </c>
      <c r="V100" s="50" t="s">
        <v>466</v>
      </c>
      <c r="W100" s="51">
        <v>0</v>
      </c>
      <c r="X100" s="51">
        <v>0</v>
      </c>
      <c r="Y100" s="51" t="s">
        <v>483</v>
      </c>
      <c r="Z100" s="51" t="s">
        <v>483</v>
      </c>
      <c r="AA100" s="53">
        <v>0</v>
      </c>
      <c r="AB100" s="54" t="s">
        <v>470</v>
      </c>
      <c r="AC100" s="38" t="s">
        <v>1042</v>
      </c>
      <c r="AD100" s="39" t="str">
        <f t="shared" si="9"/>
        <v/>
      </c>
      <c r="AE100" s="55" t="s">
        <v>493</v>
      </c>
      <c r="AF100" s="104" t="s">
        <v>493</v>
      </c>
      <c r="AG100" s="54" t="s">
        <v>507</v>
      </c>
      <c r="AH100" s="54" t="s">
        <v>473</v>
      </c>
      <c r="AI100" s="117"/>
      <c r="AJ100" s="113"/>
      <c r="AK100" s="12">
        <f t="shared" si="8"/>
        <v>0</v>
      </c>
      <c r="AL100" s="150" t="str">
        <f t="shared" si="10"/>
        <v>non-LVC</v>
      </c>
      <c r="AM100" s="150" t="str" cm="1">
        <f t="array" ref="AM100">IF(OR(O100:O257="zero_recoverable", "zero_exalt", "zero_other", "zero_uncertain"),
   "Yes","No")</f>
        <v>Yes</v>
      </c>
      <c r="AN100" s="150">
        <f>1 + COUNTIF($V$2:V99,"main")</f>
        <v>29</v>
      </c>
      <c r="AO100" s="150" t="str">
        <f t="shared" si="11"/>
        <v/>
      </c>
      <c r="AP100" s="150">
        <f t="shared" si="12"/>
        <v>1</v>
      </c>
      <c r="AQ100" s="150">
        <f>IF(AP101=0,"",COUNTIFS($AN$2:$AN101,$AN101,$AP$2:$AP101,1))</f>
        <v>1</v>
      </c>
      <c r="AR100" s="150">
        <v>0</v>
      </c>
      <c r="AS100" s="150" t="s">
        <v>527</v>
      </c>
      <c r="AT100" s="150" t="s">
        <v>483</v>
      </c>
      <c r="AU100" s="150">
        <f t="shared" si="14"/>
        <v>0</v>
      </c>
      <c r="AV100" s="150">
        <f t="shared" si="15"/>
        <v>0</v>
      </c>
    </row>
    <row r="101" spans="1:48" x14ac:dyDescent="0.2">
      <c r="A101" s="42" t="s">
        <v>126</v>
      </c>
      <c r="B101" s="43" t="s">
        <v>560</v>
      </c>
      <c r="C101" s="44" t="s">
        <v>558</v>
      </c>
      <c r="D101" s="45" t="s">
        <v>415</v>
      </c>
      <c r="E101" s="45" t="s">
        <v>1034</v>
      </c>
      <c r="F101" s="45" t="s">
        <v>528</v>
      </c>
      <c r="G101" s="46" t="s">
        <v>437</v>
      </c>
      <c r="H101" s="45" t="s">
        <v>442</v>
      </c>
      <c r="I101" s="45" t="s">
        <v>451</v>
      </c>
      <c r="J101" s="45" t="s">
        <v>453</v>
      </c>
      <c r="K101" s="45">
        <v>1</v>
      </c>
      <c r="L101" s="47">
        <v>0</v>
      </c>
      <c r="M101" s="47" t="s">
        <v>483</v>
      </c>
      <c r="N101" s="47">
        <v>2</v>
      </c>
      <c r="O101" s="48" t="s">
        <v>527</v>
      </c>
      <c r="P101" s="48">
        <v>0</v>
      </c>
      <c r="Q101" s="48" t="s">
        <v>483</v>
      </c>
      <c r="R101" s="48" t="s">
        <v>483</v>
      </c>
      <c r="S101" s="49">
        <v>0</v>
      </c>
      <c r="T101" s="49">
        <v>0</v>
      </c>
      <c r="U101" s="50" t="s">
        <v>483</v>
      </c>
      <c r="V101" s="50" t="s">
        <v>487</v>
      </c>
      <c r="W101" s="51">
        <v>0</v>
      </c>
      <c r="X101" s="51">
        <v>0</v>
      </c>
      <c r="Y101" s="51" t="s">
        <v>483</v>
      </c>
      <c r="Z101" s="51" t="s">
        <v>483</v>
      </c>
      <c r="AA101" s="53">
        <v>0</v>
      </c>
      <c r="AB101" s="54" t="s">
        <v>472</v>
      </c>
      <c r="AC101" s="38" t="s">
        <v>466</v>
      </c>
      <c r="AD101" s="39" t="str">
        <f t="shared" si="9"/>
        <v/>
      </c>
      <c r="AE101" s="55" t="s">
        <v>493</v>
      </c>
      <c r="AF101" s="104" t="s">
        <v>493</v>
      </c>
      <c r="AG101" s="54" t="s">
        <v>492</v>
      </c>
      <c r="AH101" s="54" t="s">
        <v>484</v>
      </c>
      <c r="AI101" s="117"/>
      <c r="AJ101" s="113"/>
      <c r="AK101" s="12">
        <f t="shared" si="8"/>
        <v>0</v>
      </c>
      <c r="AL101" s="150" t="str">
        <f t="shared" si="10"/>
        <v>non-LVC</v>
      </c>
      <c r="AM101" s="150" t="str" cm="1">
        <f t="array" ref="AM101">IF(OR(O101:O258="zero_recoverable", "zero_exalt", "zero_other", "zero_uncertain"),
   "Yes","No")</f>
        <v>Yes</v>
      </c>
      <c r="AN101" s="150">
        <f>1 + COUNTIF($V$2:V100,"main")</f>
        <v>30</v>
      </c>
      <c r="AO101" s="150" t="str">
        <f t="shared" si="11"/>
        <v>subordinate</v>
      </c>
      <c r="AP101" s="150">
        <f t="shared" si="12"/>
        <v>1</v>
      </c>
      <c r="AQ101" s="150">
        <f>IF(AP102=0,"",COUNTIFS($AN$2:$AN102,$AN102,$AP$2:$AP102,1))</f>
        <v>2</v>
      </c>
      <c r="AR101" s="150">
        <v>1</v>
      </c>
      <c r="AS101" s="150" t="s">
        <v>461</v>
      </c>
      <c r="AT101" s="150" t="s">
        <v>483</v>
      </c>
      <c r="AU101" s="150">
        <f t="shared" si="14"/>
        <v>0</v>
      </c>
      <c r="AV101" s="150">
        <f t="shared" si="15"/>
        <v>0</v>
      </c>
    </row>
    <row r="102" spans="1:48" x14ac:dyDescent="0.2">
      <c r="A102" s="42" t="s">
        <v>127</v>
      </c>
      <c r="B102" s="43" t="s">
        <v>561</v>
      </c>
      <c r="C102" s="44" t="s">
        <v>559</v>
      </c>
      <c r="D102" s="45" t="s">
        <v>562</v>
      </c>
      <c r="E102" s="45" t="s">
        <v>1034</v>
      </c>
      <c r="F102" s="45" t="s">
        <v>444</v>
      </c>
      <c r="G102" s="46" t="s">
        <v>475</v>
      </c>
      <c r="H102" s="45" t="s">
        <v>442</v>
      </c>
      <c r="I102" s="45" t="s">
        <v>451</v>
      </c>
      <c r="J102" s="45" t="s">
        <v>454</v>
      </c>
      <c r="K102" s="45">
        <v>1</v>
      </c>
      <c r="L102" s="47">
        <v>1</v>
      </c>
      <c r="M102" s="47" t="s">
        <v>456</v>
      </c>
      <c r="N102" s="47">
        <v>0</v>
      </c>
      <c r="O102" s="48" t="s">
        <v>461</v>
      </c>
      <c r="P102" s="48">
        <v>3</v>
      </c>
      <c r="Q102" s="48" t="s">
        <v>483</v>
      </c>
      <c r="R102" s="48" t="s">
        <v>483</v>
      </c>
      <c r="S102" s="49">
        <v>0</v>
      </c>
      <c r="T102" s="49">
        <v>0</v>
      </c>
      <c r="U102" s="50" t="s">
        <v>483</v>
      </c>
      <c r="V102" s="50" t="s">
        <v>487</v>
      </c>
      <c r="W102" s="51">
        <v>0</v>
      </c>
      <c r="X102" s="51">
        <v>0</v>
      </c>
      <c r="Y102" s="51" t="s">
        <v>483</v>
      </c>
      <c r="Z102" s="51" t="s">
        <v>483</v>
      </c>
      <c r="AA102" s="53">
        <v>0</v>
      </c>
      <c r="AB102" s="54" t="s">
        <v>439</v>
      </c>
      <c r="AC102" s="38" t="s">
        <v>487</v>
      </c>
      <c r="AD102" s="39" t="str">
        <f t="shared" si="9"/>
        <v/>
      </c>
      <c r="AE102" s="55" t="s">
        <v>493</v>
      </c>
      <c r="AF102" s="104">
        <v>0</v>
      </c>
      <c r="AG102" s="54" t="s">
        <v>507</v>
      </c>
      <c r="AH102" s="54" t="s">
        <v>484</v>
      </c>
      <c r="AI102" s="117"/>
      <c r="AJ102" s="113"/>
      <c r="AK102" s="12">
        <f t="shared" si="8"/>
        <v>1</v>
      </c>
      <c r="AL102" s="150" t="str">
        <f t="shared" si="10"/>
        <v>non-LVC</v>
      </c>
      <c r="AM102" s="150" t="str" cm="1">
        <f t="array" ref="AM102">IF(OR(O102:O259="zero_recoverable", "zero_exalt", "zero_other", "zero_uncertain"),
   "Yes","No")</f>
        <v>Yes</v>
      </c>
      <c r="AN102" s="150">
        <f>1 + COUNTIF($V$2:V101,"main")</f>
        <v>30</v>
      </c>
      <c r="AO102" s="150" t="str">
        <f t="shared" si="11"/>
        <v/>
      </c>
      <c r="AP102" s="150">
        <f t="shared" si="12"/>
        <v>1</v>
      </c>
      <c r="AQ102" s="150">
        <f>IF(AP103=0,"",COUNTIFS($AN$2:$AN103,$AN103,$AP$2:$AP103,1))</f>
        <v>3</v>
      </c>
      <c r="AR102" s="150">
        <f t="shared" si="13"/>
        <v>0</v>
      </c>
      <c r="AS102" s="150"/>
      <c r="AT102" s="150"/>
      <c r="AU102" s="150">
        <f t="shared" si="14"/>
        <v>0</v>
      </c>
      <c r="AV102" s="150">
        <f t="shared" si="15"/>
        <v>0</v>
      </c>
    </row>
    <row r="103" spans="1:48" x14ac:dyDescent="0.2">
      <c r="A103" s="42" t="s">
        <v>128</v>
      </c>
      <c r="B103" s="43" t="s">
        <v>563</v>
      </c>
      <c r="C103" s="44" t="s">
        <v>564</v>
      </c>
      <c r="D103" s="45" t="s">
        <v>566</v>
      </c>
      <c r="E103" s="45" t="s">
        <v>1035</v>
      </c>
      <c r="F103" s="45" t="s">
        <v>444</v>
      </c>
      <c r="G103" s="46" t="s">
        <v>475</v>
      </c>
      <c r="H103" s="45"/>
      <c r="I103" s="45"/>
      <c r="J103" s="45"/>
      <c r="K103" s="45"/>
      <c r="L103" s="47"/>
      <c r="M103" s="47"/>
      <c r="N103" s="47"/>
      <c r="O103" s="48"/>
      <c r="P103" s="48"/>
      <c r="Q103" s="48" t="s">
        <v>483</v>
      </c>
      <c r="R103" s="48" t="s">
        <v>483</v>
      </c>
      <c r="S103" s="49"/>
      <c r="T103" s="49"/>
      <c r="U103" s="50"/>
      <c r="V103" s="50"/>
      <c r="W103" s="51"/>
      <c r="X103" s="51"/>
      <c r="Y103" s="51" t="s">
        <v>483</v>
      </c>
      <c r="Z103" s="51" t="s">
        <v>483</v>
      </c>
      <c r="AA103" s="53"/>
      <c r="AB103" s="54"/>
      <c r="AC103" s="38" t="s">
        <v>487</v>
      </c>
      <c r="AD103" s="39" t="str">
        <f t="shared" si="9"/>
        <v/>
      </c>
      <c r="AE103" s="55"/>
      <c r="AF103" s="104" t="s">
        <v>493</v>
      </c>
      <c r="AG103" s="54"/>
      <c r="AH103" s="54"/>
      <c r="AI103" s="117"/>
      <c r="AJ103" s="113"/>
      <c r="AL103" s="150" t="str">
        <f t="shared" si="10"/>
        <v>non-LVC</v>
      </c>
      <c r="AM103" s="150" t="str" cm="1">
        <f t="array" ref="AM103">IF(OR(O103:O260="zero_recoverable", "zero_exalt", "zero_other", "zero_uncertain"),
   "Yes","No")</f>
        <v>Yes</v>
      </c>
      <c r="AN103" s="150">
        <f>1 + COUNTIF($V$2:V102,"main")</f>
        <v>30</v>
      </c>
      <c r="AO103" s="150" t="str">
        <f t="shared" si="11"/>
        <v/>
      </c>
      <c r="AP103" s="150">
        <f t="shared" si="12"/>
        <v>1</v>
      </c>
      <c r="AQ103" s="150">
        <f>IF(AP104=0,"",COUNTIFS($AN$2:$AN104,$AN104,$AP$2:$AP104,1))</f>
        <v>4</v>
      </c>
      <c r="AR103" s="150">
        <f t="shared" si="13"/>
        <v>0</v>
      </c>
      <c r="AS103" s="150" t="s">
        <v>527</v>
      </c>
      <c r="AT103" s="150" t="s">
        <v>483</v>
      </c>
      <c r="AU103" s="150">
        <f t="shared" si="14"/>
        <v>0</v>
      </c>
      <c r="AV103" s="150">
        <f t="shared" si="15"/>
        <v>0</v>
      </c>
    </row>
    <row r="104" spans="1:48" x14ac:dyDescent="0.2">
      <c r="A104" s="42" t="s">
        <v>129</v>
      </c>
      <c r="B104" s="43" t="s">
        <v>416</v>
      </c>
      <c r="C104" s="44" t="s">
        <v>565</v>
      </c>
      <c r="D104" s="45" t="s">
        <v>416</v>
      </c>
      <c r="E104" s="45" t="s">
        <v>1034</v>
      </c>
      <c r="F104" s="45" t="s">
        <v>447</v>
      </c>
      <c r="G104" s="46" t="s">
        <v>438</v>
      </c>
      <c r="H104" s="45" t="s">
        <v>442</v>
      </c>
      <c r="I104" s="45" t="s">
        <v>451</v>
      </c>
      <c r="J104" s="45" t="s">
        <v>454</v>
      </c>
      <c r="K104" s="45">
        <v>1</v>
      </c>
      <c r="L104" s="47">
        <v>0</v>
      </c>
      <c r="M104" s="47" t="s">
        <v>483</v>
      </c>
      <c r="N104" s="47">
        <v>0</v>
      </c>
      <c r="O104" s="48" t="s">
        <v>527</v>
      </c>
      <c r="P104" s="48">
        <v>0</v>
      </c>
      <c r="Q104" s="48" t="s">
        <v>483</v>
      </c>
      <c r="R104" s="48" t="s">
        <v>483</v>
      </c>
      <c r="S104" s="49">
        <v>0</v>
      </c>
      <c r="T104" s="49">
        <v>0</v>
      </c>
      <c r="U104" s="50" t="s">
        <v>483</v>
      </c>
      <c r="V104" s="50" t="s">
        <v>466</v>
      </c>
      <c r="W104" s="51">
        <v>0</v>
      </c>
      <c r="X104" s="51">
        <v>0</v>
      </c>
      <c r="Y104" s="51" t="s">
        <v>483</v>
      </c>
      <c r="Z104" s="51" t="s">
        <v>483</v>
      </c>
      <c r="AA104" s="53">
        <v>0</v>
      </c>
      <c r="AB104" s="54" t="s">
        <v>439</v>
      </c>
      <c r="AC104" s="38">
        <v>0</v>
      </c>
      <c r="AD104" s="39" t="str">
        <f t="shared" si="9"/>
        <v/>
      </c>
      <c r="AE104" s="55" t="s">
        <v>493</v>
      </c>
      <c r="AF104" s="104" t="s">
        <v>493</v>
      </c>
      <c r="AG104" s="54" t="s">
        <v>507</v>
      </c>
      <c r="AH104" s="54" t="s">
        <v>473</v>
      </c>
      <c r="AI104" s="117"/>
      <c r="AJ104" s="113"/>
      <c r="AK104" s="12">
        <f t="shared" si="8"/>
        <v>0</v>
      </c>
      <c r="AL104" s="150" t="str">
        <f t="shared" si="10"/>
        <v>non-LVC</v>
      </c>
      <c r="AM104" s="150" t="str" cm="1">
        <f t="array" ref="AM104">IF(OR(O104:O261="zero_recoverable", "zero_exalt", "zero_other", "zero_uncertain"),
   "Yes","No")</f>
        <v>Yes</v>
      </c>
      <c r="AN104" s="150">
        <f>1 + COUNTIF($V$2:V103,"main")</f>
        <v>30</v>
      </c>
      <c r="AO104" s="150" t="str">
        <f t="shared" si="11"/>
        <v/>
      </c>
      <c r="AP104" s="150">
        <f t="shared" si="12"/>
        <v>1</v>
      </c>
      <c r="AQ104" s="150">
        <f>IF(AP105=0,"",COUNTIFS($AN$2:$AN105,$AN105,$AP$2:$AP105,1))</f>
        <v>1</v>
      </c>
      <c r="AR104" s="150">
        <v>0</v>
      </c>
      <c r="AS104" s="150" t="s">
        <v>461</v>
      </c>
      <c r="AT104" s="150" t="s">
        <v>483</v>
      </c>
      <c r="AU104" s="150">
        <f t="shared" si="14"/>
        <v>0</v>
      </c>
      <c r="AV104" s="150">
        <f t="shared" si="15"/>
        <v>0</v>
      </c>
    </row>
    <row r="105" spans="1:48" x14ac:dyDescent="0.2">
      <c r="A105" s="42" t="s">
        <v>130</v>
      </c>
      <c r="B105" s="43" t="s">
        <v>567</v>
      </c>
      <c r="C105" s="44" t="s">
        <v>317</v>
      </c>
      <c r="D105" s="45" t="s">
        <v>417</v>
      </c>
      <c r="E105" s="45" t="s">
        <v>1034</v>
      </c>
      <c r="F105" s="45" t="s">
        <v>445</v>
      </c>
      <c r="G105" s="46" t="s">
        <v>434</v>
      </c>
      <c r="H105" s="45" t="s">
        <v>442</v>
      </c>
      <c r="I105" s="45" t="s">
        <v>451</v>
      </c>
      <c r="J105" s="45" t="s">
        <v>453</v>
      </c>
      <c r="K105" s="45">
        <v>1</v>
      </c>
      <c r="L105" s="47">
        <v>1</v>
      </c>
      <c r="M105" s="47" t="s">
        <v>456</v>
      </c>
      <c r="N105" s="47">
        <v>1</v>
      </c>
      <c r="O105" s="48" t="s">
        <v>461</v>
      </c>
      <c r="P105" s="48">
        <v>3</v>
      </c>
      <c r="Q105" s="48" t="s">
        <v>483</v>
      </c>
      <c r="R105" s="48" t="s">
        <v>483</v>
      </c>
      <c r="S105" s="49">
        <v>0</v>
      </c>
      <c r="T105" s="49">
        <v>0</v>
      </c>
      <c r="U105" s="50" t="s">
        <v>483</v>
      </c>
      <c r="V105" s="50" t="s">
        <v>487</v>
      </c>
      <c r="W105" s="51">
        <v>0</v>
      </c>
      <c r="X105" s="51">
        <v>0</v>
      </c>
      <c r="Y105" s="51" t="s">
        <v>483</v>
      </c>
      <c r="Z105" s="51" t="s">
        <v>483</v>
      </c>
      <c r="AA105" s="53">
        <v>0</v>
      </c>
      <c r="AB105" s="54" t="s">
        <v>468</v>
      </c>
      <c r="AC105" s="38" t="s">
        <v>466</v>
      </c>
      <c r="AD105" s="39" t="str">
        <f t="shared" si="9"/>
        <v/>
      </c>
      <c r="AE105" s="55" t="s">
        <v>493</v>
      </c>
      <c r="AF105" s="104" t="s">
        <v>493</v>
      </c>
      <c r="AG105" s="54" t="s">
        <v>492</v>
      </c>
      <c r="AH105" s="54" t="s">
        <v>484</v>
      </c>
      <c r="AI105" s="117"/>
      <c r="AJ105" s="113"/>
      <c r="AK105" s="12">
        <f t="shared" si="8"/>
        <v>1</v>
      </c>
      <c r="AL105" s="150" t="str">
        <f t="shared" si="10"/>
        <v>non-LVC</v>
      </c>
      <c r="AM105" s="150" t="str" cm="1">
        <f t="array" ref="AM105">IF(OR(O105:O262="zero_recoverable", "zero_exalt", "zero_other", "zero_uncertain"),
   "Yes","No")</f>
        <v>Yes</v>
      </c>
      <c r="AN105" s="150">
        <f>1 + COUNTIF($V$2:V104,"main")</f>
        <v>31</v>
      </c>
      <c r="AO105" s="150" t="str">
        <f t="shared" si="11"/>
        <v>subordinate</v>
      </c>
      <c r="AP105" s="150">
        <f t="shared" si="12"/>
        <v>1</v>
      </c>
      <c r="AQ105" s="150">
        <f>IF(AP106=0,"",COUNTIFS($AN$2:$AN106,$AN106,$AP$2:$AP106,1))</f>
        <v>2</v>
      </c>
      <c r="AR105" s="150">
        <v>1</v>
      </c>
      <c r="AS105" s="150" t="s">
        <v>461</v>
      </c>
      <c r="AT105" s="150" t="s">
        <v>459</v>
      </c>
      <c r="AU105" s="150">
        <f t="shared" si="14"/>
        <v>0</v>
      </c>
      <c r="AV105" s="150">
        <f t="shared" si="15"/>
        <v>0</v>
      </c>
    </row>
    <row r="106" spans="1:48" x14ac:dyDescent="0.2">
      <c r="A106" s="42" t="s">
        <v>131</v>
      </c>
      <c r="B106" s="43" t="s">
        <v>227</v>
      </c>
      <c r="C106" s="44" t="s">
        <v>318</v>
      </c>
      <c r="D106" s="45" t="s">
        <v>418</v>
      </c>
      <c r="E106" s="45" t="s">
        <v>1034</v>
      </c>
      <c r="F106" s="45" t="s">
        <v>445</v>
      </c>
      <c r="G106" s="46" t="s">
        <v>434</v>
      </c>
      <c r="H106" s="45" t="s">
        <v>441</v>
      </c>
      <c r="I106" s="45" t="s">
        <v>451</v>
      </c>
      <c r="J106" s="45" t="s">
        <v>453</v>
      </c>
      <c r="K106" s="45">
        <v>1</v>
      </c>
      <c r="L106" s="47">
        <v>1</v>
      </c>
      <c r="M106" s="47" t="s">
        <v>456</v>
      </c>
      <c r="N106" s="47">
        <v>1</v>
      </c>
      <c r="O106" s="48" t="s">
        <v>461</v>
      </c>
      <c r="P106" s="48">
        <v>3</v>
      </c>
      <c r="Q106" s="48" t="s">
        <v>459</v>
      </c>
      <c r="R106" s="48" t="s">
        <v>483</v>
      </c>
      <c r="S106" s="49">
        <v>0</v>
      </c>
      <c r="T106" s="49">
        <v>0</v>
      </c>
      <c r="U106" s="50" t="s">
        <v>456</v>
      </c>
      <c r="V106" s="50" t="s">
        <v>487</v>
      </c>
      <c r="W106" s="51">
        <v>1</v>
      </c>
      <c r="X106" s="51">
        <v>0</v>
      </c>
      <c r="Y106" s="51" t="s">
        <v>503</v>
      </c>
      <c r="Z106" s="51" t="s">
        <v>513</v>
      </c>
      <c r="AA106" s="53">
        <v>0</v>
      </c>
      <c r="AB106" s="54" t="s">
        <v>439</v>
      </c>
      <c r="AC106" s="38" t="s">
        <v>487</v>
      </c>
      <c r="AD106" s="39" t="str">
        <f t="shared" si="9"/>
        <v/>
      </c>
      <c r="AE106" s="55" t="s">
        <v>493</v>
      </c>
      <c r="AF106" s="104" t="s">
        <v>493</v>
      </c>
      <c r="AG106" s="54" t="s">
        <v>507</v>
      </c>
      <c r="AH106" s="54" t="s">
        <v>484</v>
      </c>
      <c r="AI106" s="117" t="s">
        <v>1050</v>
      </c>
      <c r="AJ106" s="113"/>
      <c r="AK106" s="12">
        <f t="shared" si="8"/>
        <v>1</v>
      </c>
      <c r="AL106" s="150" t="str">
        <f t="shared" si="10"/>
        <v>non-LVC</v>
      </c>
      <c r="AM106" s="150" t="str" cm="1">
        <f t="array" ref="AM106">IF(OR(O106:O263="zero_recoverable", "zero_exalt", "zero_other", "zero_uncertain"),
   "Yes","No")</f>
        <v>Yes</v>
      </c>
      <c r="AN106" s="150">
        <f>1 + COUNTIF($V$2:V105,"main")</f>
        <v>31</v>
      </c>
      <c r="AO106" s="150" t="str">
        <f t="shared" si="11"/>
        <v>te</v>
      </c>
      <c r="AP106" s="150">
        <f t="shared" si="12"/>
        <v>1</v>
      </c>
      <c r="AQ106" s="150">
        <f>IF(AP107=0,"",COUNTIFS($AN$2:$AN107,$AN107,$AP$2:$AP107,1))</f>
        <v>3</v>
      </c>
      <c r="AR106" s="150">
        <f t="shared" si="13"/>
        <v>0</v>
      </c>
      <c r="AS106" s="150" t="s">
        <v>508</v>
      </c>
      <c r="AT106" s="150" t="s">
        <v>461</v>
      </c>
      <c r="AU106" s="150">
        <f t="shared" si="14"/>
        <v>1</v>
      </c>
      <c r="AV106" s="150">
        <f t="shared" si="15"/>
        <v>0</v>
      </c>
    </row>
    <row r="107" spans="1:48" x14ac:dyDescent="0.2">
      <c r="A107" s="42" t="s">
        <v>132</v>
      </c>
      <c r="B107" s="43" t="s">
        <v>1069</v>
      </c>
      <c r="C107" s="44" t="s">
        <v>568</v>
      </c>
      <c r="D107" s="45" t="s">
        <v>574</v>
      </c>
      <c r="E107" s="45" t="s">
        <v>1034</v>
      </c>
      <c r="F107" s="45" t="s">
        <v>528</v>
      </c>
      <c r="G107" s="46" t="s">
        <v>435</v>
      </c>
      <c r="H107" s="45" t="s">
        <v>441</v>
      </c>
      <c r="I107" s="45" t="s">
        <v>451</v>
      </c>
      <c r="J107" s="45" t="s">
        <v>453</v>
      </c>
      <c r="K107" s="45">
        <v>1</v>
      </c>
      <c r="L107" s="47">
        <v>1</v>
      </c>
      <c r="M107" s="47" t="s">
        <v>464</v>
      </c>
      <c r="N107" s="47">
        <v>0</v>
      </c>
      <c r="O107" s="48" t="s">
        <v>508</v>
      </c>
      <c r="P107" s="48">
        <v>3</v>
      </c>
      <c r="Q107" s="48" t="s">
        <v>461</v>
      </c>
      <c r="R107" s="48" t="s">
        <v>483</v>
      </c>
      <c r="S107" s="49">
        <v>0</v>
      </c>
      <c r="T107" s="49">
        <v>0</v>
      </c>
      <c r="U107" s="50" t="s">
        <v>483</v>
      </c>
      <c r="V107" s="50" t="s">
        <v>515</v>
      </c>
      <c r="W107" s="51">
        <v>0</v>
      </c>
      <c r="X107" s="51">
        <v>0</v>
      </c>
      <c r="Y107" s="51" t="s">
        <v>483</v>
      </c>
      <c r="Z107" s="51" t="s">
        <v>483</v>
      </c>
      <c r="AA107" s="53">
        <v>0</v>
      </c>
      <c r="AB107" s="54" t="s">
        <v>439</v>
      </c>
      <c r="AC107" s="38" t="s">
        <v>487</v>
      </c>
      <c r="AD107" s="39" t="s">
        <v>1111</v>
      </c>
      <c r="AE107" s="55" t="s">
        <v>493</v>
      </c>
      <c r="AF107" s="104" t="s">
        <v>491</v>
      </c>
      <c r="AG107" s="54" t="s">
        <v>507</v>
      </c>
      <c r="AH107" s="54" t="s">
        <v>484</v>
      </c>
      <c r="AI107" s="117"/>
      <c r="AJ107" s="113"/>
      <c r="AK107" s="12">
        <f t="shared" si="8"/>
        <v>1</v>
      </c>
      <c r="AL107" s="150" t="str">
        <f t="shared" si="10"/>
        <v>LVC</v>
      </c>
      <c r="AM107" s="150" t="str" cm="1">
        <f t="array" ref="AM107">IF(OR(O107:O264="zero_recoverable", "zero_exalt", "zero_other", "zero_uncertain"),
   "Yes","No")</f>
        <v>Yes</v>
      </c>
      <c r="AN107" s="150">
        <f>1 + COUNTIF($V$2:V106,"main")</f>
        <v>31</v>
      </c>
      <c r="AO107" s="150" t="str">
        <f t="shared" si="11"/>
        <v>te</v>
      </c>
      <c r="AP107" s="150">
        <f t="shared" si="12"/>
        <v>1</v>
      </c>
      <c r="AQ107" s="150">
        <f>IF(AP108=0,"",COUNTIFS($AN$2:$AN108,$AN108,$AP$2:$AP108,1))</f>
        <v>4</v>
      </c>
      <c r="AR107" s="150">
        <f t="shared" si="13"/>
        <v>0</v>
      </c>
      <c r="AS107" s="150" t="s">
        <v>508</v>
      </c>
      <c r="AT107" s="150" t="s">
        <v>439</v>
      </c>
      <c r="AU107" s="150">
        <f t="shared" si="14"/>
        <v>0</v>
      </c>
      <c r="AV107" s="150">
        <f t="shared" si="15"/>
        <v>0</v>
      </c>
    </row>
    <row r="108" spans="1:48" x14ac:dyDescent="0.2">
      <c r="A108" s="42" t="s">
        <v>133</v>
      </c>
      <c r="B108" s="43" t="s">
        <v>578</v>
      </c>
      <c r="C108" s="44" t="s">
        <v>569</v>
      </c>
      <c r="D108" s="45" t="s">
        <v>573</v>
      </c>
      <c r="E108" s="45" t="s">
        <v>1034</v>
      </c>
      <c r="F108" s="45" t="s">
        <v>446</v>
      </c>
      <c r="G108" s="46" t="s">
        <v>435</v>
      </c>
      <c r="H108" s="45" t="s">
        <v>442</v>
      </c>
      <c r="I108" s="45" t="s">
        <v>451</v>
      </c>
      <c r="J108" s="45" t="s">
        <v>453</v>
      </c>
      <c r="K108" s="45">
        <v>1</v>
      </c>
      <c r="L108" s="47">
        <v>1</v>
      </c>
      <c r="M108" s="47" t="s">
        <v>455</v>
      </c>
      <c r="N108" s="47">
        <v>0</v>
      </c>
      <c r="O108" s="48" t="s">
        <v>508</v>
      </c>
      <c r="P108" s="48">
        <v>3</v>
      </c>
      <c r="Q108" s="48" t="s">
        <v>483</v>
      </c>
      <c r="R108" s="48" t="s">
        <v>461</v>
      </c>
      <c r="S108" s="49">
        <v>0</v>
      </c>
      <c r="T108" s="49">
        <v>0</v>
      </c>
      <c r="U108" s="50" t="s">
        <v>483</v>
      </c>
      <c r="V108" s="50" t="s">
        <v>515</v>
      </c>
      <c r="W108" s="51">
        <v>0</v>
      </c>
      <c r="X108" s="51">
        <v>0</v>
      </c>
      <c r="Y108" s="51" t="s">
        <v>483</v>
      </c>
      <c r="Z108" s="51" t="s">
        <v>483</v>
      </c>
      <c r="AA108" s="53">
        <v>0</v>
      </c>
      <c r="AB108" s="54" t="s">
        <v>439</v>
      </c>
      <c r="AC108" s="38" t="s">
        <v>515</v>
      </c>
      <c r="AD108" s="39" t="str">
        <f t="shared" si="9"/>
        <v>te_medial</v>
      </c>
      <c r="AE108" s="55" t="s">
        <v>491</v>
      </c>
      <c r="AF108" s="104" t="s">
        <v>491</v>
      </c>
      <c r="AG108" s="54" t="s">
        <v>507</v>
      </c>
      <c r="AH108" s="54" t="s">
        <v>484</v>
      </c>
      <c r="AI108" s="117"/>
      <c r="AJ108" s="113"/>
      <c r="AK108" s="12">
        <f t="shared" si="8"/>
        <v>1</v>
      </c>
      <c r="AL108" s="150" t="str">
        <f t="shared" si="10"/>
        <v>LVC</v>
      </c>
      <c r="AM108" s="150" t="str" cm="1">
        <f t="array" ref="AM108">IF(OR(O108:O265="zero_recoverable", "zero_exalt", "zero_other", "zero_uncertain"),
   "Yes","No")</f>
        <v>Yes</v>
      </c>
      <c r="AN108" s="150">
        <f>1 + COUNTIF($V$2:V107,"main")</f>
        <v>31</v>
      </c>
      <c r="AO108" s="150" t="str">
        <f t="shared" si="11"/>
        <v>te</v>
      </c>
      <c r="AP108" s="150">
        <f t="shared" si="12"/>
        <v>1</v>
      </c>
      <c r="AQ108" s="150">
        <f>IF(AP109=0,"",COUNTIFS($AN$2:$AN109,$AN109,$AP$2:$AP109,1))</f>
        <v>5</v>
      </c>
      <c r="AR108" s="150">
        <f t="shared" si="13"/>
        <v>0</v>
      </c>
      <c r="AS108" s="150" t="s">
        <v>460</v>
      </c>
      <c r="AT108" s="150" t="s">
        <v>461</v>
      </c>
      <c r="AU108" s="150">
        <f t="shared" si="14"/>
        <v>0</v>
      </c>
      <c r="AV108" s="150">
        <f t="shared" si="15"/>
        <v>0</v>
      </c>
    </row>
    <row r="109" spans="1:48" x14ac:dyDescent="0.2">
      <c r="A109" s="42" t="s">
        <v>134</v>
      </c>
      <c r="B109" s="43" t="s">
        <v>579</v>
      </c>
      <c r="C109" s="44" t="s">
        <v>570</v>
      </c>
      <c r="D109" s="45" t="s">
        <v>575</v>
      </c>
      <c r="E109" s="45" t="s">
        <v>1034</v>
      </c>
      <c r="F109" s="45" t="s">
        <v>528</v>
      </c>
      <c r="G109" s="46" t="s">
        <v>434</v>
      </c>
      <c r="H109" s="45" t="s">
        <v>441</v>
      </c>
      <c r="I109" s="45" t="s">
        <v>451</v>
      </c>
      <c r="J109" s="45" t="s">
        <v>453</v>
      </c>
      <c r="K109" s="45">
        <v>1</v>
      </c>
      <c r="L109" s="47">
        <v>1</v>
      </c>
      <c r="M109" s="47" t="s">
        <v>464</v>
      </c>
      <c r="N109" s="47">
        <v>0</v>
      </c>
      <c r="O109" s="48" t="s">
        <v>460</v>
      </c>
      <c r="P109" s="48">
        <v>3</v>
      </c>
      <c r="Q109" s="48" t="s">
        <v>461</v>
      </c>
      <c r="R109" s="48" t="s">
        <v>483</v>
      </c>
      <c r="S109" s="49">
        <v>0</v>
      </c>
      <c r="T109" s="49">
        <v>0</v>
      </c>
      <c r="U109" s="50" t="s">
        <v>483</v>
      </c>
      <c r="V109" s="50" t="s">
        <v>515</v>
      </c>
      <c r="W109" s="51">
        <v>0</v>
      </c>
      <c r="X109" s="51">
        <v>1</v>
      </c>
      <c r="Y109" s="51" t="s">
        <v>503</v>
      </c>
      <c r="Z109" s="51" t="s">
        <v>498</v>
      </c>
      <c r="AA109" s="53">
        <v>0</v>
      </c>
      <c r="AB109" s="54" t="s">
        <v>439</v>
      </c>
      <c r="AC109" s="38" t="s">
        <v>515</v>
      </c>
      <c r="AD109" s="39" t="str">
        <f t="shared" si="9"/>
        <v>te_medial</v>
      </c>
      <c r="AE109" s="55" t="s">
        <v>491</v>
      </c>
      <c r="AF109" s="104" t="s">
        <v>491</v>
      </c>
      <c r="AG109" s="54" t="s">
        <v>507</v>
      </c>
      <c r="AH109" s="54" t="s">
        <v>484</v>
      </c>
      <c r="AI109" s="117"/>
      <c r="AJ109" s="113"/>
      <c r="AK109" s="12">
        <f t="shared" si="8"/>
        <v>1</v>
      </c>
      <c r="AL109" s="150" t="str">
        <f t="shared" si="10"/>
        <v>non-LVC</v>
      </c>
      <c r="AM109" s="150" t="str" cm="1">
        <f t="array" ref="AM109">IF(OR(O109:O266="zero_recoverable", "zero_exalt", "zero_other", "zero_uncertain"),
   "Yes","No")</f>
        <v>Yes</v>
      </c>
      <c r="AN109" s="150">
        <f>1 + COUNTIF($V$2:V108,"main")</f>
        <v>31</v>
      </c>
      <c r="AO109" s="150" t="str">
        <f t="shared" si="11"/>
        <v>subordinate</v>
      </c>
      <c r="AP109" s="150">
        <f t="shared" si="12"/>
        <v>1</v>
      </c>
      <c r="AQ109" s="150">
        <f>IF(AP110=0,"",COUNTIFS($AN$2:$AN110,$AN110,$AP$2:$AP110,1))</f>
        <v>6</v>
      </c>
      <c r="AR109" s="150">
        <f t="shared" si="13"/>
        <v>0</v>
      </c>
      <c r="AS109" s="150" t="s">
        <v>508</v>
      </c>
      <c r="AT109" s="150" t="s">
        <v>461</v>
      </c>
      <c r="AU109" s="150">
        <f t="shared" si="14"/>
        <v>0</v>
      </c>
      <c r="AV109" s="150">
        <f t="shared" si="15"/>
        <v>0</v>
      </c>
    </row>
    <row r="110" spans="1:48" x14ac:dyDescent="0.2">
      <c r="A110" s="42" t="s">
        <v>135</v>
      </c>
      <c r="B110" s="43" t="s">
        <v>1043</v>
      </c>
      <c r="C110" s="44" t="s">
        <v>571</v>
      </c>
      <c r="D110" s="45" t="s">
        <v>1037</v>
      </c>
      <c r="E110" s="45" t="s">
        <v>1034</v>
      </c>
      <c r="F110" s="45" t="s">
        <v>446</v>
      </c>
      <c r="G110" s="46" t="s">
        <v>434</v>
      </c>
      <c r="H110" s="45" t="s">
        <v>441</v>
      </c>
      <c r="I110" s="45" t="s">
        <v>451</v>
      </c>
      <c r="J110" s="45" t="s">
        <v>453</v>
      </c>
      <c r="K110" s="45">
        <v>1</v>
      </c>
      <c r="L110" s="47">
        <v>1</v>
      </c>
      <c r="M110" s="47" t="s">
        <v>464</v>
      </c>
      <c r="N110" s="47">
        <v>0</v>
      </c>
      <c r="O110" s="48" t="s">
        <v>508</v>
      </c>
      <c r="P110" s="48">
        <v>3</v>
      </c>
      <c r="Q110" s="48" t="s">
        <v>461</v>
      </c>
      <c r="R110" s="48" t="s">
        <v>483</v>
      </c>
      <c r="S110" s="49">
        <v>0</v>
      </c>
      <c r="T110" s="49">
        <v>0</v>
      </c>
      <c r="U110" s="50" t="s">
        <v>456</v>
      </c>
      <c r="V110" s="50" t="s">
        <v>487</v>
      </c>
      <c r="W110" s="51">
        <v>0</v>
      </c>
      <c r="X110" s="51">
        <v>0</v>
      </c>
      <c r="Y110" s="51" t="s">
        <v>483</v>
      </c>
      <c r="Z110" s="51" t="s">
        <v>483</v>
      </c>
      <c r="AA110" s="53">
        <v>0</v>
      </c>
      <c r="AB110" s="54" t="s">
        <v>439</v>
      </c>
      <c r="AC110" s="38" t="s">
        <v>515</v>
      </c>
      <c r="AD110" s="39" t="str">
        <f t="shared" si="9"/>
        <v/>
      </c>
      <c r="AE110" s="55" t="s">
        <v>491</v>
      </c>
      <c r="AF110" s="104" t="s">
        <v>493</v>
      </c>
      <c r="AG110" s="54" t="s">
        <v>507</v>
      </c>
      <c r="AH110" s="54" t="s">
        <v>484</v>
      </c>
      <c r="AI110" s="117" t="s">
        <v>1050</v>
      </c>
      <c r="AJ110" s="113"/>
      <c r="AK110" s="12">
        <f t="shared" si="8"/>
        <v>1</v>
      </c>
      <c r="AL110" s="150" t="str">
        <f t="shared" si="10"/>
        <v>non-LVC</v>
      </c>
      <c r="AM110" s="150" t="str" cm="1">
        <f t="array" ref="AM110">IF(OR(O110:O267="zero_recoverable", "zero_exalt", "zero_other", "zero_uncertain"),
   "Yes","No")</f>
        <v>Yes</v>
      </c>
      <c r="AN110" s="150">
        <f>1 + COUNTIF($V$2:V109,"main")</f>
        <v>31</v>
      </c>
      <c r="AO110" s="150" t="str">
        <f t="shared" si="11"/>
        <v>relative</v>
      </c>
      <c r="AP110" s="150">
        <f t="shared" si="12"/>
        <v>1</v>
      </c>
      <c r="AQ110" s="150" t="str">
        <f>IF(AP111=0,"",COUNTIFS($AN$2:$AN111,$AN111,$AP$2:$AP111,1))</f>
        <v/>
      </c>
      <c r="AR110" s="150">
        <f t="shared" si="13"/>
        <v>0</v>
      </c>
      <c r="AS110" s="150" t="s">
        <v>461</v>
      </c>
      <c r="AT110" s="150" t="s">
        <v>461</v>
      </c>
      <c r="AU110" s="150">
        <f t="shared" si="14"/>
        <v>0</v>
      </c>
      <c r="AV110" s="150">
        <f t="shared" si="15"/>
        <v>0</v>
      </c>
    </row>
    <row r="111" spans="1:48" x14ac:dyDescent="0.2">
      <c r="A111" s="42" t="s">
        <v>136</v>
      </c>
      <c r="B111" s="43" t="s">
        <v>580</v>
      </c>
      <c r="C111" s="44" t="s">
        <v>572</v>
      </c>
      <c r="D111" s="45" t="s">
        <v>576</v>
      </c>
      <c r="E111" s="45" t="s">
        <v>1034</v>
      </c>
      <c r="F111" s="45" t="s">
        <v>528</v>
      </c>
      <c r="G111" s="46" t="s">
        <v>434</v>
      </c>
      <c r="H111" s="45" t="s">
        <v>441</v>
      </c>
      <c r="I111" s="45" t="s">
        <v>451</v>
      </c>
      <c r="J111" s="45" t="s">
        <v>453</v>
      </c>
      <c r="K111" s="45">
        <v>1</v>
      </c>
      <c r="L111" s="47">
        <v>2</v>
      </c>
      <c r="M111" s="47" t="s">
        <v>458</v>
      </c>
      <c r="N111" s="47">
        <v>0</v>
      </c>
      <c r="O111" s="48" t="s">
        <v>461</v>
      </c>
      <c r="P111" s="48">
        <v>3</v>
      </c>
      <c r="Q111" s="48" t="s">
        <v>461</v>
      </c>
      <c r="R111" s="48" t="s">
        <v>483</v>
      </c>
      <c r="S111" s="49">
        <v>0</v>
      </c>
      <c r="T111" s="49">
        <v>1</v>
      </c>
      <c r="U111" s="50" t="s">
        <v>463</v>
      </c>
      <c r="V111" s="50" t="s">
        <v>465</v>
      </c>
      <c r="W111" s="51">
        <v>0</v>
      </c>
      <c r="X111" s="51">
        <v>0</v>
      </c>
      <c r="Y111" s="51" t="s">
        <v>483</v>
      </c>
      <c r="Z111" s="51" t="s">
        <v>483</v>
      </c>
      <c r="AA111" s="53">
        <v>0</v>
      </c>
      <c r="AB111" s="54" t="s">
        <v>439</v>
      </c>
      <c r="AC111" s="38" t="s">
        <v>487</v>
      </c>
      <c r="AD111" s="39" t="str">
        <f t="shared" si="9"/>
        <v/>
      </c>
      <c r="AE111" s="55" t="s">
        <v>493</v>
      </c>
      <c r="AF111" s="104" t="s">
        <v>493</v>
      </c>
      <c r="AG111" s="54" t="s">
        <v>507</v>
      </c>
      <c r="AH111" s="54" t="s">
        <v>484</v>
      </c>
      <c r="AI111" s="117"/>
      <c r="AJ111" s="113"/>
      <c r="AK111" s="12">
        <f t="shared" si="8"/>
        <v>2</v>
      </c>
      <c r="AL111" s="150" t="str">
        <f t="shared" si="10"/>
        <v>non-LVC</v>
      </c>
      <c r="AM111" s="150" t="str" cm="1">
        <f t="array" ref="AM111">IF(OR(O111:O268="zero_recoverable", "zero_exalt", "zero_other", "zero_uncertain"),
   "Yes","No")</f>
        <v>Yes</v>
      </c>
      <c r="AN111" s="150">
        <f>1 + COUNTIF($V$2:V110,"main")</f>
        <v>31</v>
      </c>
      <c r="AO111" s="150" t="str">
        <f t="shared" si="11"/>
        <v>relative</v>
      </c>
      <c r="AP111" s="150">
        <f t="shared" si="12"/>
        <v>0</v>
      </c>
      <c r="AQ111" s="150" t="str">
        <f>IF(AP112=0,"",COUNTIFS($AN$2:$AN112,$AN112,$AP$2:$AP112,1))</f>
        <v/>
      </c>
      <c r="AR111" s="150">
        <f t="shared" si="13"/>
        <v>0</v>
      </c>
      <c r="AS111" s="150" t="s">
        <v>461</v>
      </c>
      <c r="AT111" s="150" t="s">
        <v>483</v>
      </c>
      <c r="AU111" s="150">
        <f t="shared" si="14"/>
        <v>0</v>
      </c>
      <c r="AV111" s="150">
        <f t="shared" si="15"/>
        <v>0</v>
      </c>
    </row>
    <row r="112" spans="1:48" x14ac:dyDescent="0.2">
      <c r="A112" s="42" t="s">
        <v>137</v>
      </c>
      <c r="B112" s="43" t="s">
        <v>581</v>
      </c>
      <c r="C112" s="44"/>
      <c r="D112" s="45" t="s">
        <v>405</v>
      </c>
      <c r="E112" s="45" t="s">
        <v>1034</v>
      </c>
      <c r="F112" s="45" t="s">
        <v>444</v>
      </c>
      <c r="G112" s="46" t="s">
        <v>437</v>
      </c>
      <c r="H112" s="45" t="s">
        <v>442</v>
      </c>
      <c r="I112" s="45" t="s">
        <v>451</v>
      </c>
      <c r="J112" s="45" t="s">
        <v>453</v>
      </c>
      <c r="K112" s="45">
        <v>1</v>
      </c>
      <c r="L112" s="47">
        <v>1</v>
      </c>
      <c r="M112" s="47" t="s">
        <v>456</v>
      </c>
      <c r="N112" s="47">
        <v>0</v>
      </c>
      <c r="O112" s="48" t="s">
        <v>461</v>
      </c>
      <c r="P112" s="48">
        <v>3</v>
      </c>
      <c r="Q112" s="48" t="s">
        <v>483</v>
      </c>
      <c r="R112" s="48" t="s">
        <v>483</v>
      </c>
      <c r="S112" s="49">
        <v>0</v>
      </c>
      <c r="T112" s="49">
        <v>1</v>
      </c>
      <c r="U112" s="50" t="s">
        <v>463</v>
      </c>
      <c r="V112" s="50" t="s">
        <v>465</v>
      </c>
      <c r="W112" s="51">
        <v>0</v>
      </c>
      <c r="X112" s="51">
        <v>0</v>
      </c>
      <c r="Y112" s="51" t="s">
        <v>483</v>
      </c>
      <c r="Z112" s="51" t="s">
        <v>483</v>
      </c>
      <c r="AA112" s="53">
        <v>0</v>
      </c>
      <c r="AB112" s="54" t="s">
        <v>439</v>
      </c>
      <c r="AC112" s="38" t="s">
        <v>465</v>
      </c>
      <c r="AD112" s="39" t="str">
        <f t="shared" si="9"/>
        <v/>
      </c>
      <c r="AE112" s="55" t="s">
        <v>493</v>
      </c>
      <c r="AF112" s="104" t="s">
        <v>483</v>
      </c>
      <c r="AG112" s="54" t="s">
        <v>507</v>
      </c>
      <c r="AH112" s="54" t="s">
        <v>484</v>
      </c>
      <c r="AI112" s="117"/>
      <c r="AJ112" s="113"/>
      <c r="AK112" s="12">
        <f t="shared" si="8"/>
        <v>1</v>
      </c>
      <c r="AL112" s="150" t="str">
        <f t="shared" si="10"/>
        <v>non-LVC</v>
      </c>
      <c r="AM112" s="150" t="str" cm="1">
        <f t="array" ref="AM112">IF(OR(O112:O269="zero_recoverable", "zero_exalt", "zero_other", "zero_uncertain"),
   "Yes","No")</f>
        <v>Yes</v>
      </c>
      <c r="AN112" s="150">
        <f>1 + COUNTIF($V$2:V111,"main")</f>
        <v>31</v>
      </c>
      <c r="AO112" s="150" t="str">
        <f t="shared" si="11"/>
        <v/>
      </c>
      <c r="AP112" s="150">
        <f t="shared" si="12"/>
        <v>0</v>
      </c>
      <c r="AQ112" s="150">
        <f>IF(AP113=0,"",COUNTIFS($AN$2:$AN113,$AN113,$AP$2:$AP113,1))</f>
        <v>7</v>
      </c>
      <c r="AR112" s="150">
        <f t="shared" si="13"/>
        <v>0</v>
      </c>
      <c r="AS112" s="150" t="s">
        <v>439</v>
      </c>
      <c r="AT112" s="150" t="s">
        <v>483</v>
      </c>
      <c r="AU112" s="150">
        <f t="shared" si="14"/>
        <v>0</v>
      </c>
      <c r="AV112" s="150">
        <f t="shared" si="15"/>
        <v>0</v>
      </c>
    </row>
    <row r="113" spans="1:48" x14ac:dyDescent="0.2">
      <c r="A113" s="42" t="s">
        <v>138</v>
      </c>
      <c r="B113" s="43" t="s">
        <v>582</v>
      </c>
      <c r="C113" s="44"/>
      <c r="D113" s="45" t="s">
        <v>338</v>
      </c>
      <c r="E113" s="45" t="s">
        <v>1034</v>
      </c>
      <c r="F113" s="45" t="s">
        <v>444</v>
      </c>
      <c r="G113" s="46" t="s">
        <v>436</v>
      </c>
      <c r="H113" s="45" t="s">
        <v>442</v>
      </c>
      <c r="I113" s="45" t="s">
        <v>451</v>
      </c>
      <c r="J113" s="45" t="s">
        <v>453</v>
      </c>
      <c r="K113" s="45">
        <v>1</v>
      </c>
      <c r="L113" s="47">
        <v>0</v>
      </c>
      <c r="M113" s="47" t="s">
        <v>483</v>
      </c>
      <c r="N113" s="47">
        <v>0</v>
      </c>
      <c r="O113" s="48" t="s">
        <v>439</v>
      </c>
      <c r="P113" s="48">
        <v>0</v>
      </c>
      <c r="Q113" s="48" t="s">
        <v>483</v>
      </c>
      <c r="R113" s="48" t="s">
        <v>483</v>
      </c>
      <c r="S113" s="49">
        <v>0</v>
      </c>
      <c r="T113" s="49">
        <v>0</v>
      </c>
      <c r="U113" s="50" t="s">
        <v>483</v>
      </c>
      <c r="V113" s="50" t="s">
        <v>439</v>
      </c>
      <c r="W113" s="51">
        <v>0</v>
      </c>
      <c r="X113" s="51">
        <v>0</v>
      </c>
      <c r="Y113" s="51" t="s">
        <v>483</v>
      </c>
      <c r="Z113" s="51" t="s">
        <v>483</v>
      </c>
      <c r="AA113" s="53">
        <v>0</v>
      </c>
      <c r="AB113" s="54" t="s">
        <v>439</v>
      </c>
      <c r="AC113" s="38" t="s">
        <v>465</v>
      </c>
      <c r="AD113" s="39" t="str">
        <f t="shared" si="9"/>
        <v/>
      </c>
      <c r="AE113" s="40" t="s">
        <v>483</v>
      </c>
      <c r="AF113" s="104" t="s">
        <v>493</v>
      </c>
      <c r="AG113" s="54" t="s">
        <v>507</v>
      </c>
      <c r="AH113" s="54" t="s">
        <v>473</v>
      </c>
      <c r="AI113" s="117"/>
      <c r="AJ113" s="113"/>
      <c r="AK113" s="12">
        <f t="shared" si="8"/>
        <v>0</v>
      </c>
      <c r="AL113" s="150" t="str">
        <f t="shared" si="10"/>
        <v>non-LVC</v>
      </c>
      <c r="AM113" s="150" t="str" cm="1">
        <f t="array" ref="AM113">IF(OR(O113:O270="zero_recoverable", "zero_exalt", "zero_other", "zero_uncertain"),
   "Yes","No")</f>
        <v>Yes</v>
      </c>
      <c r="AN113" s="150">
        <f>1 + COUNTIF($V$2:V112,"main")</f>
        <v>31</v>
      </c>
      <c r="AO113" s="150" t="str">
        <f t="shared" si="11"/>
        <v/>
      </c>
      <c r="AP113" s="150">
        <f t="shared" si="12"/>
        <v>1</v>
      </c>
      <c r="AQ113" s="150">
        <f>IF(AP114=0,"",COUNTIFS($AN$2:$AN114,$AN114,$AP$2:$AP114,1))</f>
        <v>8</v>
      </c>
      <c r="AR113" s="150">
        <f t="shared" si="13"/>
        <v>0</v>
      </c>
      <c r="AS113" s="150" t="s">
        <v>461</v>
      </c>
      <c r="AT113" s="150" t="s">
        <v>461</v>
      </c>
      <c r="AU113" s="150">
        <f t="shared" si="14"/>
        <v>0</v>
      </c>
      <c r="AV113" s="150">
        <f t="shared" si="15"/>
        <v>0</v>
      </c>
    </row>
    <row r="114" spans="1:48" x14ac:dyDescent="0.2">
      <c r="A114" s="42" t="s">
        <v>139</v>
      </c>
      <c r="B114" s="43" t="s">
        <v>583</v>
      </c>
      <c r="C114" s="44" t="s">
        <v>585</v>
      </c>
      <c r="D114" s="45" t="s">
        <v>587</v>
      </c>
      <c r="E114" s="45" t="s">
        <v>1034</v>
      </c>
      <c r="F114" s="45" t="s">
        <v>528</v>
      </c>
      <c r="G114" s="46" t="s">
        <v>434</v>
      </c>
      <c r="H114" s="45" t="s">
        <v>441</v>
      </c>
      <c r="I114" s="45" t="s">
        <v>451</v>
      </c>
      <c r="J114" s="45" t="s">
        <v>453</v>
      </c>
      <c r="K114" s="45">
        <v>1</v>
      </c>
      <c r="L114" s="47">
        <v>2</v>
      </c>
      <c r="M114" s="47" t="s">
        <v>458</v>
      </c>
      <c r="N114" s="47">
        <v>1</v>
      </c>
      <c r="O114" s="48" t="s">
        <v>461</v>
      </c>
      <c r="P114" s="48">
        <v>3</v>
      </c>
      <c r="Q114" s="48" t="s">
        <v>461</v>
      </c>
      <c r="R114" s="48" t="s">
        <v>483</v>
      </c>
      <c r="S114" s="49">
        <v>0</v>
      </c>
      <c r="T114" s="49">
        <v>0</v>
      </c>
      <c r="U114" s="50" t="s">
        <v>483</v>
      </c>
      <c r="V114" s="50" t="s">
        <v>515</v>
      </c>
      <c r="W114" s="51">
        <v>0</v>
      </c>
      <c r="X114" s="51">
        <v>0</v>
      </c>
      <c r="Y114" s="51" t="s">
        <v>483</v>
      </c>
      <c r="Z114" s="51" t="s">
        <v>483</v>
      </c>
      <c r="AA114" s="53">
        <v>0</v>
      </c>
      <c r="AB114" s="54" t="s">
        <v>472</v>
      </c>
      <c r="AC114" s="38" t="s">
        <v>439</v>
      </c>
      <c r="AD114" s="39" t="s">
        <v>1111</v>
      </c>
      <c r="AE114" s="55" t="s">
        <v>493</v>
      </c>
      <c r="AF114" s="104" t="s">
        <v>491</v>
      </c>
      <c r="AG114" s="54" t="s">
        <v>492</v>
      </c>
      <c r="AH114" s="54" t="s">
        <v>484</v>
      </c>
      <c r="AI114" s="117"/>
      <c r="AJ114" s="113"/>
      <c r="AK114" s="12">
        <f t="shared" si="8"/>
        <v>2</v>
      </c>
      <c r="AL114" s="150" t="str">
        <f t="shared" si="10"/>
        <v>non-LVC</v>
      </c>
      <c r="AM114" s="150" t="str" cm="1">
        <f t="array" ref="AM114">IF(OR(O114:O271="zero_recoverable", "zero_exalt", "zero_other", "zero_uncertain"),
   "Yes","No")</f>
        <v>Yes</v>
      </c>
      <c r="AN114" s="150">
        <f>1 + COUNTIF($V$2:V113,"main")</f>
        <v>31</v>
      </c>
      <c r="AO114" s="150" t="str">
        <f t="shared" si="11"/>
        <v>inf</v>
      </c>
      <c r="AP114" s="150">
        <f t="shared" si="12"/>
        <v>1</v>
      </c>
      <c r="AQ114" s="150">
        <f>IF(AP115=0,"",COUNTIFS($AN$2:$AN115,$AN115,$AP$2:$AP115,1))</f>
        <v>9</v>
      </c>
      <c r="AR114" s="150">
        <v>1</v>
      </c>
      <c r="AS114" s="150" t="s">
        <v>460</v>
      </c>
      <c r="AT114" s="150" t="s">
        <v>461</v>
      </c>
      <c r="AU114" s="150">
        <f t="shared" si="14"/>
        <v>1</v>
      </c>
      <c r="AV114" s="150">
        <f t="shared" si="15"/>
        <v>0</v>
      </c>
    </row>
    <row r="115" spans="1:48" x14ac:dyDescent="0.2">
      <c r="A115" s="42" t="s">
        <v>140</v>
      </c>
      <c r="B115" s="43" t="s">
        <v>584</v>
      </c>
      <c r="C115" s="44" t="s">
        <v>586</v>
      </c>
      <c r="D115" s="45" t="s">
        <v>588</v>
      </c>
      <c r="E115" s="45" t="s">
        <v>1034</v>
      </c>
      <c r="F115" s="45" t="s">
        <v>528</v>
      </c>
      <c r="G115" s="46" t="s">
        <v>434</v>
      </c>
      <c r="H115" s="45" t="s">
        <v>441</v>
      </c>
      <c r="I115" s="45" t="s">
        <v>451</v>
      </c>
      <c r="J115" s="45" t="s">
        <v>453</v>
      </c>
      <c r="K115" s="45">
        <v>1</v>
      </c>
      <c r="L115" s="47">
        <v>2</v>
      </c>
      <c r="M115" s="47" t="s">
        <v>520</v>
      </c>
      <c r="N115" s="47">
        <v>0</v>
      </c>
      <c r="O115" s="48" t="s">
        <v>460</v>
      </c>
      <c r="P115" s="48">
        <v>3</v>
      </c>
      <c r="Q115" s="48" t="s">
        <v>461</v>
      </c>
      <c r="R115" s="48" t="s">
        <v>461</v>
      </c>
      <c r="S115" s="49">
        <v>0</v>
      </c>
      <c r="T115" s="49">
        <v>0</v>
      </c>
      <c r="U115" s="50" t="s">
        <v>483</v>
      </c>
      <c r="V115" s="50" t="s">
        <v>517</v>
      </c>
      <c r="W115" s="51">
        <v>0</v>
      </c>
      <c r="X115" s="51">
        <v>1</v>
      </c>
      <c r="Y115" s="51" t="s">
        <v>503</v>
      </c>
      <c r="Z115" s="51" t="s">
        <v>497</v>
      </c>
      <c r="AA115" s="53">
        <v>0</v>
      </c>
      <c r="AB115" s="54" t="s">
        <v>439</v>
      </c>
      <c r="AC115" s="38" t="s">
        <v>515</v>
      </c>
      <c r="AD115" s="39" t="str">
        <f t="shared" si="9"/>
        <v/>
      </c>
      <c r="AE115" s="55" t="s">
        <v>491</v>
      </c>
      <c r="AF115" s="104" t="s">
        <v>491</v>
      </c>
      <c r="AG115" s="54" t="s">
        <v>507</v>
      </c>
      <c r="AH115" s="54" t="s">
        <v>484</v>
      </c>
      <c r="AI115" s="117"/>
      <c r="AJ115" s="113"/>
      <c r="AK115" s="12">
        <f t="shared" si="8"/>
        <v>2</v>
      </c>
      <c r="AL115" s="150" t="str">
        <f t="shared" si="10"/>
        <v>non-LVC</v>
      </c>
      <c r="AM115" s="150" t="str" cm="1">
        <f t="array" ref="AM115">IF(OR(O115:O272="zero_recoverable", "zero_exalt", "zero_other", "zero_uncertain"),
   "Yes","No")</f>
        <v>Yes</v>
      </c>
      <c r="AN115" s="150">
        <f>1 + COUNTIF($V$2:V114,"main")</f>
        <v>31</v>
      </c>
      <c r="AO115" s="150" t="str">
        <f t="shared" si="11"/>
        <v>te</v>
      </c>
      <c r="AP115" s="150">
        <f t="shared" si="12"/>
        <v>1</v>
      </c>
      <c r="AQ115" s="150">
        <f>IF(AP116=0,"",COUNTIFS($AN$2:$AN116,$AN116,$AP$2:$AP116,1))</f>
        <v>10</v>
      </c>
      <c r="AR115" s="150">
        <f t="shared" si="13"/>
        <v>0</v>
      </c>
      <c r="AS115" s="150" t="s">
        <v>461</v>
      </c>
      <c r="AT115" s="150" t="s">
        <v>461</v>
      </c>
      <c r="AU115" s="150">
        <f t="shared" si="14"/>
        <v>0</v>
      </c>
      <c r="AV115" s="150">
        <f t="shared" si="15"/>
        <v>0</v>
      </c>
    </row>
    <row r="116" spans="1:48" x14ac:dyDescent="0.2">
      <c r="A116" s="42" t="s">
        <v>141</v>
      </c>
      <c r="B116" s="43" t="s">
        <v>589</v>
      </c>
      <c r="C116" s="44" t="s">
        <v>591</v>
      </c>
      <c r="D116" s="45" t="s">
        <v>593</v>
      </c>
      <c r="E116" s="45" t="s">
        <v>1034</v>
      </c>
      <c r="F116" s="45" t="s">
        <v>445</v>
      </c>
      <c r="G116" s="46" t="s">
        <v>434</v>
      </c>
      <c r="H116" s="45" t="s">
        <v>441</v>
      </c>
      <c r="I116" s="45" t="s">
        <v>451</v>
      </c>
      <c r="J116" s="45" t="s">
        <v>453</v>
      </c>
      <c r="K116" s="45">
        <v>1</v>
      </c>
      <c r="L116" s="47">
        <v>3</v>
      </c>
      <c r="M116" s="61" t="s">
        <v>594</v>
      </c>
      <c r="N116" s="47">
        <v>2</v>
      </c>
      <c r="O116" s="48" t="s">
        <v>461</v>
      </c>
      <c r="P116" s="48">
        <v>3</v>
      </c>
      <c r="Q116" s="48" t="s">
        <v>461</v>
      </c>
      <c r="R116" s="48" t="s">
        <v>461</v>
      </c>
      <c r="S116" s="49">
        <v>0</v>
      </c>
      <c r="T116" s="49">
        <v>0</v>
      </c>
      <c r="U116" s="50" t="s">
        <v>483</v>
      </c>
      <c r="V116" s="50" t="s">
        <v>515</v>
      </c>
      <c r="W116" s="51">
        <v>0</v>
      </c>
      <c r="X116" s="51">
        <v>0</v>
      </c>
      <c r="Y116" s="51" t="s">
        <v>483</v>
      </c>
      <c r="Z116" s="51" t="s">
        <v>483</v>
      </c>
      <c r="AA116" s="53">
        <v>0</v>
      </c>
      <c r="AB116" s="54" t="s">
        <v>439</v>
      </c>
      <c r="AC116" s="38" t="s">
        <v>517</v>
      </c>
      <c r="AD116" s="39" t="s">
        <v>1111</v>
      </c>
      <c r="AE116" s="55" t="s">
        <v>491</v>
      </c>
      <c r="AF116" s="104" t="s">
        <v>491</v>
      </c>
      <c r="AG116" s="54" t="s">
        <v>507</v>
      </c>
      <c r="AH116" s="54" t="s">
        <v>484</v>
      </c>
      <c r="AI116" s="117"/>
      <c r="AJ116" s="113"/>
      <c r="AK116" s="12">
        <f t="shared" si="8"/>
        <v>3</v>
      </c>
      <c r="AL116" s="150" t="str">
        <f t="shared" si="10"/>
        <v>non-LVC</v>
      </c>
      <c r="AM116" s="150" t="str" cm="1">
        <f t="array" ref="AM116">IF(OR(O116:O273="zero_recoverable", "zero_exalt", "zero_other", "zero_uncertain"),
   "Yes","No")</f>
        <v>Yes</v>
      </c>
      <c r="AN116" s="150">
        <f>1 + COUNTIF($V$2:V115,"main")</f>
        <v>31</v>
      </c>
      <c r="AO116" s="150" t="str">
        <f t="shared" si="11"/>
        <v>relative</v>
      </c>
      <c r="AP116" s="150">
        <f t="shared" si="12"/>
        <v>1</v>
      </c>
      <c r="AQ116" s="150" t="str">
        <f>IF(AP117=0,"",COUNTIFS($AN$2:$AN117,$AN117,$AP$2:$AP117,1))</f>
        <v/>
      </c>
      <c r="AR116" s="150">
        <f t="shared" si="13"/>
        <v>0</v>
      </c>
      <c r="AS116" s="150" t="s">
        <v>508</v>
      </c>
      <c r="AT116" s="150" t="s">
        <v>439</v>
      </c>
      <c r="AU116" s="150">
        <f t="shared" si="14"/>
        <v>1</v>
      </c>
      <c r="AV116" s="150">
        <f t="shared" si="15"/>
        <v>0</v>
      </c>
    </row>
    <row r="117" spans="1:48" x14ac:dyDescent="0.2">
      <c r="A117" s="42" t="s">
        <v>142</v>
      </c>
      <c r="B117" s="43" t="s">
        <v>590</v>
      </c>
      <c r="C117" s="44" t="s">
        <v>592</v>
      </c>
      <c r="D117" s="45" t="s">
        <v>1038</v>
      </c>
      <c r="E117" s="45" t="s">
        <v>1034</v>
      </c>
      <c r="F117" s="45" t="s">
        <v>445</v>
      </c>
      <c r="G117" s="46" t="s">
        <v>434</v>
      </c>
      <c r="H117" s="45" t="s">
        <v>442</v>
      </c>
      <c r="I117" s="45" t="s">
        <v>451</v>
      </c>
      <c r="J117" s="45" t="s">
        <v>453</v>
      </c>
      <c r="K117" s="45">
        <v>1</v>
      </c>
      <c r="L117" s="47">
        <v>1</v>
      </c>
      <c r="M117" s="47" t="s">
        <v>455</v>
      </c>
      <c r="N117" s="47">
        <v>0</v>
      </c>
      <c r="O117" s="48" t="s">
        <v>508</v>
      </c>
      <c r="P117" s="48">
        <v>3</v>
      </c>
      <c r="Q117" s="48" t="s">
        <v>483</v>
      </c>
      <c r="R117" s="48" t="s">
        <v>461</v>
      </c>
      <c r="S117" s="49">
        <v>0</v>
      </c>
      <c r="T117" s="49">
        <v>1</v>
      </c>
      <c r="U117" s="50" t="s">
        <v>463</v>
      </c>
      <c r="V117" s="50" t="s">
        <v>465</v>
      </c>
      <c r="W117" s="51">
        <v>0</v>
      </c>
      <c r="X117" s="51">
        <v>0</v>
      </c>
      <c r="Y117" s="51" t="s">
        <v>483</v>
      </c>
      <c r="Z117" s="51" t="s">
        <v>483</v>
      </c>
      <c r="AA117" s="53">
        <v>0</v>
      </c>
      <c r="AB117" s="54" t="s">
        <v>439</v>
      </c>
      <c r="AC117" s="38" t="s">
        <v>515</v>
      </c>
      <c r="AD117" s="39" t="str">
        <f t="shared" si="9"/>
        <v/>
      </c>
      <c r="AE117" s="55" t="s">
        <v>491</v>
      </c>
      <c r="AF117" s="104" t="s">
        <v>483</v>
      </c>
      <c r="AG117" s="54" t="s">
        <v>507</v>
      </c>
      <c r="AH117" s="54" t="s">
        <v>484</v>
      </c>
      <c r="AI117" s="117"/>
      <c r="AJ117" s="113"/>
      <c r="AK117" s="12">
        <f t="shared" si="8"/>
        <v>1</v>
      </c>
      <c r="AL117" s="150" t="str">
        <f t="shared" si="10"/>
        <v>non-LVC</v>
      </c>
      <c r="AM117" s="150" t="str" cm="1">
        <f t="array" ref="AM117">IF(OR(O117:O274="zero_recoverable", "zero_exalt", "zero_other", "zero_uncertain"),
   "Yes","No")</f>
        <v>Yes</v>
      </c>
      <c r="AN117" s="150">
        <f>1 + COUNTIF($V$2:V116,"main")</f>
        <v>31</v>
      </c>
      <c r="AO117" s="150" t="str">
        <f t="shared" si="11"/>
        <v>relative</v>
      </c>
      <c r="AP117" s="150">
        <f t="shared" si="12"/>
        <v>0</v>
      </c>
      <c r="AQ117" s="150" t="str">
        <f>IF(AP118=0,"",COUNTIFS($AN$2:$AN118,$AN118,$AP$2:$AP118,1))</f>
        <v/>
      </c>
      <c r="AR117" s="150">
        <f t="shared" si="13"/>
        <v>0</v>
      </c>
      <c r="AS117" s="150" t="s">
        <v>459</v>
      </c>
      <c r="AT117" s="150" t="s">
        <v>483</v>
      </c>
      <c r="AU117" s="150">
        <f t="shared" si="14"/>
        <v>0</v>
      </c>
      <c r="AV117" s="150">
        <f t="shared" si="15"/>
        <v>0</v>
      </c>
    </row>
    <row r="118" spans="1:48" x14ac:dyDescent="0.2">
      <c r="A118" s="42" t="s">
        <v>143</v>
      </c>
      <c r="B118" s="43" t="s">
        <v>599</v>
      </c>
      <c r="C118" s="44" t="s">
        <v>597</v>
      </c>
      <c r="D118" s="45" t="s">
        <v>596</v>
      </c>
      <c r="E118" s="45" t="s">
        <v>1034</v>
      </c>
      <c r="F118" s="45" t="s">
        <v>528</v>
      </c>
      <c r="G118" s="46" t="s">
        <v>434</v>
      </c>
      <c r="H118" s="45" t="s">
        <v>441</v>
      </c>
      <c r="I118" s="45" t="s">
        <v>451</v>
      </c>
      <c r="J118" s="45" t="s">
        <v>454</v>
      </c>
      <c r="K118" s="45">
        <v>1</v>
      </c>
      <c r="L118" s="47">
        <v>0</v>
      </c>
      <c r="M118" s="47" t="s">
        <v>483</v>
      </c>
      <c r="N118" s="47">
        <v>1</v>
      </c>
      <c r="O118" s="48" t="s">
        <v>459</v>
      </c>
      <c r="P118" s="48">
        <v>3</v>
      </c>
      <c r="Q118" s="48" t="s">
        <v>483</v>
      </c>
      <c r="R118" s="48" t="s">
        <v>483</v>
      </c>
      <c r="S118" s="49">
        <v>1</v>
      </c>
      <c r="T118" s="49">
        <v>0</v>
      </c>
      <c r="U118" s="50" t="s">
        <v>463</v>
      </c>
      <c r="V118" s="50" t="s">
        <v>465</v>
      </c>
      <c r="W118" s="51">
        <v>0</v>
      </c>
      <c r="X118" s="51">
        <v>0</v>
      </c>
      <c r="Y118" s="51" t="s">
        <v>483</v>
      </c>
      <c r="Z118" s="51" t="s">
        <v>483</v>
      </c>
      <c r="AA118" s="53">
        <v>0</v>
      </c>
      <c r="AB118" s="54" t="s">
        <v>439</v>
      </c>
      <c r="AC118" s="38" t="s">
        <v>465</v>
      </c>
      <c r="AD118" s="39" t="str">
        <f t="shared" si="9"/>
        <v/>
      </c>
      <c r="AE118" s="40" t="s">
        <v>483</v>
      </c>
      <c r="AF118" s="104" t="s">
        <v>493</v>
      </c>
      <c r="AG118" s="54" t="s">
        <v>507</v>
      </c>
      <c r="AH118" s="54" t="s">
        <v>484</v>
      </c>
      <c r="AI118" s="117"/>
      <c r="AJ118" s="113"/>
      <c r="AK118" s="12">
        <f t="shared" si="8"/>
        <v>0</v>
      </c>
      <c r="AL118" s="150" t="str">
        <f t="shared" si="10"/>
        <v>non-LVC</v>
      </c>
      <c r="AM118" s="150" t="str" cm="1">
        <f t="array" ref="AM118">IF(OR(O118:O275="zero_recoverable", "zero_exalt", "zero_other", "zero_uncertain"),
   "Yes","No")</f>
        <v>Yes</v>
      </c>
      <c r="AN118" s="150">
        <f>1 + COUNTIF($V$2:V117,"main")</f>
        <v>31</v>
      </c>
      <c r="AO118" s="150" t="str">
        <f t="shared" si="11"/>
        <v>main</v>
      </c>
      <c r="AP118" s="150">
        <f t="shared" si="12"/>
        <v>0</v>
      </c>
      <c r="AQ118" s="150">
        <f>IF(AP119=0,"",COUNTIFS($AN$2:$AN119,$AN119,$AP$2:$AP119,1))</f>
        <v>11</v>
      </c>
      <c r="AR118" s="150">
        <f t="shared" si="13"/>
        <v>0</v>
      </c>
      <c r="AS118" s="150" t="s">
        <v>461</v>
      </c>
      <c r="AT118" s="150" t="s">
        <v>483</v>
      </c>
      <c r="AU118" s="150">
        <f t="shared" si="14"/>
        <v>0</v>
      </c>
      <c r="AV118" s="150">
        <f t="shared" si="15"/>
        <v>0</v>
      </c>
    </row>
    <row r="119" spans="1:48" x14ac:dyDescent="0.2">
      <c r="A119" s="42" t="s">
        <v>144</v>
      </c>
      <c r="B119" s="43" t="s">
        <v>595</v>
      </c>
      <c r="C119" s="44" t="s">
        <v>598</v>
      </c>
      <c r="D119" s="45" t="s">
        <v>419</v>
      </c>
      <c r="E119" s="45" t="s">
        <v>1034</v>
      </c>
      <c r="F119" s="45" t="s">
        <v>444</v>
      </c>
      <c r="G119" s="46" t="s">
        <v>436</v>
      </c>
      <c r="H119" s="45" t="s">
        <v>442</v>
      </c>
      <c r="I119" s="45" t="s">
        <v>451</v>
      </c>
      <c r="J119" s="45" t="s">
        <v>453</v>
      </c>
      <c r="K119" s="45">
        <v>1</v>
      </c>
      <c r="L119" s="47">
        <v>1</v>
      </c>
      <c r="M119" s="47" t="s">
        <v>456</v>
      </c>
      <c r="N119" s="47">
        <v>0</v>
      </c>
      <c r="O119" s="48" t="s">
        <v>461</v>
      </c>
      <c r="P119" s="48">
        <v>3</v>
      </c>
      <c r="Q119" s="48" t="s">
        <v>483</v>
      </c>
      <c r="R119" s="48" t="s">
        <v>483</v>
      </c>
      <c r="S119" s="49">
        <v>0</v>
      </c>
      <c r="T119" s="49">
        <v>0</v>
      </c>
      <c r="U119" s="50" t="s">
        <v>483</v>
      </c>
      <c r="V119" s="50" t="s">
        <v>466</v>
      </c>
      <c r="W119" s="51">
        <v>0</v>
      </c>
      <c r="X119" s="51">
        <v>0</v>
      </c>
      <c r="Y119" s="51" t="s">
        <v>483</v>
      </c>
      <c r="Z119" s="51" t="s">
        <v>483</v>
      </c>
      <c r="AA119" s="53">
        <v>0</v>
      </c>
      <c r="AB119" s="54" t="s">
        <v>439</v>
      </c>
      <c r="AC119" s="38" t="s">
        <v>465</v>
      </c>
      <c r="AD119" s="39" t="str">
        <f t="shared" si="9"/>
        <v/>
      </c>
      <c r="AE119" s="55" t="s">
        <v>493</v>
      </c>
      <c r="AF119" s="104" t="s">
        <v>493</v>
      </c>
      <c r="AG119" s="54" t="s">
        <v>507</v>
      </c>
      <c r="AH119" s="54" t="s">
        <v>484</v>
      </c>
      <c r="AI119" s="117"/>
      <c r="AJ119" s="113"/>
      <c r="AK119" s="12">
        <f t="shared" si="8"/>
        <v>1</v>
      </c>
      <c r="AL119" s="150" t="str">
        <f t="shared" si="10"/>
        <v>non-LVC</v>
      </c>
      <c r="AM119" s="150" t="str" cm="1">
        <f t="array" ref="AM119">IF(OR(O119:O276="zero_recoverable", "zero_exalt", "zero_other", "zero_uncertain"),
   "Yes","No")</f>
        <v>Yes</v>
      </c>
      <c r="AN119" s="150">
        <f>1 + COUNTIF($V$2:V118,"main")</f>
        <v>31</v>
      </c>
      <c r="AO119" s="150" t="str">
        <f t="shared" si="11"/>
        <v/>
      </c>
      <c r="AP119" s="150">
        <f t="shared" si="12"/>
        <v>1</v>
      </c>
      <c r="AQ119" s="150">
        <f>IF(AP120=0,"",COUNTIFS($AN$2:$AN120,$AN120,$AP$2:$AP120,1))</f>
        <v>1</v>
      </c>
      <c r="AR119" s="150">
        <v>0</v>
      </c>
      <c r="AS119" s="150" t="s">
        <v>461</v>
      </c>
      <c r="AT119" s="150" t="s">
        <v>483</v>
      </c>
      <c r="AU119" s="150">
        <f t="shared" si="14"/>
        <v>0</v>
      </c>
      <c r="AV119" s="150">
        <f t="shared" si="15"/>
        <v>0</v>
      </c>
    </row>
    <row r="120" spans="1:48" x14ac:dyDescent="0.2">
      <c r="A120" s="42" t="s">
        <v>145</v>
      </c>
      <c r="B120" s="43" t="s">
        <v>228</v>
      </c>
      <c r="C120" s="44" t="s">
        <v>319</v>
      </c>
      <c r="D120" s="45" t="s">
        <v>420</v>
      </c>
      <c r="E120" s="45" t="s">
        <v>1034</v>
      </c>
      <c r="F120" s="45" t="s">
        <v>445</v>
      </c>
      <c r="G120" s="46" t="s">
        <v>435</v>
      </c>
      <c r="H120" s="45" t="s">
        <v>442</v>
      </c>
      <c r="I120" s="45" t="s">
        <v>451</v>
      </c>
      <c r="J120" s="45" t="s">
        <v>453</v>
      </c>
      <c r="K120" s="45">
        <v>1</v>
      </c>
      <c r="L120" s="47">
        <v>1</v>
      </c>
      <c r="M120" s="47" t="s">
        <v>456</v>
      </c>
      <c r="N120" s="47">
        <v>1</v>
      </c>
      <c r="O120" s="48" t="s">
        <v>461</v>
      </c>
      <c r="P120" s="48">
        <v>3</v>
      </c>
      <c r="Q120" s="48" t="s">
        <v>483</v>
      </c>
      <c r="R120" s="48" t="s">
        <v>483</v>
      </c>
      <c r="S120" s="49">
        <v>0</v>
      </c>
      <c r="T120" s="49">
        <v>0</v>
      </c>
      <c r="U120" s="50" t="s">
        <v>483</v>
      </c>
      <c r="V120" s="50" t="s">
        <v>517</v>
      </c>
      <c r="W120" s="51">
        <v>0</v>
      </c>
      <c r="X120" s="51">
        <v>0</v>
      </c>
      <c r="Y120" s="51" t="s">
        <v>483</v>
      </c>
      <c r="Z120" s="51" t="s">
        <v>483</v>
      </c>
      <c r="AA120" s="53">
        <v>0</v>
      </c>
      <c r="AB120" s="54" t="s">
        <v>439</v>
      </c>
      <c r="AC120" s="38" t="s">
        <v>466</v>
      </c>
      <c r="AD120" s="39" t="str">
        <f t="shared" si="9"/>
        <v/>
      </c>
      <c r="AE120" s="55" t="s">
        <v>493</v>
      </c>
      <c r="AF120" s="104" t="s">
        <v>491</v>
      </c>
      <c r="AG120" s="54" t="s">
        <v>507</v>
      </c>
      <c r="AH120" s="54" t="s">
        <v>511</v>
      </c>
      <c r="AI120" s="117"/>
      <c r="AJ120" s="113"/>
      <c r="AK120" s="12">
        <f t="shared" si="8"/>
        <v>1</v>
      </c>
      <c r="AL120" s="150" t="str">
        <f t="shared" si="10"/>
        <v>LVC</v>
      </c>
      <c r="AM120" s="150" t="str" cm="1">
        <f t="array" ref="AM120">IF(OR(O120:O277="zero_recoverable", "zero_exalt", "zero_other", "zero_uncertain"),
   "Yes","No")</f>
        <v>Yes</v>
      </c>
      <c r="AN120" s="150">
        <f>1 + COUNTIF($V$2:V119,"main")</f>
        <v>32</v>
      </c>
      <c r="AO120" s="150" t="str">
        <f t="shared" si="11"/>
        <v/>
      </c>
      <c r="AP120" s="150">
        <f t="shared" si="12"/>
        <v>1</v>
      </c>
      <c r="AQ120" s="150">
        <f>IF(AP121=0,"",COUNTIFS($AN$2:$AN121,$AN121,$AP$2:$AP121,1))</f>
        <v>2</v>
      </c>
      <c r="AR120" s="150">
        <v>1</v>
      </c>
      <c r="AS120" s="150" t="s">
        <v>461</v>
      </c>
      <c r="AT120" s="150" t="s">
        <v>461</v>
      </c>
      <c r="AU120" s="150">
        <f t="shared" si="14"/>
        <v>0</v>
      </c>
      <c r="AV120" s="150">
        <f t="shared" si="15"/>
        <v>0</v>
      </c>
    </row>
    <row r="121" spans="1:48" x14ac:dyDescent="0.2">
      <c r="A121" s="42" t="s">
        <v>146</v>
      </c>
      <c r="B121" s="43" t="s">
        <v>600</v>
      </c>
      <c r="C121" s="44" t="s">
        <v>320</v>
      </c>
      <c r="D121" s="45" t="s">
        <v>421</v>
      </c>
      <c r="E121" s="45" t="s">
        <v>693</v>
      </c>
      <c r="F121" s="45" t="s">
        <v>444</v>
      </c>
      <c r="G121" s="46" t="s">
        <v>434</v>
      </c>
      <c r="H121" s="45" t="s">
        <v>441</v>
      </c>
      <c r="I121" s="45" t="s">
        <v>451</v>
      </c>
      <c r="J121" s="45" t="s">
        <v>453</v>
      </c>
      <c r="K121" s="45">
        <v>1</v>
      </c>
      <c r="L121" s="47">
        <v>1</v>
      </c>
      <c r="M121" s="47" t="s">
        <v>456</v>
      </c>
      <c r="N121" s="47">
        <v>0</v>
      </c>
      <c r="O121" s="48" t="s">
        <v>461</v>
      </c>
      <c r="P121" s="48">
        <v>3</v>
      </c>
      <c r="Q121" s="62" t="s">
        <v>461</v>
      </c>
      <c r="R121" s="48" t="s">
        <v>483</v>
      </c>
      <c r="S121" s="49">
        <v>0</v>
      </c>
      <c r="T121" s="49">
        <v>0</v>
      </c>
      <c r="U121" s="50" t="s">
        <v>483</v>
      </c>
      <c r="V121" s="50" t="s">
        <v>466</v>
      </c>
      <c r="W121" s="51">
        <v>0</v>
      </c>
      <c r="X121" s="51">
        <v>0</v>
      </c>
      <c r="Y121" s="51" t="s">
        <v>483</v>
      </c>
      <c r="Z121" s="51" t="s">
        <v>483</v>
      </c>
      <c r="AA121" s="53">
        <v>0</v>
      </c>
      <c r="AB121" s="54" t="s">
        <v>439</v>
      </c>
      <c r="AC121" s="38" t="s">
        <v>517</v>
      </c>
      <c r="AD121" s="39" t="str">
        <f t="shared" si="9"/>
        <v/>
      </c>
      <c r="AE121" s="55" t="s">
        <v>491</v>
      </c>
      <c r="AF121" s="104" t="s">
        <v>493</v>
      </c>
      <c r="AG121" s="54" t="s">
        <v>507</v>
      </c>
      <c r="AH121" s="54" t="s">
        <v>484</v>
      </c>
      <c r="AI121" s="117"/>
      <c r="AJ121" s="113"/>
      <c r="AK121" s="12">
        <f t="shared" si="8"/>
        <v>1</v>
      </c>
      <c r="AL121" s="150" t="str">
        <f t="shared" si="10"/>
        <v>non-LVC</v>
      </c>
      <c r="AM121" s="150" t="str" cm="1">
        <f t="array" ref="AM121">IF(OR(O121:O278="zero_recoverable", "zero_exalt", "zero_other", "zero_uncertain"),
   "Yes","No")</f>
        <v>Yes</v>
      </c>
      <c r="AN121" s="150">
        <f>1 + COUNTIF($V$2:V120,"main")</f>
        <v>32</v>
      </c>
      <c r="AO121" s="150" t="str">
        <f t="shared" si="11"/>
        <v>te</v>
      </c>
      <c r="AP121" s="150">
        <f t="shared" si="12"/>
        <v>1</v>
      </c>
      <c r="AQ121" s="150">
        <f>IF(AP122=0,"",COUNTIFS($AN$2:$AN122,$AN122,$AP$2:$AP122,1))</f>
        <v>1</v>
      </c>
      <c r="AR121" s="150">
        <v>0</v>
      </c>
      <c r="AS121" s="150" t="s">
        <v>459</v>
      </c>
      <c r="AT121" s="150" t="s">
        <v>461</v>
      </c>
      <c r="AU121" s="150">
        <f t="shared" si="14"/>
        <v>1</v>
      </c>
      <c r="AV121" s="150">
        <f t="shared" si="15"/>
        <v>0</v>
      </c>
    </row>
    <row r="122" spans="1:48" x14ac:dyDescent="0.2">
      <c r="A122" s="42" t="s">
        <v>147</v>
      </c>
      <c r="B122" s="43" t="s">
        <v>602</v>
      </c>
      <c r="C122" s="44" t="s">
        <v>605</v>
      </c>
      <c r="D122" s="45" t="s">
        <v>603</v>
      </c>
      <c r="E122" s="45" t="s">
        <v>1034</v>
      </c>
      <c r="F122" s="45" t="s">
        <v>528</v>
      </c>
      <c r="G122" s="46" t="s">
        <v>434</v>
      </c>
      <c r="H122" s="45" t="s">
        <v>441</v>
      </c>
      <c r="I122" s="45" t="s">
        <v>451</v>
      </c>
      <c r="J122" s="45" t="s">
        <v>453</v>
      </c>
      <c r="K122" s="45">
        <v>1</v>
      </c>
      <c r="L122" s="47">
        <v>1</v>
      </c>
      <c r="M122" s="47" t="s">
        <v>464</v>
      </c>
      <c r="N122" s="47">
        <v>0</v>
      </c>
      <c r="O122" s="48" t="s">
        <v>459</v>
      </c>
      <c r="P122" s="48">
        <v>3</v>
      </c>
      <c r="Q122" s="48" t="s">
        <v>461</v>
      </c>
      <c r="R122" s="48" t="s">
        <v>483</v>
      </c>
      <c r="S122" s="49">
        <v>0</v>
      </c>
      <c r="T122" s="49">
        <v>0</v>
      </c>
      <c r="U122" s="50" t="s">
        <v>483</v>
      </c>
      <c r="V122" s="50" t="s">
        <v>515</v>
      </c>
      <c r="W122" s="51">
        <v>0</v>
      </c>
      <c r="X122" s="51">
        <v>0</v>
      </c>
      <c r="Y122" s="51" t="s">
        <v>483</v>
      </c>
      <c r="Z122" s="51" t="s">
        <v>483</v>
      </c>
      <c r="AA122" s="53">
        <v>0</v>
      </c>
      <c r="AB122" s="54" t="s">
        <v>439</v>
      </c>
      <c r="AC122" s="38" t="s">
        <v>466</v>
      </c>
      <c r="AD122" s="39" t="s">
        <v>1111</v>
      </c>
      <c r="AE122" s="55" t="s">
        <v>493</v>
      </c>
      <c r="AF122" s="104" t="s">
        <v>491</v>
      </c>
      <c r="AG122" s="54" t="s">
        <v>507</v>
      </c>
      <c r="AH122" s="54" t="s">
        <v>484</v>
      </c>
      <c r="AI122" s="117"/>
      <c r="AJ122" s="113"/>
      <c r="AK122" s="12">
        <f t="shared" si="8"/>
        <v>1</v>
      </c>
      <c r="AL122" s="150" t="str">
        <f t="shared" si="10"/>
        <v>non-LVC</v>
      </c>
      <c r="AM122" s="150" t="str" cm="1">
        <f t="array" ref="AM122">IF(OR(O122:O279="zero_recoverable", "zero_exalt", "zero_other", "zero_uncertain"),
   "Yes","No")</f>
        <v>Yes</v>
      </c>
      <c r="AN122" s="150">
        <f>1 + COUNTIF($V$2:V121,"main")</f>
        <v>33</v>
      </c>
      <c r="AO122" s="150" t="str">
        <f t="shared" si="11"/>
        <v/>
      </c>
      <c r="AP122" s="150">
        <f t="shared" si="12"/>
        <v>1</v>
      </c>
      <c r="AQ122" s="150" t="str">
        <f>IF(AP123=0,"",COUNTIFS($AN$2:$AN123,$AN123,$AP$2:$AP123,1))</f>
        <v/>
      </c>
      <c r="AR122" s="150">
        <f t="shared" si="13"/>
        <v>0</v>
      </c>
      <c r="AS122" s="150" t="s">
        <v>508</v>
      </c>
      <c r="AT122" s="150" t="s">
        <v>483</v>
      </c>
      <c r="AU122" s="150">
        <f t="shared" si="14"/>
        <v>0</v>
      </c>
      <c r="AV122" s="150">
        <f t="shared" si="15"/>
        <v>0</v>
      </c>
    </row>
    <row r="123" spans="1:48" x14ac:dyDescent="0.2">
      <c r="A123" s="42" t="s">
        <v>148</v>
      </c>
      <c r="B123" s="43" t="s">
        <v>607</v>
      </c>
      <c r="C123" s="44" t="s">
        <v>606</v>
      </c>
      <c r="D123" s="45" t="s">
        <v>604</v>
      </c>
      <c r="E123" s="45" t="s">
        <v>691</v>
      </c>
      <c r="F123" s="45" t="s">
        <v>528</v>
      </c>
      <c r="G123" s="46" t="s">
        <v>435</v>
      </c>
      <c r="H123" s="45" t="s">
        <v>442</v>
      </c>
      <c r="I123" s="45" t="s">
        <v>452</v>
      </c>
      <c r="J123" s="45" t="s">
        <v>453</v>
      </c>
      <c r="K123" s="45">
        <v>1</v>
      </c>
      <c r="L123" s="47">
        <v>0</v>
      </c>
      <c r="M123" s="47" t="s">
        <v>483</v>
      </c>
      <c r="N123" s="47">
        <v>0</v>
      </c>
      <c r="O123" s="48" t="s">
        <v>508</v>
      </c>
      <c r="P123" s="48">
        <v>3</v>
      </c>
      <c r="Q123" s="48" t="s">
        <v>483</v>
      </c>
      <c r="R123" s="48" t="s">
        <v>483</v>
      </c>
      <c r="S123" s="49">
        <v>0</v>
      </c>
      <c r="T123" s="49">
        <v>1</v>
      </c>
      <c r="U123" s="50" t="s">
        <v>463</v>
      </c>
      <c r="V123" s="50" t="s">
        <v>465</v>
      </c>
      <c r="W123" s="51">
        <v>0</v>
      </c>
      <c r="X123" s="51">
        <v>0</v>
      </c>
      <c r="Y123" s="51" t="s">
        <v>483</v>
      </c>
      <c r="Z123" s="51" t="s">
        <v>483</v>
      </c>
      <c r="AA123" s="53">
        <v>0</v>
      </c>
      <c r="AB123" s="54" t="s">
        <v>439</v>
      </c>
      <c r="AC123" s="38" t="s">
        <v>515</v>
      </c>
      <c r="AD123" s="39" t="str">
        <f t="shared" si="9"/>
        <v/>
      </c>
      <c r="AE123" s="55" t="s">
        <v>491</v>
      </c>
      <c r="AF123" s="104" t="s">
        <v>493</v>
      </c>
      <c r="AG123" s="54" t="s">
        <v>507</v>
      </c>
      <c r="AH123" s="54" t="s">
        <v>473</v>
      </c>
      <c r="AI123" s="117"/>
      <c r="AJ123" s="113"/>
      <c r="AK123" s="12">
        <f t="shared" si="8"/>
        <v>0</v>
      </c>
      <c r="AL123" s="150" t="str">
        <f t="shared" si="10"/>
        <v>LVC</v>
      </c>
      <c r="AM123" s="150" t="str" cm="1">
        <f t="array" ref="AM123">IF(OR(O123:O280="zero_recoverable", "zero_exalt", "zero_other", "zero_uncertain"),
   "Yes","No")</f>
        <v>Yes</v>
      </c>
      <c r="AN123" s="150">
        <f>1 + COUNTIF($V$2:V122,"main")</f>
        <v>33</v>
      </c>
      <c r="AO123" s="150" t="str">
        <f t="shared" si="11"/>
        <v/>
      </c>
      <c r="AP123" s="150">
        <f t="shared" si="12"/>
        <v>0</v>
      </c>
      <c r="AQ123" s="150">
        <f>IF(AP124=0,"",COUNTIFS($AN$2:$AN124,$AN124,$AP$2:$AP124,1))</f>
        <v>2</v>
      </c>
      <c r="AR123" s="150">
        <f t="shared" si="13"/>
        <v>0</v>
      </c>
      <c r="AS123" s="150" t="s">
        <v>461</v>
      </c>
      <c r="AT123" s="150" t="s">
        <v>461</v>
      </c>
      <c r="AU123" s="150">
        <f t="shared" si="14"/>
        <v>0</v>
      </c>
      <c r="AV123" s="150">
        <f t="shared" si="15"/>
        <v>0</v>
      </c>
    </row>
    <row r="124" spans="1:48" x14ac:dyDescent="0.2">
      <c r="A124" s="42" t="s">
        <v>149</v>
      </c>
      <c r="B124" s="43" t="s">
        <v>229</v>
      </c>
      <c r="C124" s="44" t="s">
        <v>321</v>
      </c>
      <c r="D124" s="45" t="s">
        <v>422</v>
      </c>
      <c r="E124" s="45" t="s">
        <v>1034</v>
      </c>
      <c r="F124" s="45" t="s">
        <v>528</v>
      </c>
      <c r="G124" s="46" t="s">
        <v>434</v>
      </c>
      <c r="H124" s="45" t="s">
        <v>441</v>
      </c>
      <c r="I124" s="45" t="s">
        <v>451</v>
      </c>
      <c r="J124" s="45" t="s">
        <v>453</v>
      </c>
      <c r="K124" s="45">
        <v>1</v>
      </c>
      <c r="L124" s="47">
        <v>2</v>
      </c>
      <c r="M124" s="47" t="s">
        <v>458</v>
      </c>
      <c r="N124" s="47">
        <v>1</v>
      </c>
      <c r="O124" s="48" t="s">
        <v>461</v>
      </c>
      <c r="P124" s="48">
        <v>3</v>
      </c>
      <c r="Q124" s="48" t="s">
        <v>461</v>
      </c>
      <c r="R124" s="48" t="s">
        <v>483</v>
      </c>
      <c r="S124" s="49">
        <v>0</v>
      </c>
      <c r="T124" s="49">
        <v>0</v>
      </c>
      <c r="U124" s="50" t="s">
        <v>483</v>
      </c>
      <c r="V124" s="50" t="s">
        <v>487</v>
      </c>
      <c r="W124" s="51">
        <v>1</v>
      </c>
      <c r="X124" s="51">
        <v>0</v>
      </c>
      <c r="Y124" s="51" t="s">
        <v>503</v>
      </c>
      <c r="Z124" s="51" t="s">
        <v>512</v>
      </c>
      <c r="AA124" s="53">
        <v>0</v>
      </c>
      <c r="AB124" s="54" t="s">
        <v>468</v>
      </c>
      <c r="AC124" s="38" t="s">
        <v>465</v>
      </c>
      <c r="AD124" s="39" t="str">
        <f t="shared" si="9"/>
        <v/>
      </c>
      <c r="AE124" s="55" t="s">
        <v>493</v>
      </c>
      <c r="AF124" s="104" t="s">
        <v>493</v>
      </c>
      <c r="AG124" s="54" t="s">
        <v>507</v>
      </c>
      <c r="AH124" s="54" t="s">
        <v>484</v>
      </c>
      <c r="AI124" s="117"/>
      <c r="AJ124" s="113"/>
      <c r="AK124" s="12">
        <f t="shared" si="8"/>
        <v>2</v>
      </c>
      <c r="AL124" s="150" t="str">
        <f t="shared" si="10"/>
        <v>non-LVC</v>
      </c>
      <c r="AM124" s="150" t="str" cm="1">
        <f t="array" ref="AM124">IF(OR(O124:O281="zero_recoverable", "zero_exalt", "zero_other", "zero_uncertain"),
   "Yes","No")</f>
        <v>Yes</v>
      </c>
      <c r="AN124" s="150">
        <f>1 + COUNTIF($V$2:V123,"main")</f>
        <v>33</v>
      </c>
      <c r="AO124" s="150" t="str">
        <f t="shared" si="11"/>
        <v>te</v>
      </c>
      <c r="AP124" s="150">
        <f t="shared" si="12"/>
        <v>1</v>
      </c>
      <c r="AQ124" s="150">
        <f>IF(AP125=0,"",COUNTIFS($AN$2:$AN125,$AN125,$AP$2:$AP125,1))</f>
        <v>3</v>
      </c>
      <c r="AR124" s="150">
        <f t="shared" si="13"/>
        <v>0</v>
      </c>
      <c r="AS124" s="150" t="s">
        <v>461</v>
      </c>
      <c r="AT124" s="150" t="s">
        <v>483</v>
      </c>
      <c r="AU124" s="150">
        <f t="shared" si="14"/>
        <v>0</v>
      </c>
      <c r="AV124" s="150">
        <f t="shared" si="15"/>
        <v>0</v>
      </c>
    </row>
    <row r="125" spans="1:48" x14ac:dyDescent="0.2">
      <c r="A125" s="42" t="s">
        <v>150</v>
      </c>
      <c r="B125" s="43" t="s">
        <v>230</v>
      </c>
      <c r="C125" s="44" t="s">
        <v>322</v>
      </c>
      <c r="D125" s="45" t="s">
        <v>423</v>
      </c>
      <c r="E125" s="45" t="s">
        <v>1034</v>
      </c>
      <c r="F125" s="45" t="s">
        <v>528</v>
      </c>
      <c r="G125" s="46" t="s">
        <v>434</v>
      </c>
      <c r="H125" s="45" t="s">
        <v>442</v>
      </c>
      <c r="I125" s="45" t="s">
        <v>451</v>
      </c>
      <c r="J125" s="45" t="s">
        <v>453</v>
      </c>
      <c r="K125" s="45">
        <v>1</v>
      </c>
      <c r="L125" s="47">
        <v>1</v>
      </c>
      <c r="M125" s="47" t="s">
        <v>456</v>
      </c>
      <c r="N125" s="47">
        <v>0</v>
      </c>
      <c r="O125" s="48" t="s">
        <v>461</v>
      </c>
      <c r="P125" s="48">
        <v>3</v>
      </c>
      <c r="Q125" s="48" t="s">
        <v>483</v>
      </c>
      <c r="R125" s="48" t="s">
        <v>483</v>
      </c>
      <c r="S125" s="49">
        <v>0</v>
      </c>
      <c r="T125" s="49">
        <v>0</v>
      </c>
      <c r="U125" s="50" t="s">
        <v>483</v>
      </c>
      <c r="V125" s="50" t="s">
        <v>515</v>
      </c>
      <c r="W125" s="51">
        <v>1</v>
      </c>
      <c r="X125" s="51">
        <v>0</v>
      </c>
      <c r="Y125" s="51" t="s">
        <v>503</v>
      </c>
      <c r="Z125" s="51" t="s">
        <v>512</v>
      </c>
      <c r="AA125" s="53">
        <v>0</v>
      </c>
      <c r="AB125" s="54" t="s">
        <v>439</v>
      </c>
      <c r="AC125" s="38" t="s">
        <v>487</v>
      </c>
      <c r="AD125" s="39" t="s">
        <v>1111</v>
      </c>
      <c r="AE125" s="55" t="s">
        <v>493</v>
      </c>
      <c r="AF125" s="104" t="s">
        <v>491</v>
      </c>
      <c r="AG125" s="54" t="s">
        <v>507</v>
      </c>
      <c r="AH125" s="54" t="s">
        <v>484</v>
      </c>
      <c r="AI125" s="117"/>
      <c r="AJ125" s="113"/>
      <c r="AK125" s="12">
        <f t="shared" si="8"/>
        <v>1</v>
      </c>
      <c r="AL125" s="150" t="str">
        <f t="shared" si="10"/>
        <v>non-LVC</v>
      </c>
      <c r="AM125" s="150" t="str" cm="1">
        <f t="array" ref="AM125">IF(OR(O125:O282="zero_recoverable", "zero_exalt", "zero_other", "zero_uncertain"),
   "Yes","No")</f>
        <v>Yes</v>
      </c>
      <c r="AN125" s="150">
        <f>1 + COUNTIF($V$2:V124,"main")</f>
        <v>33</v>
      </c>
      <c r="AO125" s="150" t="str">
        <f t="shared" si="11"/>
        <v>te</v>
      </c>
      <c r="AP125" s="150">
        <f t="shared" si="12"/>
        <v>1</v>
      </c>
      <c r="AQ125" s="150">
        <f>IF(AP126=0,"",COUNTIFS($AN$2:$AN126,$AN126,$AP$2:$AP126,1))</f>
        <v>4</v>
      </c>
      <c r="AR125" s="150">
        <f t="shared" si="13"/>
        <v>0</v>
      </c>
      <c r="AS125" s="150" t="s">
        <v>460</v>
      </c>
      <c r="AT125" s="150" t="s">
        <v>461</v>
      </c>
      <c r="AU125" s="150">
        <f t="shared" si="14"/>
        <v>1</v>
      </c>
      <c r="AV125" s="150">
        <f t="shared" si="15"/>
        <v>0</v>
      </c>
    </row>
    <row r="126" spans="1:48" x14ac:dyDescent="0.2">
      <c r="A126" s="42" t="s">
        <v>151</v>
      </c>
      <c r="B126" s="63" t="s">
        <v>1070</v>
      </c>
      <c r="C126" s="64" t="s">
        <v>609</v>
      </c>
      <c r="D126" s="45" t="s">
        <v>611</v>
      </c>
      <c r="E126" s="45" t="s">
        <v>1034</v>
      </c>
      <c r="F126" s="45" t="s">
        <v>528</v>
      </c>
      <c r="G126" s="65" t="s">
        <v>434</v>
      </c>
      <c r="H126" s="65" t="s">
        <v>442</v>
      </c>
      <c r="I126" s="65" t="s">
        <v>451</v>
      </c>
      <c r="J126" s="65" t="s">
        <v>453</v>
      </c>
      <c r="K126" s="65">
        <v>1</v>
      </c>
      <c r="L126" s="66">
        <v>1</v>
      </c>
      <c r="M126" s="66" t="s">
        <v>464</v>
      </c>
      <c r="N126" s="66">
        <v>0</v>
      </c>
      <c r="O126" s="67" t="s">
        <v>460</v>
      </c>
      <c r="P126" s="67">
        <v>3</v>
      </c>
      <c r="Q126" s="67" t="s">
        <v>461</v>
      </c>
      <c r="R126" s="67" t="s">
        <v>483</v>
      </c>
      <c r="S126" s="68">
        <v>0</v>
      </c>
      <c r="T126" s="68">
        <v>0</v>
      </c>
      <c r="U126" s="50" t="s">
        <v>483</v>
      </c>
      <c r="V126" s="69" t="s">
        <v>515</v>
      </c>
      <c r="W126" s="70">
        <v>0</v>
      </c>
      <c r="X126" s="70">
        <v>1</v>
      </c>
      <c r="Y126" s="70" t="s">
        <v>503</v>
      </c>
      <c r="Z126" s="70" t="s">
        <v>497</v>
      </c>
      <c r="AA126" s="71">
        <v>0</v>
      </c>
      <c r="AB126" s="72" t="s">
        <v>439</v>
      </c>
      <c r="AC126" s="38" t="s">
        <v>515</v>
      </c>
      <c r="AD126" s="39" t="str">
        <f t="shared" si="9"/>
        <v>te_medial</v>
      </c>
      <c r="AE126" s="72" t="s">
        <v>491</v>
      </c>
      <c r="AF126" s="104" t="s">
        <v>493</v>
      </c>
      <c r="AG126" s="72" t="s">
        <v>507</v>
      </c>
      <c r="AH126" s="72" t="s">
        <v>484</v>
      </c>
      <c r="AI126" s="119"/>
      <c r="AJ126" s="113"/>
      <c r="AK126" s="12">
        <f t="shared" si="8"/>
        <v>1</v>
      </c>
      <c r="AL126" s="150" t="str">
        <f t="shared" si="10"/>
        <v>non-LVC</v>
      </c>
      <c r="AM126" s="150" t="str" cm="1">
        <f t="array" ref="AM126">IF(OR(O126:O283="zero_recoverable", "zero_exalt", "zero_other", "zero_uncertain"),
   "Yes","No")</f>
        <v>Yes</v>
      </c>
      <c r="AN126" s="150">
        <f>1 + COUNTIF($V$2:V125,"main")</f>
        <v>33</v>
      </c>
      <c r="AO126" s="150" t="str">
        <f t="shared" si="11"/>
        <v>main</v>
      </c>
      <c r="AP126" s="150">
        <f t="shared" si="12"/>
        <v>1</v>
      </c>
      <c r="AQ126" s="150">
        <f>IF(AP127=0,"",COUNTIFS($AN$2:$AN127,$AN127,$AP$2:$AP127,1))</f>
        <v>5</v>
      </c>
      <c r="AR126" s="150">
        <f t="shared" si="13"/>
        <v>0</v>
      </c>
      <c r="AS126" s="150" t="s">
        <v>461</v>
      </c>
      <c r="AT126" s="150" t="s">
        <v>483</v>
      </c>
      <c r="AU126" s="150">
        <f t="shared" si="14"/>
        <v>0</v>
      </c>
      <c r="AV126" s="150">
        <f t="shared" si="15"/>
        <v>0</v>
      </c>
    </row>
    <row r="127" spans="1:48" x14ac:dyDescent="0.2">
      <c r="A127" s="42" t="s">
        <v>152</v>
      </c>
      <c r="B127" s="43" t="s">
        <v>1071</v>
      </c>
      <c r="C127" s="44" t="s">
        <v>610</v>
      </c>
      <c r="D127" s="45" t="s">
        <v>608</v>
      </c>
      <c r="E127" s="45" t="s">
        <v>1034</v>
      </c>
      <c r="F127" s="45" t="s">
        <v>528</v>
      </c>
      <c r="G127" s="46" t="s">
        <v>434</v>
      </c>
      <c r="H127" s="45" t="s">
        <v>442</v>
      </c>
      <c r="I127" s="45" t="s">
        <v>451</v>
      </c>
      <c r="J127" s="45" t="s">
        <v>453</v>
      </c>
      <c r="K127" s="45">
        <v>1</v>
      </c>
      <c r="L127" s="47">
        <v>1</v>
      </c>
      <c r="M127" s="47" t="s">
        <v>456</v>
      </c>
      <c r="N127" s="47">
        <v>0</v>
      </c>
      <c r="O127" s="48" t="s">
        <v>461</v>
      </c>
      <c r="P127" s="48">
        <v>3</v>
      </c>
      <c r="Q127" s="48" t="s">
        <v>483</v>
      </c>
      <c r="R127" s="48" t="s">
        <v>483</v>
      </c>
      <c r="S127" s="49">
        <v>0</v>
      </c>
      <c r="T127" s="49">
        <v>0</v>
      </c>
      <c r="U127" s="50" t="s">
        <v>483</v>
      </c>
      <c r="V127" s="50" t="s">
        <v>466</v>
      </c>
      <c r="W127" s="51">
        <v>1</v>
      </c>
      <c r="X127" s="51">
        <v>0</v>
      </c>
      <c r="Y127" s="51" t="s">
        <v>503</v>
      </c>
      <c r="Z127" s="51" t="s">
        <v>689</v>
      </c>
      <c r="AA127" s="53">
        <v>1</v>
      </c>
      <c r="AB127" s="54" t="s">
        <v>439</v>
      </c>
      <c r="AC127" s="38" t="s">
        <v>515</v>
      </c>
      <c r="AD127" s="39" t="str">
        <f t="shared" si="9"/>
        <v/>
      </c>
      <c r="AE127" s="55" t="s">
        <v>493</v>
      </c>
      <c r="AF127" s="104" t="s">
        <v>493</v>
      </c>
      <c r="AG127" s="54" t="s">
        <v>507</v>
      </c>
      <c r="AH127" s="54" t="s">
        <v>484</v>
      </c>
      <c r="AI127" s="117"/>
      <c r="AJ127" s="113"/>
      <c r="AK127" s="12">
        <f t="shared" si="8"/>
        <v>1</v>
      </c>
      <c r="AL127" s="150" t="str">
        <f t="shared" si="10"/>
        <v>non-LVC</v>
      </c>
      <c r="AM127" s="150" t="str" cm="1">
        <f t="array" ref="AM127">IF(OR(O127:O284="zero_recoverable", "zero_exalt", "zero_other", "zero_uncertain"),
   "Yes","No")</f>
        <v>Yes</v>
      </c>
      <c r="AN127" s="150">
        <f>1 + COUNTIF($V$2:V126,"main")</f>
        <v>33</v>
      </c>
      <c r="AO127" s="150" t="str">
        <f t="shared" si="11"/>
        <v/>
      </c>
      <c r="AP127" s="150">
        <f t="shared" si="12"/>
        <v>1</v>
      </c>
      <c r="AQ127" s="150">
        <f>IF(AP128=0,"",COUNTIFS($AN$2:$AN128,$AN128,$AP$2:$AP128,1))</f>
        <v>1</v>
      </c>
      <c r="AR127" s="150">
        <v>0</v>
      </c>
      <c r="AS127" s="150" t="s">
        <v>460</v>
      </c>
      <c r="AT127" s="150" t="s">
        <v>459</v>
      </c>
      <c r="AU127" s="150">
        <f t="shared" si="14"/>
        <v>1</v>
      </c>
      <c r="AV127" s="150">
        <f t="shared" si="15"/>
        <v>0</v>
      </c>
    </row>
    <row r="128" spans="1:48" x14ac:dyDescent="0.2">
      <c r="A128" s="42" t="s">
        <v>153</v>
      </c>
      <c r="B128" s="43" t="s">
        <v>231</v>
      </c>
      <c r="C128" s="44" t="s">
        <v>323</v>
      </c>
      <c r="D128" s="45" t="s">
        <v>400</v>
      </c>
      <c r="E128" s="45" t="s">
        <v>1034</v>
      </c>
      <c r="F128" s="45" t="s">
        <v>528</v>
      </c>
      <c r="G128" s="46" t="s">
        <v>434</v>
      </c>
      <c r="H128" s="45" t="s">
        <v>441</v>
      </c>
      <c r="I128" s="45" t="s">
        <v>451</v>
      </c>
      <c r="J128" s="45" t="s">
        <v>453</v>
      </c>
      <c r="K128" s="45">
        <v>1</v>
      </c>
      <c r="L128" s="47">
        <v>0</v>
      </c>
      <c r="M128" s="47" t="s">
        <v>483</v>
      </c>
      <c r="N128" s="47">
        <v>0</v>
      </c>
      <c r="O128" s="48" t="s">
        <v>460</v>
      </c>
      <c r="P128" s="48">
        <v>3</v>
      </c>
      <c r="Q128" s="48" t="s">
        <v>459</v>
      </c>
      <c r="R128" s="48" t="s">
        <v>483</v>
      </c>
      <c r="S128" s="49">
        <v>0</v>
      </c>
      <c r="T128" s="49">
        <v>0</v>
      </c>
      <c r="U128" s="50" t="s">
        <v>456</v>
      </c>
      <c r="V128" s="50" t="s">
        <v>487</v>
      </c>
      <c r="W128" s="51">
        <v>0</v>
      </c>
      <c r="X128" s="51">
        <v>1</v>
      </c>
      <c r="Y128" s="51" t="s">
        <v>503</v>
      </c>
      <c r="Z128" s="51" t="s">
        <v>513</v>
      </c>
      <c r="AA128" s="53">
        <v>0</v>
      </c>
      <c r="AB128" s="54" t="s">
        <v>439</v>
      </c>
      <c r="AC128" s="38" t="s">
        <v>466</v>
      </c>
      <c r="AD128" s="39" t="str">
        <f t="shared" si="9"/>
        <v/>
      </c>
      <c r="AE128" s="55" t="s">
        <v>493</v>
      </c>
      <c r="AF128" s="104" t="s">
        <v>491</v>
      </c>
      <c r="AG128" s="54" t="s">
        <v>507</v>
      </c>
      <c r="AH128" s="54" t="s">
        <v>473</v>
      </c>
      <c r="AI128" s="117" t="s">
        <v>1050</v>
      </c>
      <c r="AJ128" s="113"/>
      <c r="AK128" s="12">
        <f t="shared" si="8"/>
        <v>0</v>
      </c>
      <c r="AL128" s="150" t="str">
        <f t="shared" si="10"/>
        <v>non-LVC</v>
      </c>
      <c r="AM128" s="150" t="str" cm="1">
        <f t="array" ref="AM128">IF(OR(O128:O285="zero_recoverable", "zero_exalt", "zero_other", "zero_uncertain"),
   "Yes","No")</f>
        <v>Yes</v>
      </c>
      <c r="AN128" s="150">
        <f>1 + COUNTIF($V$2:V127,"main")</f>
        <v>34</v>
      </c>
      <c r="AO128" s="150" t="str">
        <f t="shared" si="11"/>
        <v/>
      </c>
      <c r="AP128" s="150">
        <f t="shared" si="12"/>
        <v>1</v>
      </c>
      <c r="AQ128" s="150">
        <f>IF(AP129=0,"",COUNTIFS($AN$2:$AN129,$AN129,$AP$2:$AP129,1))</f>
        <v>2</v>
      </c>
      <c r="AR128" s="150">
        <v>1</v>
      </c>
      <c r="AS128" s="150" t="s">
        <v>460</v>
      </c>
      <c r="AT128" s="150" t="s">
        <v>461</v>
      </c>
      <c r="AU128" s="150">
        <f t="shared" si="14"/>
        <v>0</v>
      </c>
      <c r="AV128" s="150">
        <f t="shared" si="15"/>
        <v>0</v>
      </c>
    </row>
    <row r="129" spans="1:48" x14ac:dyDescent="0.2">
      <c r="A129" s="42" t="s">
        <v>154</v>
      </c>
      <c r="B129" s="43" t="s">
        <v>232</v>
      </c>
      <c r="C129" s="44" t="s">
        <v>324</v>
      </c>
      <c r="D129" s="45" t="s">
        <v>424</v>
      </c>
      <c r="E129" s="45" t="s">
        <v>1034</v>
      </c>
      <c r="F129" s="45" t="s">
        <v>528</v>
      </c>
      <c r="G129" s="46" t="s">
        <v>435</v>
      </c>
      <c r="H129" s="45" t="s">
        <v>441</v>
      </c>
      <c r="I129" s="45" t="s">
        <v>451</v>
      </c>
      <c r="J129" s="45" t="s">
        <v>454</v>
      </c>
      <c r="K129" s="45">
        <v>1</v>
      </c>
      <c r="L129" s="47">
        <v>1</v>
      </c>
      <c r="M129" s="47" t="s">
        <v>464</v>
      </c>
      <c r="N129" s="47">
        <v>2</v>
      </c>
      <c r="O129" s="48" t="s">
        <v>460</v>
      </c>
      <c r="P129" s="48">
        <v>3</v>
      </c>
      <c r="Q129" s="48" t="s">
        <v>461</v>
      </c>
      <c r="R129" s="48" t="s">
        <v>483</v>
      </c>
      <c r="S129" s="49">
        <v>0</v>
      </c>
      <c r="T129" s="49">
        <v>0</v>
      </c>
      <c r="U129" s="50" t="s">
        <v>483</v>
      </c>
      <c r="V129" s="50" t="s">
        <v>487</v>
      </c>
      <c r="W129" s="51">
        <v>0</v>
      </c>
      <c r="X129" s="51">
        <v>1</v>
      </c>
      <c r="Y129" s="51" t="s">
        <v>503</v>
      </c>
      <c r="Z129" s="51" t="s">
        <v>498</v>
      </c>
      <c r="AA129" s="53">
        <v>0</v>
      </c>
      <c r="AB129" s="54" t="s">
        <v>439</v>
      </c>
      <c r="AC129" s="38" t="s">
        <v>487</v>
      </c>
      <c r="AD129" s="39" t="str">
        <f t="shared" si="9"/>
        <v/>
      </c>
      <c r="AE129" s="55" t="s">
        <v>491</v>
      </c>
      <c r="AF129" s="104" t="s">
        <v>493</v>
      </c>
      <c r="AG129" s="54" t="s">
        <v>507</v>
      </c>
      <c r="AH129" s="54" t="s">
        <v>484</v>
      </c>
      <c r="AI129" s="117"/>
      <c r="AJ129" s="113"/>
      <c r="AK129" s="12">
        <f t="shared" si="8"/>
        <v>1</v>
      </c>
      <c r="AL129" s="150" t="str">
        <f t="shared" si="10"/>
        <v>LVC</v>
      </c>
      <c r="AM129" s="150" t="str" cm="1">
        <f t="array" ref="AM129">IF(OR(O129:O286="zero_recoverable", "zero_exalt", "zero_other", "zero_uncertain"),
   "Yes","No")</f>
        <v>Yes</v>
      </c>
      <c r="AN129" s="150">
        <f>1 + COUNTIF($V$2:V128,"main")</f>
        <v>34</v>
      </c>
      <c r="AO129" s="150" t="str">
        <f t="shared" si="11"/>
        <v>relative</v>
      </c>
      <c r="AP129" s="150">
        <f t="shared" si="12"/>
        <v>1</v>
      </c>
      <c r="AQ129" s="150" t="str">
        <f>IF(AP130=0,"",COUNTIFS($AN$2:$AN130,$AN130,$AP$2:$AP130,1))</f>
        <v/>
      </c>
      <c r="AR129" s="150">
        <v>1</v>
      </c>
      <c r="AS129" s="150" t="s">
        <v>461</v>
      </c>
      <c r="AT129" s="150" t="s">
        <v>459</v>
      </c>
      <c r="AU129" s="150">
        <f t="shared" si="14"/>
        <v>0</v>
      </c>
      <c r="AV129" s="150">
        <f t="shared" si="15"/>
        <v>1</v>
      </c>
    </row>
    <row r="130" spans="1:48" x14ac:dyDescent="0.2">
      <c r="A130" s="42" t="s">
        <v>155</v>
      </c>
      <c r="B130" s="43" t="s">
        <v>612</v>
      </c>
      <c r="C130" s="44" t="s">
        <v>615</v>
      </c>
      <c r="D130" s="45" t="s">
        <v>613</v>
      </c>
      <c r="E130" s="45" t="s">
        <v>1034</v>
      </c>
      <c r="F130" s="45" t="s">
        <v>528</v>
      </c>
      <c r="G130" s="46" t="s">
        <v>434</v>
      </c>
      <c r="H130" s="45" t="s">
        <v>441</v>
      </c>
      <c r="I130" s="45" t="s">
        <v>451</v>
      </c>
      <c r="J130" s="45" t="s">
        <v>453</v>
      </c>
      <c r="K130" s="45">
        <v>1</v>
      </c>
      <c r="L130" s="47">
        <v>1</v>
      </c>
      <c r="M130" s="47" t="s">
        <v>456</v>
      </c>
      <c r="N130" s="47">
        <v>1</v>
      </c>
      <c r="O130" s="48" t="s">
        <v>461</v>
      </c>
      <c r="P130" s="48">
        <v>3</v>
      </c>
      <c r="Q130" s="48" t="s">
        <v>459</v>
      </c>
      <c r="R130" s="48" t="s">
        <v>483</v>
      </c>
      <c r="S130" s="49">
        <v>0</v>
      </c>
      <c r="T130" s="49">
        <v>0</v>
      </c>
      <c r="U130" s="50" t="s">
        <v>463</v>
      </c>
      <c r="V130" s="50" t="s">
        <v>465</v>
      </c>
      <c r="W130" s="51">
        <v>1</v>
      </c>
      <c r="X130" s="51">
        <v>0</v>
      </c>
      <c r="Y130" s="51" t="s">
        <v>503</v>
      </c>
      <c r="Z130" s="51" t="s">
        <v>499</v>
      </c>
      <c r="AA130" s="53">
        <v>0</v>
      </c>
      <c r="AB130" s="54" t="s">
        <v>439</v>
      </c>
      <c r="AC130" s="38" t="s">
        <v>487</v>
      </c>
      <c r="AD130" s="39" t="str">
        <f t="shared" si="9"/>
        <v/>
      </c>
      <c r="AE130" s="55" t="s">
        <v>493</v>
      </c>
      <c r="AF130" s="104" t="s">
        <v>493</v>
      </c>
      <c r="AG130" s="54" t="s">
        <v>507</v>
      </c>
      <c r="AH130" s="54" t="s">
        <v>484</v>
      </c>
      <c r="AI130" s="117"/>
      <c r="AJ130" s="113"/>
      <c r="AK130" s="12">
        <f t="shared" ref="AK130:AK159" si="16">L130/K130</f>
        <v>1</v>
      </c>
      <c r="AL130" s="150" t="str">
        <f t="shared" si="10"/>
        <v>non-LVC</v>
      </c>
      <c r="AM130" s="150" t="str" cm="1">
        <f t="array" ref="AM130">IF(OR(O130:O287="zero_recoverable", "zero_exalt", "zero_other", "zero_uncertain"),
   "Yes","No")</f>
        <v>Yes</v>
      </c>
      <c r="AN130" s="150">
        <f>1 + COUNTIF($V$2:V129,"main")</f>
        <v>34</v>
      </c>
      <c r="AO130" s="150" t="str">
        <f t="shared" si="11"/>
        <v>subordinate</v>
      </c>
      <c r="AP130" s="150">
        <f t="shared" si="12"/>
        <v>0</v>
      </c>
      <c r="AQ130" s="150">
        <f>IF(AP131=0,"",COUNTIFS($AN$2:$AN131,$AN131,$AP$2:$AP131,1))</f>
        <v>3</v>
      </c>
      <c r="AR130" s="150">
        <f t="shared" si="13"/>
        <v>0</v>
      </c>
      <c r="AS130" s="150" t="s">
        <v>461</v>
      </c>
      <c r="AT130" s="150" t="s">
        <v>483</v>
      </c>
      <c r="AU130" s="150">
        <f t="shared" si="14"/>
        <v>0</v>
      </c>
      <c r="AV130" s="150">
        <f t="shared" si="15"/>
        <v>0</v>
      </c>
    </row>
    <row r="131" spans="1:48" x14ac:dyDescent="0.2">
      <c r="A131" s="42" t="s">
        <v>156</v>
      </c>
      <c r="B131" s="43" t="s">
        <v>614</v>
      </c>
      <c r="C131" s="44" t="s">
        <v>616</v>
      </c>
      <c r="D131" s="45" t="s">
        <v>405</v>
      </c>
      <c r="E131" s="45" t="s">
        <v>1034</v>
      </c>
      <c r="F131" s="45" t="s">
        <v>444</v>
      </c>
      <c r="G131" s="46" t="s">
        <v>437</v>
      </c>
      <c r="H131" s="45" t="s">
        <v>442</v>
      </c>
      <c r="I131" s="45" t="s">
        <v>451</v>
      </c>
      <c r="J131" s="45" t="s">
        <v>453</v>
      </c>
      <c r="K131" s="45">
        <v>1</v>
      </c>
      <c r="L131" s="47">
        <v>1</v>
      </c>
      <c r="M131" s="47" t="s">
        <v>456</v>
      </c>
      <c r="N131" s="47">
        <v>1</v>
      </c>
      <c r="O131" s="48" t="s">
        <v>461</v>
      </c>
      <c r="P131" s="48">
        <v>3</v>
      </c>
      <c r="Q131" s="48" t="s">
        <v>483</v>
      </c>
      <c r="R131" s="48" t="s">
        <v>483</v>
      </c>
      <c r="S131" s="49">
        <v>0</v>
      </c>
      <c r="T131" s="49">
        <v>0</v>
      </c>
      <c r="U131" s="50" t="s">
        <v>483</v>
      </c>
      <c r="V131" s="50" t="s">
        <v>487</v>
      </c>
      <c r="W131" s="51">
        <v>0</v>
      </c>
      <c r="X131" s="51">
        <v>0</v>
      </c>
      <c r="Y131" s="51" t="s">
        <v>483</v>
      </c>
      <c r="Z131" s="51" t="s">
        <v>483</v>
      </c>
      <c r="AA131" s="53">
        <v>0</v>
      </c>
      <c r="AB131" s="54" t="s">
        <v>468</v>
      </c>
      <c r="AC131" s="38" t="s">
        <v>465</v>
      </c>
      <c r="AD131" s="39" t="str">
        <f t="shared" ref="AD131:AD159" si="17">IF(V131&lt;&gt;"te","",
   IF(OR(AC131="",AC131&lt;&gt;"te"),
      "te_initial",
      "te_medial"))</f>
        <v/>
      </c>
      <c r="AE131" s="55" t="s">
        <v>493</v>
      </c>
      <c r="AF131" s="104" t="s">
        <v>491</v>
      </c>
      <c r="AG131" s="54" t="s">
        <v>507</v>
      </c>
      <c r="AH131" s="54" t="s">
        <v>484</v>
      </c>
      <c r="AI131" s="117"/>
      <c r="AJ131" s="113"/>
      <c r="AK131" s="12">
        <f t="shared" si="16"/>
        <v>1</v>
      </c>
      <c r="AL131" s="150" t="str">
        <f t="shared" ref="AL131:AL159" si="18">IF(OR(G131="LVC",
 G131="LVC (j)",
  G131="LVC (inf)"),
   "LVC","non-LVC")</f>
        <v>non-LVC</v>
      </c>
      <c r="AM131" s="150" t="str" cm="1">
        <f t="array" ref="AM131">IF(OR(O131:O288="zero_recoverable", "zero_exalt", "zero_other", "zero_uncertain"),
   "Yes","No")</f>
        <v>Yes</v>
      </c>
      <c r="AN131" s="150">
        <f>1 + COUNTIF($V$2:V130,"main")</f>
        <v>34</v>
      </c>
      <c r="AO131" s="150" t="str">
        <f t="shared" ref="AO131:AO159" si="19">IF($A131="","",IF($AH131=$AH132,$V132,""))</f>
        <v>subordinate</v>
      </c>
      <c r="AP131" s="150">
        <f t="shared" ref="AP131:AP159" si="20">IF(OR($V131="relative",$V131="nominalised"),0,1)</f>
        <v>1</v>
      </c>
      <c r="AQ131" s="150">
        <f>IF(AP132=0,"",COUNTIFS($AN$2:$AN132,$AN132,$AP$2:$AP132,1))</f>
        <v>4</v>
      </c>
      <c r="AR131" s="150">
        <f t="shared" ref="AR131:AR159" si="21">IF(AQ131=1,1,0)</f>
        <v>0</v>
      </c>
      <c r="AS131" s="150" t="s">
        <v>461</v>
      </c>
      <c r="AT131" s="150" t="s">
        <v>461</v>
      </c>
      <c r="AU131" s="150">
        <f t="shared" ref="AU131:AU159" si="22">IF(AND($O131="overt",LEFT($AS131,5)="zero_"),1,0)</f>
        <v>0</v>
      </c>
      <c r="AV131" s="150">
        <f t="shared" ref="AV131:AV159" si="23">IF(AND($Q131="overt",LEFT($AT131,5)="zero_"),1,0)</f>
        <v>0</v>
      </c>
    </row>
    <row r="132" spans="1:48" x14ac:dyDescent="0.2">
      <c r="A132" s="42" t="s">
        <v>540</v>
      </c>
      <c r="B132" s="43" t="s">
        <v>233</v>
      </c>
      <c r="C132" s="44" t="s">
        <v>617</v>
      </c>
      <c r="D132" s="45" t="s">
        <v>425</v>
      </c>
      <c r="E132" s="45" t="s">
        <v>1034</v>
      </c>
      <c r="F132" s="45" t="s">
        <v>449</v>
      </c>
      <c r="G132" s="46" t="s">
        <v>440</v>
      </c>
      <c r="H132" s="45" t="s">
        <v>441</v>
      </c>
      <c r="I132" s="45" t="s">
        <v>451</v>
      </c>
      <c r="J132" s="45" t="s">
        <v>453</v>
      </c>
      <c r="K132" s="45">
        <v>1</v>
      </c>
      <c r="L132" s="47">
        <v>2</v>
      </c>
      <c r="M132" s="47" t="s">
        <v>458</v>
      </c>
      <c r="N132" s="47">
        <v>1</v>
      </c>
      <c r="O132" s="48" t="s">
        <v>461</v>
      </c>
      <c r="P132" s="48">
        <v>3</v>
      </c>
      <c r="Q132" s="48" t="s">
        <v>461</v>
      </c>
      <c r="R132" s="48" t="s">
        <v>483</v>
      </c>
      <c r="S132" s="49">
        <v>0</v>
      </c>
      <c r="T132" s="49">
        <v>0</v>
      </c>
      <c r="U132" s="50" t="s">
        <v>483</v>
      </c>
      <c r="V132" s="50" t="s">
        <v>487</v>
      </c>
      <c r="W132" s="51">
        <v>0</v>
      </c>
      <c r="X132" s="51">
        <v>0</v>
      </c>
      <c r="Y132" s="51" t="s">
        <v>483</v>
      </c>
      <c r="Z132" s="51" t="s">
        <v>483</v>
      </c>
      <c r="AA132" s="53">
        <v>0</v>
      </c>
      <c r="AB132" s="54" t="s">
        <v>469</v>
      </c>
      <c r="AC132" s="38" t="s">
        <v>487</v>
      </c>
      <c r="AD132" s="39" t="str">
        <f t="shared" si="17"/>
        <v/>
      </c>
      <c r="AE132" s="55" t="s">
        <v>491</v>
      </c>
      <c r="AF132" s="104" t="s">
        <v>491</v>
      </c>
      <c r="AG132" s="54" t="s">
        <v>507</v>
      </c>
      <c r="AH132" s="54" t="s">
        <v>484</v>
      </c>
      <c r="AI132" s="117"/>
      <c r="AJ132" s="113"/>
      <c r="AK132" s="12">
        <f t="shared" si="16"/>
        <v>2</v>
      </c>
      <c r="AL132" s="150" t="str">
        <f t="shared" si="18"/>
        <v>non-LVC</v>
      </c>
      <c r="AM132" s="150" t="str" cm="1">
        <f t="array" ref="AM132">IF(OR(O132:O289="zero_recoverable", "zero_exalt", "zero_other", "zero_uncertain"),
   "Yes","No")</f>
        <v>Yes</v>
      </c>
      <c r="AN132" s="150">
        <f>1 + COUNTIF($V$2:V131,"main")</f>
        <v>34</v>
      </c>
      <c r="AO132" s="150" t="str">
        <f t="shared" si="19"/>
        <v>subordinate</v>
      </c>
      <c r="AP132" s="150">
        <f t="shared" si="20"/>
        <v>1</v>
      </c>
      <c r="AQ132" s="150">
        <f>IF(AP133=0,"",COUNTIFS($AN$2:$AN133,$AN133,$AP$2:$AP133,1))</f>
        <v>5</v>
      </c>
      <c r="AR132" s="150">
        <f t="shared" si="21"/>
        <v>0</v>
      </c>
      <c r="AS132" s="150" t="s">
        <v>508</v>
      </c>
      <c r="AT132" s="150" t="s">
        <v>461</v>
      </c>
      <c r="AU132" s="150">
        <f t="shared" si="22"/>
        <v>1</v>
      </c>
      <c r="AV132" s="150">
        <f t="shared" si="23"/>
        <v>0</v>
      </c>
    </row>
    <row r="133" spans="1:48" x14ac:dyDescent="0.2">
      <c r="A133" s="42" t="s">
        <v>633</v>
      </c>
      <c r="B133" s="43" t="s">
        <v>1073</v>
      </c>
      <c r="C133" s="44" t="s">
        <v>618</v>
      </c>
      <c r="D133" s="45" t="s">
        <v>620</v>
      </c>
      <c r="E133" s="45" t="s">
        <v>693</v>
      </c>
      <c r="F133" s="45" t="s">
        <v>445</v>
      </c>
      <c r="G133" s="46" t="s">
        <v>434</v>
      </c>
      <c r="H133" s="45" t="s">
        <v>441</v>
      </c>
      <c r="I133" s="45" t="s">
        <v>451</v>
      </c>
      <c r="J133" s="45" t="s">
        <v>453</v>
      </c>
      <c r="K133" s="45">
        <v>1</v>
      </c>
      <c r="L133" s="47">
        <v>1</v>
      </c>
      <c r="M133" s="47" t="s">
        <v>464</v>
      </c>
      <c r="N133" s="47">
        <v>0</v>
      </c>
      <c r="O133" s="48" t="s">
        <v>508</v>
      </c>
      <c r="P133" s="48">
        <v>3</v>
      </c>
      <c r="Q133" s="48" t="s">
        <v>461</v>
      </c>
      <c r="R133" s="48" t="s">
        <v>483</v>
      </c>
      <c r="S133" s="49">
        <v>0</v>
      </c>
      <c r="T133" s="49">
        <v>0</v>
      </c>
      <c r="U133" s="50" t="s">
        <v>483</v>
      </c>
      <c r="V133" s="50" t="s">
        <v>487</v>
      </c>
      <c r="W133" s="51">
        <v>0</v>
      </c>
      <c r="X133" s="51">
        <v>0</v>
      </c>
      <c r="Y133" s="51" t="s">
        <v>483</v>
      </c>
      <c r="Z133" s="51" t="s">
        <v>483</v>
      </c>
      <c r="AA133" s="53">
        <v>0</v>
      </c>
      <c r="AB133" s="54" t="s">
        <v>525</v>
      </c>
      <c r="AC133" s="38" t="s">
        <v>487</v>
      </c>
      <c r="AD133" s="39" t="str">
        <f t="shared" si="17"/>
        <v/>
      </c>
      <c r="AE133" s="55" t="s">
        <v>491</v>
      </c>
      <c r="AF133" s="104" t="s">
        <v>491</v>
      </c>
      <c r="AG133" s="54" t="s">
        <v>507</v>
      </c>
      <c r="AH133" s="54" t="s">
        <v>484</v>
      </c>
      <c r="AI133" s="117"/>
      <c r="AJ133" s="113"/>
      <c r="AK133" s="12">
        <f t="shared" si="16"/>
        <v>1</v>
      </c>
      <c r="AL133" s="150" t="str">
        <f t="shared" si="18"/>
        <v>non-LVC</v>
      </c>
      <c r="AM133" s="150" t="str" cm="1">
        <f t="array" ref="AM133">IF(OR(O133:O290="zero_recoverable", "zero_exalt", "zero_other", "zero_uncertain"),
   "Yes","No")</f>
        <v>Yes</v>
      </c>
      <c r="AN133" s="150">
        <f>1 + COUNTIF($V$2:V132,"main")</f>
        <v>34</v>
      </c>
      <c r="AO133" s="150" t="str">
        <f t="shared" si="19"/>
        <v>te</v>
      </c>
      <c r="AP133" s="150">
        <f t="shared" si="20"/>
        <v>1</v>
      </c>
      <c r="AQ133" s="150">
        <f>IF(AP134=0,"",COUNTIFS($AN$2:$AN134,$AN134,$AP$2:$AP134,1))</f>
        <v>6</v>
      </c>
      <c r="AR133" s="150">
        <f t="shared" si="21"/>
        <v>0</v>
      </c>
      <c r="AS133" s="150" t="s">
        <v>508</v>
      </c>
      <c r="AT133" s="150" t="s">
        <v>508</v>
      </c>
      <c r="AU133" s="150">
        <f t="shared" si="22"/>
        <v>0</v>
      </c>
      <c r="AV133" s="150">
        <f t="shared" si="23"/>
        <v>1</v>
      </c>
    </row>
    <row r="134" spans="1:48" x14ac:dyDescent="0.2">
      <c r="A134" s="42" t="s">
        <v>634</v>
      </c>
      <c r="B134" s="43" t="s">
        <v>1072</v>
      </c>
      <c r="C134" s="44" t="s">
        <v>619</v>
      </c>
      <c r="D134" s="45" t="s">
        <v>426</v>
      </c>
      <c r="E134" s="45" t="s">
        <v>1034</v>
      </c>
      <c r="F134" s="45" t="s">
        <v>445</v>
      </c>
      <c r="G134" s="46" t="s">
        <v>434</v>
      </c>
      <c r="H134" s="45" t="s">
        <v>443</v>
      </c>
      <c r="I134" s="45" t="s">
        <v>451</v>
      </c>
      <c r="J134" s="45" t="s">
        <v>454</v>
      </c>
      <c r="K134" s="45">
        <v>1</v>
      </c>
      <c r="L134" s="47">
        <v>2</v>
      </c>
      <c r="M134" s="47" t="s">
        <v>455</v>
      </c>
      <c r="N134" s="47">
        <v>1</v>
      </c>
      <c r="O134" s="48" t="s">
        <v>508</v>
      </c>
      <c r="P134" s="48">
        <v>3</v>
      </c>
      <c r="Q134" s="48" t="s">
        <v>508</v>
      </c>
      <c r="R134" s="48" t="s">
        <v>461</v>
      </c>
      <c r="S134" s="49">
        <v>0</v>
      </c>
      <c r="T134" s="49">
        <v>0</v>
      </c>
      <c r="U134" s="50" t="s">
        <v>483</v>
      </c>
      <c r="V134" s="50" t="s">
        <v>515</v>
      </c>
      <c r="W134" s="51">
        <v>0</v>
      </c>
      <c r="X134" s="51">
        <v>0</v>
      </c>
      <c r="Y134" s="51" t="s">
        <v>483</v>
      </c>
      <c r="Z134" s="51" t="s">
        <v>483</v>
      </c>
      <c r="AA134" s="53">
        <v>0</v>
      </c>
      <c r="AB134" s="54" t="s">
        <v>469</v>
      </c>
      <c r="AC134" s="38" t="s">
        <v>487</v>
      </c>
      <c r="AD134" s="39" t="s">
        <v>1111</v>
      </c>
      <c r="AE134" s="55" t="s">
        <v>491</v>
      </c>
      <c r="AF134" s="104">
        <v>0</v>
      </c>
      <c r="AG134" s="54" t="s">
        <v>486</v>
      </c>
      <c r="AH134" s="54" t="s">
        <v>484</v>
      </c>
      <c r="AI134" s="117"/>
      <c r="AJ134" s="113"/>
      <c r="AK134" s="12">
        <f t="shared" si="16"/>
        <v>2</v>
      </c>
      <c r="AL134" s="150" t="str">
        <f t="shared" si="18"/>
        <v>non-LVC</v>
      </c>
      <c r="AM134" s="150" t="str" cm="1">
        <f t="array" ref="AM134">IF(OR(O134:O291="zero_recoverable", "zero_exalt", "zero_other", "zero_uncertain"),
   "Yes","No")</f>
        <v>Yes</v>
      </c>
      <c r="AN134" s="150">
        <f>1 + COUNTIF($V$2:V133,"main")</f>
        <v>34</v>
      </c>
      <c r="AO134" s="150" t="str">
        <f t="shared" si="19"/>
        <v/>
      </c>
      <c r="AP134" s="150">
        <f t="shared" si="20"/>
        <v>1</v>
      </c>
      <c r="AQ134" s="150">
        <f>IF(AP135=0,"",COUNTIFS($AN$2:$AN135,$AN135,$AP$2:$AP135,1))</f>
        <v>7</v>
      </c>
      <c r="AR134" s="150">
        <f t="shared" si="21"/>
        <v>0</v>
      </c>
      <c r="AS134" s="150"/>
      <c r="AT134" s="150"/>
      <c r="AU134" s="150">
        <f t="shared" si="22"/>
        <v>0</v>
      </c>
      <c r="AV134" s="150">
        <f t="shared" si="23"/>
        <v>0</v>
      </c>
    </row>
    <row r="135" spans="1:48" x14ac:dyDescent="0.2">
      <c r="A135" s="42" t="s">
        <v>635</v>
      </c>
      <c r="B135" s="73" t="s">
        <v>1075</v>
      </c>
      <c r="C135" s="44" t="s">
        <v>624</v>
      </c>
      <c r="D135" s="45" t="s">
        <v>433</v>
      </c>
      <c r="E135" s="45" t="s">
        <v>1034</v>
      </c>
      <c r="F135" s="45" t="s">
        <v>445</v>
      </c>
      <c r="G135" s="46" t="s">
        <v>439</v>
      </c>
      <c r="H135" s="45"/>
      <c r="I135" s="45"/>
      <c r="J135" s="45"/>
      <c r="K135" s="45"/>
      <c r="L135" s="47"/>
      <c r="M135" s="47"/>
      <c r="N135" s="47"/>
      <c r="O135" s="48"/>
      <c r="P135" s="48"/>
      <c r="Q135" s="48" t="s">
        <v>483</v>
      </c>
      <c r="R135" s="48" t="s">
        <v>483</v>
      </c>
      <c r="S135" s="49"/>
      <c r="T135" s="49"/>
      <c r="U135" s="50"/>
      <c r="V135" s="50"/>
      <c r="W135" s="51"/>
      <c r="X135" s="51"/>
      <c r="Y135" s="51" t="s">
        <v>483</v>
      </c>
      <c r="Z135" s="51" t="s">
        <v>483</v>
      </c>
      <c r="AA135" s="53"/>
      <c r="AB135" s="54"/>
      <c r="AC135" s="38" t="s">
        <v>515</v>
      </c>
      <c r="AD135" s="39" t="str">
        <f t="shared" si="17"/>
        <v/>
      </c>
      <c r="AE135" s="55"/>
      <c r="AF135" s="104" t="s">
        <v>493</v>
      </c>
      <c r="AG135" s="54"/>
      <c r="AH135" s="54"/>
      <c r="AI135" s="116" t="s">
        <v>1074</v>
      </c>
      <c r="AJ135" s="113"/>
      <c r="AL135" s="150" t="str">
        <f t="shared" si="18"/>
        <v>non-LVC</v>
      </c>
      <c r="AM135" s="150" t="str" cm="1">
        <f t="array" ref="AM135">IF(OR(O135:O292="zero_recoverable", "zero_exalt", "zero_other", "zero_uncertain"),
   "Yes","No")</f>
        <v>Yes</v>
      </c>
      <c r="AN135" s="150">
        <f>1 + COUNTIF($V$2:V134,"main")</f>
        <v>34</v>
      </c>
      <c r="AO135" s="150" t="str">
        <f t="shared" si="19"/>
        <v/>
      </c>
      <c r="AP135" s="150">
        <f t="shared" si="20"/>
        <v>1</v>
      </c>
      <c r="AQ135" s="150" t="str">
        <f>IF(AP136=0,"",COUNTIFS($AN$2:$AN136,$AN136,$AP$2:$AP136,1))</f>
        <v/>
      </c>
      <c r="AR135" s="150">
        <f t="shared" si="21"/>
        <v>0</v>
      </c>
      <c r="AS135" s="150" t="s">
        <v>461</v>
      </c>
      <c r="AT135" s="150" t="s">
        <v>483</v>
      </c>
      <c r="AU135" s="150">
        <f t="shared" si="22"/>
        <v>0</v>
      </c>
      <c r="AV135" s="150">
        <f t="shared" si="23"/>
        <v>0</v>
      </c>
    </row>
    <row r="136" spans="1:48" x14ac:dyDescent="0.2">
      <c r="A136" s="42" t="s">
        <v>636</v>
      </c>
      <c r="B136" s="43" t="s">
        <v>1076</v>
      </c>
      <c r="C136" s="44" t="s">
        <v>624</v>
      </c>
      <c r="D136" s="45" t="s">
        <v>623</v>
      </c>
      <c r="E136" s="45" t="s">
        <v>1034</v>
      </c>
      <c r="F136" s="45" t="s">
        <v>445</v>
      </c>
      <c r="G136" s="46" t="s">
        <v>434</v>
      </c>
      <c r="H136" s="45" t="s">
        <v>442</v>
      </c>
      <c r="I136" s="45" t="s">
        <v>451</v>
      </c>
      <c r="J136" s="45" t="s">
        <v>454</v>
      </c>
      <c r="K136" s="45">
        <v>1</v>
      </c>
      <c r="L136" s="47">
        <v>1</v>
      </c>
      <c r="M136" s="47" t="s">
        <v>456</v>
      </c>
      <c r="N136" s="47">
        <v>0</v>
      </c>
      <c r="O136" s="48" t="s">
        <v>461</v>
      </c>
      <c r="P136" s="48">
        <v>3</v>
      </c>
      <c r="Q136" s="48" t="s">
        <v>483</v>
      </c>
      <c r="R136" s="48" t="s">
        <v>483</v>
      </c>
      <c r="S136" s="49">
        <v>0</v>
      </c>
      <c r="T136" s="49">
        <v>1</v>
      </c>
      <c r="U136" s="50" t="s">
        <v>463</v>
      </c>
      <c r="V136" s="50" t="s">
        <v>465</v>
      </c>
      <c r="W136" s="51">
        <v>0</v>
      </c>
      <c r="X136" s="51">
        <v>0</v>
      </c>
      <c r="Y136" s="51" t="s">
        <v>483</v>
      </c>
      <c r="Z136" s="51" t="s">
        <v>483</v>
      </c>
      <c r="AA136" s="53">
        <v>0</v>
      </c>
      <c r="AB136" s="54" t="s">
        <v>439</v>
      </c>
      <c r="AC136" s="38">
        <v>0</v>
      </c>
      <c r="AD136" s="39" t="str">
        <f t="shared" si="17"/>
        <v/>
      </c>
      <c r="AE136" s="55" t="s">
        <v>493</v>
      </c>
      <c r="AF136" s="104" t="s">
        <v>493</v>
      </c>
      <c r="AG136" s="54" t="s">
        <v>507</v>
      </c>
      <c r="AH136" s="54" t="s">
        <v>484</v>
      </c>
      <c r="AI136" s="117"/>
      <c r="AJ136" s="113"/>
      <c r="AK136" s="12">
        <f t="shared" si="16"/>
        <v>1</v>
      </c>
      <c r="AL136" s="150" t="str">
        <f t="shared" si="18"/>
        <v>non-LVC</v>
      </c>
      <c r="AM136" s="150" t="str" cm="1">
        <f t="array" ref="AM136">IF(OR(O136:O293="zero_recoverable", "zero_exalt", "zero_other", "zero_uncertain"),
   "Yes","No")</f>
        <v>Yes</v>
      </c>
      <c r="AN136" s="150">
        <f>1 + COUNTIF($V$2:V135,"main")</f>
        <v>34</v>
      </c>
      <c r="AO136" s="150" t="str">
        <f t="shared" si="19"/>
        <v/>
      </c>
      <c r="AP136" s="150">
        <f t="shared" si="20"/>
        <v>0</v>
      </c>
      <c r="AQ136" s="150">
        <f>IF(AP137=0,"",COUNTIFS($AN$2:$AN137,$AN137,$AP$2:$AP137,1))</f>
        <v>8</v>
      </c>
      <c r="AR136" s="150">
        <f t="shared" si="21"/>
        <v>0</v>
      </c>
      <c r="AS136" s="150" t="s">
        <v>508</v>
      </c>
      <c r="AT136" s="150" t="s">
        <v>483</v>
      </c>
      <c r="AU136" s="150">
        <f t="shared" si="22"/>
        <v>1</v>
      </c>
      <c r="AV136" s="150">
        <f t="shared" si="23"/>
        <v>0</v>
      </c>
    </row>
    <row r="137" spans="1:48" x14ac:dyDescent="0.2">
      <c r="A137" s="42" t="s">
        <v>637</v>
      </c>
      <c r="B137" s="43" t="s">
        <v>621</v>
      </c>
      <c r="C137" s="44" t="s">
        <v>622</v>
      </c>
      <c r="D137" s="45" t="s">
        <v>338</v>
      </c>
      <c r="E137" s="45" t="s">
        <v>1034</v>
      </c>
      <c r="F137" s="45" t="s">
        <v>444</v>
      </c>
      <c r="G137" s="46" t="s">
        <v>436</v>
      </c>
      <c r="H137" s="45" t="s">
        <v>442</v>
      </c>
      <c r="I137" s="45" t="s">
        <v>451</v>
      </c>
      <c r="J137" s="45" t="s">
        <v>453</v>
      </c>
      <c r="K137" s="45">
        <v>1</v>
      </c>
      <c r="L137" s="47">
        <v>0</v>
      </c>
      <c r="M137" s="47" t="s">
        <v>483</v>
      </c>
      <c r="N137" s="47">
        <v>0</v>
      </c>
      <c r="O137" s="48" t="s">
        <v>508</v>
      </c>
      <c r="P137" s="48">
        <v>3</v>
      </c>
      <c r="Q137" s="48" t="s">
        <v>483</v>
      </c>
      <c r="R137" s="48" t="s">
        <v>483</v>
      </c>
      <c r="S137" s="49">
        <v>0</v>
      </c>
      <c r="T137" s="49">
        <v>0</v>
      </c>
      <c r="U137" s="50" t="s">
        <v>483</v>
      </c>
      <c r="V137" s="50" t="s">
        <v>466</v>
      </c>
      <c r="W137" s="51">
        <v>0</v>
      </c>
      <c r="X137" s="51">
        <v>0</v>
      </c>
      <c r="Y137" s="51" t="s">
        <v>483</v>
      </c>
      <c r="Z137" s="51" t="s">
        <v>483</v>
      </c>
      <c r="AA137" s="53">
        <v>0</v>
      </c>
      <c r="AB137" s="54" t="s">
        <v>439</v>
      </c>
      <c r="AC137" s="38" t="s">
        <v>465</v>
      </c>
      <c r="AD137" s="39" t="str">
        <f t="shared" si="17"/>
        <v/>
      </c>
      <c r="AE137" s="55" t="s">
        <v>493</v>
      </c>
      <c r="AF137" s="104" t="s">
        <v>493</v>
      </c>
      <c r="AG137" s="54" t="s">
        <v>507</v>
      </c>
      <c r="AH137" s="54" t="s">
        <v>473</v>
      </c>
      <c r="AI137" s="117"/>
      <c r="AJ137" s="113"/>
      <c r="AK137" s="12">
        <f t="shared" si="16"/>
        <v>0</v>
      </c>
      <c r="AL137" s="150" t="str">
        <f t="shared" si="18"/>
        <v>non-LVC</v>
      </c>
      <c r="AM137" s="150" t="str" cm="1">
        <f t="array" ref="AM137">IF(OR(O137:O294="zero_recoverable", "zero_exalt", "zero_other", "zero_uncertain"),
   "Yes","No")</f>
        <v>Yes</v>
      </c>
      <c r="AN137" s="150">
        <f>1 + COUNTIF($V$2:V136,"main")</f>
        <v>34</v>
      </c>
      <c r="AO137" s="150" t="str">
        <f t="shared" si="19"/>
        <v/>
      </c>
      <c r="AP137" s="150">
        <f t="shared" si="20"/>
        <v>1</v>
      </c>
      <c r="AQ137" s="150">
        <f>IF(AP138=0,"",COUNTIFS($AN$2:$AN138,$AN138,$AP$2:$AP138,1))</f>
        <v>1</v>
      </c>
      <c r="AR137" s="150">
        <v>0</v>
      </c>
      <c r="AS137" s="150" t="s">
        <v>461</v>
      </c>
      <c r="AT137" s="150" t="s">
        <v>483</v>
      </c>
      <c r="AU137" s="150">
        <f t="shared" si="22"/>
        <v>0</v>
      </c>
      <c r="AV137" s="150">
        <f t="shared" si="23"/>
        <v>0</v>
      </c>
    </row>
    <row r="138" spans="1:48" x14ac:dyDescent="0.2">
      <c r="A138" s="42" t="s">
        <v>638</v>
      </c>
      <c r="B138" s="43" t="s">
        <v>625</v>
      </c>
      <c r="C138" s="44" t="s">
        <v>627</v>
      </c>
      <c r="D138" s="45" t="s">
        <v>405</v>
      </c>
      <c r="E138" s="45" t="s">
        <v>1034</v>
      </c>
      <c r="F138" s="45" t="s">
        <v>444</v>
      </c>
      <c r="G138" s="46" t="s">
        <v>437</v>
      </c>
      <c r="H138" s="45" t="s">
        <v>442</v>
      </c>
      <c r="I138" s="45" t="s">
        <v>451</v>
      </c>
      <c r="J138" s="45" t="s">
        <v>453</v>
      </c>
      <c r="K138" s="45">
        <v>1</v>
      </c>
      <c r="L138" s="47">
        <v>1</v>
      </c>
      <c r="M138" s="47" t="s">
        <v>456</v>
      </c>
      <c r="N138" s="47">
        <v>0</v>
      </c>
      <c r="O138" s="48" t="s">
        <v>461</v>
      </c>
      <c r="P138" s="48">
        <v>3</v>
      </c>
      <c r="Q138" s="48" t="s">
        <v>483</v>
      </c>
      <c r="R138" s="48" t="s">
        <v>483</v>
      </c>
      <c r="S138" s="49">
        <v>0</v>
      </c>
      <c r="T138" s="49">
        <v>0</v>
      </c>
      <c r="U138" s="50" t="s">
        <v>483</v>
      </c>
      <c r="V138" s="50" t="s">
        <v>487</v>
      </c>
      <c r="W138" s="51">
        <v>0</v>
      </c>
      <c r="X138" s="51">
        <v>0</v>
      </c>
      <c r="Y138" s="51" t="s">
        <v>483</v>
      </c>
      <c r="Z138" s="51" t="s">
        <v>483</v>
      </c>
      <c r="AA138" s="53">
        <v>0</v>
      </c>
      <c r="AB138" s="54" t="s">
        <v>471</v>
      </c>
      <c r="AC138" s="38" t="s">
        <v>466</v>
      </c>
      <c r="AD138" s="39" t="str">
        <f t="shared" si="17"/>
        <v/>
      </c>
      <c r="AE138" s="55" t="s">
        <v>493</v>
      </c>
      <c r="AF138" s="104" t="s">
        <v>493</v>
      </c>
      <c r="AG138" s="54" t="s">
        <v>492</v>
      </c>
      <c r="AH138" s="54" t="s">
        <v>484</v>
      </c>
      <c r="AI138" s="117"/>
      <c r="AJ138" s="113"/>
      <c r="AK138" s="12">
        <f t="shared" si="16"/>
        <v>1</v>
      </c>
      <c r="AL138" s="150" t="str">
        <f t="shared" si="18"/>
        <v>non-LVC</v>
      </c>
      <c r="AM138" s="150" t="str" cm="1">
        <f t="array" ref="AM138">IF(OR(O138:O295="zero_recoverable", "zero_exalt", "zero_other", "zero_uncertain"),
   "Yes","No")</f>
        <v>Yes</v>
      </c>
      <c r="AN138" s="150">
        <f>1 + COUNTIF($V$2:V137,"main")</f>
        <v>35</v>
      </c>
      <c r="AO138" s="150" t="str">
        <f t="shared" si="19"/>
        <v>main</v>
      </c>
      <c r="AP138" s="150">
        <f t="shared" si="20"/>
        <v>1</v>
      </c>
      <c r="AQ138" s="150">
        <f>IF(AP139=0,"",COUNTIFS($AN$2:$AN139,$AN139,$AP$2:$AP139,1))</f>
        <v>2</v>
      </c>
      <c r="AR138" s="150">
        <v>1</v>
      </c>
      <c r="AS138" s="150" t="s">
        <v>460</v>
      </c>
      <c r="AT138" s="150" t="s">
        <v>461</v>
      </c>
      <c r="AU138" s="150">
        <f t="shared" si="22"/>
        <v>1</v>
      </c>
      <c r="AV138" s="150">
        <f t="shared" si="23"/>
        <v>0</v>
      </c>
    </row>
    <row r="139" spans="1:48" x14ac:dyDescent="0.2">
      <c r="A139" s="42" t="s">
        <v>639</v>
      </c>
      <c r="B139" s="43" t="s">
        <v>626</v>
      </c>
      <c r="C139" s="44" t="s">
        <v>628</v>
      </c>
      <c r="D139" s="45" t="s">
        <v>629</v>
      </c>
      <c r="E139" s="45" t="s">
        <v>691</v>
      </c>
      <c r="F139" s="45" t="s">
        <v>528</v>
      </c>
      <c r="G139" s="46" t="s">
        <v>435</v>
      </c>
      <c r="H139" s="45"/>
      <c r="I139" s="45" t="s">
        <v>451</v>
      </c>
      <c r="J139" s="45" t="s">
        <v>453</v>
      </c>
      <c r="K139" s="45">
        <v>1</v>
      </c>
      <c r="L139" s="47">
        <v>1</v>
      </c>
      <c r="M139" s="47" t="s">
        <v>464</v>
      </c>
      <c r="N139" s="47">
        <v>0</v>
      </c>
      <c r="O139" s="48" t="s">
        <v>460</v>
      </c>
      <c r="P139" s="48">
        <v>1</v>
      </c>
      <c r="Q139" s="48" t="s">
        <v>461</v>
      </c>
      <c r="R139" s="48" t="s">
        <v>483</v>
      </c>
      <c r="S139" s="49">
        <v>0</v>
      </c>
      <c r="T139" s="49">
        <v>0</v>
      </c>
      <c r="U139" s="50" t="s">
        <v>483</v>
      </c>
      <c r="V139" s="50" t="s">
        <v>466</v>
      </c>
      <c r="W139" s="51">
        <v>0</v>
      </c>
      <c r="X139" s="51">
        <v>1</v>
      </c>
      <c r="Y139" s="51" t="s">
        <v>503</v>
      </c>
      <c r="Z139" s="51" t="s">
        <v>497</v>
      </c>
      <c r="AA139" s="53">
        <v>0</v>
      </c>
      <c r="AB139" s="54" t="s">
        <v>439</v>
      </c>
      <c r="AC139" s="38" t="s">
        <v>487</v>
      </c>
      <c r="AD139" s="39" t="str">
        <f t="shared" si="17"/>
        <v/>
      </c>
      <c r="AE139" s="55" t="s">
        <v>493</v>
      </c>
      <c r="AF139" s="104" t="s">
        <v>491</v>
      </c>
      <c r="AG139" s="54" t="s">
        <v>507</v>
      </c>
      <c r="AH139" s="54" t="s">
        <v>484</v>
      </c>
      <c r="AI139" s="117"/>
      <c r="AJ139" s="113"/>
      <c r="AK139" s="12">
        <f t="shared" si="16"/>
        <v>1</v>
      </c>
      <c r="AL139" s="150" t="str">
        <f t="shared" si="18"/>
        <v>LVC</v>
      </c>
      <c r="AM139" s="150" t="str" cm="1">
        <f t="array" ref="AM139">IF(OR(O139:O296="zero_recoverable", "zero_exalt", "zero_other", "zero_uncertain"),
   "Yes","No")</f>
        <v>Yes</v>
      </c>
      <c r="AN139" s="150">
        <f>1 + COUNTIF($V$2:V138,"main")</f>
        <v>35</v>
      </c>
      <c r="AO139" s="150" t="str">
        <f t="shared" si="19"/>
        <v>main</v>
      </c>
      <c r="AP139" s="150">
        <f t="shared" si="20"/>
        <v>1</v>
      </c>
      <c r="AQ139" s="150">
        <f>IF(AP140=0,"",COUNTIFS($AN$2:$AN140,$AN140,$AP$2:$AP140,1))</f>
        <v>1</v>
      </c>
      <c r="AR139" s="150">
        <v>0</v>
      </c>
      <c r="AS139" s="150" t="s">
        <v>508</v>
      </c>
      <c r="AT139" s="150" t="s">
        <v>461</v>
      </c>
      <c r="AU139" s="150">
        <f t="shared" si="22"/>
        <v>0</v>
      </c>
      <c r="AV139" s="150">
        <f t="shared" si="23"/>
        <v>0</v>
      </c>
    </row>
    <row r="140" spans="1:48" x14ac:dyDescent="0.2">
      <c r="A140" s="42" t="s">
        <v>640</v>
      </c>
      <c r="B140" s="43" t="s">
        <v>630</v>
      </c>
      <c r="C140" s="44" t="s">
        <v>325</v>
      </c>
      <c r="D140" s="45" t="s">
        <v>427</v>
      </c>
      <c r="E140" s="45" t="s">
        <v>1034</v>
      </c>
      <c r="F140" s="45" t="s">
        <v>528</v>
      </c>
      <c r="G140" s="46" t="s">
        <v>440</v>
      </c>
      <c r="H140" s="45" t="s">
        <v>441</v>
      </c>
      <c r="I140" s="45" t="s">
        <v>451</v>
      </c>
      <c r="J140" s="45" t="s">
        <v>453</v>
      </c>
      <c r="K140" s="45">
        <v>1</v>
      </c>
      <c r="L140" s="47">
        <v>2</v>
      </c>
      <c r="M140" s="47" t="s">
        <v>520</v>
      </c>
      <c r="N140" s="47">
        <v>0</v>
      </c>
      <c r="O140" s="48" t="s">
        <v>508</v>
      </c>
      <c r="P140" s="48">
        <v>1</v>
      </c>
      <c r="Q140" s="48" t="s">
        <v>461</v>
      </c>
      <c r="R140" s="48" t="s">
        <v>461</v>
      </c>
      <c r="S140" s="49">
        <v>0</v>
      </c>
      <c r="T140" s="49">
        <v>0</v>
      </c>
      <c r="U140" s="50" t="s">
        <v>483</v>
      </c>
      <c r="V140" s="50" t="s">
        <v>466</v>
      </c>
      <c r="W140" s="51">
        <v>0</v>
      </c>
      <c r="X140" s="51">
        <v>0</v>
      </c>
      <c r="Y140" s="51" t="s">
        <v>483</v>
      </c>
      <c r="Z140" s="74" t="s">
        <v>500</v>
      </c>
      <c r="AA140" s="53">
        <v>0</v>
      </c>
      <c r="AB140" s="54" t="s">
        <v>439</v>
      </c>
      <c r="AC140" s="38" t="s">
        <v>466</v>
      </c>
      <c r="AD140" s="39" t="str">
        <f t="shared" si="17"/>
        <v/>
      </c>
      <c r="AE140" s="55" t="s">
        <v>491</v>
      </c>
      <c r="AF140" s="104" t="s">
        <v>493</v>
      </c>
      <c r="AG140" s="54" t="s">
        <v>492</v>
      </c>
      <c r="AH140" s="54" t="s">
        <v>484</v>
      </c>
      <c r="AI140" s="117"/>
      <c r="AJ140" s="113"/>
      <c r="AK140" s="12">
        <f t="shared" si="16"/>
        <v>2</v>
      </c>
      <c r="AL140" s="150" t="str">
        <f t="shared" si="18"/>
        <v>non-LVC</v>
      </c>
      <c r="AM140" s="150" t="str" cm="1">
        <f t="array" ref="AM140">IF(OR(O140:O297="zero_recoverable", "zero_exalt", "zero_other", "zero_uncertain"),
   "Yes","No")</f>
        <v>Yes</v>
      </c>
      <c r="AN140" s="150">
        <f>1 + COUNTIF($V$2:V139,"main")</f>
        <v>36</v>
      </c>
      <c r="AO140" s="150" t="str">
        <f t="shared" si="19"/>
        <v/>
      </c>
      <c r="AP140" s="150">
        <f t="shared" si="20"/>
        <v>1</v>
      </c>
      <c r="AQ140" s="150">
        <f>IF(AP141=0,"",COUNTIFS($AN$2:$AN141,$AN141,$AP$2:$AP141,1))</f>
        <v>1</v>
      </c>
      <c r="AR140" s="150">
        <v>0</v>
      </c>
      <c r="AS140" s="150" t="s">
        <v>460</v>
      </c>
      <c r="AT140" s="150" t="s">
        <v>508</v>
      </c>
      <c r="AU140" s="150">
        <f t="shared" si="22"/>
        <v>0</v>
      </c>
      <c r="AV140" s="150">
        <f t="shared" si="23"/>
        <v>1</v>
      </c>
    </row>
    <row r="141" spans="1:48" x14ac:dyDescent="0.2">
      <c r="A141" s="42" t="s">
        <v>663</v>
      </c>
      <c r="B141" s="43" t="s">
        <v>631</v>
      </c>
      <c r="C141" s="44" t="s">
        <v>632</v>
      </c>
      <c r="D141" s="45" t="s">
        <v>641</v>
      </c>
      <c r="E141" s="45" t="s">
        <v>1034</v>
      </c>
      <c r="F141" s="45" t="s">
        <v>528</v>
      </c>
      <c r="G141" s="46" t="s">
        <v>434</v>
      </c>
      <c r="H141" s="45" t="s">
        <v>442</v>
      </c>
      <c r="I141" s="45" t="s">
        <v>452</v>
      </c>
      <c r="J141" s="45" t="s">
        <v>453</v>
      </c>
      <c r="K141" s="45">
        <v>1</v>
      </c>
      <c r="L141" s="47">
        <v>0</v>
      </c>
      <c r="M141" s="47" t="s">
        <v>483</v>
      </c>
      <c r="N141" s="47">
        <v>0</v>
      </c>
      <c r="O141" s="48" t="s">
        <v>460</v>
      </c>
      <c r="P141" s="48">
        <v>3</v>
      </c>
      <c r="Q141" s="48" t="s">
        <v>508</v>
      </c>
      <c r="R141" s="48" t="s">
        <v>508</v>
      </c>
      <c r="S141" s="49">
        <v>0</v>
      </c>
      <c r="T141" s="49">
        <v>0</v>
      </c>
      <c r="U141" s="50" t="s">
        <v>483</v>
      </c>
      <c r="V141" s="50" t="s">
        <v>466</v>
      </c>
      <c r="W141" s="51">
        <v>0</v>
      </c>
      <c r="X141" s="51">
        <v>1</v>
      </c>
      <c r="Y141" s="51" t="s">
        <v>503</v>
      </c>
      <c r="Z141" s="51" t="s">
        <v>497</v>
      </c>
      <c r="AA141" s="53">
        <v>0</v>
      </c>
      <c r="AB141" s="54" t="s">
        <v>439</v>
      </c>
      <c r="AC141" s="38" t="s">
        <v>466</v>
      </c>
      <c r="AD141" s="39" t="str">
        <f t="shared" si="17"/>
        <v/>
      </c>
      <c r="AE141" s="55" t="s">
        <v>493</v>
      </c>
      <c r="AF141" s="104" t="s">
        <v>491</v>
      </c>
      <c r="AG141" s="54" t="s">
        <v>507</v>
      </c>
      <c r="AH141" s="54" t="s">
        <v>473</v>
      </c>
      <c r="AI141" s="117"/>
      <c r="AJ141" s="113"/>
      <c r="AK141" s="12">
        <f t="shared" si="16"/>
        <v>0</v>
      </c>
      <c r="AL141" s="150" t="str">
        <f t="shared" si="18"/>
        <v>non-LVC</v>
      </c>
      <c r="AM141" s="150" t="str" cm="1">
        <f t="array" ref="AM141">IF(OR(O141:O298="zero_recoverable", "zero_exalt", "zero_other", "zero_uncertain"),
   "Yes","No")</f>
        <v>Yes</v>
      </c>
      <c r="AN141" s="150">
        <f>1 + COUNTIF($V$2:V140,"main")</f>
        <v>37</v>
      </c>
      <c r="AO141" s="150" t="str">
        <f t="shared" si="19"/>
        <v/>
      </c>
      <c r="AP141" s="150">
        <f t="shared" si="20"/>
        <v>1</v>
      </c>
      <c r="AQ141" s="150">
        <f>IF(AP142=0,"",COUNTIFS($AN$2:$AN142,$AN142,$AP$2:$AP142,1))</f>
        <v>1</v>
      </c>
      <c r="AR141" s="150">
        <v>0</v>
      </c>
      <c r="AS141" s="150" t="s">
        <v>461</v>
      </c>
      <c r="AT141" s="150" t="s">
        <v>483</v>
      </c>
      <c r="AU141" s="150">
        <f t="shared" si="22"/>
        <v>0</v>
      </c>
      <c r="AV141" s="150">
        <f t="shared" si="23"/>
        <v>0</v>
      </c>
    </row>
    <row r="142" spans="1:48" x14ac:dyDescent="0.2">
      <c r="A142" s="42" t="s">
        <v>664</v>
      </c>
      <c r="B142" s="43" t="s">
        <v>642</v>
      </c>
      <c r="C142" s="44" t="s">
        <v>643</v>
      </c>
      <c r="D142" s="45" t="s">
        <v>644</v>
      </c>
      <c r="E142" s="45" t="s">
        <v>691</v>
      </c>
      <c r="F142" s="45" t="s">
        <v>444</v>
      </c>
      <c r="G142" s="46" t="s">
        <v>437</v>
      </c>
      <c r="H142" s="45" t="s">
        <v>442</v>
      </c>
      <c r="I142" s="45" t="s">
        <v>451</v>
      </c>
      <c r="J142" s="45" t="s">
        <v>453</v>
      </c>
      <c r="K142" s="45">
        <v>1</v>
      </c>
      <c r="L142" s="47">
        <v>1</v>
      </c>
      <c r="M142" s="47" t="s">
        <v>456</v>
      </c>
      <c r="N142" s="47">
        <v>1</v>
      </c>
      <c r="O142" s="48" t="s">
        <v>461</v>
      </c>
      <c r="P142" s="48">
        <v>3</v>
      </c>
      <c r="Q142" s="48" t="s">
        <v>483</v>
      </c>
      <c r="R142" s="48" t="s">
        <v>483</v>
      </c>
      <c r="S142" s="49">
        <v>0</v>
      </c>
      <c r="T142" s="49">
        <v>0</v>
      </c>
      <c r="U142" s="50" t="s">
        <v>483</v>
      </c>
      <c r="V142" s="50" t="s">
        <v>466</v>
      </c>
      <c r="W142" s="51">
        <v>0</v>
      </c>
      <c r="X142" s="51">
        <v>0</v>
      </c>
      <c r="Y142" s="51" t="s">
        <v>483</v>
      </c>
      <c r="Z142" s="51" t="s">
        <v>483</v>
      </c>
      <c r="AA142" s="53">
        <v>0</v>
      </c>
      <c r="AB142" s="54" t="s">
        <v>439</v>
      </c>
      <c r="AC142" s="38" t="s">
        <v>466</v>
      </c>
      <c r="AD142" s="39" t="str">
        <f t="shared" si="17"/>
        <v/>
      </c>
      <c r="AE142" s="55" t="s">
        <v>491</v>
      </c>
      <c r="AF142" s="104" t="s">
        <v>493</v>
      </c>
      <c r="AG142" s="54" t="s">
        <v>507</v>
      </c>
      <c r="AH142" s="54" t="s">
        <v>484</v>
      </c>
      <c r="AI142" s="117"/>
      <c r="AJ142" s="113"/>
      <c r="AK142" s="12">
        <f t="shared" si="16"/>
        <v>1</v>
      </c>
      <c r="AL142" s="150" t="str">
        <f t="shared" si="18"/>
        <v>non-LVC</v>
      </c>
      <c r="AM142" s="150" t="str" cm="1">
        <f t="array" ref="AM142">IF(OR(O142:O299="zero_recoverable", "zero_exalt", "zero_other", "zero_uncertain"),
   "Yes","No")</f>
        <v>Yes</v>
      </c>
      <c r="AN142" s="150">
        <f>1 + COUNTIF($V$2:V141,"main")</f>
        <v>38</v>
      </c>
      <c r="AO142" s="150" t="str">
        <f t="shared" si="19"/>
        <v>subordinate</v>
      </c>
      <c r="AP142" s="150">
        <f t="shared" si="20"/>
        <v>1</v>
      </c>
      <c r="AQ142" s="150">
        <f>IF(AP143=0,"",COUNTIFS($AN$2:$AN143,$AN143,$AP$2:$AP143,1))</f>
        <v>1</v>
      </c>
      <c r="AR142" s="150">
        <f t="shared" si="21"/>
        <v>1</v>
      </c>
      <c r="AS142" s="150" t="s">
        <v>461</v>
      </c>
      <c r="AT142" s="150" t="s">
        <v>483</v>
      </c>
      <c r="AU142" s="150">
        <f t="shared" si="22"/>
        <v>0</v>
      </c>
      <c r="AV142" s="150">
        <f t="shared" si="23"/>
        <v>0</v>
      </c>
    </row>
    <row r="143" spans="1:48" x14ac:dyDescent="0.2">
      <c r="A143" s="42" t="s">
        <v>665</v>
      </c>
      <c r="B143" s="43" t="s">
        <v>1078</v>
      </c>
      <c r="C143" s="44" t="s">
        <v>326</v>
      </c>
      <c r="D143" s="45" t="s">
        <v>428</v>
      </c>
      <c r="E143" s="45" t="s">
        <v>691</v>
      </c>
      <c r="F143" s="45" t="s">
        <v>444</v>
      </c>
      <c r="G143" s="46" t="s">
        <v>438</v>
      </c>
      <c r="H143" s="45" t="s">
        <v>442</v>
      </c>
      <c r="I143" s="45" t="s">
        <v>451</v>
      </c>
      <c r="J143" s="45" t="s">
        <v>453</v>
      </c>
      <c r="K143" s="45">
        <v>1</v>
      </c>
      <c r="L143" s="47">
        <v>1</v>
      </c>
      <c r="M143" s="47" t="s">
        <v>456</v>
      </c>
      <c r="N143" s="47">
        <v>0</v>
      </c>
      <c r="O143" s="48" t="s">
        <v>461</v>
      </c>
      <c r="P143" s="48">
        <v>3</v>
      </c>
      <c r="Q143" s="48" t="s">
        <v>483</v>
      </c>
      <c r="R143" s="48" t="s">
        <v>483</v>
      </c>
      <c r="S143" s="49">
        <v>0</v>
      </c>
      <c r="T143" s="49">
        <v>0</v>
      </c>
      <c r="U143" s="50" t="s">
        <v>483</v>
      </c>
      <c r="V143" s="50" t="s">
        <v>487</v>
      </c>
      <c r="W143" s="51">
        <v>0</v>
      </c>
      <c r="X143" s="51">
        <v>0</v>
      </c>
      <c r="Y143" s="51" t="s">
        <v>483</v>
      </c>
      <c r="Z143" s="51" t="s">
        <v>483</v>
      </c>
      <c r="AA143" s="53">
        <v>0</v>
      </c>
      <c r="AB143" s="54" t="s">
        <v>494</v>
      </c>
      <c r="AC143" s="38" t="s">
        <v>466</v>
      </c>
      <c r="AD143" s="39" t="str">
        <f t="shared" si="17"/>
        <v/>
      </c>
      <c r="AE143" s="55" t="s">
        <v>493</v>
      </c>
      <c r="AF143" s="104" t="s">
        <v>493</v>
      </c>
      <c r="AG143" s="54" t="s">
        <v>507</v>
      </c>
      <c r="AH143" s="54" t="s">
        <v>484</v>
      </c>
      <c r="AI143" s="117"/>
      <c r="AJ143" s="113"/>
      <c r="AK143" s="12">
        <f t="shared" si="16"/>
        <v>1</v>
      </c>
      <c r="AL143" s="150" t="str">
        <f t="shared" si="18"/>
        <v>non-LVC</v>
      </c>
      <c r="AM143" s="150" t="str" cm="1">
        <f t="array" ref="AM143">IF(OR(O143:O300="zero_recoverable", "zero_exalt", "zero_other", "zero_uncertain"),
   "Yes","No")</f>
        <v>Yes</v>
      </c>
      <c r="AN143" s="150">
        <f>1 + COUNTIF($V$2:V142,"main")</f>
        <v>39</v>
      </c>
      <c r="AO143" s="150" t="str">
        <f t="shared" si="19"/>
        <v/>
      </c>
      <c r="AP143" s="150">
        <f t="shared" si="20"/>
        <v>1</v>
      </c>
      <c r="AQ143" s="150">
        <f>IF(AP144=0,"",COUNTIFS($AN$2:$AN144,$AN144,$AP$2:$AP144,1))</f>
        <v>2</v>
      </c>
      <c r="AR143" s="150">
        <f t="shared" si="21"/>
        <v>0</v>
      </c>
      <c r="AS143" s="150" t="s">
        <v>460</v>
      </c>
      <c r="AT143" s="150" t="s">
        <v>461</v>
      </c>
      <c r="AU143" s="150">
        <f t="shared" si="22"/>
        <v>1</v>
      </c>
      <c r="AV143" s="150">
        <f t="shared" si="23"/>
        <v>0</v>
      </c>
    </row>
    <row r="144" spans="1:48" x14ac:dyDescent="0.2">
      <c r="A144" s="42" t="s">
        <v>666</v>
      </c>
      <c r="B144" s="43" t="s">
        <v>1077</v>
      </c>
      <c r="C144" s="44" t="s">
        <v>327</v>
      </c>
      <c r="D144" s="45" t="s">
        <v>429</v>
      </c>
      <c r="E144" s="45" t="s">
        <v>1034</v>
      </c>
      <c r="F144" s="45" t="s">
        <v>528</v>
      </c>
      <c r="G144" s="46" t="s">
        <v>434</v>
      </c>
      <c r="H144" s="45" t="s">
        <v>441</v>
      </c>
      <c r="I144" s="45" t="s">
        <v>451</v>
      </c>
      <c r="J144" s="45" t="s">
        <v>453</v>
      </c>
      <c r="K144" s="45">
        <v>1</v>
      </c>
      <c r="L144" s="47">
        <v>1</v>
      </c>
      <c r="M144" s="47" t="s">
        <v>464</v>
      </c>
      <c r="N144" s="47">
        <v>1</v>
      </c>
      <c r="O144" s="48" t="s">
        <v>460</v>
      </c>
      <c r="P144" s="48">
        <v>3</v>
      </c>
      <c r="Q144" s="48" t="s">
        <v>461</v>
      </c>
      <c r="R144" s="48" t="s">
        <v>483</v>
      </c>
      <c r="S144" s="49">
        <v>0</v>
      </c>
      <c r="T144" s="49">
        <v>0</v>
      </c>
      <c r="U144" s="50" t="s">
        <v>483</v>
      </c>
      <c r="V144" s="50" t="s">
        <v>515</v>
      </c>
      <c r="W144" s="51">
        <v>0</v>
      </c>
      <c r="X144" s="51">
        <v>1</v>
      </c>
      <c r="Y144" s="51" t="s">
        <v>503</v>
      </c>
      <c r="Z144" s="51" t="s">
        <v>497</v>
      </c>
      <c r="AA144" s="53">
        <v>0</v>
      </c>
      <c r="AB144" s="54" t="s">
        <v>469</v>
      </c>
      <c r="AC144" s="38" t="s">
        <v>487</v>
      </c>
      <c r="AD144" s="39" t="s">
        <v>1111</v>
      </c>
      <c r="AE144" s="55" t="s">
        <v>493</v>
      </c>
      <c r="AF144" s="104" t="s">
        <v>491</v>
      </c>
      <c r="AG144" s="54" t="s">
        <v>486</v>
      </c>
      <c r="AH144" s="54" t="s">
        <v>511</v>
      </c>
      <c r="AI144" s="117"/>
      <c r="AJ144" s="113"/>
      <c r="AK144" s="12">
        <f t="shared" si="16"/>
        <v>1</v>
      </c>
      <c r="AL144" s="150" t="str">
        <f t="shared" si="18"/>
        <v>non-LVC</v>
      </c>
      <c r="AM144" s="150" t="str" cm="1">
        <f t="array" ref="AM144">IF(OR(O144:O301="zero_recoverable", "zero_exalt", "zero_other", "zero_uncertain"),
   "Yes","No")</f>
        <v>Yes</v>
      </c>
      <c r="AN144" s="150">
        <f>1 + COUNTIF($V$2:V143,"main")</f>
        <v>39</v>
      </c>
      <c r="AO144" s="150" t="str">
        <f t="shared" si="19"/>
        <v/>
      </c>
      <c r="AP144" s="150">
        <f t="shared" si="20"/>
        <v>1</v>
      </c>
      <c r="AQ144" s="150">
        <f>IF(AP145=0,"",COUNTIFS($AN$2:$AN145,$AN145,$AP$2:$AP145,1))</f>
        <v>3</v>
      </c>
      <c r="AR144" s="150">
        <f t="shared" si="21"/>
        <v>0</v>
      </c>
      <c r="AS144" s="150" t="s">
        <v>460</v>
      </c>
      <c r="AT144" s="150" t="s">
        <v>508</v>
      </c>
      <c r="AU144" s="150">
        <f t="shared" si="22"/>
        <v>0</v>
      </c>
      <c r="AV144" s="150">
        <f t="shared" si="23"/>
        <v>1</v>
      </c>
    </row>
    <row r="145" spans="1:48" x14ac:dyDescent="0.2">
      <c r="A145" s="42" t="s">
        <v>667</v>
      </c>
      <c r="B145" s="43" t="s">
        <v>601</v>
      </c>
      <c r="C145" s="44" t="s">
        <v>328</v>
      </c>
      <c r="D145" s="45" t="s">
        <v>696</v>
      </c>
      <c r="E145" s="45" t="s">
        <v>1034</v>
      </c>
      <c r="F145" s="45" t="s">
        <v>528</v>
      </c>
      <c r="G145" s="75" t="s">
        <v>435</v>
      </c>
      <c r="H145" s="59" t="s">
        <v>441</v>
      </c>
      <c r="I145" s="45" t="s">
        <v>451</v>
      </c>
      <c r="J145" s="45" t="s">
        <v>453</v>
      </c>
      <c r="K145" s="45">
        <v>1</v>
      </c>
      <c r="L145" s="47">
        <v>0</v>
      </c>
      <c r="M145" s="47" t="s">
        <v>483</v>
      </c>
      <c r="N145" s="47">
        <v>0</v>
      </c>
      <c r="O145" s="48" t="s">
        <v>460</v>
      </c>
      <c r="P145" s="48">
        <v>3</v>
      </c>
      <c r="Q145" s="48" t="s">
        <v>508</v>
      </c>
      <c r="R145" s="48" t="s">
        <v>483</v>
      </c>
      <c r="S145" s="49">
        <v>0</v>
      </c>
      <c r="T145" s="49">
        <v>0</v>
      </c>
      <c r="U145" s="50" t="s">
        <v>483</v>
      </c>
      <c r="V145" s="50" t="s">
        <v>487</v>
      </c>
      <c r="W145" s="51">
        <v>0</v>
      </c>
      <c r="X145" s="51">
        <v>1</v>
      </c>
      <c r="Y145" s="51" t="s">
        <v>503</v>
      </c>
      <c r="Z145" s="51" t="s">
        <v>497</v>
      </c>
      <c r="AA145" s="53">
        <v>0</v>
      </c>
      <c r="AB145" s="54" t="s">
        <v>468</v>
      </c>
      <c r="AC145" s="38" t="s">
        <v>515</v>
      </c>
      <c r="AD145" s="39" t="str">
        <f t="shared" si="17"/>
        <v/>
      </c>
      <c r="AE145" s="55" t="s">
        <v>491</v>
      </c>
      <c r="AF145" s="104" t="s">
        <v>493</v>
      </c>
      <c r="AG145" s="54" t="s">
        <v>507</v>
      </c>
      <c r="AH145" s="54" t="s">
        <v>473</v>
      </c>
      <c r="AI145" s="117"/>
      <c r="AJ145" s="113"/>
      <c r="AK145" s="12">
        <f t="shared" si="16"/>
        <v>0</v>
      </c>
      <c r="AL145" s="150" t="str">
        <f t="shared" si="18"/>
        <v>LVC</v>
      </c>
      <c r="AM145" s="150" t="str" cm="1">
        <f t="array" ref="AM145">IF(OR(O145:O302="zero_recoverable", "zero_exalt", "zero_other", "zero_uncertain"),
   "Yes","No")</f>
        <v>Yes</v>
      </c>
      <c r="AN145" s="150">
        <f>1 + COUNTIF($V$2:V144,"main")</f>
        <v>39</v>
      </c>
      <c r="AO145" s="150" t="str">
        <f t="shared" si="19"/>
        <v/>
      </c>
      <c r="AP145" s="150">
        <f t="shared" si="20"/>
        <v>1</v>
      </c>
      <c r="AQ145" s="150">
        <f>IF(AP146=0,"",COUNTIFS($AN$2:$AN146,$AN146,$AP$2:$AP146,1))</f>
        <v>4</v>
      </c>
      <c r="AR145" s="150">
        <f t="shared" si="21"/>
        <v>0</v>
      </c>
      <c r="AS145" s="150" t="s">
        <v>461</v>
      </c>
      <c r="AT145" s="150" t="s">
        <v>483</v>
      </c>
      <c r="AU145" s="150">
        <f t="shared" si="22"/>
        <v>0</v>
      </c>
      <c r="AV145" s="150">
        <f t="shared" si="23"/>
        <v>0</v>
      </c>
    </row>
    <row r="146" spans="1:48" x14ac:dyDescent="0.2">
      <c r="A146" s="42" t="s">
        <v>668</v>
      </c>
      <c r="B146" s="43" t="s">
        <v>234</v>
      </c>
      <c r="C146" s="44" t="s">
        <v>329</v>
      </c>
      <c r="D146" s="45" t="s">
        <v>430</v>
      </c>
      <c r="E146" s="45" t="s">
        <v>1034</v>
      </c>
      <c r="F146" s="45" t="s">
        <v>444</v>
      </c>
      <c r="G146" s="46" t="s">
        <v>434</v>
      </c>
      <c r="H146" s="45" t="s">
        <v>442</v>
      </c>
      <c r="I146" s="45" t="s">
        <v>688</v>
      </c>
      <c r="J146" s="45" t="s">
        <v>453</v>
      </c>
      <c r="K146" s="45">
        <v>1</v>
      </c>
      <c r="L146" s="47">
        <v>1</v>
      </c>
      <c r="M146" s="47" t="s">
        <v>456</v>
      </c>
      <c r="N146" s="47">
        <v>0</v>
      </c>
      <c r="O146" s="48" t="s">
        <v>461</v>
      </c>
      <c r="P146" s="48">
        <v>3</v>
      </c>
      <c r="Q146" s="48" t="s">
        <v>483</v>
      </c>
      <c r="R146" s="48" t="s">
        <v>483</v>
      </c>
      <c r="S146" s="49">
        <v>0</v>
      </c>
      <c r="T146" s="49">
        <v>0</v>
      </c>
      <c r="U146" s="50" t="s">
        <v>483</v>
      </c>
      <c r="V146" s="50" t="s">
        <v>487</v>
      </c>
      <c r="W146" s="51">
        <v>0</v>
      </c>
      <c r="X146" s="51">
        <v>0</v>
      </c>
      <c r="Y146" s="51" t="s">
        <v>483</v>
      </c>
      <c r="Z146" s="51" t="s">
        <v>483</v>
      </c>
      <c r="AA146" s="53">
        <v>0</v>
      </c>
      <c r="AB146" s="54" t="s">
        <v>472</v>
      </c>
      <c r="AC146" s="38" t="s">
        <v>487</v>
      </c>
      <c r="AD146" s="39" t="str">
        <f t="shared" si="17"/>
        <v/>
      </c>
      <c r="AE146" s="55" t="s">
        <v>493</v>
      </c>
      <c r="AF146" s="104" t="s">
        <v>493</v>
      </c>
      <c r="AG146" s="54" t="s">
        <v>507</v>
      </c>
      <c r="AH146" s="54" t="s">
        <v>484</v>
      </c>
      <c r="AI146" s="117"/>
      <c r="AJ146" s="113"/>
      <c r="AK146" s="12">
        <f t="shared" si="16"/>
        <v>1</v>
      </c>
      <c r="AL146" s="150" t="str">
        <f t="shared" si="18"/>
        <v>non-LVC</v>
      </c>
      <c r="AM146" s="150" t="str" cm="1">
        <f t="array" ref="AM146">IF(OR(O146:O303="zero_recoverable", "zero_exalt", "zero_other", "zero_uncertain"),
   "Yes","No")</f>
        <v>Yes</v>
      </c>
      <c r="AN146" s="150">
        <f>1 + COUNTIF($V$2:V145,"main")</f>
        <v>39</v>
      </c>
      <c r="AO146" s="150" t="str">
        <f t="shared" si="19"/>
        <v>main</v>
      </c>
      <c r="AP146" s="150">
        <f t="shared" si="20"/>
        <v>1</v>
      </c>
      <c r="AQ146" s="150">
        <f>IF(AP147=0,"",COUNTIFS($AN$2:$AN147,$AN147,$AP$2:$AP147,1))</f>
        <v>5</v>
      </c>
      <c r="AR146" s="150">
        <v>0</v>
      </c>
      <c r="AS146" s="150" t="s">
        <v>461</v>
      </c>
      <c r="AT146" s="150" t="s">
        <v>461</v>
      </c>
      <c r="AU146" s="150">
        <f t="shared" si="22"/>
        <v>0</v>
      </c>
      <c r="AV146" s="150">
        <f t="shared" si="23"/>
        <v>0</v>
      </c>
    </row>
    <row r="147" spans="1:48" x14ac:dyDescent="0.2">
      <c r="A147" s="42" t="s">
        <v>669</v>
      </c>
      <c r="B147" s="43" t="s">
        <v>235</v>
      </c>
      <c r="C147" s="44" t="s">
        <v>330</v>
      </c>
      <c r="D147" s="45" t="s">
        <v>431</v>
      </c>
      <c r="E147" s="45" t="s">
        <v>1034</v>
      </c>
      <c r="F147" s="45" t="s">
        <v>444</v>
      </c>
      <c r="G147" s="46" t="s">
        <v>434</v>
      </c>
      <c r="H147" s="45" t="s">
        <v>441</v>
      </c>
      <c r="I147" s="45" t="s">
        <v>688</v>
      </c>
      <c r="J147" s="45" t="s">
        <v>453</v>
      </c>
      <c r="K147" s="45">
        <v>1</v>
      </c>
      <c r="L147" s="47">
        <v>3</v>
      </c>
      <c r="M147" s="47" t="s">
        <v>594</v>
      </c>
      <c r="N147" s="47">
        <v>0</v>
      </c>
      <c r="O147" s="48" t="s">
        <v>461</v>
      </c>
      <c r="P147" s="48">
        <v>3</v>
      </c>
      <c r="Q147" s="48" t="s">
        <v>461</v>
      </c>
      <c r="R147" s="48" t="s">
        <v>461</v>
      </c>
      <c r="S147" s="49">
        <v>0</v>
      </c>
      <c r="T147" s="49">
        <v>0</v>
      </c>
      <c r="U147" s="50" t="s">
        <v>483</v>
      </c>
      <c r="V147" s="50" t="s">
        <v>466</v>
      </c>
      <c r="W147" s="51">
        <v>0</v>
      </c>
      <c r="X147" s="51">
        <v>0</v>
      </c>
      <c r="Y147" s="51" t="s">
        <v>483</v>
      </c>
      <c r="Z147" s="51" t="s">
        <v>483</v>
      </c>
      <c r="AA147" s="53">
        <v>0</v>
      </c>
      <c r="AB147" s="54" t="s">
        <v>439</v>
      </c>
      <c r="AC147" s="38" t="s">
        <v>487</v>
      </c>
      <c r="AD147" s="39" t="str">
        <f t="shared" si="17"/>
        <v/>
      </c>
      <c r="AE147" s="55" t="s">
        <v>493</v>
      </c>
      <c r="AF147" s="104" t="s">
        <v>493</v>
      </c>
      <c r="AG147" s="54" t="s">
        <v>507</v>
      </c>
      <c r="AH147" s="54" t="s">
        <v>484</v>
      </c>
      <c r="AI147" s="117"/>
      <c r="AJ147" s="113"/>
      <c r="AK147" s="12">
        <f t="shared" si="16"/>
        <v>3</v>
      </c>
      <c r="AL147" s="150" t="str">
        <f t="shared" si="18"/>
        <v>non-LVC</v>
      </c>
      <c r="AM147" s="150" t="str" cm="1">
        <f t="array" ref="AM147">IF(OR(O147:O304="zero_recoverable", "zero_exalt", "zero_other", "zero_uncertain"),
   "Yes","No")</f>
        <v>Yes</v>
      </c>
      <c r="AN147" s="150">
        <f>1 + COUNTIF($V$2:V146,"main")</f>
        <v>39</v>
      </c>
      <c r="AO147" s="150" t="str">
        <f t="shared" si="19"/>
        <v>subordinate</v>
      </c>
      <c r="AP147" s="150">
        <f t="shared" si="20"/>
        <v>1</v>
      </c>
      <c r="AQ147" s="150">
        <f>IF(AP148=0,"",COUNTIFS($AN$2:$AN148,$AN148,$AP$2:$AP148,1))</f>
        <v>1</v>
      </c>
      <c r="AR147" s="150">
        <v>0</v>
      </c>
      <c r="AS147" s="150" t="s">
        <v>508</v>
      </c>
      <c r="AT147" s="150" t="s">
        <v>461</v>
      </c>
      <c r="AU147" s="150">
        <f t="shared" si="22"/>
        <v>1</v>
      </c>
      <c r="AV147" s="150">
        <f t="shared" si="23"/>
        <v>0</v>
      </c>
    </row>
    <row r="148" spans="1:48" x14ac:dyDescent="0.2">
      <c r="A148" s="42" t="s">
        <v>670</v>
      </c>
      <c r="B148" s="43" t="s">
        <v>1080</v>
      </c>
      <c r="C148" s="44" t="s">
        <v>647</v>
      </c>
      <c r="D148" s="45" t="s">
        <v>650</v>
      </c>
      <c r="E148" s="45" t="s">
        <v>693</v>
      </c>
      <c r="F148" s="45" t="s">
        <v>445</v>
      </c>
      <c r="G148" s="46" t="s">
        <v>434</v>
      </c>
      <c r="H148" s="45" t="s">
        <v>441</v>
      </c>
      <c r="I148" s="45" t="s">
        <v>451</v>
      </c>
      <c r="J148" s="45" t="s">
        <v>453</v>
      </c>
      <c r="K148" s="45">
        <v>1</v>
      </c>
      <c r="L148" s="47">
        <v>1</v>
      </c>
      <c r="M148" s="47" t="s">
        <v>464</v>
      </c>
      <c r="N148" s="47">
        <v>0</v>
      </c>
      <c r="O148" s="48" t="s">
        <v>508</v>
      </c>
      <c r="P148" s="48">
        <v>3</v>
      </c>
      <c r="Q148" s="48" t="s">
        <v>461</v>
      </c>
      <c r="R148" s="48" t="s">
        <v>483</v>
      </c>
      <c r="S148" s="49">
        <v>0</v>
      </c>
      <c r="T148" s="49">
        <v>0</v>
      </c>
      <c r="U148" s="50" t="s">
        <v>483</v>
      </c>
      <c r="V148" s="50" t="s">
        <v>487</v>
      </c>
      <c r="W148" s="51">
        <v>0</v>
      </c>
      <c r="X148" s="51">
        <v>0</v>
      </c>
      <c r="Y148" s="51" t="s">
        <v>483</v>
      </c>
      <c r="Z148" s="51" t="s">
        <v>483</v>
      </c>
      <c r="AA148" s="53">
        <v>0</v>
      </c>
      <c r="AB148" s="54" t="s">
        <v>525</v>
      </c>
      <c r="AC148" s="38" t="s">
        <v>466</v>
      </c>
      <c r="AD148" s="39" t="str">
        <f t="shared" si="17"/>
        <v/>
      </c>
      <c r="AE148" s="55" t="s">
        <v>493</v>
      </c>
      <c r="AF148" s="104" t="s">
        <v>491</v>
      </c>
      <c r="AG148" s="54" t="s">
        <v>507</v>
      </c>
      <c r="AH148" s="54" t="s">
        <v>484</v>
      </c>
      <c r="AI148" s="117"/>
      <c r="AJ148" s="113"/>
      <c r="AK148" s="12">
        <f t="shared" si="16"/>
        <v>1</v>
      </c>
      <c r="AL148" s="150" t="str">
        <f t="shared" si="18"/>
        <v>non-LVC</v>
      </c>
      <c r="AM148" s="150" t="str" cm="1">
        <f t="array" ref="AM148">IF(OR(O148:O305="zero_recoverable", "zero_exalt", "zero_other", "zero_uncertain"),
   "Yes","No")</f>
        <v>Yes</v>
      </c>
      <c r="AN148" s="150">
        <f>1 + COUNTIF($V$2:V147,"main")</f>
        <v>40</v>
      </c>
      <c r="AO148" s="150" t="str">
        <f t="shared" si="19"/>
        <v/>
      </c>
      <c r="AP148" s="150">
        <f t="shared" si="20"/>
        <v>1</v>
      </c>
      <c r="AQ148" s="150" t="str">
        <f>IF(AP149=0,"",COUNTIFS($AN$2:$AN149,$AN149,$AP$2:$AP149,1))</f>
        <v/>
      </c>
      <c r="AR148" s="150">
        <f t="shared" si="21"/>
        <v>0</v>
      </c>
      <c r="AS148" s="150" t="s">
        <v>508</v>
      </c>
      <c r="AT148" s="150" t="s">
        <v>461</v>
      </c>
      <c r="AU148" s="150">
        <f t="shared" si="22"/>
        <v>0</v>
      </c>
      <c r="AV148" s="150">
        <f t="shared" si="23"/>
        <v>0</v>
      </c>
    </row>
    <row r="149" spans="1:48" x14ac:dyDescent="0.2">
      <c r="A149" s="42" t="s">
        <v>671</v>
      </c>
      <c r="B149" s="43" t="s">
        <v>1079</v>
      </c>
      <c r="C149" s="44" t="s">
        <v>648</v>
      </c>
      <c r="D149" s="45" t="s">
        <v>653</v>
      </c>
      <c r="E149" s="45" t="s">
        <v>1034</v>
      </c>
      <c r="F149" s="45" t="s">
        <v>445</v>
      </c>
      <c r="G149" s="46" t="s">
        <v>435</v>
      </c>
      <c r="H149" s="45" t="s">
        <v>441</v>
      </c>
      <c r="I149" s="45" t="s">
        <v>451</v>
      </c>
      <c r="J149" s="45" t="s">
        <v>453</v>
      </c>
      <c r="K149" s="45">
        <v>1</v>
      </c>
      <c r="L149" s="47">
        <v>1</v>
      </c>
      <c r="M149" s="47" t="s">
        <v>464</v>
      </c>
      <c r="N149" s="47">
        <v>0</v>
      </c>
      <c r="O149" s="48" t="s">
        <v>508</v>
      </c>
      <c r="P149" s="48">
        <v>3</v>
      </c>
      <c r="Q149" s="48" t="s">
        <v>461</v>
      </c>
      <c r="R149" s="48" t="s">
        <v>483</v>
      </c>
      <c r="S149" s="49">
        <v>0</v>
      </c>
      <c r="T149" s="49">
        <v>1</v>
      </c>
      <c r="U149" s="50" t="s">
        <v>463</v>
      </c>
      <c r="V149" s="50" t="s">
        <v>465</v>
      </c>
      <c r="W149" s="51">
        <v>0</v>
      </c>
      <c r="X149" s="51">
        <v>0</v>
      </c>
      <c r="Y149" s="51" t="s">
        <v>483</v>
      </c>
      <c r="Z149" s="51" t="s">
        <v>483</v>
      </c>
      <c r="AA149" s="53">
        <v>0</v>
      </c>
      <c r="AB149" s="54" t="s">
        <v>439</v>
      </c>
      <c r="AC149" s="38" t="s">
        <v>487</v>
      </c>
      <c r="AD149" s="39" t="str">
        <f t="shared" si="17"/>
        <v/>
      </c>
      <c r="AE149" s="55" t="s">
        <v>491</v>
      </c>
      <c r="AF149" s="104" t="s">
        <v>491</v>
      </c>
      <c r="AG149" s="54" t="s">
        <v>507</v>
      </c>
      <c r="AH149" s="54" t="s">
        <v>511</v>
      </c>
      <c r="AI149" s="117"/>
      <c r="AJ149" s="113"/>
      <c r="AK149" s="12">
        <f t="shared" si="16"/>
        <v>1</v>
      </c>
      <c r="AL149" s="150" t="str">
        <f t="shared" si="18"/>
        <v>LVC</v>
      </c>
      <c r="AM149" s="150" t="str" cm="1">
        <f t="array" ref="AM149">IF(OR(O149:O306="zero_recoverable", "zero_exalt", "zero_other", "zero_uncertain"),
   "Yes","No")</f>
        <v>Yes</v>
      </c>
      <c r="AN149" s="150">
        <f>1 + COUNTIF($V$2:V148,"main")</f>
        <v>40</v>
      </c>
      <c r="AO149" s="150" t="str">
        <f t="shared" si="19"/>
        <v/>
      </c>
      <c r="AP149" s="150">
        <f t="shared" si="20"/>
        <v>0</v>
      </c>
      <c r="AQ149" s="150">
        <f>IF(AP150=0,"",COUNTIFS($AN$2:$AN150,$AN150,$AP$2:$AP150,1))</f>
        <v>2</v>
      </c>
      <c r="AR149" s="150">
        <f t="shared" si="21"/>
        <v>0</v>
      </c>
      <c r="AS149" s="150" t="s">
        <v>508</v>
      </c>
      <c r="AT149" s="150" t="s">
        <v>461</v>
      </c>
      <c r="AU149" s="150">
        <f t="shared" si="22"/>
        <v>0</v>
      </c>
      <c r="AV149" s="150">
        <f t="shared" si="23"/>
        <v>0</v>
      </c>
    </row>
    <row r="150" spans="1:48" x14ac:dyDescent="0.2">
      <c r="A150" s="42" t="s">
        <v>672</v>
      </c>
      <c r="B150" s="43" t="s">
        <v>645</v>
      </c>
      <c r="C150" s="44" t="s">
        <v>649</v>
      </c>
      <c r="D150" s="45" t="s">
        <v>651</v>
      </c>
      <c r="E150" s="45" t="s">
        <v>1034</v>
      </c>
      <c r="F150" s="45" t="s">
        <v>445</v>
      </c>
      <c r="G150" s="46" t="s">
        <v>434</v>
      </c>
      <c r="H150" s="45" t="s">
        <v>441</v>
      </c>
      <c r="I150" s="45" t="s">
        <v>451</v>
      </c>
      <c r="J150" s="45" t="s">
        <v>453</v>
      </c>
      <c r="K150" s="45">
        <v>1</v>
      </c>
      <c r="L150" s="47">
        <v>1</v>
      </c>
      <c r="M150" s="47" t="s">
        <v>464</v>
      </c>
      <c r="N150" s="47">
        <v>0</v>
      </c>
      <c r="O150" s="48" t="s">
        <v>508</v>
      </c>
      <c r="P150" s="48">
        <v>3</v>
      </c>
      <c r="Q150" s="48" t="s">
        <v>461</v>
      </c>
      <c r="R150" s="48" t="s">
        <v>483</v>
      </c>
      <c r="S150" s="49">
        <v>0</v>
      </c>
      <c r="T150" s="49">
        <v>0</v>
      </c>
      <c r="U150" s="50" t="s">
        <v>483</v>
      </c>
      <c r="V150" s="50" t="s">
        <v>487</v>
      </c>
      <c r="W150" s="51">
        <v>0</v>
      </c>
      <c r="X150" s="51">
        <v>0</v>
      </c>
      <c r="Y150" s="51" t="s">
        <v>483</v>
      </c>
      <c r="Z150" s="51" t="s">
        <v>483</v>
      </c>
      <c r="AA150" s="53">
        <v>0</v>
      </c>
      <c r="AB150" s="54" t="s">
        <v>472</v>
      </c>
      <c r="AC150" s="38" t="s">
        <v>465</v>
      </c>
      <c r="AD150" s="39" t="str">
        <f t="shared" si="17"/>
        <v/>
      </c>
      <c r="AE150" s="55" t="s">
        <v>491</v>
      </c>
      <c r="AF150" s="104" t="s">
        <v>491</v>
      </c>
      <c r="AG150" s="54" t="s">
        <v>507</v>
      </c>
      <c r="AH150" s="54" t="s">
        <v>484</v>
      </c>
      <c r="AI150" s="117"/>
      <c r="AJ150" s="113"/>
      <c r="AK150" s="12">
        <f t="shared" si="16"/>
        <v>1</v>
      </c>
      <c r="AL150" s="150" t="str">
        <f t="shared" si="18"/>
        <v>non-LVC</v>
      </c>
      <c r="AM150" s="150" t="str" cm="1">
        <f t="array" ref="AM150">IF(OR(O150:O307="zero_recoverable", "zero_exalt", "zero_other", "zero_uncertain"),
   "Yes","No")</f>
        <v>Yes</v>
      </c>
      <c r="AN150" s="150">
        <f>1 + COUNTIF($V$2:V149,"main")</f>
        <v>40</v>
      </c>
      <c r="AO150" s="150" t="str">
        <f t="shared" si="19"/>
        <v>te</v>
      </c>
      <c r="AP150" s="150">
        <f t="shared" si="20"/>
        <v>1</v>
      </c>
      <c r="AQ150" s="150">
        <f>IF(AP151=0,"",COUNTIFS($AN$2:$AN151,$AN151,$AP$2:$AP151,1))</f>
        <v>3</v>
      </c>
      <c r="AR150" s="150">
        <f t="shared" si="21"/>
        <v>0</v>
      </c>
      <c r="AS150" s="150" t="s">
        <v>460</v>
      </c>
      <c r="AT150" s="150" t="s">
        <v>461</v>
      </c>
      <c r="AU150" s="150">
        <f t="shared" si="22"/>
        <v>0</v>
      </c>
      <c r="AV150" s="150">
        <f t="shared" si="23"/>
        <v>0</v>
      </c>
    </row>
    <row r="151" spans="1:48" x14ac:dyDescent="0.2">
      <c r="A151" s="42" t="s">
        <v>673</v>
      </c>
      <c r="B151" s="43" t="s">
        <v>654</v>
      </c>
      <c r="C151" s="44" t="s">
        <v>331</v>
      </c>
      <c r="D151" s="45" t="s">
        <v>656</v>
      </c>
      <c r="E151" s="45" t="s">
        <v>1034</v>
      </c>
      <c r="F151" s="45" t="s">
        <v>449</v>
      </c>
      <c r="G151" s="46" t="s">
        <v>435</v>
      </c>
      <c r="H151" s="45" t="s">
        <v>441</v>
      </c>
      <c r="I151" s="45" t="s">
        <v>451</v>
      </c>
      <c r="J151" s="45" t="s">
        <v>453</v>
      </c>
      <c r="K151" s="45">
        <v>1</v>
      </c>
      <c r="L151" s="47">
        <v>1</v>
      </c>
      <c r="M151" s="47" t="s">
        <v>464</v>
      </c>
      <c r="N151" s="47">
        <v>0</v>
      </c>
      <c r="O151" s="48" t="s">
        <v>460</v>
      </c>
      <c r="P151" s="48">
        <v>3</v>
      </c>
      <c r="Q151" s="48" t="s">
        <v>461</v>
      </c>
      <c r="R151" s="48" t="s">
        <v>483</v>
      </c>
      <c r="S151" s="49">
        <v>0</v>
      </c>
      <c r="T151" s="49">
        <v>0</v>
      </c>
      <c r="U151" s="50" t="s">
        <v>483</v>
      </c>
      <c r="V151" s="50" t="s">
        <v>515</v>
      </c>
      <c r="W151" s="51">
        <v>0</v>
      </c>
      <c r="X151" s="51">
        <v>1</v>
      </c>
      <c r="Y151" s="51" t="s">
        <v>503</v>
      </c>
      <c r="Z151" s="51" t="s">
        <v>498</v>
      </c>
      <c r="AA151" s="53">
        <v>0</v>
      </c>
      <c r="AB151" s="54" t="s">
        <v>439</v>
      </c>
      <c r="AC151" s="38" t="s">
        <v>487</v>
      </c>
      <c r="AD151" s="39" t="s">
        <v>1111</v>
      </c>
      <c r="AE151" s="55" t="s">
        <v>491</v>
      </c>
      <c r="AF151" s="104" t="s">
        <v>491</v>
      </c>
      <c r="AG151" s="54" t="s">
        <v>507</v>
      </c>
      <c r="AH151" s="54" t="s">
        <v>484</v>
      </c>
      <c r="AI151" s="117"/>
      <c r="AJ151" s="113"/>
      <c r="AK151" s="12">
        <f t="shared" si="16"/>
        <v>1</v>
      </c>
      <c r="AL151" s="150" t="str">
        <f t="shared" si="18"/>
        <v>LVC</v>
      </c>
      <c r="AM151" s="150" t="str" cm="1">
        <f t="array" ref="AM151">IF(OR(O151:O308="zero_recoverable", "zero_exalt", "zero_other", "zero_uncertain"),
   "Yes","No")</f>
        <v>Yes</v>
      </c>
      <c r="AN151" s="150">
        <f>1 + COUNTIF($V$2:V150,"main")</f>
        <v>40</v>
      </c>
      <c r="AO151" s="150" t="str">
        <f t="shared" si="19"/>
        <v>relative</v>
      </c>
      <c r="AP151" s="150">
        <f t="shared" si="20"/>
        <v>1</v>
      </c>
      <c r="AQ151" s="150" t="str">
        <f>IF(AP152=0,"",COUNTIFS($AN$2:$AN152,$AN152,$AP$2:$AP152,1))</f>
        <v/>
      </c>
      <c r="AR151" s="150">
        <f t="shared" si="21"/>
        <v>0</v>
      </c>
      <c r="AS151" s="150" t="s">
        <v>508</v>
      </c>
      <c r="AT151" s="150" t="s">
        <v>461</v>
      </c>
      <c r="AU151" s="150">
        <f t="shared" si="22"/>
        <v>0</v>
      </c>
      <c r="AV151" s="150">
        <f t="shared" si="23"/>
        <v>0</v>
      </c>
    </row>
    <row r="152" spans="1:48" x14ac:dyDescent="0.2">
      <c r="A152" s="42" t="s">
        <v>674</v>
      </c>
      <c r="B152" s="43" t="s">
        <v>652</v>
      </c>
      <c r="C152" s="44" t="s">
        <v>655</v>
      </c>
      <c r="D152" s="45" t="s">
        <v>657</v>
      </c>
      <c r="E152" s="45" t="s">
        <v>1034</v>
      </c>
      <c r="F152" s="45" t="s">
        <v>528</v>
      </c>
      <c r="G152" s="46" t="s">
        <v>435</v>
      </c>
      <c r="H152" s="45" t="s">
        <v>441</v>
      </c>
      <c r="I152" s="45" t="s">
        <v>451</v>
      </c>
      <c r="J152" s="45" t="s">
        <v>453</v>
      </c>
      <c r="K152" s="45">
        <v>1</v>
      </c>
      <c r="L152" s="47">
        <v>1</v>
      </c>
      <c r="M152" s="47" t="s">
        <v>464</v>
      </c>
      <c r="N152" s="47">
        <v>0</v>
      </c>
      <c r="O152" s="48" t="s">
        <v>508</v>
      </c>
      <c r="P152" s="48">
        <v>3</v>
      </c>
      <c r="Q152" s="48" t="s">
        <v>461</v>
      </c>
      <c r="R152" s="48" t="s">
        <v>483</v>
      </c>
      <c r="S152" s="49">
        <v>0</v>
      </c>
      <c r="T152" s="49">
        <v>1</v>
      </c>
      <c r="U152" s="50" t="s">
        <v>463</v>
      </c>
      <c r="V152" s="50" t="s">
        <v>465</v>
      </c>
      <c r="W152" s="51">
        <v>0</v>
      </c>
      <c r="X152" s="51">
        <v>0</v>
      </c>
      <c r="Y152" s="51" t="s">
        <v>483</v>
      </c>
      <c r="Z152" s="51" t="s">
        <v>483</v>
      </c>
      <c r="AA152" s="53">
        <v>0</v>
      </c>
      <c r="AB152" s="54" t="s">
        <v>439</v>
      </c>
      <c r="AC152" s="38" t="s">
        <v>515</v>
      </c>
      <c r="AD152" s="39" t="str">
        <f t="shared" si="17"/>
        <v/>
      </c>
      <c r="AE152" s="55" t="s">
        <v>491</v>
      </c>
      <c r="AF152" s="104" t="s">
        <v>493</v>
      </c>
      <c r="AG152" s="54" t="s">
        <v>507</v>
      </c>
      <c r="AH152" s="54" t="s">
        <v>484</v>
      </c>
      <c r="AI152" s="117"/>
      <c r="AJ152" s="113"/>
      <c r="AK152" s="12">
        <f t="shared" si="16"/>
        <v>1</v>
      </c>
      <c r="AL152" s="150" t="str">
        <f t="shared" si="18"/>
        <v>LVC</v>
      </c>
      <c r="AM152" s="150" t="str" cm="1">
        <f t="array" ref="AM152">IF(OR(O152:O309="zero_recoverable", "zero_exalt", "zero_other", "zero_uncertain"),
   "Yes","No")</f>
        <v>Yes</v>
      </c>
      <c r="AN152" s="150">
        <f>1 + COUNTIF($V$2:V151,"main")</f>
        <v>40</v>
      </c>
      <c r="AO152" s="150" t="str">
        <f t="shared" si="19"/>
        <v>main</v>
      </c>
      <c r="AP152" s="150">
        <f t="shared" si="20"/>
        <v>0</v>
      </c>
      <c r="AQ152" s="150">
        <f>IF(AP153=0,"",COUNTIFS($AN$2:$AN153,$AN153,$AP$2:$AP153,1))</f>
        <v>4</v>
      </c>
      <c r="AR152" s="150">
        <f t="shared" si="21"/>
        <v>0</v>
      </c>
      <c r="AS152" s="150" t="s">
        <v>461</v>
      </c>
      <c r="AT152" s="150" t="s">
        <v>483</v>
      </c>
      <c r="AU152" s="150">
        <f t="shared" si="22"/>
        <v>0</v>
      </c>
      <c r="AV152" s="150">
        <f t="shared" si="23"/>
        <v>0</v>
      </c>
    </row>
    <row r="153" spans="1:48" x14ac:dyDescent="0.2">
      <c r="A153" s="42" t="s">
        <v>675</v>
      </c>
      <c r="B153" s="43" t="s">
        <v>660</v>
      </c>
      <c r="C153" s="44"/>
      <c r="D153" s="45" t="s">
        <v>658</v>
      </c>
      <c r="E153" s="45" t="s">
        <v>1034</v>
      </c>
      <c r="F153" s="45" t="s">
        <v>444</v>
      </c>
      <c r="G153" s="46" t="s">
        <v>436</v>
      </c>
      <c r="H153" s="45" t="s">
        <v>442</v>
      </c>
      <c r="I153" s="45" t="s">
        <v>451</v>
      </c>
      <c r="J153" s="45" t="s">
        <v>453</v>
      </c>
      <c r="K153" s="45">
        <v>1</v>
      </c>
      <c r="L153" s="47">
        <v>1</v>
      </c>
      <c r="M153" s="47" t="s">
        <v>456</v>
      </c>
      <c r="N153" s="47">
        <v>0</v>
      </c>
      <c r="O153" s="48" t="s">
        <v>461</v>
      </c>
      <c r="P153" s="48">
        <v>3</v>
      </c>
      <c r="Q153" s="48" t="s">
        <v>483</v>
      </c>
      <c r="R153" s="48" t="s">
        <v>483</v>
      </c>
      <c r="S153" s="49">
        <v>0</v>
      </c>
      <c r="T153" s="49">
        <v>0</v>
      </c>
      <c r="U153" s="50" t="s">
        <v>483</v>
      </c>
      <c r="V153" s="50" t="s">
        <v>466</v>
      </c>
      <c r="W153" s="51">
        <v>0</v>
      </c>
      <c r="X153" s="51">
        <v>0</v>
      </c>
      <c r="Y153" s="51" t="s">
        <v>483</v>
      </c>
      <c r="Z153" s="51" t="s">
        <v>483</v>
      </c>
      <c r="AA153" s="53">
        <v>0</v>
      </c>
      <c r="AB153" s="54" t="s">
        <v>439</v>
      </c>
      <c r="AC153" s="38" t="s">
        <v>465</v>
      </c>
      <c r="AD153" s="39" t="str">
        <f t="shared" si="17"/>
        <v/>
      </c>
      <c r="AE153" s="55" t="s">
        <v>493</v>
      </c>
      <c r="AF153" s="104" t="s">
        <v>493</v>
      </c>
      <c r="AG153" s="54" t="s">
        <v>507</v>
      </c>
      <c r="AH153" s="54" t="s">
        <v>484</v>
      </c>
      <c r="AI153" s="117"/>
      <c r="AJ153" s="113"/>
      <c r="AK153" s="12">
        <f t="shared" si="16"/>
        <v>1</v>
      </c>
      <c r="AL153" s="150" t="str">
        <f t="shared" si="18"/>
        <v>non-LVC</v>
      </c>
      <c r="AM153" s="150" t="str" cm="1">
        <f t="array" ref="AM153">IF(OR(O153:O310="zero_recoverable", "zero_exalt", "zero_other", "zero_uncertain"),
   "Yes","No")</f>
        <v>Yes</v>
      </c>
      <c r="AN153" s="150">
        <f>1 + COUNTIF($V$2:V152,"main")</f>
        <v>40</v>
      </c>
      <c r="AO153" s="150" t="str">
        <f t="shared" si="19"/>
        <v>relative</v>
      </c>
      <c r="AP153" s="150">
        <f t="shared" si="20"/>
        <v>1</v>
      </c>
      <c r="AQ153" s="150" t="str">
        <f>IF(AP154=0,"",COUNTIFS($AN$2:$AN154,$AN154,$AP$2:$AP154,1))</f>
        <v/>
      </c>
      <c r="AR153" s="150">
        <f t="shared" si="21"/>
        <v>0</v>
      </c>
      <c r="AS153" s="150" t="s">
        <v>508</v>
      </c>
      <c r="AT153" s="150" t="s">
        <v>483</v>
      </c>
      <c r="AU153" s="150">
        <f t="shared" si="22"/>
        <v>1</v>
      </c>
      <c r="AV153" s="150">
        <f t="shared" si="23"/>
        <v>0</v>
      </c>
    </row>
    <row r="154" spans="1:48" x14ac:dyDescent="0.2">
      <c r="A154" s="42" t="s">
        <v>676</v>
      </c>
      <c r="B154" s="43" t="s">
        <v>661</v>
      </c>
      <c r="C154" s="44" t="s">
        <v>332</v>
      </c>
      <c r="D154" s="45" t="s">
        <v>662</v>
      </c>
      <c r="E154" s="45" t="s">
        <v>693</v>
      </c>
      <c r="F154" s="45" t="s">
        <v>528</v>
      </c>
      <c r="G154" s="46" t="s">
        <v>434</v>
      </c>
      <c r="H154" s="45" t="s">
        <v>442</v>
      </c>
      <c r="I154" s="45" t="s">
        <v>451</v>
      </c>
      <c r="J154" s="45" t="s">
        <v>453</v>
      </c>
      <c r="K154" s="45">
        <v>1</v>
      </c>
      <c r="L154" s="47">
        <v>1</v>
      </c>
      <c r="M154" s="47" t="s">
        <v>455</v>
      </c>
      <c r="N154" s="47">
        <v>0</v>
      </c>
      <c r="O154" s="48" t="s">
        <v>508</v>
      </c>
      <c r="P154" s="48">
        <v>3</v>
      </c>
      <c r="Q154" s="48" t="s">
        <v>483</v>
      </c>
      <c r="R154" s="48" t="s">
        <v>461</v>
      </c>
      <c r="S154" s="49">
        <v>1</v>
      </c>
      <c r="T154" s="49">
        <v>0</v>
      </c>
      <c r="U154" s="50" t="s">
        <v>463</v>
      </c>
      <c r="V154" s="50" t="s">
        <v>465</v>
      </c>
      <c r="W154" s="51">
        <v>0</v>
      </c>
      <c r="X154" s="51">
        <v>0</v>
      </c>
      <c r="Y154" s="51" t="s">
        <v>483</v>
      </c>
      <c r="Z154" s="51" t="s">
        <v>483</v>
      </c>
      <c r="AA154" s="53">
        <v>0</v>
      </c>
      <c r="AB154" s="54" t="s">
        <v>439</v>
      </c>
      <c r="AC154" s="38" t="s">
        <v>466</v>
      </c>
      <c r="AD154" s="39" t="str">
        <f t="shared" si="17"/>
        <v/>
      </c>
      <c r="AE154" s="55" t="s">
        <v>493</v>
      </c>
      <c r="AF154" s="104" t="s">
        <v>493</v>
      </c>
      <c r="AG154" s="54" t="s">
        <v>492</v>
      </c>
      <c r="AH154" s="54" t="s">
        <v>484</v>
      </c>
      <c r="AI154" s="117"/>
      <c r="AJ154" s="113"/>
      <c r="AK154" s="12">
        <f t="shared" si="16"/>
        <v>1</v>
      </c>
      <c r="AL154" s="150" t="str">
        <f t="shared" si="18"/>
        <v>non-LVC</v>
      </c>
      <c r="AM154" s="150" t="str" cm="1">
        <f t="array" ref="AM154">IF(OR(O154:O311="zero_recoverable", "zero_exalt", "zero_other", "zero_uncertain"),
   "Yes","No")</f>
        <v>Yes</v>
      </c>
      <c r="AN154" s="150">
        <f>1 + COUNTIF($V$2:V153,"main")</f>
        <v>41</v>
      </c>
      <c r="AO154" s="150" t="str">
        <f t="shared" si="19"/>
        <v>main</v>
      </c>
      <c r="AP154" s="150">
        <f t="shared" si="20"/>
        <v>0</v>
      </c>
      <c r="AQ154" s="150">
        <f>IF(AP155=0,"",COUNTIFS($AN$2:$AN155,$AN155,$AP$2:$AP155,1))</f>
        <v>1</v>
      </c>
      <c r="AR154" s="150">
        <f t="shared" si="21"/>
        <v>1</v>
      </c>
      <c r="AS154" s="150" t="s">
        <v>461</v>
      </c>
      <c r="AT154" s="150" t="s">
        <v>483</v>
      </c>
      <c r="AU154" s="150">
        <f t="shared" si="22"/>
        <v>0</v>
      </c>
      <c r="AV154" s="150">
        <f t="shared" si="23"/>
        <v>0</v>
      </c>
    </row>
    <row r="155" spans="1:48" x14ac:dyDescent="0.2">
      <c r="A155" s="42" t="s">
        <v>677</v>
      </c>
      <c r="B155" s="43" t="s">
        <v>659</v>
      </c>
      <c r="C155" s="44"/>
      <c r="D155" s="45" t="s">
        <v>432</v>
      </c>
      <c r="E155" s="45" t="s">
        <v>1036</v>
      </c>
      <c r="F155" s="45" t="s">
        <v>447</v>
      </c>
      <c r="G155" s="46" t="s">
        <v>438</v>
      </c>
      <c r="H155" s="45" t="s">
        <v>442</v>
      </c>
      <c r="I155" s="45" t="s">
        <v>451</v>
      </c>
      <c r="J155" s="45" t="s">
        <v>453</v>
      </c>
      <c r="K155" s="45">
        <v>1</v>
      </c>
      <c r="L155" s="47">
        <v>1</v>
      </c>
      <c r="M155" s="47" t="s">
        <v>456</v>
      </c>
      <c r="N155" s="47">
        <v>1</v>
      </c>
      <c r="O155" s="48" t="s">
        <v>461</v>
      </c>
      <c r="P155" s="48">
        <v>3</v>
      </c>
      <c r="Q155" s="48" t="s">
        <v>483</v>
      </c>
      <c r="R155" s="48" t="s">
        <v>483</v>
      </c>
      <c r="S155" s="49">
        <v>0</v>
      </c>
      <c r="T155" s="49">
        <v>0</v>
      </c>
      <c r="U155" s="50" t="s">
        <v>483</v>
      </c>
      <c r="V155" s="50" t="s">
        <v>466</v>
      </c>
      <c r="W155" s="51">
        <v>0</v>
      </c>
      <c r="X155" s="51">
        <v>0</v>
      </c>
      <c r="Y155" s="51" t="s">
        <v>483</v>
      </c>
      <c r="Z155" s="51" t="s">
        <v>483</v>
      </c>
      <c r="AA155" s="53">
        <v>0</v>
      </c>
      <c r="AB155" s="54" t="s">
        <v>439</v>
      </c>
      <c r="AC155" s="38" t="s">
        <v>465</v>
      </c>
      <c r="AD155" s="39" t="str">
        <f t="shared" si="17"/>
        <v/>
      </c>
      <c r="AE155" s="55" t="s">
        <v>493</v>
      </c>
      <c r="AF155" s="104" t="s">
        <v>493</v>
      </c>
      <c r="AG155" s="54" t="s">
        <v>492</v>
      </c>
      <c r="AH155" s="54" t="s">
        <v>484</v>
      </c>
      <c r="AI155" s="117"/>
      <c r="AJ155" s="113"/>
      <c r="AK155" s="12">
        <f t="shared" si="16"/>
        <v>1</v>
      </c>
      <c r="AL155" s="150" t="str">
        <f t="shared" si="18"/>
        <v>non-LVC</v>
      </c>
      <c r="AM155" s="150" t="str" cm="1">
        <f t="array" ref="AM155">IF(OR(O155:O312="zero_recoverable", "zero_exalt", "zero_other", "zero_uncertain"),
   "Yes","No")</f>
        <v>Yes</v>
      </c>
      <c r="AN155" s="150">
        <f>1 + COUNTIF($V$2:V154,"main")</f>
        <v>41</v>
      </c>
      <c r="AO155" s="150" t="str">
        <f t="shared" si="19"/>
        <v>main</v>
      </c>
      <c r="AP155" s="150">
        <f t="shared" si="20"/>
        <v>1</v>
      </c>
      <c r="AQ155" s="150">
        <f>IF(AP156=0,"",COUNTIFS($AN$2:$AN156,$AN156,$AP$2:$AP156,1))</f>
        <v>1</v>
      </c>
      <c r="AR155" s="150">
        <v>0</v>
      </c>
      <c r="AS155" s="150" t="s">
        <v>461</v>
      </c>
      <c r="AT155" s="150" t="s">
        <v>483</v>
      </c>
      <c r="AU155" s="150">
        <f t="shared" si="22"/>
        <v>0</v>
      </c>
      <c r="AV155" s="150">
        <f t="shared" si="23"/>
        <v>0</v>
      </c>
    </row>
    <row r="156" spans="1:48" x14ac:dyDescent="0.2">
      <c r="A156" s="42" t="s">
        <v>678</v>
      </c>
      <c r="B156" s="43" t="s">
        <v>682</v>
      </c>
      <c r="C156" s="44" t="s">
        <v>683</v>
      </c>
      <c r="D156" s="45" t="s">
        <v>338</v>
      </c>
      <c r="E156" s="45" t="s">
        <v>1034</v>
      </c>
      <c r="F156" s="45" t="s">
        <v>444</v>
      </c>
      <c r="G156" s="46" t="s">
        <v>436</v>
      </c>
      <c r="H156" s="45" t="s">
        <v>442</v>
      </c>
      <c r="I156" s="45" t="s">
        <v>451</v>
      </c>
      <c r="J156" s="45" t="s">
        <v>453</v>
      </c>
      <c r="K156" s="45">
        <v>1</v>
      </c>
      <c r="L156" s="47">
        <v>1</v>
      </c>
      <c r="M156" s="47" t="s">
        <v>456</v>
      </c>
      <c r="N156" s="47">
        <v>3</v>
      </c>
      <c r="O156" s="48" t="s">
        <v>461</v>
      </c>
      <c r="P156" s="48">
        <v>3</v>
      </c>
      <c r="Q156" s="48" t="s">
        <v>483</v>
      </c>
      <c r="R156" s="48" t="s">
        <v>483</v>
      </c>
      <c r="S156" s="49">
        <v>0</v>
      </c>
      <c r="T156" s="49">
        <v>0</v>
      </c>
      <c r="U156" s="50" t="s">
        <v>483</v>
      </c>
      <c r="V156" s="50" t="s">
        <v>466</v>
      </c>
      <c r="W156" s="51">
        <v>0</v>
      </c>
      <c r="X156" s="51">
        <v>0</v>
      </c>
      <c r="Y156" s="51" t="s">
        <v>483</v>
      </c>
      <c r="Z156" s="51" t="s">
        <v>483</v>
      </c>
      <c r="AA156" s="53">
        <v>0</v>
      </c>
      <c r="AB156" s="54" t="s">
        <v>439</v>
      </c>
      <c r="AC156" s="38" t="s">
        <v>466</v>
      </c>
      <c r="AD156" s="39" t="str">
        <f t="shared" si="17"/>
        <v/>
      </c>
      <c r="AE156" s="55" t="s">
        <v>493</v>
      </c>
      <c r="AF156" s="104" t="s">
        <v>493</v>
      </c>
      <c r="AG156" s="54" t="s">
        <v>492</v>
      </c>
      <c r="AH156" s="54" t="s">
        <v>484</v>
      </c>
      <c r="AI156" s="117"/>
      <c r="AJ156" s="113"/>
      <c r="AK156" s="12">
        <f t="shared" si="16"/>
        <v>1</v>
      </c>
      <c r="AL156" s="150" t="str">
        <f t="shared" si="18"/>
        <v>non-LVC</v>
      </c>
      <c r="AM156" s="150" t="str" cm="1">
        <f t="array" ref="AM156">IF(OR(O156:O313="zero_recoverable", "zero_exalt", "zero_other", "zero_uncertain"),
   "Yes","No")</f>
        <v>Yes</v>
      </c>
      <c r="AN156" s="150">
        <f>1 + COUNTIF($V$2:V155,"main")</f>
        <v>42</v>
      </c>
      <c r="AO156" s="150" t="str">
        <f t="shared" si="19"/>
        <v>subordinate</v>
      </c>
      <c r="AP156" s="150">
        <f t="shared" si="20"/>
        <v>1</v>
      </c>
      <c r="AQ156" s="150">
        <f>IF(AP157=0,"",COUNTIFS($AN$2:$AN157,$AN157,$AP$2:$AP157,1))</f>
        <v>1</v>
      </c>
      <c r="AR156" s="150">
        <f t="shared" si="21"/>
        <v>1</v>
      </c>
      <c r="AS156" s="150" t="s">
        <v>461</v>
      </c>
      <c r="AT156" s="150" t="s">
        <v>483</v>
      </c>
      <c r="AU156" s="150">
        <f t="shared" si="22"/>
        <v>0</v>
      </c>
      <c r="AV156" s="150">
        <f t="shared" si="23"/>
        <v>0</v>
      </c>
    </row>
    <row r="157" spans="1:48" x14ac:dyDescent="0.2">
      <c r="A157" s="42" t="s">
        <v>679</v>
      </c>
      <c r="B157" s="43" t="s">
        <v>1081</v>
      </c>
      <c r="C157" s="44" t="s">
        <v>333</v>
      </c>
      <c r="D157" s="45" t="s">
        <v>349</v>
      </c>
      <c r="E157" s="45" t="s">
        <v>1034</v>
      </c>
      <c r="F157" s="45" t="s">
        <v>444</v>
      </c>
      <c r="G157" s="46" t="s">
        <v>436</v>
      </c>
      <c r="H157" s="45" t="s">
        <v>442</v>
      </c>
      <c r="I157" s="45" t="s">
        <v>451</v>
      </c>
      <c r="J157" s="45" t="s">
        <v>454</v>
      </c>
      <c r="K157" s="45">
        <v>1</v>
      </c>
      <c r="L157" s="47">
        <v>1</v>
      </c>
      <c r="M157" s="47" t="s">
        <v>456</v>
      </c>
      <c r="N157" s="47">
        <v>0</v>
      </c>
      <c r="O157" s="48" t="s">
        <v>461</v>
      </c>
      <c r="P157" s="48">
        <v>3</v>
      </c>
      <c r="Q157" s="48" t="s">
        <v>483</v>
      </c>
      <c r="R157" s="48" t="s">
        <v>483</v>
      </c>
      <c r="S157" s="49">
        <v>0</v>
      </c>
      <c r="T157" s="49">
        <v>0</v>
      </c>
      <c r="U157" s="50" t="s">
        <v>483</v>
      </c>
      <c r="V157" s="50" t="s">
        <v>487</v>
      </c>
      <c r="W157" s="51">
        <v>0</v>
      </c>
      <c r="X157" s="51">
        <v>0</v>
      </c>
      <c r="Y157" s="51" t="s">
        <v>483</v>
      </c>
      <c r="Z157" s="51" t="s">
        <v>483</v>
      </c>
      <c r="AA157" s="53">
        <v>0</v>
      </c>
      <c r="AB157" s="54" t="s">
        <v>494</v>
      </c>
      <c r="AC157" s="38" t="s">
        <v>466</v>
      </c>
      <c r="AD157" s="39" t="str">
        <f t="shared" si="17"/>
        <v/>
      </c>
      <c r="AE157" s="55" t="s">
        <v>493</v>
      </c>
      <c r="AF157" s="104" t="s">
        <v>491</v>
      </c>
      <c r="AG157" s="54" t="s">
        <v>492</v>
      </c>
      <c r="AH157" s="54" t="s">
        <v>484</v>
      </c>
      <c r="AI157" s="117"/>
      <c r="AJ157" s="113"/>
      <c r="AK157" s="12">
        <f t="shared" si="16"/>
        <v>1</v>
      </c>
      <c r="AL157" s="150" t="str">
        <f t="shared" si="18"/>
        <v>non-LVC</v>
      </c>
      <c r="AM157" s="150" t="str" cm="1">
        <f t="array" ref="AM157">IF(OR(O157:O314="zero_recoverable", "zero_exalt", "zero_other", "zero_uncertain"),
   "Yes","No")</f>
        <v>Yes</v>
      </c>
      <c r="AN157" s="150">
        <f>1 + COUNTIF($V$2:V156,"main")</f>
        <v>43</v>
      </c>
      <c r="AO157" s="150" t="str">
        <f t="shared" si="19"/>
        <v>subordinate</v>
      </c>
      <c r="AP157" s="150">
        <f t="shared" si="20"/>
        <v>1</v>
      </c>
      <c r="AQ157" s="150">
        <f>IF(AP158=0,"",COUNTIFS($AN$2:$AN158,$AN158,$AP$2:$AP158,1))</f>
        <v>2</v>
      </c>
      <c r="AR157" s="150">
        <f t="shared" si="21"/>
        <v>0</v>
      </c>
      <c r="AS157" s="150" t="s">
        <v>508</v>
      </c>
      <c r="AT157" s="150" t="s">
        <v>483</v>
      </c>
      <c r="AU157" s="150">
        <f t="shared" si="22"/>
        <v>1</v>
      </c>
      <c r="AV157" s="150">
        <f t="shared" si="23"/>
        <v>0</v>
      </c>
    </row>
    <row r="158" spans="1:48" x14ac:dyDescent="0.2">
      <c r="A158" s="42" t="s">
        <v>680</v>
      </c>
      <c r="B158" s="43" t="s">
        <v>1083</v>
      </c>
      <c r="C158" s="44" t="s">
        <v>684</v>
      </c>
      <c r="D158" s="45" t="s">
        <v>686</v>
      </c>
      <c r="E158" s="45" t="s">
        <v>1034</v>
      </c>
      <c r="F158" s="45" t="s">
        <v>528</v>
      </c>
      <c r="G158" s="46" t="s">
        <v>434</v>
      </c>
      <c r="H158" s="45" t="s">
        <v>442</v>
      </c>
      <c r="I158" s="45" t="s">
        <v>451</v>
      </c>
      <c r="J158" s="45" t="s">
        <v>453</v>
      </c>
      <c r="K158" s="45">
        <v>1</v>
      </c>
      <c r="L158" s="47">
        <v>1</v>
      </c>
      <c r="M158" s="47" t="s">
        <v>455</v>
      </c>
      <c r="N158" s="47">
        <v>1</v>
      </c>
      <c r="O158" s="48" t="s">
        <v>508</v>
      </c>
      <c r="P158" s="48">
        <v>3</v>
      </c>
      <c r="Q158" s="48" t="s">
        <v>483</v>
      </c>
      <c r="R158" s="48" t="s">
        <v>461</v>
      </c>
      <c r="S158" s="49">
        <v>0</v>
      </c>
      <c r="T158" s="49">
        <v>0</v>
      </c>
      <c r="U158" s="50" t="s">
        <v>463</v>
      </c>
      <c r="V158" s="50" t="s">
        <v>487</v>
      </c>
      <c r="W158" s="51">
        <v>0</v>
      </c>
      <c r="X158" s="51">
        <v>0</v>
      </c>
      <c r="Y158" s="51" t="s">
        <v>483</v>
      </c>
      <c r="Z158" s="51" t="s">
        <v>483</v>
      </c>
      <c r="AA158" s="53">
        <v>1</v>
      </c>
      <c r="AB158" s="76" t="s">
        <v>1052</v>
      </c>
      <c r="AC158" s="38" t="s">
        <v>487</v>
      </c>
      <c r="AD158" s="39" t="str">
        <f t="shared" si="17"/>
        <v/>
      </c>
      <c r="AE158" s="55" t="s">
        <v>491</v>
      </c>
      <c r="AF158" s="104" t="s">
        <v>493</v>
      </c>
      <c r="AG158" s="54" t="s">
        <v>507</v>
      </c>
      <c r="AH158" s="54" t="s">
        <v>484</v>
      </c>
      <c r="AI158" s="117"/>
      <c r="AJ158" s="113"/>
      <c r="AK158" s="12">
        <f t="shared" si="16"/>
        <v>1</v>
      </c>
      <c r="AL158" s="150" t="str">
        <f t="shared" si="18"/>
        <v>non-LVC</v>
      </c>
      <c r="AM158" s="150" t="str" cm="1">
        <f t="array" ref="AM158">IF(OR(O158:O315="zero_recoverable", "zero_exalt", "zero_other", "zero_uncertain"),
   "Yes","No")</f>
        <v>Yes</v>
      </c>
      <c r="AN158" s="150">
        <f>1 + COUNTIF($V$2:V157,"main")</f>
        <v>43</v>
      </c>
      <c r="AO158" s="150" t="str">
        <f t="shared" si="19"/>
        <v>main</v>
      </c>
      <c r="AP158" s="150">
        <f t="shared" si="20"/>
        <v>1</v>
      </c>
      <c r="AQ158" s="150">
        <f>IF(AP159=0,"",COUNTIFS($AN$2:$AN159,$AN159,$AP$2:$AP159,1))</f>
        <v>3</v>
      </c>
      <c r="AR158" s="150">
        <f t="shared" si="21"/>
        <v>0</v>
      </c>
      <c r="AS158" s="150" t="s">
        <v>461</v>
      </c>
      <c r="AT158" s="150" t="s">
        <v>483</v>
      </c>
      <c r="AU158" s="150">
        <f t="shared" si="22"/>
        <v>0</v>
      </c>
      <c r="AV158" s="150">
        <f t="shared" si="23"/>
        <v>0</v>
      </c>
    </row>
    <row r="159" spans="1:48" ht="16" thickBot="1" x14ac:dyDescent="0.25">
      <c r="A159" s="77" t="s">
        <v>681</v>
      </c>
      <c r="B159" s="120" t="s">
        <v>1082</v>
      </c>
      <c r="C159" s="120" t="s">
        <v>685</v>
      </c>
      <c r="D159" s="45" t="s">
        <v>380</v>
      </c>
      <c r="E159" s="45" t="s">
        <v>1034</v>
      </c>
      <c r="F159" s="45" t="s">
        <v>450</v>
      </c>
      <c r="G159" s="78" t="s">
        <v>434</v>
      </c>
      <c r="H159" s="79" t="s">
        <v>442</v>
      </c>
      <c r="I159" s="79" t="s">
        <v>451</v>
      </c>
      <c r="J159" s="45" t="s">
        <v>454</v>
      </c>
      <c r="K159" s="79">
        <v>1</v>
      </c>
      <c r="L159" s="80">
        <v>1</v>
      </c>
      <c r="M159" s="80" t="s">
        <v>456</v>
      </c>
      <c r="N159" s="80">
        <v>1</v>
      </c>
      <c r="O159" s="81" t="s">
        <v>461</v>
      </c>
      <c r="P159" s="81">
        <v>3</v>
      </c>
      <c r="Q159" s="81" t="s">
        <v>483</v>
      </c>
      <c r="R159" s="81" t="s">
        <v>483</v>
      </c>
      <c r="S159" s="82">
        <v>0</v>
      </c>
      <c r="T159" s="82">
        <v>0</v>
      </c>
      <c r="U159" s="50" t="s">
        <v>483</v>
      </c>
      <c r="V159" s="83" t="s">
        <v>466</v>
      </c>
      <c r="W159" s="35">
        <v>0</v>
      </c>
      <c r="X159" s="35">
        <v>0</v>
      </c>
      <c r="Y159" s="51" t="s">
        <v>483</v>
      </c>
      <c r="Z159" s="51" t="s">
        <v>483</v>
      </c>
      <c r="AA159" s="36">
        <v>0</v>
      </c>
      <c r="AB159" s="37" t="s">
        <v>466</v>
      </c>
      <c r="AC159" s="38" t="s">
        <v>487</v>
      </c>
      <c r="AD159" s="39" t="str">
        <f t="shared" si="17"/>
        <v/>
      </c>
      <c r="AE159" s="40" t="s">
        <v>493</v>
      </c>
      <c r="AF159" s="104">
        <v>0</v>
      </c>
      <c r="AG159" s="37" t="s">
        <v>507</v>
      </c>
      <c r="AH159" s="37" t="s">
        <v>484</v>
      </c>
      <c r="AI159" s="121"/>
      <c r="AJ159" s="113"/>
      <c r="AK159" s="12">
        <f t="shared" si="16"/>
        <v>1</v>
      </c>
      <c r="AL159" s="150" t="str">
        <f t="shared" si="18"/>
        <v>non-LVC</v>
      </c>
      <c r="AM159" s="150" t="str" cm="1">
        <f t="array" ref="AM159">IF(OR(O159:O316="zero_recoverable", "zero_exalt", "zero_other", "zero_uncertain"),
   "Yes","No")</f>
        <v>No</v>
      </c>
      <c r="AN159" s="150">
        <f>1 + COUNTIF($V$2:V158,"main")</f>
        <v>43</v>
      </c>
      <c r="AO159" s="150" t="str">
        <f t="shared" si="19"/>
        <v/>
      </c>
      <c r="AP159" s="150">
        <f t="shared" si="20"/>
        <v>1</v>
      </c>
      <c r="AQ159" s="150" t="str">
        <f>IF(AP160=0,"",COUNTIFS($AN$2:$AN160,$AN160,$AP$2:$AP160,1))</f>
        <v/>
      </c>
      <c r="AR159" s="150">
        <f t="shared" si="21"/>
        <v>0</v>
      </c>
      <c r="AS159" s="150"/>
      <c r="AT159" s="150"/>
      <c r="AU159" s="150">
        <f t="shared" si="22"/>
        <v>0</v>
      </c>
      <c r="AV159" s="150">
        <f t="shared" si="23"/>
        <v>0</v>
      </c>
    </row>
    <row r="160" spans="1:48" ht="16" thickBot="1" x14ac:dyDescent="0.25">
      <c r="A160" s="84" t="s">
        <v>687</v>
      </c>
      <c r="B160" s="85"/>
      <c r="C160" s="86"/>
      <c r="D160" s="122"/>
      <c r="E160" s="122"/>
      <c r="F160" s="122"/>
      <c r="G160" s="87"/>
      <c r="H160" s="88"/>
      <c r="I160" s="88"/>
      <c r="J160" s="88"/>
      <c r="K160" s="88">
        <f>SUM(K2:K159)</f>
        <v>154</v>
      </c>
      <c r="L160" s="89">
        <f>SUM(L2:L159)</f>
        <v>150</v>
      </c>
      <c r="M160" s="89"/>
      <c r="N160" s="89">
        <f t="shared" ref="N160:AA160" si="24">SUM(N2:N159)</f>
        <v>72</v>
      </c>
      <c r="O160" s="90">
        <f t="shared" si="24"/>
        <v>0</v>
      </c>
      <c r="P160" s="90">
        <f t="shared" si="24"/>
        <v>426</v>
      </c>
      <c r="Q160" s="90" t="s">
        <v>483</v>
      </c>
      <c r="R160" s="90" t="s">
        <v>483</v>
      </c>
      <c r="S160" s="91">
        <f t="shared" si="24"/>
        <v>7</v>
      </c>
      <c r="T160" s="91">
        <f t="shared" si="24"/>
        <v>17</v>
      </c>
      <c r="U160" s="92">
        <f t="shared" si="24"/>
        <v>0</v>
      </c>
      <c r="V160" s="92">
        <f t="shared" si="24"/>
        <v>0</v>
      </c>
      <c r="W160" s="93">
        <f t="shared" si="24"/>
        <v>19</v>
      </c>
      <c r="X160" s="93">
        <f t="shared" si="24"/>
        <v>32</v>
      </c>
      <c r="Y160" s="93">
        <f t="shared" si="24"/>
        <v>0</v>
      </c>
      <c r="Z160" s="93">
        <f t="shared" si="24"/>
        <v>0</v>
      </c>
      <c r="AA160" s="93">
        <f t="shared" si="24"/>
        <v>6</v>
      </c>
      <c r="AB160" s="94"/>
      <c r="AC160" s="95"/>
      <c r="AD160" s="123"/>
      <c r="AE160" s="96"/>
      <c r="AF160" s="124" t="s">
        <v>1094</v>
      </c>
      <c r="AG160" s="94"/>
      <c r="AH160" s="94"/>
      <c r="AI160" s="125"/>
      <c r="AJ160" s="113"/>
      <c r="AK160" s="12">
        <f>L160/K160</f>
        <v>0.97402597402597402</v>
      </c>
      <c r="AL160" s="150"/>
      <c r="AM160" s="150"/>
      <c r="AN160" s="150"/>
      <c r="AO160" s="150"/>
      <c r="AP160" s="150"/>
      <c r="AQ160" s="150"/>
      <c r="AR160" s="150"/>
      <c r="AS160" s="150"/>
      <c r="AT160" s="150"/>
      <c r="AU160" s="150"/>
      <c r="AV160" s="150"/>
    </row>
    <row r="161" spans="1:48" x14ac:dyDescent="0.2">
      <c r="A161" s="99"/>
      <c r="B161" s="99"/>
      <c r="C161" s="99"/>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row>
    <row r="162" spans="1:48" ht="16" x14ac:dyDescent="0.25">
      <c r="A162" s="99"/>
      <c r="B162" s="99"/>
      <c r="C162" s="99"/>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1"/>
      <c r="AA162" s="100"/>
      <c r="AB162" s="100"/>
      <c r="AC162" s="100"/>
      <c r="AD162" s="100"/>
      <c r="AE162" s="100"/>
      <c r="AF162" s="100"/>
      <c r="AG162" s="102"/>
      <c r="AH162" s="103"/>
      <c r="AI162" s="100"/>
      <c r="AJ162" s="100"/>
      <c r="AK162" s="100"/>
      <c r="AL162" s="100"/>
      <c r="AM162" s="100"/>
      <c r="AN162" s="100"/>
      <c r="AO162" s="100"/>
      <c r="AP162" s="100"/>
      <c r="AQ162" s="100"/>
      <c r="AR162" s="100"/>
      <c r="AS162" s="100"/>
      <c r="AT162" s="100"/>
      <c r="AU162" s="100"/>
      <c r="AV162" s="100"/>
    </row>
    <row r="163" spans="1:48" x14ac:dyDescent="0.2">
      <c r="A163" s="106" t="s">
        <v>701</v>
      </c>
      <c r="B163" s="107">
        <f>L160/K160</f>
        <v>0.97402597402597402</v>
      </c>
      <c r="C163" s="108" t="s">
        <v>706</v>
      </c>
      <c r="D163" s="19"/>
      <c r="E163" s="19"/>
      <c r="F163" s="19"/>
      <c r="G163" s="100"/>
      <c r="H163" s="100"/>
      <c r="I163" s="100"/>
      <c r="J163" s="100"/>
      <c r="K163" s="100"/>
      <c r="L163" s="100"/>
      <c r="M163" s="100"/>
      <c r="N163" s="100"/>
      <c r="O163" s="100"/>
      <c r="P163" s="100"/>
      <c r="Q163" s="100"/>
      <c r="R163" s="100"/>
      <c r="S163" s="100"/>
      <c r="T163" s="100"/>
      <c r="U163" s="100"/>
      <c r="V163" s="100"/>
      <c r="W163" s="100"/>
      <c r="X163" s="100"/>
      <c r="Y163" s="100"/>
      <c r="Z163" s="105"/>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row>
    <row r="164" spans="1:48" ht="16" x14ac:dyDescent="0.25">
      <c r="A164" s="109" t="s">
        <v>702</v>
      </c>
      <c r="B164" s="110">
        <f>(L160+X160)/K160</f>
        <v>1.1818181818181819</v>
      </c>
      <c r="C164" s="108" t="s">
        <v>707</v>
      </c>
      <c r="D164" s="19"/>
      <c r="E164" s="19"/>
      <c r="F164" s="19"/>
      <c r="G164" s="100"/>
      <c r="H164" s="100"/>
      <c r="I164" s="100"/>
      <c r="J164" s="100"/>
      <c r="K164" s="100"/>
      <c r="L164" s="100"/>
      <c r="M164" s="100"/>
      <c r="N164" s="100"/>
      <c r="O164" s="100"/>
      <c r="P164" s="100"/>
      <c r="Q164" s="100"/>
      <c r="R164" s="100"/>
      <c r="S164" s="100"/>
      <c r="T164" s="100"/>
      <c r="U164" s="100"/>
      <c r="V164" s="100"/>
      <c r="W164" s="100"/>
      <c r="X164" s="100"/>
      <c r="Y164" s="100"/>
      <c r="Z164" s="101"/>
      <c r="AA164" s="100"/>
      <c r="AB164" s="100"/>
      <c r="AC164" s="100"/>
      <c r="AD164" s="100"/>
      <c r="AE164" s="100"/>
      <c r="AF164" s="100"/>
      <c r="AG164" s="102"/>
      <c r="AH164" s="103"/>
      <c r="AI164" s="100"/>
      <c r="AJ164" s="100"/>
      <c r="AK164" s="100"/>
      <c r="AL164" s="100"/>
      <c r="AM164" s="100"/>
      <c r="AN164" s="100"/>
      <c r="AO164" s="100"/>
      <c r="AP164" s="100"/>
      <c r="AQ164" s="100"/>
      <c r="AR164" s="100"/>
      <c r="AS164" s="100"/>
      <c r="AT164" s="100"/>
      <c r="AU164" s="100"/>
      <c r="AV164" s="100"/>
    </row>
    <row r="165" spans="1:48" x14ac:dyDescent="0.2">
      <c r="A165" s="111" t="s">
        <v>703</v>
      </c>
      <c r="B165" s="110">
        <f>(L160+S160)/K160</f>
        <v>1.0194805194805194</v>
      </c>
      <c r="C165" s="108" t="s">
        <v>708</v>
      </c>
      <c r="D165" s="19"/>
      <c r="E165" s="19"/>
      <c r="F165" s="19"/>
      <c r="G165" s="100"/>
      <c r="H165" s="100"/>
      <c r="I165" s="100"/>
      <c r="J165" s="100"/>
      <c r="K165" s="100"/>
      <c r="L165" s="100"/>
      <c r="M165" s="100"/>
      <c r="N165" s="100"/>
      <c r="O165" s="100"/>
      <c r="P165" s="100"/>
      <c r="Q165" s="100"/>
      <c r="R165" s="100"/>
      <c r="S165" s="100"/>
      <c r="T165" s="100"/>
      <c r="U165" s="100"/>
      <c r="V165" s="100"/>
      <c r="W165" s="100"/>
      <c r="X165" s="100"/>
      <c r="Y165" s="100"/>
      <c r="Z165" s="105"/>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row>
    <row r="166" spans="1:48" ht="16" x14ac:dyDescent="0.25">
      <c r="A166" s="112" t="s">
        <v>704</v>
      </c>
      <c r="B166" s="110">
        <f>(L160+S160+X160)/K160</f>
        <v>1.2272727272727273</v>
      </c>
      <c r="C166" s="108" t="s">
        <v>709</v>
      </c>
      <c r="D166" s="19"/>
      <c r="E166" s="19"/>
      <c r="F166" s="19"/>
      <c r="G166" s="100"/>
      <c r="H166" s="100"/>
      <c r="I166" s="100"/>
      <c r="J166" s="100"/>
      <c r="K166" s="100"/>
      <c r="L166" s="100"/>
      <c r="M166" s="100"/>
      <c r="N166" s="100"/>
      <c r="O166" s="100"/>
      <c r="P166" s="100"/>
      <c r="Q166" s="100"/>
      <c r="R166" s="100"/>
      <c r="S166" s="100"/>
      <c r="T166" s="100"/>
      <c r="U166" s="100"/>
      <c r="V166" s="100"/>
      <c r="W166" s="100"/>
      <c r="X166" s="100"/>
      <c r="Y166" s="100"/>
      <c r="Z166" s="101"/>
      <c r="AA166" s="100"/>
      <c r="AB166" s="100"/>
      <c r="AC166" s="100"/>
      <c r="AD166" s="100"/>
      <c r="AE166" s="100"/>
      <c r="AF166" s="100"/>
      <c r="AG166" s="102"/>
      <c r="AH166" s="103"/>
      <c r="AI166" s="100"/>
      <c r="AJ166" s="100"/>
      <c r="AK166" s="100"/>
      <c r="AL166" s="100"/>
      <c r="AM166" s="100"/>
      <c r="AN166" s="100"/>
      <c r="AO166" s="100"/>
      <c r="AP166" s="100"/>
      <c r="AQ166" s="100"/>
      <c r="AR166" s="100"/>
      <c r="AS166" s="100"/>
      <c r="AT166" s="100"/>
      <c r="AU166" s="100"/>
      <c r="AV166" s="100"/>
    </row>
    <row r="167" spans="1:48" x14ac:dyDescent="0.2">
      <c r="A167" s="108" t="s">
        <v>705</v>
      </c>
      <c r="B167" s="107">
        <f>X160/K160</f>
        <v>0.20779220779220781</v>
      </c>
      <c r="C167" s="108" t="s">
        <v>710</v>
      </c>
      <c r="D167" s="19"/>
      <c r="E167" s="19"/>
      <c r="F167" s="19"/>
      <c r="G167" s="100"/>
      <c r="H167" s="100"/>
      <c r="I167" s="100"/>
      <c r="J167" s="100"/>
      <c r="K167" s="100"/>
      <c r="L167" s="100"/>
      <c r="M167" s="100"/>
      <c r="N167" s="100"/>
      <c r="O167" s="100"/>
      <c r="P167" s="100"/>
      <c r="Q167" s="100"/>
      <c r="R167" s="100"/>
      <c r="S167" s="100"/>
      <c r="T167" s="100"/>
      <c r="U167" s="100"/>
      <c r="V167" s="100"/>
      <c r="W167" s="100"/>
      <c r="X167" s="100"/>
      <c r="Y167" s="100"/>
      <c r="Z167" s="105"/>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row>
    <row r="168" spans="1:48" ht="16" x14ac:dyDescent="0.25">
      <c r="A168" s="99"/>
      <c r="B168" s="99"/>
      <c r="C168" s="99"/>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1"/>
      <c r="AA168" s="100"/>
      <c r="AB168" s="100"/>
      <c r="AC168" s="100"/>
      <c r="AD168" s="100"/>
      <c r="AE168" s="100"/>
      <c r="AF168" s="100"/>
      <c r="AG168" s="102"/>
      <c r="AH168" s="103"/>
      <c r="AI168" s="100"/>
      <c r="AJ168" s="100"/>
      <c r="AK168" s="100"/>
      <c r="AL168" s="100"/>
      <c r="AM168" s="100"/>
      <c r="AN168" s="100"/>
      <c r="AO168" s="100"/>
      <c r="AP168" s="100"/>
      <c r="AQ168" s="100"/>
      <c r="AR168" s="100"/>
      <c r="AS168" s="100"/>
      <c r="AT168" s="100"/>
      <c r="AU168" s="100"/>
      <c r="AV168" s="100"/>
    </row>
    <row r="169" spans="1:48" x14ac:dyDescent="0.2">
      <c r="A169" s="99"/>
      <c r="B169" s="99"/>
      <c r="C169" s="99"/>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5"/>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row>
    <row r="170" spans="1:48" ht="16" x14ac:dyDescent="0.25">
      <c r="A170" s="99"/>
      <c r="B170" s="99"/>
      <c r="C170" s="99"/>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1"/>
      <c r="AA170" s="100"/>
      <c r="AB170" s="100"/>
      <c r="AC170" s="100"/>
      <c r="AD170" s="100"/>
      <c r="AE170" s="100"/>
      <c r="AF170" s="100"/>
      <c r="AG170" s="102"/>
      <c r="AH170" s="100"/>
      <c r="AI170" s="100"/>
      <c r="AJ170" s="100"/>
      <c r="AK170" s="100"/>
      <c r="AL170" s="100"/>
      <c r="AM170" s="100"/>
      <c r="AN170" s="100"/>
      <c r="AO170" s="100"/>
      <c r="AP170" s="100"/>
      <c r="AQ170" s="100"/>
      <c r="AR170" s="100"/>
      <c r="AS170" s="100"/>
      <c r="AT170" s="100"/>
      <c r="AU170" s="100"/>
      <c r="AV170" s="100"/>
    </row>
    <row r="171" spans="1:48" x14ac:dyDescent="0.2">
      <c r="A171" s="99"/>
      <c r="B171" s="99"/>
      <c r="C171" s="99"/>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5"/>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row>
    <row r="172" spans="1:48" ht="16" x14ac:dyDescent="0.25">
      <c r="A172" s="99"/>
      <c r="B172" s="99"/>
      <c r="C172" s="99"/>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1"/>
      <c r="AA172" s="100"/>
      <c r="AB172" s="100"/>
      <c r="AC172" s="100"/>
      <c r="AD172" s="100"/>
      <c r="AE172" s="100"/>
      <c r="AF172" s="100"/>
      <c r="AG172" s="102"/>
      <c r="AH172" s="100"/>
      <c r="AI172" s="100"/>
      <c r="AJ172" s="100"/>
      <c r="AK172" s="100"/>
      <c r="AL172" s="100"/>
      <c r="AM172" s="100"/>
      <c r="AN172" s="100"/>
      <c r="AO172" s="100"/>
      <c r="AP172" s="100"/>
      <c r="AQ172" s="100"/>
      <c r="AR172" s="100"/>
      <c r="AS172" s="100"/>
      <c r="AT172" s="100"/>
      <c r="AU172" s="100"/>
      <c r="AV172" s="100"/>
    </row>
    <row r="173" spans="1:48" x14ac:dyDescent="0.2">
      <c r="A173" s="99"/>
      <c r="B173" s="99"/>
      <c r="C173" s="99"/>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5"/>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row>
    <row r="174" spans="1:48" x14ac:dyDescent="0.2">
      <c r="A174" s="99"/>
      <c r="B174" s="99"/>
      <c r="C174" s="99"/>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1"/>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row>
    <row r="175" spans="1:48" x14ac:dyDescent="0.2">
      <c r="A175" s="99"/>
      <c r="B175" s="99"/>
      <c r="C175" s="99"/>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5"/>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row>
    <row r="176" spans="1:48" x14ac:dyDescent="0.2">
      <c r="A176" s="99"/>
      <c r="B176" s="99"/>
      <c r="C176" s="99"/>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1"/>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row>
    <row r="177" spans="1:48" x14ac:dyDescent="0.2">
      <c r="A177" s="99"/>
      <c r="B177" s="99"/>
      <c r="C177" s="99"/>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5"/>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row>
    <row r="178" spans="1:48" x14ac:dyDescent="0.2">
      <c r="A178" s="99"/>
      <c r="B178" s="99"/>
      <c r="C178" s="99"/>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1"/>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row>
    <row r="179" spans="1:48" x14ac:dyDescent="0.2">
      <c r="A179" s="99"/>
      <c r="B179" s="99"/>
      <c r="C179" s="99"/>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row>
    <row r="180" spans="1:48" x14ac:dyDescent="0.2">
      <c r="A180" s="99"/>
      <c r="B180" s="99"/>
      <c r="C180" s="99"/>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row>
    <row r="181" spans="1:48" x14ac:dyDescent="0.2">
      <c r="D181" s="98"/>
      <c r="E181" s="98"/>
      <c r="F181" s="9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98"/>
      <c r="AE181" s="18"/>
      <c r="AF181" s="18"/>
      <c r="AG181" s="18"/>
      <c r="AH181" s="18"/>
      <c r="AI181" s="18"/>
      <c r="AJ181" s="97"/>
      <c r="AK181" s="18"/>
      <c r="AL181" s="18"/>
    </row>
    <row r="182" spans="1:48" x14ac:dyDescent="0.2">
      <c r="D182" s="19"/>
      <c r="E182" s="19"/>
      <c r="F182" s="19"/>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9"/>
      <c r="AE182" s="18"/>
      <c r="AF182" s="18"/>
      <c r="AG182" s="18"/>
      <c r="AH182" s="18"/>
      <c r="AI182" s="18"/>
      <c r="AJ182" s="97"/>
      <c r="AK182" s="18"/>
      <c r="AL182" s="18"/>
    </row>
    <row r="183" spans="1:48" x14ac:dyDescent="0.2">
      <c r="D183" s="19"/>
      <c r="E183" s="19"/>
      <c r="F183" s="19"/>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9"/>
      <c r="AE183" s="18"/>
      <c r="AF183" s="18"/>
      <c r="AG183" s="18"/>
      <c r="AH183" s="18"/>
      <c r="AI183" s="18"/>
      <c r="AJ183" s="97"/>
      <c r="AK183" s="18"/>
      <c r="AL183" s="18"/>
    </row>
    <row r="184" spans="1:48" x14ac:dyDescent="0.2">
      <c r="D184" s="19"/>
      <c r="E184" s="19"/>
      <c r="F184" s="19"/>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9"/>
      <c r="AE184" s="18"/>
      <c r="AF184" s="18"/>
      <c r="AG184" s="18"/>
      <c r="AH184" s="18"/>
      <c r="AI184" s="18"/>
      <c r="AJ184" s="97"/>
      <c r="AK184" s="18"/>
      <c r="AL184" s="18"/>
    </row>
    <row r="185" spans="1:48" x14ac:dyDescent="0.2">
      <c r="D185" s="19"/>
      <c r="E185" s="19"/>
      <c r="F185" s="19"/>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9"/>
      <c r="AE185" s="18"/>
      <c r="AF185" s="18"/>
      <c r="AG185" s="18"/>
      <c r="AH185" s="18"/>
      <c r="AI185" s="18"/>
      <c r="AJ185" s="97"/>
      <c r="AK185" s="18"/>
      <c r="AL185" s="18"/>
    </row>
    <row r="186" spans="1:48" x14ac:dyDescent="0.2">
      <c r="D186" s="19"/>
      <c r="E186" s="19"/>
      <c r="F186" s="19"/>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9"/>
      <c r="AE186" s="18"/>
      <c r="AF186" s="18"/>
      <c r="AG186" s="18"/>
      <c r="AH186" s="18"/>
      <c r="AI186" s="18"/>
      <c r="AJ186" s="97"/>
      <c r="AK186" s="18"/>
      <c r="AL186" s="18"/>
    </row>
    <row r="187" spans="1:48" x14ac:dyDescent="0.2">
      <c r="D187" s="19"/>
      <c r="E187" s="19"/>
      <c r="F187" s="19"/>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9"/>
      <c r="AE187" s="18"/>
      <c r="AF187" s="18"/>
      <c r="AG187" s="18"/>
      <c r="AH187" s="18"/>
      <c r="AI187" s="18"/>
      <c r="AJ187" s="97"/>
      <c r="AK187" s="18"/>
      <c r="AL187" s="18"/>
    </row>
    <row r="188" spans="1:48" x14ac:dyDescent="0.2">
      <c r="D188" s="19"/>
      <c r="E188" s="19"/>
      <c r="F188" s="19"/>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9"/>
      <c r="AE188" s="18"/>
      <c r="AF188" s="18"/>
      <c r="AG188" s="18"/>
      <c r="AH188" s="18"/>
      <c r="AI188" s="18"/>
      <c r="AJ188" s="97"/>
      <c r="AK188" s="18"/>
      <c r="AL188" s="18"/>
    </row>
    <row r="189" spans="1:48" x14ac:dyDescent="0.2">
      <c r="D189" s="19"/>
      <c r="E189" s="19"/>
      <c r="F189" s="19"/>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9"/>
      <c r="AE189" s="18"/>
      <c r="AF189" s="18"/>
      <c r="AG189" s="18"/>
      <c r="AH189" s="18"/>
      <c r="AI189" s="18"/>
      <c r="AJ189" s="97"/>
      <c r="AK189" s="18"/>
      <c r="AL189" s="18"/>
    </row>
    <row r="190" spans="1:48" x14ac:dyDescent="0.2">
      <c r="D190" s="19"/>
      <c r="E190" s="19"/>
      <c r="F190" s="19"/>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9"/>
      <c r="AE190" s="18"/>
      <c r="AF190" s="18"/>
      <c r="AG190" s="18"/>
      <c r="AH190" s="18"/>
      <c r="AI190" s="18"/>
      <c r="AJ190" s="97"/>
      <c r="AK190" s="18"/>
      <c r="AL190" s="18"/>
    </row>
    <row r="191" spans="1:48" x14ac:dyDescent="0.2">
      <c r="D191" s="19"/>
      <c r="E191" s="19"/>
      <c r="F191" s="19"/>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9"/>
      <c r="AE191" s="18"/>
      <c r="AF191" s="18"/>
      <c r="AG191" s="18"/>
      <c r="AH191" s="18"/>
      <c r="AI191" s="18"/>
      <c r="AJ191" s="97"/>
      <c r="AK191" s="18"/>
      <c r="AL191" s="18"/>
    </row>
    <row r="192" spans="1:48" x14ac:dyDescent="0.2">
      <c r="D192" s="19"/>
      <c r="E192" s="19"/>
      <c r="F192" s="19"/>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9"/>
      <c r="AE192" s="18"/>
      <c r="AF192" s="18"/>
      <c r="AG192" s="18"/>
      <c r="AH192" s="18"/>
      <c r="AI192" s="18"/>
      <c r="AJ192" s="97"/>
      <c r="AK192" s="18"/>
      <c r="AL192" s="18"/>
    </row>
    <row r="193" spans="4:38" x14ac:dyDescent="0.2">
      <c r="D193" s="19"/>
      <c r="E193" s="19"/>
      <c r="F193" s="19"/>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9"/>
      <c r="AE193" s="18"/>
      <c r="AF193" s="18"/>
      <c r="AG193" s="18"/>
      <c r="AH193" s="18"/>
      <c r="AI193" s="18"/>
      <c r="AJ193" s="97"/>
      <c r="AK193" s="18"/>
      <c r="AL193" s="18"/>
    </row>
    <row r="194" spans="4:38" x14ac:dyDescent="0.2">
      <c r="D194" s="19"/>
      <c r="E194" s="19"/>
      <c r="F194" s="19"/>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9"/>
      <c r="AE194" s="18"/>
      <c r="AF194" s="18"/>
      <c r="AG194" s="18"/>
      <c r="AH194" s="18"/>
      <c r="AI194" s="18"/>
      <c r="AJ194" s="97"/>
      <c r="AK194" s="18"/>
      <c r="AL194" s="18"/>
    </row>
    <row r="195" spans="4:38" x14ac:dyDescent="0.2">
      <c r="D195" s="19"/>
      <c r="E195" s="19"/>
      <c r="F195" s="19"/>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9"/>
      <c r="AE195" s="18"/>
      <c r="AF195" s="18"/>
      <c r="AG195" s="18"/>
      <c r="AH195" s="18"/>
      <c r="AI195" s="18"/>
      <c r="AJ195" s="97"/>
      <c r="AK195" s="18"/>
      <c r="AL195" s="18"/>
    </row>
    <row r="196" spans="4:38" x14ac:dyDescent="0.2">
      <c r="D196" s="19"/>
      <c r="E196" s="19"/>
      <c r="F196" s="19"/>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9"/>
      <c r="AE196" s="18"/>
      <c r="AF196" s="18"/>
      <c r="AG196" s="18"/>
      <c r="AH196" s="18"/>
      <c r="AI196" s="18"/>
      <c r="AJ196" s="97"/>
      <c r="AK196" s="18"/>
      <c r="AL196" s="18"/>
    </row>
    <row r="197" spans="4:38" x14ac:dyDescent="0.2">
      <c r="D197" s="19"/>
      <c r="E197" s="19"/>
      <c r="F197" s="19"/>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9"/>
      <c r="AE197" s="18"/>
      <c r="AF197" s="18"/>
      <c r="AG197" s="18"/>
      <c r="AH197" s="18"/>
      <c r="AI197" s="18"/>
      <c r="AJ197" s="97"/>
      <c r="AK197" s="18"/>
      <c r="AL197" s="18"/>
    </row>
    <row r="198" spans="4:38" x14ac:dyDescent="0.2">
      <c r="D198" s="19"/>
      <c r="E198" s="19"/>
      <c r="F198" s="19"/>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9"/>
      <c r="AE198" s="18"/>
      <c r="AF198" s="18"/>
      <c r="AG198" s="18"/>
      <c r="AH198" s="18"/>
      <c r="AI198" s="18"/>
      <c r="AJ198" s="97"/>
      <c r="AK198" s="18"/>
      <c r="AL198" s="18"/>
    </row>
    <row r="199" spans="4:38" x14ac:dyDescent="0.2">
      <c r="D199" s="19"/>
      <c r="E199" s="19"/>
      <c r="F199" s="19"/>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9"/>
      <c r="AE199" s="18"/>
      <c r="AF199" s="18"/>
      <c r="AG199" s="18"/>
      <c r="AH199" s="18"/>
      <c r="AI199" s="18"/>
      <c r="AJ199" s="97"/>
      <c r="AK199" s="18"/>
      <c r="AL199" s="18"/>
    </row>
    <row r="200" spans="4:38" x14ac:dyDescent="0.2">
      <c r="D200" s="19"/>
      <c r="E200" s="19"/>
      <c r="F200" s="19"/>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9"/>
      <c r="AE200" s="18"/>
      <c r="AF200" s="18"/>
      <c r="AG200" s="18"/>
      <c r="AH200" s="18"/>
      <c r="AI200" s="18"/>
      <c r="AJ200" s="97"/>
      <c r="AK200" s="18"/>
      <c r="AL200" s="18"/>
    </row>
    <row r="201" spans="4:38" x14ac:dyDescent="0.2">
      <c r="D201" s="19"/>
      <c r="E201" s="19"/>
      <c r="F201" s="19"/>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9"/>
      <c r="AE201" s="18"/>
      <c r="AF201" s="18"/>
      <c r="AG201" s="18"/>
      <c r="AH201" s="18"/>
      <c r="AI201" s="18"/>
      <c r="AJ201" s="97"/>
      <c r="AK201" s="18"/>
      <c r="AL201" s="18"/>
    </row>
    <row r="202" spans="4:38" x14ac:dyDescent="0.2">
      <c r="D202" s="19"/>
      <c r="E202" s="19"/>
      <c r="F202" s="19"/>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9"/>
      <c r="AE202" s="18"/>
      <c r="AF202" s="18"/>
      <c r="AG202" s="18"/>
      <c r="AH202" s="18"/>
      <c r="AI202" s="18"/>
      <c r="AJ202" s="97"/>
      <c r="AK202" s="18"/>
      <c r="AL202" s="18"/>
    </row>
    <row r="203" spans="4:38" x14ac:dyDescent="0.2">
      <c r="D203" s="19"/>
      <c r="E203" s="19"/>
      <c r="F203" s="19"/>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9"/>
      <c r="AE203" s="18"/>
      <c r="AF203" s="18"/>
      <c r="AG203" s="18"/>
      <c r="AH203" s="18"/>
      <c r="AI203" s="18"/>
      <c r="AJ203" s="97"/>
      <c r="AK203" s="18"/>
      <c r="AL203" s="18"/>
    </row>
    <row r="204" spans="4:38" x14ac:dyDescent="0.2">
      <c r="D204" s="19"/>
      <c r="E204" s="19"/>
      <c r="F204" s="19"/>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9"/>
      <c r="AE204" s="18"/>
      <c r="AF204" s="18"/>
      <c r="AG204" s="18"/>
      <c r="AH204" s="18"/>
      <c r="AI204" s="18"/>
      <c r="AJ204" s="97"/>
      <c r="AK204" s="18"/>
      <c r="AL204" s="18"/>
    </row>
    <row r="205" spans="4:38" x14ac:dyDescent="0.2">
      <c r="D205" s="19"/>
      <c r="E205" s="19"/>
      <c r="F205" s="19"/>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9"/>
      <c r="AE205" s="18"/>
      <c r="AF205" s="18"/>
      <c r="AG205" s="18"/>
      <c r="AH205" s="18"/>
      <c r="AI205" s="18"/>
      <c r="AJ205" s="97"/>
      <c r="AK205" s="18"/>
      <c r="AL205" s="18"/>
    </row>
    <row r="206" spans="4:38" x14ac:dyDescent="0.2">
      <c r="D206" s="19"/>
      <c r="E206" s="19"/>
      <c r="F206" s="19"/>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9"/>
      <c r="AE206" s="18"/>
      <c r="AF206" s="18"/>
      <c r="AG206" s="18"/>
      <c r="AH206" s="18"/>
      <c r="AI206" s="18"/>
      <c r="AJ206" s="97"/>
      <c r="AK206" s="18"/>
      <c r="AL206" s="18"/>
    </row>
    <row r="207" spans="4:38" x14ac:dyDescent="0.2">
      <c r="D207" s="19"/>
      <c r="E207" s="19"/>
      <c r="F207" s="19"/>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9"/>
      <c r="AE207" s="18"/>
      <c r="AF207" s="18"/>
      <c r="AG207" s="18"/>
      <c r="AH207" s="18"/>
      <c r="AI207" s="18"/>
      <c r="AJ207" s="97"/>
      <c r="AK207" s="18"/>
      <c r="AL207" s="18"/>
    </row>
    <row r="208" spans="4:38" x14ac:dyDescent="0.2">
      <c r="D208" s="19"/>
      <c r="E208" s="19"/>
      <c r="F208" s="19"/>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9"/>
      <c r="AE208" s="18"/>
      <c r="AF208" s="18"/>
      <c r="AG208" s="18"/>
      <c r="AH208" s="18"/>
      <c r="AI208" s="18"/>
      <c r="AJ208" s="97"/>
      <c r="AK208" s="18"/>
      <c r="AL208" s="18"/>
    </row>
    <row r="209" spans="4:38" x14ac:dyDescent="0.2">
      <c r="D209" s="19"/>
      <c r="E209" s="19"/>
      <c r="F209" s="19"/>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9"/>
      <c r="AE209" s="18"/>
      <c r="AF209" s="18"/>
      <c r="AG209" s="18"/>
      <c r="AH209" s="18"/>
      <c r="AI209" s="18"/>
      <c r="AJ209" s="97"/>
      <c r="AK209" s="18"/>
      <c r="AL209" s="18"/>
    </row>
    <row r="210" spans="4:38" x14ac:dyDescent="0.2">
      <c r="D210" s="19"/>
      <c r="E210" s="19"/>
      <c r="F210" s="19"/>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9"/>
      <c r="AE210" s="18"/>
      <c r="AF210" s="18"/>
      <c r="AG210" s="18"/>
      <c r="AH210" s="18"/>
      <c r="AI210" s="18"/>
      <c r="AJ210" s="97"/>
      <c r="AK210" s="18"/>
      <c r="AL210" s="18"/>
    </row>
    <row r="211" spans="4:38" x14ac:dyDescent="0.2">
      <c r="D211" s="19"/>
      <c r="E211" s="19"/>
      <c r="F211" s="19"/>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9"/>
      <c r="AE211" s="18"/>
      <c r="AF211" s="18"/>
      <c r="AG211" s="18"/>
      <c r="AH211" s="18"/>
      <c r="AI211" s="18"/>
      <c r="AJ211" s="97"/>
      <c r="AK211" s="18"/>
      <c r="AL211" s="18"/>
    </row>
    <row r="212" spans="4:38" x14ac:dyDescent="0.2">
      <c r="D212" s="19"/>
      <c r="E212" s="19"/>
      <c r="F212" s="19"/>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9"/>
      <c r="AE212" s="18"/>
      <c r="AF212" s="18"/>
      <c r="AG212" s="18"/>
      <c r="AH212" s="18"/>
      <c r="AI212" s="18"/>
      <c r="AJ212" s="97"/>
      <c r="AK212" s="18"/>
      <c r="AL212" s="18"/>
    </row>
    <row r="213" spans="4:38" x14ac:dyDescent="0.2">
      <c r="D213" s="19"/>
      <c r="E213" s="19"/>
      <c r="F213" s="19"/>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9"/>
      <c r="AE213" s="18"/>
      <c r="AF213" s="18"/>
      <c r="AG213" s="18"/>
      <c r="AH213" s="18"/>
      <c r="AI213" s="18"/>
      <c r="AJ213" s="97"/>
      <c r="AK213" s="18"/>
      <c r="AL213" s="18"/>
    </row>
    <row r="214" spans="4:38" x14ac:dyDescent="0.2">
      <c r="D214" s="19"/>
      <c r="E214" s="19"/>
      <c r="F214" s="19"/>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9"/>
      <c r="AE214" s="18"/>
      <c r="AF214" s="18"/>
      <c r="AG214" s="18"/>
      <c r="AH214" s="18"/>
      <c r="AI214" s="18"/>
      <c r="AJ214" s="97"/>
      <c r="AK214" s="18"/>
      <c r="AL214" s="18"/>
    </row>
    <row r="215" spans="4:38" x14ac:dyDescent="0.2">
      <c r="D215" s="19"/>
      <c r="E215" s="19"/>
      <c r="F215" s="19"/>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9"/>
      <c r="AE215" s="18"/>
      <c r="AF215" s="18"/>
      <c r="AG215" s="18"/>
      <c r="AH215" s="18"/>
      <c r="AI215" s="18"/>
      <c r="AJ215" s="97"/>
      <c r="AK215" s="18"/>
      <c r="AL215" s="18"/>
    </row>
    <row r="216" spans="4:38" x14ac:dyDescent="0.2">
      <c r="D216" s="19"/>
      <c r="E216" s="19"/>
      <c r="F216" s="19"/>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9"/>
      <c r="AE216" s="18"/>
      <c r="AF216" s="18"/>
      <c r="AG216" s="18"/>
      <c r="AH216" s="18"/>
      <c r="AI216" s="18"/>
      <c r="AJ216" s="97"/>
      <c r="AK216" s="18"/>
      <c r="AL216" s="18"/>
    </row>
    <row r="217" spans="4:38" x14ac:dyDescent="0.2">
      <c r="D217" s="19"/>
      <c r="E217" s="19"/>
      <c r="F217" s="19"/>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9"/>
      <c r="AE217" s="18"/>
      <c r="AF217" s="18"/>
      <c r="AG217" s="18"/>
      <c r="AH217" s="18"/>
      <c r="AI217" s="18"/>
      <c r="AJ217" s="97"/>
      <c r="AK217" s="18"/>
      <c r="AL217" s="18"/>
    </row>
    <row r="218" spans="4:38" x14ac:dyDescent="0.2">
      <c r="D218" s="19"/>
      <c r="E218" s="19"/>
      <c r="F218" s="19"/>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9"/>
      <c r="AE218" s="18"/>
      <c r="AF218" s="18"/>
      <c r="AG218" s="18"/>
      <c r="AH218" s="18"/>
      <c r="AI218" s="18"/>
      <c r="AJ218" s="97"/>
      <c r="AK218" s="18"/>
      <c r="AL218" s="18"/>
    </row>
    <row r="219" spans="4:38" x14ac:dyDescent="0.2">
      <c r="D219" s="19"/>
      <c r="E219" s="19"/>
      <c r="F219" s="19"/>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9"/>
      <c r="AE219" s="18"/>
      <c r="AF219" s="18"/>
      <c r="AG219" s="18"/>
      <c r="AH219" s="18"/>
      <c r="AI219" s="18"/>
      <c r="AJ219" s="97"/>
      <c r="AK219" s="18"/>
      <c r="AL219" s="18"/>
    </row>
    <row r="220" spans="4:38" x14ac:dyDescent="0.2">
      <c r="D220" s="19"/>
      <c r="E220" s="19"/>
      <c r="F220" s="19"/>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9"/>
      <c r="AE220" s="18"/>
      <c r="AF220" s="18"/>
      <c r="AG220" s="18"/>
      <c r="AH220" s="18"/>
      <c r="AI220" s="18"/>
      <c r="AJ220" s="97"/>
      <c r="AK220" s="18"/>
      <c r="AL220" s="18"/>
    </row>
    <row r="221" spans="4:38" x14ac:dyDescent="0.2">
      <c r="D221" s="19"/>
      <c r="E221" s="19"/>
      <c r="F221" s="19"/>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9"/>
      <c r="AE221" s="18"/>
      <c r="AF221" s="18"/>
      <c r="AG221" s="18"/>
      <c r="AH221" s="18"/>
      <c r="AI221" s="18"/>
      <c r="AJ221" s="97"/>
      <c r="AK221" s="18"/>
      <c r="AL221" s="18"/>
    </row>
    <row r="222" spans="4:38" x14ac:dyDescent="0.2">
      <c r="D222" s="19"/>
      <c r="E222" s="19"/>
      <c r="F222" s="19"/>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9"/>
      <c r="AE222" s="18"/>
      <c r="AF222" s="18"/>
      <c r="AG222" s="18"/>
      <c r="AH222" s="18"/>
      <c r="AI222" s="18"/>
      <c r="AJ222" s="97"/>
      <c r="AK222" s="18"/>
      <c r="AL222" s="18"/>
    </row>
    <row r="223" spans="4:38" x14ac:dyDescent="0.2">
      <c r="D223" s="19"/>
      <c r="E223" s="19"/>
      <c r="F223" s="19"/>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9"/>
      <c r="AE223" s="18"/>
      <c r="AF223" s="18"/>
      <c r="AG223" s="18"/>
      <c r="AH223" s="18"/>
      <c r="AI223" s="18"/>
      <c r="AJ223" s="97"/>
      <c r="AK223" s="18"/>
      <c r="AL223" s="18"/>
    </row>
    <row r="224" spans="4:38" x14ac:dyDescent="0.2">
      <c r="D224" s="19"/>
      <c r="E224" s="19"/>
      <c r="F224" s="19"/>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9"/>
      <c r="AE224" s="18"/>
      <c r="AF224" s="18"/>
      <c r="AG224" s="18"/>
      <c r="AH224" s="18"/>
      <c r="AI224" s="18"/>
      <c r="AJ224" s="97"/>
      <c r="AK224" s="18"/>
      <c r="AL224" s="18"/>
    </row>
    <row r="225" spans="4:38" x14ac:dyDescent="0.2">
      <c r="D225" s="19"/>
      <c r="E225" s="19"/>
      <c r="F225" s="19"/>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9"/>
      <c r="AE225" s="18"/>
      <c r="AF225" s="18"/>
      <c r="AG225" s="18"/>
      <c r="AH225" s="18"/>
      <c r="AI225" s="18"/>
      <c r="AJ225" s="97"/>
      <c r="AK225" s="18"/>
      <c r="AL225" s="18"/>
    </row>
    <row r="226" spans="4:38" x14ac:dyDescent="0.2">
      <c r="D226" s="19"/>
      <c r="E226" s="19"/>
      <c r="F226" s="19"/>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9"/>
      <c r="AE226" s="18"/>
      <c r="AF226" s="18"/>
      <c r="AG226" s="18"/>
      <c r="AH226" s="18"/>
      <c r="AI226" s="18"/>
      <c r="AJ226" s="97"/>
      <c r="AK226" s="18"/>
      <c r="AL226" s="18"/>
    </row>
    <row r="227" spans="4:38" x14ac:dyDescent="0.2">
      <c r="D227" s="19"/>
      <c r="E227" s="19"/>
      <c r="F227" s="19"/>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9"/>
      <c r="AE227" s="18"/>
      <c r="AF227" s="18"/>
      <c r="AG227" s="18"/>
      <c r="AH227" s="18"/>
      <c r="AI227" s="18"/>
      <c r="AJ227" s="97"/>
      <c r="AK227" s="18"/>
      <c r="AL227" s="18"/>
    </row>
    <row r="228" spans="4:38" x14ac:dyDescent="0.2">
      <c r="D228" s="19"/>
      <c r="E228" s="19"/>
      <c r="F228" s="19"/>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9"/>
      <c r="AE228" s="18"/>
      <c r="AF228" s="18"/>
      <c r="AG228" s="18"/>
      <c r="AH228" s="18"/>
      <c r="AI228" s="18"/>
      <c r="AJ228" s="97"/>
      <c r="AK228" s="18"/>
      <c r="AL228" s="18"/>
    </row>
    <row r="229" spans="4:38" x14ac:dyDescent="0.2">
      <c r="D229" s="19"/>
      <c r="E229" s="19"/>
      <c r="F229" s="19"/>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9"/>
      <c r="AE229" s="18"/>
      <c r="AF229" s="18"/>
      <c r="AG229" s="18"/>
      <c r="AH229" s="18"/>
      <c r="AI229" s="18"/>
      <c r="AJ229" s="97"/>
      <c r="AK229" s="18"/>
      <c r="AL229" s="18"/>
    </row>
    <row r="230" spans="4:38" x14ac:dyDescent="0.2">
      <c r="D230" s="19"/>
      <c r="E230" s="19"/>
      <c r="F230" s="19"/>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9"/>
      <c r="AE230" s="18"/>
      <c r="AF230" s="18"/>
      <c r="AG230" s="18"/>
      <c r="AH230" s="18"/>
      <c r="AI230" s="18"/>
      <c r="AJ230" s="97"/>
      <c r="AK230" s="18"/>
      <c r="AL230" s="18"/>
    </row>
    <row r="231" spans="4:38" x14ac:dyDescent="0.2">
      <c r="D231" s="19"/>
      <c r="E231" s="19"/>
      <c r="F231" s="19"/>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9"/>
      <c r="AE231" s="18"/>
      <c r="AF231" s="18"/>
      <c r="AG231" s="18"/>
      <c r="AH231" s="18"/>
      <c r="AI231" s="18"/>
      <c r="AJ231" s="97"/>
      <c r="AK231" s="18"/>
      <c r="AL231" s="18"/>
    </row>
    <row r="232" spans="4:38" x14ac:dyDescent="0.2">
      <c r="D232" s="19"/>
      <c r="E232" s="19"/>
      <c r="F232" s="19"/>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9"/>
      <c r="AE232" s="18"/>
      <c r="AF232" s="18"/>
      <c r="AG232" s="18"/>
      <c r="AH232" s="18"/>
      <c r="AI232" s="18"/>
      <c r="AJ232" s="97"/>
      <c r="AK232" s="18"/>
      <c r="AL232" s="18"/>
    </row>
    <row r="233" spans="4:38" x14ac:dyDescent="0.2">
      <c r="D233" s="19"/>
      <c r="E233" s="19"/>
      <c r="F233" s="19"/>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9"/>
      <c r="AE233" s="18"/>
      <c r="AF233" s="18"/>
      <c r="AG233" s="18"/>
      <c r="AH233" s="18"/>
      <c r="AI233" s="18"/>
      <c r="AJ233" s="97"/>
      <c r="AK233" s="18"/>
      <c r="AL233" s="18"/>
    </row>
    <row r="234" spans="4:38" x14ac:dyDescent="0.2">
      <c r="D234" s="19"/>
      <c r="E234" s="19"/>
      <c r="F234" s="19"/>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9"/>
      <c r="AE234" s="18"/>
      <c r="AF234" s="18"/>
      <c r="AG234" s="18"/>
      <c r="AH234" s="18"/>
      <c r="AI234" s="18"/>
      <c r="AJ234" s="97"/>
      <c r="AK234" s="18"/>
      <c r="AL234" s="18"/>
    </row>
    <row r="235" spans="4:38" x14ac:dyDescent="0.2">
      <c r="D235" s="19"/>
      <c r="E235" s="19"/>
      <c r="F235" s="19"/>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9"/>
      <c r="AE235" s="18"/>
      <c r="AF235" s="18"/>
      <c r="AG235" s="18"/>
      <c r="AH235" s="18"/>
      <c r="AI235" s="18"/>
      <c r="AJ235" s="97"/>
      <c r="AK235" s="18"/>
      <c r="AL235" s="18"/>
    </row>
    <row r="236" spans="4:38" x14ac:dyDescent="0.2">
      <c r="D236" s="19"/>
      <c r="E236" s="19"/>
      <c r="F236" s="19"/>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9"/>
      <c r="AE236" s="18"/>
      <c r="AF236" s="18"/>
      <c r="AG236" s="18"/>
      <c r="AH236" s="18"/>
      <c r="AI236" s="18"/>
      <c r="AJ236" s="97"/>
      <c r="AK236" s="18"/>
      <c r="AL236" s="18"/>
    </row>
    <row r="237" spans="4:38" x14ac:dyDescent="0.2">
      <c r="D237" s="19"/>
      <c r="E237" s="19"/>
      <c r="F237" s="19"/>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9"/>
      <c r="AE237" s="18"/>
      <c r="AF237" s="18"/>
      <c r="AG237" s="18"/>
      <c r="AH237" s="18"/>
      <c r="AI237" s="18"/>
      <c r="AJ237" s="97"/>
      <c r="AK237" s="18"/>
      <c r="AL237" s="18"/>
    </row>
    <row r="238" spans="4:38" x14ac:dyDescent="0.2">
      <c r="D238" s="19"/>
      <c r="E238" s="19"/>
      <c r="F238" s="19"/>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9"/>
      <c r="AE238" s="18"/>
      <c r="AF238" s="18"/>
      <c r="AG238" s="18"/>
      <c r="AH238" s="18"/>
      <c r="AI238" s="18"/>
      <c r="AJ238" s="97"/>
      <c r="AK238" s="18"/>
      <c r="AL238" s="18"/>
    </row>
    <row r="239" spans="4:38" x14ac:dyDescent="0.2">
      <c r="D239" s="19"/>
      <c r="E239" s="19"/>
      <c r="F239" s="19"/>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9"/>
      <c r="AE239" s="18"/>
      <c r="AF239" s="18"/>
      <c r="AG239" s="18"/>
      <c r="AH239" s="18"/>
      <c r="AI239" s="18"/>
      <c r="AJ239" s="97"/>
      <c r="AK239" s="18"/>
      <c r="AL239" s="18"/>
    </row>
    <row r="240" spans="4:38" x14ac:dyDescent="0.2">
      <c r="D240" s="19"/>
      <c r="E240" s="19"/>
      <c r="F240" s="19"/>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9"/>
      <c r="AE240" s="18"/>
      <c r="AF240" s="18"/>
      <c r="AG240" s="18"/>
      <c r="AH240" s="18"/>
      <c r="AI240" s="18"/>
      <c r="AJ240" s="97"/>
      <c r="AK240" s="18"/>
      <c r="AL240" s="18"/>
    </row>
    <row r="241" spans="4:38" x14ac:dyDescent="0.2">
      <c r="D241" s="19"/>
      <c r="E241" s="19"/>
      <c r="F241" s="19"/>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9"/>
      <c r="AE241" s="18"/>
      <c r="AF241" s="18"/>
      <c r="AG241" s="18"/>
      <c r="AH241" s="18"/>
      <c r="AI241" s="18"/>
      <c r="AJ241" s="97"/>
      <c r="AK241" s="18"/>
      <c r="AL241" s="18"/>
    </row>
    <row r="242" spans="4:38" x14ac:dyDescent="0.2">
      <c r="D242" s="19"/>
      <c r="E242" s="19"/>
      <c r="F242" s="19"/>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9"/>
      <c r="AE242" s="18"/>
      <c r="AF242" s="18"/>
      <c r="AG242" s="18"/>
      <c r="AH242" s="18"/>
      <c r="AI242" s="18"/>
      <c r="AJ242" s="97"/>
      <c r="AK242" s="18"/>
      <c r="AL242" s="18"/>
    </row>
    <row r="243" spans="4:38" x14ac:dyDescent="0.2">
      <c r="D243" s="19"/>
      <c r="E243" s="19"/>
      <c r="F243" s="19"/>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9"/>
      <c r="AE243" s="18"/>
      <c r="AF243" s="18"/>
      <c r="AG243" s="18"/>
      <c r="AH243" s="18"/>
      <c r="AI243" s="18"/>
      <c r="AJ243" s="97"/>
      <c r="AK243" s="18"/>
      <c r="AL243" s="18"/>
    </row>
    <row r="244" spans="4:38" x14ac:dyDescent="0.2">
      <c r="D244" s="19"/>
      <c r="E244" s="19"/>
      <c r="F244" s="19"/>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9"/>
      <c r="AE244" s="18"/>
      <c r="AF244" s="18"/>
      <c r="AG244" s="18"/>
      <c r="AH244" s="18"/>
      <c r="AI244" s="18"/>
      <c r="AJ244" s="97"/>
      <c r="AK244" s="18"/>
      <c r="AL244" s="18"/>
    </row>
    <row r="245" spans="4:38" x14ac:dyDescent="0.2">
      <c r="D245" s="19"/>
      <c r="E245" s="19"/>
      <c r="F245" s="19"/>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9"/>
      <c r="AE245" s="18"/>
      <c r="AF245" s="18"/>
      <c r="AG245" s="18"/>
      <c r="AH245" s="18"/>
      <c r="AI245" s="18"/>
      <c r="AJ245" s="97"/>
      <c r="AK245" s="18"/>
      <c r="AL245" s="18"/>
    </row>
    <row r="246" spans="4:38" x14ac:dyDescent="0.2">
      <c r="D246" s="19"/>
      <c r="E246" s="19"/>
      <c r="F246" s="19"/>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9"/>
      <c r="AE246" s="18"/>
      <c r="AF246" s="18"/>
      <c r="AG246" s="18"/>
      <c r="AH246" s="18"/>
      <c r="AI246" s="18"/>
      <c r="AJ246" s="97"/>
      <c r="AK246" s="18"/>
      <c r="AL246" s="18"/>
    </row>
    <row r="247" spans="4:38" x14ac:dyDescent="0.2">
      <c r="D247" s="19"/>
      <c r="E247" s="19"/>
      <c r="F247" s="19"/>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9"/>
      <c r="AE247" s="18"/>
      <c r="AF247" s="18"/>
      <c r="AG247" s="18"/>
      <c r="AH247" s="18"/>
      <c r="AI247" s="18"/>
      <c r="AJ247" s="97"/>
      <c r="AK247" s="18"/>
      <c r="AL247" s="18"/>
    </row>
    <row r="248" spans="4:38" x14ac:dyDescent="0.2">
      <c r="D248" s="19"/>
      <c r="E248" s="19"/>
      <c r="F248" s="19"/>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9"/>
      <c r="AE248" s="18"/>
      <c r="AF248" s="18"/>
      <c r="AG248" s="18"/>
      <c r="AH248" s="18"/>
      <c r="AI248" s="18"/>
      <c r="AJ248" s="97"/>
      <c r="AK248" s="18"/>
      <c r="AL248" s="18"/>
    </row>
    <row r="249" spans="4:38" x14ac:dyDescent="0.2">
      <c r="D249" s="19"/>
      <c r="E249" s="19"/>
      <c r="F249" s="19"/>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9"/>
      <c r="AE249" s="18"/>
      <c r="AF249" s="18"/>
      <c r="AG249" s="18"/>
      <c r="AH249" s="18"/>
      <c r="AI249" s="18"/>
      <c r="AJ249" s="97"/>
      <c r="AK249" s="18"/>
      <c r="AL249" s="18"/>
    </row>
    <row r="250" spans="4:38" x14ac:dyDescent="0.2">
      <c r="D250" s="19"/>
      <c r="E250" s="19"/>
      <c r="F250" s="19"/>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9"/>
      <c r="AE250" s="18"/>
      <c r="AF250" s="18"/>
      <c r="AG250" s="18"/>
      <c r="AH250" s="18"/>
      <c r="AI250" s="18"/>
      <c r="AJ250" s="97"/>
      <c r="AK250" s="18"/>
      <c r="AL250" s="18"/>
    </row>
    <row r="251" spans="4:38" x14ac:dyDescent="0.2">
      <c r="D251" s="19"/>
      <c r="E251" s="19"/>
      <c r="F251" s="19"/>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9"/>
      <c r="AE251" s="18"/>
      <c r="AF251" s="18"/>
      <c r="AG251" s="18"/>
      <c r="AH251" s="18"/>
      <c r="AI251" s="18"/>
      <c r="AJ251" s="97"/>
      <c r="AK251" s="18"/>
      <c r="AL251" s="18"/>
    </row>
    <row r="252" spans="4:38" x14ac:dyDescent="0.2">
      <c r="D252" s="19"/>
      <c r="E252" s="19"/>
      <c r="F252" s="19"/>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9"/>
      <c r="AE252" s="18"/>
      <c r="AF252" s="18"/>
      <c r="AG252" s="18"/>
      <c r="AH252" s="18"/>
      <c r="AI252" s="18"/>
      <c r="AJ252" s="97"/>
      <c r="AK252" s="18"/>
      <c r="AL252" s="18"/>
    </row>
    <row r="253" spans="4:38" x14ac:dyDescent="0.2">
      <c r="D253" s="19"/>
      <c r="E253" s="19"/>
      <c r="F253" s="19"/>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9"/>
      <c r="AE253" s="18"/>
      <c r="AF253" s="18"/>
      <c r="AG253" s="18"/>
      <c r="AH253" s="18"/>
      <c r="AI253" s="18"/>
      <c r="AJ253" s="97"/>
      <c r="AK253" s="18"/>
      <c r="AL253" s="18"/>
    </row>
    <row r="254" spans="4:38" x14ac:dyDescent="0.2">
      <c r="D254" s="19"/>
      <c r="E254" s="19"/>
      <c r="F254" s="19"/>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9"/>
      <c r="AE254" s="18"/>
      <c r="AF254" s="18"/>
      <c r="AG254" s="18"/>
      <c r="AH254" s="18"/>
      <c r="AI254" s="18"/>
      <c r="AJ254" s="97"/>
      <c r="AK254" s="18"/>
      <c r="AL254" s="18"/>
    </row>
    <row r="255" spans="4:38" x14ac:dyDescent="0.2">
      <c r="D255" s="19"/>
      <c r="E255" s="19"/>
      <c r="F255" s="19"/>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9"/>
      <c r="AE255" s="18"/>
      <c r="AF255" s="18"/>
      <c r="AG255" s="18"/>
      <c r="AH255" s="18"/>
      <c r="AI255" s="18"/>
      <c r="AJ255" s="97"/>
      <c r="AK255" s="18"/>
      <c r="AL255" s="18"/>
    </row>
    <row r="256" spans="4:38" x14ac:dyDescent="0.2">
      <c r="D256" s="19"/>
      <c r="E256" s="19"/>
      <c r="F256" s="19"/>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9"/>
      <c r="AE256" s="18"/>
      <c r="AF256" s="18"/>
      <c r="AG256" s="18"/>
      <c r="AH256" s="18"/>
      <c r="AI256" s="18"/>
      <c r="AJ256" s="97"/>
      <c r="AK256" s="18"/>
      <c r="AL256" s="18"/>
    </row>
    <row r="257" spans="4:38" x14ac:dyDescent="0.2">
      <c r="D257" s="19"/>
      <c r="E257" s="19"/>
      <c r="F257" s="19"/>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9"/>
      <c r="AE257" s="18"/>
      <c r="AF257" s="18"/>
      <c r="AG257" s="18"/>
      <c r="AH257" s="18"/>
      <c r="AI257" s="18"/>
      <c r="AJ257" s="97"/>
      <c r="AK257" s="18"/>
      <c r="AL257" s="18"/>
    </row>
    <row r="258" spans="4:38" x14ac:dyDescent="0.2">
      <c r="D258" s="19"/>
      <c r="E258" s="19"/>
      <c r="F258" s="19"/>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9"/>
      <c r="AE258" s="18"/>
      <c r="AF258" s="18"/>
      <c r="AG258" s="18"/>
      <c r="AH258" s="18"/>
      <c r="AI258" s="18"/>
      <c r="AJ258" s="97"/>
      <c r="AK258" s="18"/>
      <c r="AL258" s="18"/>
    </row>
    <row r="259" spans="4:38" x14ac:dyDescent="0.2">
      <c r="D259" s="19"/>
      <c r="E259" s="19"/>
      <c r="F259" s="19"/>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9"/>
      <c r="AE259" s="18"/>
      <c r="AF259" s="18"/>
      <c r="AG259" s="18"/>
      <c r="AH259" s="18"/>
      <c r="AI259" s="18"/>
      <c r="AJ259" s="97"/>
      <c r="AK259" s="18"/>
      <c r="AL259" s="18"/>
    </row>
    <row r="260" spans="4:38" x14ac:dyDescent="0.2">
      <c r="D260" s="19"/>
      <c r="E260" s="19"/>
      <c r="F260" s="19"/>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9"/>
      <c r="AE260" s="18"/>
      <c r="AF260" s="18"/>
      <c r="AG260" s="18"/>
      <c r="AH260" s="18"/>
      <c r="AI260" s="18"/>
      <c r="AJ260" s="97"/>
      <c r="AK260" s="18"/>
      <c r="AL260" s="18"/>
    </row>
    <row r="261" spans="4:38" x14ac:dyDescent="0.2">
      <c r="D261" s="19"/>
      <c r="E261" s="19"/>
      <c r="F261" s="19"/>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9"/>
      <c r="AE261" s="18"/>
      <c r="AF261" s="18"/>
      <c r="AG261" s="18"/>
      <c r="AH261" s="18"/>
      <c r="AI261" s="18"/>
      <c r="AJ261" s="97"/>
      <c r="AK261" s="18"/>
      <c r="AL261" s="18"/>
    </row>
    <row r="262" spans="4:38" x14ac:dyDescent="0.2">
      <c r="D262" s="19"/>
      <c r="E262" s="19"/>
      <c r="F262" s="19"/>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9"/>
      <c r="AE262" s="18"/>
      <c r="AF262" s="18"/>
      <c r="AG262" s="18"/>
      <c r="AH262" s="18"/>
      <c r="AI262" s="18"/>
      <c r="AJ262" s="97"/>
      <c r="AK262" s="18"/>
      <c r="AL262" s="18"/>
    </row>
    <row r="263" spans="4:38" x14ac:dyDescent="0.2">
      <c r="D263" s="19"/>
      <c r="E263" s="19"/>
      <c r="F263" s="19"/>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9"/>
      <c r="AE263" s="18"/>
      <c r="AF263" s="18"/>
      <c r="AG263" s="18"/>
      <c r="AH263" s="18"/>
      <c r="AI263" s="18"/>
      <c r="AJ263" s="97"/>
      <c r="AK263" s="18"/>
      <c r="AL263" s="18"/>
    </row>
    <row r="264" spans="4:38" x14ac:dyDescent="0.2">
      <c r="D264" s="19"/>
      <c r="E264" s="19"/>
      <c r="F264" s="19"/>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9"/>
      <c r="AE264" s="18"/>
      <c r="AF264" s="18"/>
      <c r="AG264" s="18"/>
      <c r="AH264" s="18"/>
      <c r="AI264" s="18"/>
      <c r="AJ264" s="97"/>
      <c r="AK264" s="18"/>
      <c r="AL264" s="18"/>
    </row>
    <row r="265" spans="4:38" x14ac:dyDescent="0.2">
      <c r="D265" s="19"/>
      <c r="E265" s="19"/>
      <c r="F265" s="19"/>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9"/>
      <c r="AE265" s="18"/>
      <c r="AF265" s="18"/>
      <c r="AG265" s="18"/>
      <c r="AH265" s="18"/>
      <c r="AI265" s="18"/>
      <c r="AJ265" s="97"/>
      <c r="AK265" s="18"/>
      <c r="AL265" s="18"/>
    </row>
    <row r="266" spans="4:38" x14ac:dyDescent="0.2">
      <c r="D266" s="19"/>
      <c r="E266" s="19"/>
      <c r="F266" s="19"/>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9"/>
      <c r="AE266" s="18"/>
      <c r="AF266" s="18"/>
      <c r="AG266" s="18"/>
      <c r="AH266" s="18"/>
      <c r="AI266" s="18"/>
      <c r="AJ266" s="97"/>
      <c r="AK266" s="18"/>
      <c r="AL266" s="18"/>
    </row>
    <row r="267" spans="4:38" x14ac:dyDescent="0.2">
      <c r="D267" s="19"/>
      <c r="E267" s="19"/>
      <c r="F267" s="19"/>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9"/>
      <c r="AE267" s="18"/>
      <c r="AF267" s="18"/>
      <c r="AG267" s="18"/>
      <c r="AH267" s="18"/>
      <c r="AI267" s="18"/>
      <c r="AJ267" s="97"/>
      <c r="AK267" s="18"/>
      <c r="AL267" s="18"/>
    </row>
    <row r="268" spans="4:38" x14ac:dyDescent="0.2">
      <c r="D268" s="19"/>
      <c r="E268" s="19"/>
      <c r="F268" s="19"/>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9"/>
      <c r="AE268" s="18"/>
      <c r="AF268" s="18"/>
      <c r="AG268" s="18"/>
      <c r="AH268" s="18"/>
      <c r="AI268" s="18"/>
      <c r="AJ268" s="97"/>
      <c r="AK268" s="18"/>
      <c r="AL268" s="18"/>
    </row>
    <row r="269" spans="4:38" x14ac:dyDescent="0.2">
      <c r="D269" s="19"/>
      <c r="E269" s="19"/>
      <c r="F269" s="19"/>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9"/>
      <c r="AE269" s="18"/>
      <c r="AF269" s="18"/>
      <c r="AG269" s="18"/>
      <c r="AH269" s="18"/>
      <c r="AI269" s="18"/>
      <c r="AJ269" s="97"/>
      <c r="AK269" s="18"/>
      <c r="AL269" s="18"/>
    </row>
    <row r="270" spans="4:38" x14ac:dyDescent="0.2">
      <c r="D270" s="19"/>
      <c r="E270" s="19"/>
      <c r="F270" s="19"/>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9"/>
      <c r="AE270" s="18"/>
      <c r="AF270" s="18"/>
      <c r="AG270" s="18"/>
      <c r="AH270" s="18"/>
      <c r="AI270" s="18"/>
      <c r="AJ270" s="97"/>
      <c r="AK270" s="18"/>
      <c r="AL270" s="18"/>
    </row>
    <row r="271" spans="4:38" x14ac:dyDescent="0.2">
      <c r="D271" s="19"/>
      <c r="E271" s="19"/>
      <c r="F271" s="19"/>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9"/>
      <c r="AE271" s="18"/>
      <c r="AF271" s="18"/>
      <c r="AG271" s="18"/>
      <c r="AH271" s="18"/>
      <c r="AI271" s="18"/>
      <c r="AJ271" s="97"/>
      <c r="AK271" s="18"/>
      <c r="AL271" s="18"/>
    </row>
    <row r="272" spans="4:38" x14ac:dyDescent="0.2">
      <c r="D272" s="19"/>
      <c r="E272" s="19"/>
      <c r="F272" s="19"/>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9"/>
      <c r="AE272" s="18"/>
      <c r="AF272" s="18"/>
      <c r="AG272" s="18"/>
      <c r="AH272" s="18"/>
      <c r="AI272" s="18"/>
      <c r="AJ272" s="97"/>
      <c r="AK272" s="18"/>
      <c r="AL272" s="18"/>
    </row>
    <row r="273" spans="4:38" x14ac:dyDescent="0.2">
      <c r="D273" s="19"/>
      <c r="E273" s="19"/>
      <c r="F273" s="19"/>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9"/>
      <c r="AE273" s="18"/>
      <c r="AF273" s="18"/>
      <c r="AG273" s="18"/>
      <c r="AH273" s="18"/>
      <c r="AI273" s="18"/>
      <c r="AJ273" s="97"/>
      <c r="AK273" s="18"/>
      <c r="AL273" s="18"/>
    </row>
    <row r="274" spans="4:38" x14ac:dyDescent="0.2">
      <c r="D274" s="19"/>
      <c r="E274" s="19"/>
      <c r="F274" s="19"/>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9"/>
      <c r="AE274" s="18"/>
      <c r="AF274" s="18"/>
      <c r="AG274" s="18"/>
      <c r="AH274" s="18"/>
      <c r="AI274" s="18"/>
      <c r="AJ274" s="97"/>
      <c r="AK274" s="18"/>
      <c r="AL274" s="18"/>
    </row>
    <row r="275" spans="4:38" x14ac:dyDescent="0.2">
      <c r="D275" s="19"/>
      <c r="E275" s="19"/>
      <c r="F275" s="19"/>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9"/>
      <c r="AE275" s="18"/>
      <c r="AF275" s="18"/>
      <c r="AG275" s="18"/>
      <c r="AH275" s="18"/>
      <c r="AI275" s="18"/>
      <c r="AJ275" s="97"/>
      <c r="AK275" s="18"/>
      <c r="AL275" s="18"/>
    </row>
    <row r="276" spans="4:38" x14ac:dyDescent="0.2">
      <c r="D276" s="19"/>
      <c r="E276" s="19"/>
      <c r="F276" s="19"/>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9"/>
      <c r="AE276" s="18"/>
      <c r="AF276" s="18"/>
      <c r="AG276" s="18"/>
      <c r="AH276" s="18"/>
      <c r="AI276" s="18"/>
      <c r="AJ276" s="97"/>
      <c r="AK276" s="18"/>
      <c r="AL276" s="18"/>
    </row>
    <row r="277" spans="4:38" x14ac:dyDescent="0.2">
      <c r="D277" s="19"/>
      <c r="E277" s="19"/>
      <c r="F277" s="19"/>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9"/>
      <c r="AE277" s="18"/>
      <c r="AF277" s="18"/>
      <c r="AG277" s="18"/>
      <c r="AH277" s="18"/>
      <c r="AI277" s="18"/>
      <c r="AJ277" s="97"/>
      <c r="AK277" s="18"/>
      <c r="AL277" s="18"/>
    </row>
    <row r="278" spans="4:38" x14ac:dyDescent="0.2">
      <c r="D278" s="19"/>
      <c r="E278" s="19"/>
      <c r="F278" s="19"/>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9"/>
      <c r="AE278" s="18"/>
      <c r="AF278" s="18"/>
      <c r="AG278" s="18"/>
      <c r="AH278" s="18"/>
      <c r="AI278" s="18"/>
      <c r="AJ278" s="97"/>
      <c r="AK278" s="18"/>
      <c r="AL278" s="18"/>
    </row>
    <row r="279" spans="4:38" x14ac:dyDescent="0.2">
      <c r="D279" s="19"/>
      <c r="E279" s="19"/>
      <c r="F279" s="19"/>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9"/>
      <c r="AE279" s="18"/>
      <c r="AF279" s="18"/>
      <c r="AG279" s="18"/>
      <c r="AH279" s="18"/>
      <c r="AI279" s="18"/>
      <c r="AJ279" s="97"/>
      <c r="AK279" s="18"/>
      <c r="AL279" s="18"/>
    </row>
    <row r="280" spans="4:38" x14ac:dyDescent="0.2">
      <c r="D280" s="19"/>
      <c r="E280" s="19"/>
      <c r="F280" s="19"/>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9"/>
      <c r="AE280" s="18"/>
      <c r="AF280" s="18"/>
      <c r="AG280" s="18"/>
      <c r="AH280" s="18"/>
      <c r="AI280" s="18"/>
      <c r="AJ280" s="97"/>
      <c r="AK280" s="18"/>
      <c r="AL280" s="18"/>
    </row>
    <row r="281" spans="4:38" x14ac:dyDescent="0.2">
      <c r="D281" s="19"/>
      <c r="E281" s="19"/>
      <c r="F281" s="19"/>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9"/>
      <c r="AE281" s="18"/>
      <c r="AF281" s="18"/>
      <c r="AG281" s="18"/>
      <c r="AH281" s="18"/>
      <c r="AI281" s="18"/>
      <c r="AJ281" s="97"/>
      <c r="AK281" s="18"/>
      <c r="AL281" s="18"/>
    </row>
    <row r="282" spans="4:38" x14ac:dyDescent="0.2">
      <c r="D282" s="19"/>
      <c r="E282" s="19"/>
      <c r="F282" s="19"/>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9"/>
      <c r="AE282" s="18"/>
      <c r="AF282" s="18"/>
      <c r="AG282" s="18"/>
      <c r="AH282" s="18"/>
      <c r="AI282" s="18"/>
      <c r="AJ282" s="97"/>
      <c r="AK282" s="18"/>
      <c r="AL282" s="18"/>
    </row>
    <row r="283" spans="4:38" x14ac:dyDescent="0.2">
      <c r="D283" s="19"/>
      <c r="E283" s="19"/>
      <c r="F283" s="19"/>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9"/>
      <c r="AE283" s="18"/>
      <c r="AF283" s="18"/>
      <c r="AG283" s="18"/>
      <c r="AH283" s="18"/>
      <c r="AI283" s="18"/>
      <c r="AJ283" s="97"/>
      <c r="AK283" s="18"/>
      <c r="AL283" s="18"/>
    </row>
    <row r="284" spans="4:38" x14ac:dyDescent="0.2">
      <c r="D284" s="19"/>
      <c r="E284" s="19"/>
      <c r="F284" s="19"/>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9"/>
      <c r="AE284" s="18"/>
      <c r="AF284" s="18"/>
      <c r="AG284" s="18"/>
      <c r="AH284" s="18"/>
      <c r="AI284" s="18"/>
      <c r="AJ284" s="97"/>
      <c r="AK284" s="18"/>
      <c r="AL284" s="18"/>
    </row>
    <row r="285" spans="4:38" x14ac:dyDescent="0.2">
      <c r="D285" s="19"/>
      <c r="E285" s="19"/>
      <c r="F285" s="19"/>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9"/>
      <c r="AE285" s="18"/>
      <c r="AF285" s="18"/>
      <c r="AG285" s="18"/>
      <c r="AH285" s="18"/>
      <c r="AI285" s="18"/>
      <c r="AJ285" s="97"/>
      <c r="AK285" s="18"/>
      <c r="AL285" s="18"/>
    </row>
    <row r="286" spans="4:38" x14ac:dyDescent="0.2">
      <c r="D286" s="19"/>
      <c r="E286" s="19"/>
      <c r="F286" s="19"/>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9"/>
      <c r="AE286" s="18"/>
      <c r="AF286" s="18"/>
      <c r="AG286" s="18"/>
      <c r="AH286" s="18"/>
      <c r="AI286" s="18"/>
      <c r="AJ286" s="97"/>
      <c r="AK286" s="18"/>
      <c r="AL286" s="18"/>
    </row>
    <row r="287" spans="4:38" x14ac:dyDescent="0.2">
      <c r="D287" s="19"/>
      <c r="E287" s="19"/>
      <c r="F287" s="19"/>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9"/>
      <c r="AE287" s="18"/>
      <c r="AF287" s="18"/>
      <c r="AG287" s="18"/>
      <c r="AH287" s="18"/>
      <c r="AI287" s="18"/>
      <c r="AJ287" s="97"/>
      <c r="AK287" s="18"/>
      <c r="AL287" s="18"/>
    </row>
    <row r="288" spans="4:38" x14ac:dyDescent="0.2">
      <c r="D288" s="19"/>
      <c r="E288" s="19"/>
      <c r="F288" s="19"/>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9"/>
      <c r="AE288" s="18"/>
      <c r="AF288" s="18"/>
      <c r="AG288" s="18"/>
      <c r="AH288" s="18"/>
      <c r="AI288" s="18"/>
      <c r="AJ288" s="97"/>
      <c r="AK288" s="18"/>
      <c r="AL288" s="18"/>
    </row>
    <row r="289" spans="4:38" x14ac:dyDescent="0.2">
      <c r="D289" s="19"/>
      <c r="E289" s="19"/>
      <c r="F289" s="19"/>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9"/>
      <c r="AE289" s="18"/>
      <c r="AF289" s="18"/>
      <c r="AG289" s="18"/>
      <c r="AH289" s="18"/>
      <c r="AI289" s="18"/>
      <c r="AJ289" s="97"/>
      <c r="AK289" s="18"/>
      <c r="AL289" s="18"/>
    </row>
    <row r="290" spans="4:38" x14ac:dyDescent="0.2">
      <c r="D290" s="19"/>
      <c r="E290" s="19"/>
      <c r="F290" s="19"/>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9"/>
      <c r="AE290" s="18"/>
      <c r="AF290" s="18"/>
      <c r="AG290" s="18"/>
      <c r="AH290" s="18"/>
      <c r="AI290" s="18"/>
      <c r="AJ290" s="97"/>
      <c r="AK290" s="18"/>
      <c r="AL290" s="18"/>
    </row>
    <row r="291" spans="4:38" x14ac:dyDescent="0.2">
      <c r="D291" s="19"/>
      <c r="E291" s="19"/>
      <c r="F291" s="19"/>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9"/>
      <c r="AE291" s="18"/>
      <c r="AF291" s="18"/>
      <c r="AG291" s="18"/>
      <c r="AH291" s="18"/>
      <c r="AI291" s="18"/>
      <c r="AJ291" s="97"/>
      <c r="AK291" s="18"/>
      <c r="AL291" s="18"/>
    </row>
    <row r="292" spans="4:38" x14ac:dyDescent="0.2">
      <c r="D292" s="19"/>
      <c r="E292" s="19"/>
      <c r="F292" s="19"/>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9"/>
      <c r="AE292" s="18"/>
      <c r="AF292" s="18"/>
      <c r="AG292" s="18"/>
      <c r="AH292" s="18"/>
      <c r="AI292" s="18"/>
      <c r="AJ292" s="97"/>
      <c r="AK292" s="18"/>
      <c r="AL292" s="18"/>
    </row>
    <row r="293" spans="4:38" x14ac:dyDescent="0.2">
      <c r="D293" s="19"/>
      <c r="E293" s="19"/>
      <c r="F293" s="19"/>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9"/>
      <c r="AE293" s="18"/>
      <c r="AF293" s="18"/>
      <c r="AG293" s="18"/>
      <c r="AH293" s="18"/>
      <c r="AI293" s="18"/>
      <c r="AJ293" s="97"/>
      <c r="AK293" s="18"/>
      <c r="AL293" s="18"/>
    </row>
    <row r="294" spans="4:38" x14ac:dyDescent="0.2">
      <c r="D294" s="19"/>
      <c r="E294" s="19"/>
      <c r="F294" s="19"/>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9"/>
      <c r="AE294" s="18"/>
      <c r="AF294" s="18"/>
      <c r="AG294" s="18"/>
      <c r="AH294" s="18"/>
      <c r="AI294" s="18"/>
      <c r="AJ294" s="97"/>
      <c r="AK294" s="18"/>
      <c r="AL294" s="18"/>
    </row>
    <row r="295" spans="4:38" x14ac:dyDescent="0.2">
      <c r="D295" s="19"/>
      <c r="E295" s="19"/>
      <c r="F295" s="19"/>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9"/>
      <c r="AE295" s="18"/>
      <c r="AF295" s="18"/>
      <c r="AG295" s="18"/>
      <c r="AH295" s="18"/>
      <c r="AI295" s="18"/>
      <c r="AJ295" s="97"/>
      <c r="AK295" s="18"/>
      <c r="AL295" s="18"/>
    </row>
    <row r="296" spans="4:38" x14ac:dyDescent="0.2">
      <c r="D296" s="19"/>
      <c r="E296" s="19"/>
      <c r="F296" s="19"/>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9"/>
      <c r="AE296" s="18"/>
      <c r="AF296" s="18"/>
      <c r="AG296" s="18"/>
      <c r="AH296" s="18"/>
      <c r="AI296" s="18"/>
      <c r="AJ296" s="97"/>
      <c r="AK296" s="18"/>
      <c r="AL296" s="18"/>
    </row>
    <row r="297" spans="4:38" x14ac:dyDescent="0.2">
      <c r="D297" s="19"/>
      <c r="E297" s="19"/>
      <c r="F297" s="19"/>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9"/>
      <c r="AE297" s="18"/>
      <c r="AF297" s="18"/>
      <c r="AG297" s="18"/>
      <c r="AH297" s="18"/>
      <c r="AI297" s="18"/>
      <c r="AJ297" s="97"/>
      <c r="AK297" s="18"/>
      <c r="AL297" s="18"/>
    </row>
    <row r="298" spans="4:38" x14ac:dyDescent="0.2">
      <c r="D298" s="19"/>
      <c r="E298" s="19"/>
      <c r="F298" s="19"/>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9"/>
      <c r="AE298" s="18"/>
      <c r="AF298" s="18"/>
      <c r="AG298" s="18"/>
      <c r="AH298" s="18"/>
      <c r="AI298" s="18"/>
      <c r="AJ298" s="97"/>
      <c r="AK298" s="18"/>
      <c r="AL298" s="18"/>
    </row>
    <row r="299" spans="4:38" x14ac:dyDescent="0.2">
      <c r="D299" s="19"/>
      <c r="E299" s="19"/>
      <c r="F299" s="19"/>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9"/>
      <c r="AE299" s="18"/>
      <c r="AF299" s="18"/>
      <c r="AG299" s="18"/>
      <c r="AH299" s="18"/>
      <c r="AI299" s="18"/>
      <c r="AJ299" s="97"/>
      <c r="AK299" s="18"/>
      <c r="AL299" s="18"/>
    </row>
    <row r="300" spans="4:38" x14ac:dyDescent="0.2">
      <c r="D300" s="19"/>
      <c r="E300" s="19"/>
      <c r="F300" s="19"/>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9"/>
      <c r="AE300" s="18"/>
      <c r="AF300" s="18"/>
      <c r="AG300" s="18"/>
      <c r="AH300" s="18"/>
      <c r="AI300" s="18"/>
      <c r="AJ300" s="97"/>
      <c r="AK300" s="18"/>
      <c r="AL300" s="18"/>
    </row>
    <row r="301" spans="4:38" x14ac:dyDescent="0.2">
      <c r="D301" s="19"/>
      <c r="E301" s="19"/>
      <c r="F301" s="19"/>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9"/>
      <c r="AE301" s="18"/>
      <c r="AF301" s="18"/>
      <c r="AG301" s="18"/>
      <c r="AH301" s="18"/>
      <c r="AI301" s="18"/>
      <c r="AJ301" s="97"/>
      <c r="AK301" s="18"/>
      <c r="AL301" s="18"/>
    </row>
    <row r="302" spans="4:38" x14ac:dyDescent="0.2">
      <c r="D302" s="19"/>
      <c r="E302" s="19"/>
      <c r="F302" s="19"/>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9"/>
      <c r="AE302" s="18"/>
      <c r="AF302" s="18"/>
      <c r="AG302" s="18"/>
      <c r="AH302" s="18"/>
      <c r="AI302" s="18"/>
      <c r="AJ302" s="97"/>
      <c r="AK302" s="18"/>
      <c r="AL302" s="18"/>
    </row>
    <row r="303" spans="4:38" x14ac:dyDescent="0.2">
      <c r="D303" s="19"/>
      <c r="E303" s="19"/>
      <c r="F303" s="19"/>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9"/>
      <c r="AE303" s="18"/>
      <c r="AF303" s="18"/>
      <c r="AG303" s="18"/>
      <c r="AH303" s="18"/>
      <c r="AI303" s="18"/>
      <c r="AJ303" s="97"/>
      <c r="AK303" s="18"/>
      <c r="AL303" s="18"/>
    </row>
    <row r="304" spans="4:38" x14ac:dyDescent="0.2">
      <c r="D304" s="19"/>
      <c r="E304" s="19"/>
      <c r="F304" s="19"/>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9"/>
      <c r="AE304" s="18"/>
      <c r="AF304" s="18"/>
      <c r="AG304" s="18"/>
      <c r="AH304" s="18"/>
      <c r="AI304" s="18"/>
      <c r="AJ304" s="97"/>
      <c r="AK304" s="18"/>
      <c r="AL304" s="18"/>
    </row>
    <row r="305" spans="4:38" x14ac:dyDescent="0.2">
      <c r="D305" s="19"/>
      <c r="E305" s="19"/>
      <c r="F305" s="19"/>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9"/>
      <c r="AE305" s="18"/>
      <c r="AF305" s="18"/>
      <c r="AG305" s="18"/>
      <c r="AH305" s="18"/>
      <c r="AI305" s="18"/>
      <c r="AJ305" s="97"/>
      <c r="AK305" s="18"/>
      <c r="AL305" s="18"/>
    </row>
    <row r="306" spans="4:38" x14ac:dyDescent="0.2">
      <c r="D306" s="19"/>
      <c r="E306" s="19"/>
      <c r="F306" s="19"/>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9"/>
      <c r="AE306" s="18"/>
      <c r="AF306" s="18"/>
      <c r="AG306" s="18"/>
      <c r="AH306" s="18"/>
      <c r="AI306" s="18"/>
      <c r="AJ306" s="97"/>
      <c r="AK306" s="18"/>
      <c r="AL306" s="18"/>
    </row>
    <row r="307" spans="4:38" x14ac:dyDescent="0.2">
      <c r="D307" s="19"/>
      <c r="E307" s="19"/>
      <c r="F307" s="19"/>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9"/>
      <c r="AE307" s="18"/>
      <c r="AF307" s="18"/>
      <c r="AG307" s="18"/>
      <c r="AH307" s="18"/>
      <c r="AI307" s="18"/>
      <c r="AJ307" s="97"/>
      <c r="AK307" s="18"/>
      <c r="AL307" s="18"/>
    </row>
    <row r="308" spans="4:38" x14ac:dyDescent="0.2">
      <c r="D308" s="19"/>
      <c r="E308" s="19"/>
      <c r="F308" s="19"/>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9"/>
      <c r="AE308" s="18"/>
      <c r="AF308" s="18"/>
      <c r="AG308" s="18"/>
      <c r="AH308" s="18"/>
      <c r="AI308" s="18"/>
      <c r="AJ308" s="97"/>
      <c r="AK308" s="18"/>
      <c r="AL308" s="18"/>
    </row>
    <row r="309" spans="4:38" x14ac:dyDescent="0.2">
      <c r="D309" s="19"/>
      <c r="E309" s="19"/>
      <c r="F309" s="19"/>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9"/>
      <c r="AE309" s="18"/>
      <c r="AF309" s="18"/>
      <c r="AG309" s="18"/>
      <c r="AH309" s="18"/>
      <c r="AI309" s="18"/>
      <c r="AJ309" s="97"/>
      <c r="AK309" s="18"/>
      <c r="AL309" s="18"/>
    </row>
    <row r="310" spans="4:38" x14ac:dyDescent="0.2">
      <c r="D310" s="19"/>
      <c r="E310" s="19"/>
      <c r="F310" s="19"/>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9"/>
      <c r="AE310" s="18"/>
      <c r="AF310" s="18"/>
      <c r="AG310" s="18"/>
      <c r="AH310" s="18"/>
      <c r="AI310" s="18"/>
      <c r="AJ310" s="97"/>
      <c r="AK310" s="18"/>
      <c r="AL310" s="18"/>
    </row>
    <row r="311" spans="4:38" x14ac:dyDescent="0.2">
      <c r="D311" s="19"/>
      <c r="E311" s="19"/>
      <c r="F311" s="19"/>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9"/>
      <c r="AE311" s="18"/>
      <c r="AF311" s="18"/>
      <c r="AG311" s="18"/>
      <c r="AH311" s="18"/>
      <c r="AI311" s="18"/>
      <c r="AJ311" s="97"/>
      <c r="AK311" s="18"/>
      <c r="AL311" s="18"/>
    </row>
    <row r="312" spans="4:38" x14ac:dyDescent="0.2">
      <c r="D312" s="19"/>
      <c r="E312" s="19"/>
      <c r="F312" s="19"/>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9"/>
      <c r="AE312" s="18"/>
      <c r="AF312" s="18"/>
      <c r="AG312" s="18"/>
      <c r="AH312" s="18"/>
      <c r="AI312" s="18"/>
      <c r="AJ312" s="97"/>
      <c r="AK312" s="18"/>
      <c r="AL312" s="18"/>
    </row>
    <row r="313" spans="4:38" x14ac:dyDescent="0.2">
      <c r="D313" s="19"/>
      <c r="E313" s="19"/>
      <c r="F313" s="19"/>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9"/>
      <c r="AE313" s="18"/>
      <c r="AF313" s="18"/>
      <c r="AG313" s="18"/>
      <c r="AH313" s="18"/>
      <c r="AI313" s="18"/>
      <c r="AJ313" s="97"/>
      <c r="AK313" s="18"/>
      <c r="AL313" s="18"/>
    </row>
    <row r="314" spans="4:38" x14ac:dyDescent="0.2">
      <c r="D314" s="19"/>
      <c r="E314" s="19"/>
      <c r="F314" s="19"/>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9"/>
      <c r="AE314" s="18"/>
      <c r="AF314" s="18"/>
      <c r="AG314" s="18"/>
      <c r="AH314" s="18"/>
      <c r="AI314" s="18"/>
      <c r="AJ314" s="97"/>
      <c r="AK314" s="18"/>
      <c r="AL314" s="18"/>
    </row>
    <row r="315" spans="4:38" x14ac:dyDescent="0.2">
      <c r="D315" s="19"/>
      <c r="E315" s="19"/>
      <c r="F315" s="19"/>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9"/>
      <c r="AE315" s="18"/>
      <c r="AF315" s="18"/>
      <c r="AG315" s="18"/>
      <c r="AH315" s="18"/>
      <c r="AI315" s="18"/>
      <c r="AJ315" s="97"/>
      <c r="AK315" s="18"/>
      <c r="AL315" s="18"/>
    </row>
    <row r="316" spans="4:38" x14ac:dyDescent="0.2">
      <c r="D316" s="19"/>
      <c r="E316" s="19"/>
      <c r="F316" s="19"/>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9"/>
      <c r="AE316" s="18"/>
      <c r="AF316" s="18"/>
      <c r="AG316" s="18"/>
      <c r="AH316" s="18"/>
      <c r="AI316" s="18"/>
      <c r="AJ316" s="97"/>
      <c r="AK316" s="18"/>
      <c r="AL316" s="18"/>
    </row>
    <row r="317" spans="4:38" x14ac:dyDescent="0.2">
      <c r="D317" s="19"/>
      <c r="E317" s="19"/>
      <c r="F317" s="19"/>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9"/>
      <c r="AE317" s="18"/>
      <c r="AF317" s="18"/>
      <c r="AG317" s="18"/>
      <c r="AH317" s="18"/>
      <c r="AI317" s="18"/>
      <c r="AJ317" s="97"/>
      <c r="AK317" s="18"/>
      <c r="AL317" s="18"/>
    </row>
    <row r="318" spans="4:38" x14ac:dyDescent="0.2">
      <c r="D318" s="19"/>
      <c r="E318" s="19"/>
      <c r="F318" s="19"/>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9"/>
      <c r="AE318" s="18"/>
      <c r="AF318" s="18"/>
      <c r="AG318" s="18"/>
      <c r="AH318" s="18"/>
      <c r="AI318" s="18"/>
      <c r="AJ318" s="97"/>
      <c r="AK318" s="18"/>
      <c r="AL318" s="18"/>
    </row>
    <row r="319" spans="4:38" x14ac:dyDescent="0.2">
      <c r="D319" s="19"/>
      <c r="E319" s="19"/>
      <c r="F319" s="19"/>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9"/>
      <c r="AE319" s="18"/>
      <c r="AF319" s="18"/>
      <c r="AG319" s="18"/>
      <c r="AH319" s="18"/>
      <c r="AI319" s="18"/>
      <c r="AJ319" s="97"/>
      <c r="AK319" s="18"/>
      <c r="AL319" s="18"/>
    </row>
    <row r="320" spans="4:38" x14ac:dyDescent="0.2">
      <c r="D320" s="19"/>
      <c r="E320" s="19"/>
      <c r="F320" s="19"/>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9"/>
      <c r="AE320" s="18"/>
      <c r="AF320" s="18"/>
      <c r="AG320" s="18"/>
      <c r="AH320" s="18"/>
      <c r="AI320" s="18"/>
      <c r="AJ320" s="97"/>
      <c r="AK320" s="18"/>
      <c r="AL320" s="18"/>
    </row>
    <row r="321" spans="4:38" x14ac:dyDescent="0.2">
      <c r="D321" s="19"/>
      <c r="E321" s="19"/>
      <c r="F321" s="19"/>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9"/>
      <c r="AE321" s="18"/>
      <c r="AF321" s="18"/>
      <c r="AG321" s="18"/>
      <c r="AH321" s="18"/>
      <c r="AI321" s="18"/>
      <c r="AJ321" s="97"/>
      <c r="AK321" s="18"/>
      <c r="AL321" s="18"/>
    </row>
    <row r="322" spans="4:38" x14ac:dyDescent="0.2">
      <c r="D322" s="19"/>
      <c r="E322" s="19"/>
      <c r="F322" s="19"/>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9"/>
      <c r="AE322" s="18"/>
      <c r="AF322" s="18"/>
      <c r="AG322" s="18"/>
      <c r="AH322" s="18"/>
      <c r="AI322" s="18"/>
      <c r="AJ322" s="97"/>
      <c r="AK322" s="18"/>
      <c r="AL322" s="18"/>
    </row>
    <row r="323" spans="4:38" x14ac:dyDescent="0.2">
      <c r="D323" s="19"/>
      <c r="E323" s="19"/>
      <c r="F323" s="19"/>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9"/>
      <c r="AE323" s="18"/>
      <c r="AF323" s="18"/>
      <c r="AG323" s="18"/>
      <c r="AH323" s="18"/>
      <c r="AI323" s="18"/>
      <c r="AJ323" s="97"/>
      <c r="AK323" s="18"/>
      <c r="AL323" s="18"/>
    </row>
    <row r="324" spans="4:38" x14ac:dyDescent="0.2">
      <c r="D324" s="19"/>
      <c r="E324" s="19"/>
      <c r="F324" s="19"/>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9"/>
      <c r="AE324" s="18"/>
      <c r="AF324" s="18"/>
      <c r="AG324" s="18"/>
      <c r="AH324" s="18"/>
      <c r="AI324" s="18"/>
      <c r="AJ324" s="97"/>
      <c r="AK324" s="18"/>
      <c r="AL324" s="18"/>
    </row>
    <row r="325" spans="4:38" x14ac:dyDescent="0.2">
      <c r="D325" s="19"/>
      <c r="E325" s="19"/>
      <c r="F325" s="19"/>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9"/>
      <c r="AE325" s="18"/>
      <c r="AF325" s="18"/>
      <c r="AG325" s="18"/>
      <c r="AH325" s="18"/>
      <c r="AI325" s="18"/>
      <c r="AJ325" s="97"/>
      <c r="AK325" s="18"/>
      <c r="AL325" s="18"/>
    </row>
    <row r="326" spans="4:38" x14ac:dyDescent="0.2">
      <c r="D326" s="19"/>
      <c r="E326" s="19"/>
      <c r="F326" s="19"/>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9"/>
      <c r="AE326" s="18"/>
      <c r="AF326" s="18"/>
      <c r="AG326" s="18"/>
      <c r="AH326" s="18"/>
      <c r="AI326" s="18"/>
      <c r="AJ326" s="97"/>
      <c r="AK326" s="18"/>
      <c r="AL326" s="18"/>
    </row>
    <row r="327" spans="4:38" x14ac:dyDescent="0.2">
      <c r="D327" s="19"/>
      <c r="E327" s="19"/>
      <c r="F327" s="19"/>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9"/>
      <c r="AE327" s="18"/>
      <c r="AF327" s="18"/>
      <c r="AG327" s="18"/>
      <c r="AH327" s="18"/>
      <c r="AI327" s="18"/>
      <c r="AJ327" s="97"/>
      <c r="AK327" s="18"/>
      <c r="AL327" s="18"/>
    </row>
    <row r="328" spans="4:38" x14ac:dyDescent="0.2">
      <c r="D328" s="19"/>
      <c r="E328" s="19"/>
      <c r="F328" s="19"/>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9"/>
      <c r="AE328" s="18"/>
      <c r="AF328" s="18"/>
      <c r="AG328" s="18"/>
      <c r="AH328" s="18"/>
      <c r="AI328" s="18"/>
      <c r="AJ328" s="97"/>
      <c r="AK328" s="18"/>
      <c r="AL328" s="18"/>
    </row>
    <row r="329" spans="4:38" x14ac:dyDescent="0.2">
      <c r="D329" s="19"/>
      <c r="E329" s="19"/>
      <c r="F329" s="19"/>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9"/>
      <c r="AE329" s="18"/>
      <c r="AF329" s="18"/>
      <c r="AG329" s="18"/>
      <c r="AH329" s="18"/>
      <c r="AI329" s="18"/>
      <c r="AJ329" s="97"/>
      <c r="AK329" s="18"/>
      <c r="AL329" s="18"/>
    </row>
    <row r="330" spans="4:38" x14ac:dyDescent="0.2">
      <c r="D330" s="19"/>
      <c r="E330" s="19"/>
      <c r="F330" s="19"/>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9"/>
      <c r="AE330" s="18"/>
      <c r="AF330" s="18"/>
      <c r="AG330" s="18"/>
      <c r="AH330" s="18"/>
      <c r="AI330" s="18"/>
      <c r="AJ330" s="97"/>
      <c r="AK330" s="18"/>
      <c r="AL330" s="18"/>
    </row>
    <row r="331" spans="4:38" x14ac:dyDescent="0.2">
      <c r="D331" s="19"/>
      <c r="E331" s="19"/>
      <c r="F331" s="19"/>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9"/>
      <c r="AE331" s="18"/>
      <c r="AF331" s="18"/>
      <c r="AG331" s="18"/>
      <c r="AH331" s="18"/>
      <c r="AI331" s="18"/>
      <c r="AJ331" s="97"/>
      <c r="AK331" s="18"/>
      <c r="AL331" s="18"/>
    </row>
    <row r="332" spans="4:38" x14ac:dyDescent="0.2">
      <c r="D332" s="19"/>
      <c r="E332" s="19"/>
      <c r="F332" s="19"/>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9"/>
      <c r="AE332" s="18"/>
      <c r="AF332" s="18"/>
      <c r="AG332" s="18"/>
      <c r="AH332" s="18"/>
      <c r="AI332" s="18"/>
      <c r="AJ332" s="97"/>
      <c r="AK332" s="18"/>
      <c r="AL332" s="18"/>
    </row>
    <row r="333" spans="4:38" x14ac:dyDescent="0.2">
      <c r="D333" s="19"/>
      <c r="E333" s="19"/>
      <c r="F333" s="19"/>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9"/>
      <c r="AE333" s="18"/>
      <c r="AF333" s="18"/>
      <c r="AG333" s="18"/>
      <c r="AH333" s="18"/>
      <c r="AI333" s="18"/>
      <c r="AJ333" s="97"/>
      <c r="AK333" s="18"/>
      <c r="AL333" s="18"/>
    </row>
    <row r="334" spans="4:38" x14ac:dyDescent="0.2">
      <c r="D334" s="19"/>
      <c r="E334" s="19"/>
      <c r="F334" s="19"/>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9"/>
      <c r="AE334" s="18"/>
      <c r="AF334" s="18"/>
      <c r="AG334" s="18"/>
      <c r="AH334" s="18"/>
      <c r="AI334" s="18"/>
      <c r="AJ334" s="97"/>
      <c r="AK334" s="18"/>
      <c r="AL334" s="18"/>
    </row>
    <row r="335" spans="4:38" x14ac:dyDescent="0.2">
      <c r="D335" s="19"/>
      <c r="E335" s="19"/>
      <c r="F335" s="19"/>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9"/>
      <c r="AE335" s="18"/>
      <c r="AF335" s="18"/>
      <c r="AG335" s="18"/>
      <c r="AH335" s="18"/>
      <c r="AI335" s="18"/>
      <c r="AJ335" s="97"/>
      <c r="AK335" s="18"/>
      <c r="AL335" s="18"/>
    </row>
    <row r="336" spans="4:38" x14ac:dyDescent="0.2">
      <c r="D336" s="19"/>
      <c r="E336" s="19"/>
      <c r="F336" s="19"/>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9"/>
      <c r="AE336" s="18"/>
      <c r="AF336" s="18"/>
      <c r="AG336" s="18"/>
      <c r="AH336" s="18"/>
      <c r="AI336" s="18"/>
      <c r="AJ336" s="97"/>
      <c r="AK336" s="18"/>
      <c r="AL336" s="18"/>
    </row>
    <row r="337" spans="4:38" x14ac:dyDescent="0.2">
      <c r="D337" s="19"/>
      <c r="E337" s="19"/>
      <c r="F337" s="19"/>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9"/>
      <c r="AE337" s="18"/>
      <c r="AF337" s="18"/>
      <c r="AG337" s="18"/>
      <c r="AH337" s="18"/>
      <c r="AI337" s="18"/>
      <c r="AJ337" s="97"/>
      <c r="AK337" s="18"/>
      <c r="AL337" s="18"/>
    </row>
    <row r="338" spans="4:38" x14ac:dyDescent="0.2">
      <c r="D338" s="19"/>
      <c r="E338" s="19"/>
      <c r="F338" s="19"/>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9"/>
      <c r="AE338" s="18"/>
      <c r="AF338" s="18"/>
      <c r="AG338" s="18"/>
      <c r="AH338" s="18"/>
      <c r="AI338" s="18"/>
      <c r="AJ338" s="97"/>
      <c r="AK338" s="18"/>
      <c r="AL338" s="18"/>
    </row>
    <row r="339" spans="4:38" x14ac:dyDescent="0.2">
      <c r="D339" s="19"/>
      <c r="E339" s="19"/>
      <c r="F339" s="19"/>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9"/>
      <c r="AE339" s="18"/>
      <c r="AF339" s="18"/>
      <c r="AG339" s="18"/>
      <c r="AH339" s="18"/>
      <c r="AI339" s="18"/>
      <c r="AJ339" s="97"/>
      <c r="AK339" s="18"/>
      <c r="AL339" s="18"/>
    </row>
    <row r="340" spans="4:38" x14ac:dyDescent="0.2">
      <c r="D340" s="19"/>
      <c r="E340" s="19"/>
      <c r="F340" s="19"/>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9"/>
      <c r="AE340" s="18"/>
      <c r="AF340" s="18"/>
      <c r="AG340" s="18"/>
      <c r="AH340" s="18"/>
      <c r="AI340" s="18"/>
      <c r="AJ340" s="97"/>
      <c r="AK340" s="18"/>
      <c r="AL340" s="18"/>
    </row>
    <row r="341" spans="4:38" x14ac:dyDescent="0.2">
      <c r="D341" s="19"/>
      <c r="E341" s="19"/>
      <c r="F341" s="19"/>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9"/>
      <c r="AE341" s="18"/>
      <c r="AF341" s="18"/>
      <c r="AG341" s="18"/>
      <c r="AH341" s="18"/>
      <c r="AI341" s="18"/>
      <c r="AJ341" s="97"/>
      <c r="AK341" s="18"/>
      <c r="AL341" s="18"/>
    </row>
    <row r="342" spans="4:38" x14ac:dyDescent="0.2">
      <c r="D342" s="19"/>
      <c r="E342" s="19"/>
      <c r="F342" s="19"/>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9"/>
      <c r="AE342" s="18"/>
      <c r="AF342" s="18"/>
      <c r="AG342" s="18"/>
      <c r="AH342" s="18"/>
      <c r="AI342" s="18"/>
      <c r="AJ342" s="97"/>
      <c r="AK342" s="18"/>
      <c r="AL342" s="18"/>
    </row>
    <row r="343" spans="4:38" x14ac:dyDescent="0.2">
      <c r="D343" s="19"/>
      <c r="E343" s="19"/>
      <c r="F343" s="19"/>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9"/>
      <c r="AE343" s="18"/>
      <c r="AF343" s="18"/>
      <c r="AG343" s="18"/>
      <c r="AH343" s="18"/>
      <c r="AI343" s="18"/>
      <c r="AJ343" s="97"/>
      <c r="AK343" s="18"/>
      <c r="AL343" s="18"/>
    </row>
    <row r="344" spans="4:38" x14ac:dyDescent="0.2">
      <c r="D344" s="19"/>
      <c r="E344" s="19"/>
      <c r="F344" s="19"/>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9"/>
      <c r="AE344" s="18"/>
      <c r="AF344" s="18"/>
      <c r="AG344" s="18"/>
      <c r="AH344" s="18"/>
      <c r="AI344" s="18"/>
      <c r="AJ344" s="97"/>
      <c r="AK344" s="18"/>
      <c r="AL344" s="18"/>
    </row>
    <row r="345" spans="4:38" x14ac:dyDescent="0.2">
      <c r="D345" s="19"/>
      <c r="E345" s="19"/>
      <c r="F345" s="19"/>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9"/>
      <c r="AE345" s="18"/>
      <c r="AF345" s="18"/>
      <c r="AG345" s="18"/>
      <c r="AH345" s="18"/>
      <c r="AI345" s="18"/>
      <c r="AJ345" s="97"/>
      <c r="AK345" s="18"/>
      <c r="AL345" s="18"/>
    </row>
    <row r="346" spans="4:38" x14ac:dyDescent="0.2">
      <c r="D346" s="19"/>
      <c r="E346" s="19"/>
      <c r="F346" s="19"/>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9"/>
      <c r="AE346" s="18"/>
      <c r="AF346" s="18"/>
      <c r="AG346" s="18"/>
      <c r="AH346" s="18"/>
      <c r="AI346" s="18"/>
      <c r="AJ346" s="97"/>
      <c r="AK346" s="18"/>
      <c r="AL346" s="18"/>
    </row>
    <row r="347" spans="4:38" x14ac:dyDescent="0.2">
      <c r="D347" s="19"/>
      <c r="E347" s="19"/>
      <c r="F347" s="19"/>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9"/>
      <c r="AE347" s="18"/>
      <c r="AF347" s="18"/>
      <c r="AG347" s="18"/>
      <c r="AH347" s="18"/>
      <c r="AI347" s="18"/>
      <c r="AJ347" s="97"/>
      <c r="AK347" s="18"/>
      <c r="AL347" s="18"/>
    </row>
    <row r="348" spans="4:38" x14ac:dyDescent="0.2">
      <c r="D348" s="19"/>
      <c r="E348" s="19"/>
      <c r="F348" s="19"/>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9"/>
      <c r="AE348" s="18"/>
      <c r="AF348" s="18"/>
      <c r="AG348" s="18"/>
      <c r="AH348" s="18"/>
      <c r="AI348" s="18"/>
      <c r="AJ348" s="97"/>
      <c r="AK348" s="18"/>
      <c r="AL348" s="18"/>
    </row>
    <row r="349" spans="4:38" x14ac:dyDescent="0.2">
      <c r="D349" s="19"/>
      <c r="E349" s="19"/>
      <c r="F349" s="19"/>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9"/>
      <c r="AE349" s="18"/>
      <c r="AF349" s="18"/>
      <c r="AG349" s="18"/>
      <c r="AH349" s="18"/>
      <c r="AI349" s="18"/>
      <c r="AJ349" s="97"/>
      <c r="AK349" s="18"/>
      <c r="AL349" s="18"/>
    </row>
    <row r="350" spans="4:38" x14ac:dyDescent="0.2">
      <c r="D350" s="19"/>
      <c r="E350" s="19"/>
      <c r="F350" s="19"/>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9"/>
      <c r="AE350" s="18"/>
      <c r="AF350" s="18"/>
      <c r="AG350" s="18"/>
      <c r="AH350" s="18"/>
      <c r="AI350" s="18"/>
      <c r="AJ350" s="97"/>
      <c r="AK350" s="18"/>
      <c r="AL350" s="18"/>
    </row>
    <row r="351" spans="4:38" x14ac:dyDescent="0.2">
      <c r="D351" s="19"/>
      <c r="E351" s="19"/>
      <c r="F351" s="19"/>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9"/>
      <c r="AE351" s="18"/>
      <c r="AF351" s="18"/>
      <c r="AG351" s="18"/>
      <c r="AH351" s="18"/>
      <c r="AI351" s="18"/>
      <c r="AJ351" s="97"/>
      <c r="AK351" s="18"/>
      <c r="AL351" s="18"/>
    </row>
    <row r="352" spans="4:38" x14ac:dyDescent="0.2">
      <c r="D352" s="19"/>
      <c r="E352" s="19"/>
      <c r="F352" s="19"/>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9"/>
      <c r="AE352" s="18"/>
      <c r="AF352" s="18"/>
      <c r="AG352" s="18"/>
      <c r="AH352" s="18"/>
      <c r="AI352" s="18"/>
      <c r="AJ352" s="97"/>
      <c r="AK352" s="18"/>
      <c r="AL352" s="18"/>
    </row>
    <row r="353" spans="4:38" x14ac:dyDescent="0.2">
      <c r="D353" s="19"/>
      <c r="E353" s="19"/>
      <c r="F353" s="19"/>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9"/>
      <c r="AE353" s="18"/>
      <c r="AF353" s="18"/>
      <c r="AG353" s="18"/>
      <c r="AH353" s="18"/>
      <c r="AI353" s="18"/>
      <c r="AJ353" s="97"/>
      <c r="AK353" s="18"/>
      <c r="AL353" s="18"/>
    </row>
    <row r="354" spans="4:38" x14ac:dyDescent="0.2">
      <c r="D354" s="19"/>
      <c r="E354" s="19"/>
      <c r="F354" s="19"/>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9"/>
      <c r="AE354" s="18"/>
      <c r="AF354" s="18"/>
      <c r="AG354" s="18"/>
      <c r="AH354" s="18"/>
      <c r="AI354" s="18"/>
      <c r="AJ354" s="97"/>
      <c r="AK354" s="18"/>
      <c r="AL354" s="18"/>
    </row>
    <row r="355" spans="4:38" x14ac:dyDescent="0.2">
      <c r="D355" s="19"/>
      <c r="E355" s="19"/>
      <c r="F355" s="19"/>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9"/>
      <c r="AE355" s="18"/>
      <c r="AF355" s="18"/>
      <c r="AG355" s="18"/>
      <c r="AH355" s="18"/>
      <c r="AI355" s="18"/>
      <c r="AJ355" s="97"/>
      <c r="AK355" s="18"/>
      <c r="AL355" s="18"/>
    </row>
    <row r="356" spans="4:38" x14ac:dyDescent="0.2">
      <c r="D356" s="19"/>
      <c r="E356" s="19"/>
      <c r="F356" s="19"/>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9"/>
      <c r="AE356" s="18"/>
      <c r="AF356" s="18"/>
      <c r="AG356" s="18"/>
      <c r="AH356" s="18"/>
      <c r="AI356" s="18"/>
      <c r="AJ356" s="97"/>
      <c r="AK356" s="18"/>
      <c r="AL356" s="18"/>
    </row>
    <row r="357" spans="4:38" x14ac:dyDescent="0.2">
      <c r="D357" s="19"/>
      <c r="E357" s="19"/>
      <c r="F357" s="19"/>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9"/>
      <c r="AE357" s="18"/>
      <c r="AF357" s="18"/>
      <c r="AG357" s="18"/>
      <c r="AH357" s="18"/>
      <c r="AI357" s="18"/>
      <c r="AJ357" s="97"/>
      <c r="AK357" s="18"/>
      <c r="AL357" s="18"/>
    </row>
    <row r="358" spans="4:38" x14ac:dyDescent="0.2">
      <c r="D358" s="19"/>
      <c r="E358" s="19"/>
      <c r="F358" s="19"/>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9"/>
      <c r="AE358" s="18"/>
      <c r="AF358" s="18"/>
      <c r="AG358" s="18"/>
      <c r="AH358" s="18"/>
      <c r="AI358" s="18"/>
      <c r="AJ358" s="97"/>
      <c r="AK358" s="18"/>
      <c r="AL358" s="18"/>
    </row>
    <row r="359" spans="4:38" x14ac:dyDescent="0.2">
      <c r="D359" s="19"/>
      <c r="E359" s="19"/>
      <c r="F359" s="19"/>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9"/>
      <c r="AE359" s="18"/>
      <c r="AF359" s="18"/>
      <c r="AG359" s="18"/>
      <c r="AH359" s="18"/>
      <c r="AI359" s="18"/>
      <c r="AJ359" s="97"/>
      <c r="AK359" s="18"/>
      <c r="AL359" s="18"/>
    </row>
    <row r="360" spans="4:38" x14ac:dyDescent="0.2">
      <c r="D360" s="19"/>
      <c r="E360" s="19"/>
      <c r="F360" s="19"/>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9"/>
      <c r="AE360" s="18"/>
      <c r="AF360" s="18"/>
      <c r="AG360" s="18"/>
      <c r="AH360" s="18"/>
      <c r="AI360" s="18"/>
      <c r="AJ360" s="97"/>
      <c r="AK360" s="18"/>
      <c r="AL360" s="18"/>
    </row>
    <row r="361" spans="4:38" x14ac:dyDescent="0.2">
      <c r="D361" s="19"/>
      <c r="E361" s="19"/>
      <c r="F361" s="19"/>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9"/>
      <c r="AE361" s="18"/>
      <c r="AF361" s="18"/>
      <c r="AG361" s="18"/>
      <c r="AH361" s="18"/>
      <c r="AI361" s="18"/>
      <c r="AJ361" s="97"/>
      <c r="AK361" s="18"/>
      <c r="AL361" s="18"/>
    </row>
    <row r="362" spans="4:38" x14ac:dyDescent="0.2">
      <c r="D362" s="19"/>
      <c r="E362" s="19"/>
      <c r="F362" s="19"/>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9"/>
      <c r="AE362" s="18"/>
      <c r="AF362" s="18"/>
      <c r="AG362" s="18"/>
      <c r="AH362" s="18"/>
      <c r="AI362" s="18"/>
      <c r="AJ362" s="97"/>
      <c r="AK362" s="18"/>
      <c r="AL362" s="18"/>
    </row>
    <row r="363" spans="4:38" x14ac:dyDescent="0.2">
      <c r="D363" s="19"/>
      <c r="E363" s="19"/>
      <c r="F363" s="19"/>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9"/>
      <c r="AE363" s="18"/>
      <c r="AF363" s="18"/>
      <c r="AG363" s="18"/>
      <c r="AH363" s="18"/>
      <c r="AI363" s="18"/>
      <c r="AJ363" s="97"/>
      <c r="AK363" s="18"/>
      <c r="AL363" s="18"/>
    </row>
    <row r="364" spans="4:38" x14ac:dyDescent="0.2">
      <c r="D364" s="19"/>
      <c r="E364" s="19"/>
      <c r="F364" s="19"/>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9"/>
      <c r="AE364" s="18"/>
      <c r="AF364" s="18"/>
      <c r="AG364" s="18"/>
      <c r="AH364" s="18"/>
      <c r="AI364" s="18"/>
      <c r="AJ364" s="97"/>
      <c r="AK364" s="18"/>
      <c r="AL364" s="18"/>
    </row>
    <row r="365" spans="4:38" x14ac:dyDescent="0.2">
      <c r="D365" s="19"/>
      <c r="E365" s="19"/>
      <c r="F365" s="19"/>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9"/>
      <c r="AE365" s="18"/>
      <c r="AF365" s="18"/>
      <c r="AG365" s="18"/>
      <c r="AH365" s="18"/>
      <c r="AI365" s="18"/>
      <c r="AJ365" s="97"/>
      <c r="AK365" s="18"/>
      <c r="AL365" s="18"/>
    </row>
    <row r="366" spans="4:38" x14ac:dyDescent="0.2">
      <c r="D366" s="19"/>
      <c r="E366" s="19"/>
      <c r="F366" s="19"/>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9"/>
      <c r="AE366" s="18"/>
      <c r="AF366" s="18"/>
      <c r="AG366" s="18"/>
      <c r="AH366" s="18"/>
      <c r="AI366" s="18"/>
      <c r="AJ366" s="97"/>
      <c r="AK366" s="18"/>
      <c r="AL366" s="18"/>
    </row>
    <row r="367" spans="4:38" x14ac:dyDescent="0.2">
      <c r="D367" s="19"/>
      <c r="E367" s="19"/>
      <c r="F367" s="19"/>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9"/>
      <c r="AE367" s="18"/>
      <c r="AF367" s="18"/>
      <c r="AG367" s="18"/>
      <c r="AH367" s="18"/>
      <c r="AI367" s="18"/>
      <c r="AJ367" s="97"/>
      <c r="AK367" s="18"/>
      <c r="AL367" s="18"/>
    </row>
    <row r="368" spans="4:38" x14ac:dyDescent="0.2">
      <c r="D368" s="19"/>
      <c r="E368" s="19"/>
      <c r="F368" s="19"/>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9"/>
      <c r="AE368" s="18"/>
      <c r="AF368" s="18"/>
      <c r="AG368" s="18"/>
      <c r="AH368" s="18"/>
      <c r="AI368" s="18"/>
      <c r="AJ368" s="97"/>
      <c r="AK368" s="18"/>
      <c r="AL368" s="18"/>
    </row>
    <row r="369" spans="4:38" x14ac:dyDescent="0.2">
      <c r="D369" s="19"/>
      <c r="E369" s="19"/>
      <c r="F369" s="19"/>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9"/>
      <c r="AE369" s="18"/>
      <c r="AF369" s="18"/>
      <c r="AG369" s="18"/>
      <c r="AH369" s="18"/>
      <c r="AI369" s="18"/>
      <c r="AJ369" s="97"/>
      <c r="AK369" s="18"/>
      <c r="AL369" s="18"/>
    </row>
    <row r="370" spans="4:38" x14ac:dyDescent="0.2">
      <c r="D370" s="19"/>
      <c r="E370" s="19"/>
      <c r="F370" s="19"/>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9"/>
      <c r="AE370" s="18"/>
      <c r="AF370" s="18"/>
      <c r="AG370" s="18"/>
      <c r="AH370" s="18"/>
      <c r="AI370" s="18"/>
      <c r="AJ370" s="97"/>
      <c r="AK370" s="18"/>
      <c r="AL370" s="18"/>
    </row>
    <row r="371" spans="4:38" x14ac:dyDescent="0.2">
      <c r="D371" s="19"/>
      <c r="E371" s="19"/>
      <c r="F371" s="19"/>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9"/>
      <c r="AE371" s="18"/>
      <c r="AF371" s="18"/>
      <c r="AG371" s="18"/>
      <c r="AH371" s="18"/>
      <c r="AI371" s="18"/>
      <c r="AJ371" s="97"/>
      <c r="AK371" s="18"/>
      <c r="AL371" s="18"/>
    </row>
    <row r="372" spans="4:38" x14ac:dyDescent="0.2">
      <c r="D372" s="19"/>
      <c r="E372" s="19"/>
      <c r="F372" s="19"/>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9"/>
      <c r="AE372" s="18"/>
      <c r="AF372" s="18"/>
      <c r="AG372" s="18"/>
      <c r="AH372" s="18"/>
      <c r="AI372" s="18"/>
      <c r="AJ372" s="97"/>
      <c r="AK372" s="18"/>
      <c r="AL372" s="18"/>
    </row>
    <row r="373" spans="4:38" x14ac:dyDescent="0.2">
      <c r="D373" s="19"/>
      <c r="E373" s="19"/>
      <c r="F373" s="19"/>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9"/>
      <c r="AE373" s="18"/>
      <c r="AF373" s="18"/>
      <c r="AG373" s="18"/>
      <c r="AH373" s="18"/>
      <c r="AI373" s="18"/>
      <c r="AJ373" s="97"/>
      <c r="AK373" s="18"/>
      <c r="AL373" s="18"/>
    </row>
    <row r="374" spans="4:38" x14ac:dyDescent="0.2">
      <c r="D374" s="19"/>
      <c r="E374" s="19"/>
      <c r="F374" s="19"/>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9"/>
      <c r="AE374" s="18"/>
      <c r="AF374" s="18"/>
      <c r="AG374" s="18"/>
      <c r="AH374" s="18"/>
      <c r="AI374" s="18"/>
      <c r="AJ374" s="97"/>
      <c r="AK374" s="18"/>
      <c r="AL374" s="18"/>
    </row>
    <row r="375" spans="4:38" x14ac:dyDescent="0.2">
      <c r="D375" s="19"/>
      <c r="E375" s="19"/>
      <c r="F375" s="19"/>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9"/>
      <c r="AE375" s="18"/>
      <c r="AF375" s="18"/>
      <c r="AG375" s="18"/>
      <c r="AH375" s="18"/>
      <c r="AI375" s="18"/>
      <c r="AJ375" s="97"/>
      <c r="AK375" s="18"/>
      <c r="AL375" s="18"/>
    </row>
    <row r="376" spans="4:38" x14ac:dyDescent="0.2">
      <c r="D376" s="19"/>
      <c r="E376" s="19"/>
      <c r="F376" s="19"/>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9"/>
      <c r="AE376" s="18"/>
      <c r="AF376" s="18"/>
      <c r="AG376" s="18"/>
      <c r="AH376" s="18"/>
      <c r="AI376" s="18"/>
      <c r="AJ376" s="97"/>
      <c r="AK376" s="18"/>
      <c r="AL376" s="18"/>
    </row>
    <row r="377" spans="4:38" x14ac:dyDescent="0.2">
      <c r="D377" s="19"/>
      <c r="E377" s="19"/>
      <c r="F377" s="19"/>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9"/>
      <c r="AE377" s="18"/>
      <c r="AF377" s="18"/>
      <c r="AG377" s="18"/>
      <c r="AH377" s="18"/>
      <c r="AI377" s="18"/>
      <c r="AJ377" s="97"/>
      <c r="AK377" s="18"/>
      <c r="AL377" s="18"/>
    </row>
    <row r="378" spans="4:38" x14ac:dyDescent="0.2">
      <c r="D378" s="19"/>
      <c r="E378" s="19"/>
      <c r="F378" s="19"/>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9"/>
      <c r="AE378" s="18"/>
      <c r="AF378" s="18"/>
      <c r="AG378" s="18"/>
      <c r="AH378" s="18"/>
      <c r="AI378" s="18"/>
      <c r="AJ378" s="97"/>
      <c r="AK378" s="18"/>
      <c r="AL378" s="18"/>
    </row>
    <row r="379" spans="4:38" x14ac:dyDescent="0.2">
      <c r="D379" s="19"/>
      <c r="E379" s="19"/>
      <c r="F379" s="19"/>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9"/>
      <c r="AE379" s="18"/>
      <c r="AF379" s="18"/>
      <c r="AG379" s="18"/>
      <c r="AH379" s="18"/>
      <c r="AI379" s="18"/>
      <c r="AJ379" s="97"/>
      <c r="AK379" s="18"/>
      <c r="AL379" s="18"/>
    </row>
    <row r="380" spans="4:38" x14ac:dyDescent="0.2">
      <c r="D380" s="19"/>
      <c r="E380" s="19"/>
      <c r="F380" s="19"/>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9"/>
      <c r="AE380" s="18"/>
      <c r="AF380" s="18"/>
      <c r="AG380" s="18"/>
      <c r="AH380" s="18"/>
      <c r="AI380" s="18"/>
      <c r="AJ380" s="97"/>
      <c r="AK380" s="18"/>
      <c r="AL380" s="18"/>
    </row>
    <row r="381" spans="4:38" x14ac:dyDescent="0.2">
      <c r="D381" s="19"/>
      <c r="E381" s="19"/>
      <c r="F381" s="19"/>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9"/>
      <c r="AE381" s="18"/>
      <c r="AF381" s="18"/>
      <c r="AG381" s="18"/>
      <c r="AH381" s="18"/>
      <c r="AI381" s="18"/>
      <c r="AJ381" s="97"/>
      <c r="AK381" s="18"/>
      <c r="AL381" s="18"/>
    </row>
    <row r="382" spans="4:38" x14ac:dyDescent="0.2">
      <c r="D382" s="19"/>
      <c r="E382" s="19"/>
      <c r="F382" s="19"/>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9"/>
      <c r="AE382" s="18"/>
      <c r="AF382" s="18"/>
      <c r="AG382" s="18"/>
      <c r="AH382" s="18"/>
      <c r="AI382" s="18"/>
      <c r="AJ382" s="97"/>
      <c r="AK382" s="18"/>
      <c r="AL382" s="18"/>
    </row>
    <row r="383" spans="4:38" x14ac:dyDescent="0.2">
      <c r="D383" s="19"/>
      <c r="E383" s="19"/>
      <c r="F383" s="19"/>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9"/>
      <c r="AE383" s="18"/>
      <c r="AF383" s="18"/>
      <c r="AG383" s="18"/>
      <c r="AH383" s="18"/>
      <c r="AI383" s="18"/>
      <c r="AJ383" s="97"/>
      <c r="AK383" s="18"/>
      <c r="AL383" s="18"/>
    </row>
    <row r="384" spans="4:38" x14ac:dyDescent="0.2">
      <c r="D384" s="19"/>
      <c r="E384" s="19"/>
      <c r="F384" s="19"/>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9"/>
      <c r="AE384" s="18"/>
      <c r="AF384" s="18"/>
      <c r="AG384" s="18"/>
      <c r="AH384" s="18"/>
      <c r="AI384" s="18"/>
      <c r="AJ384" s="97"/>
      <c r="AK384" s="18"/>
      <c r="AL384" s="18"/>
    </row>
    <row r="385" spans="4:38" x14ac:dyDescent="0.2">
      <c r="D385" s="19"/>
      <c r="E385" s="19"/>
      <c r="F385" s="19"/>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9"/>
      <c r="AE385" s="18"/>
      <c r="AF385" s="18"/>
      <c r="AG385" s="18"/>
      <c r="AH385" s="18"/>
      <c r="AI385" s="18"/>
      <c r="AJ385" s="97"/>
      <c r="AK385" s="18"/>
      <c r="AL385" s="18"/>
    </row>
    <row r="386" spans="4:38" x14ac:dyDescent="0.2">
      <c r="D386" s="19"/>
      <c r="E386" s="19"/>
      <c r="F386" s="19"/>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9"/>
      <c r="AE386" s="18"/>
      <c r="AF386" s="18"/>
      <c r="AG386" s="18"/>
      <c r="AH386" s="18"/>
      <c r="AI386" s="18"/>
      <c r="AJ386" s="97"/>
      <c r="AK386" s="18"/>
      <c r="AL386" s="18"/>
    </row>
    <row r="387" spans="4:38" x14ac:dyDescent="0.2">
      <c r="D387" s="19"/>
      <c r="E387" s="19"/>
      <c r="F387" s="19"/>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9"/>
      <c r="AE387" s="18"/>
      <c r="AF387" s="18"/>
      <c r="AG387" s="18"/>
      <c r="AH387" s="18"/>
      <c r="AI387" s="18"/>
      <c r="AJ387" s="97"/>
      <c r="AK387" s="18"/>
      <c r="AL387" s="18"/>
    </row>
    <row r="388" spans="4:38" x14ac:dyDescent="0.2">
      <c r="D388" s="19"/>
      <c r="E388" s="19"/>
      <c r="F388" s="19"/>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9"/>
      <c r="AE388" s="18"/>
      <c r="AF388" s="18"/>
      <c r="AG388" s="18"/>
      <c r="AH388" s="18"/>
      <c r="AI388" s="18"/>
      <c r="AJ388" s="97"/>
      <c r="AK388" s="18"/>
      <c r="AL388" s="18"/>
    </row>
    <row r="389" spans="4:38" x14ac:dyDescent="0.2">
      <c r="D389" s="19"/>
      <c r="E389" s="19"/>
      <c r="F389" s="19"/>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9"/>
      <c r="AE389" s="18"/>
      <c r="AF389" s="18"/>
      <c r="AG389" s="18"/>
      <c r="AH389" s="18"/>
      <c r="AI389" s="18"/>
      <c r="AJ389" s="97"/>
      <c r="AK389" s="18"/>
      <c r="AL389" s="18"/>
    </row>
    <row r="390" spans="4:38" x14ac:dyDescent="0.2">
      <c r="D390" s="19"/>
      <c r="E390" s="19"/>
      <c r="F390" s="19"/>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9"/>
      <c r="AE390" s="18"/>
      <c r="AF390" s="18"/>
      <c r="AG390" s="18"/>
      <c r="AH390" s="18"/>
      <c r="AI390" s="18"/>
      <c r="AJ390" s="97"/>
      <c r="AK390" s="18"/>
      <c r="AL390" s="18"/>
    </row>
    <row r="391" spans="4:38" x14ac:dyDescent="0.2">
      <c r="D391" s="19"/>
      <c r="E391" s="19"/>
      <c r="F391" s="19"/>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9"/>
      <c r="AE391" s="18"/>
      <c r="AF391" s="18"/>
      <c r="AG391" s="18"/>
      <c r="AH391" s="18"/>
      <c r="AI391" s="18"/>
      <c r="AJ391" s="97"/>
      <c r="AK391" s="18"/>
      <c r="AL391" s="18"/>
    </row>
    <row r="392" spans="4:38" x14ac:dyDescent="0.2">
      <c r="D392" s="19"/>
      <c r="E392" s="19"/>
      <c r="F392" s="19"/>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9"/>
      <c r="AE392" s="18"/>
      <c r="AF392" s="18"/>
      <c r="AG392" s="18"/>
      <c r="AH392" s="18"/>
      <c r="AI392" s="18"/>
      <c r="AJ392" s="97"/>
      <c r="AK392" s="18"/>
      <c r="AL392" s="18"/>
    </row>
    <row r="393" spans="4:38" x14ac:dyDescent="0.2">
      <c r="D393" s="19"/>
      <c r="E393" s="19"/>
      <c r="F393" s="19"/>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9"/>
      <c r="AE393" s="18"/>
      <c r="AF393" s="18"/>
      <c r="AG393" s="18"/>
      <c r="AH393" s="18"/>
      <c r="AI393" s="18"/>
      <c r="AJ393" s="97"/>
      <c r="AK393" s="18"/>
      <c r="AL393" s="18"/>
    </row>
    <row r="394" spans="4:38" x14ac:dyDescent="0.2">
      <c r="D394" s="19"/>
      <c r="E394" s="19"/>
      <c r="F394" s="19"/>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9"/>
      <c r="AE394" s="18"/>
      <c r="AF394" s="18"/>
      <c r="AG394" s="18"/>
      <c r="AH394" s="18"/>
      <c r="AI394" s="18"/>
      <c r="AJ394" s="97"/>
      <c r="AK394" s="18"/>
      <c r="AL394" s="18"/>
    </row>
    <row r="395" spans="4:38" x14ac:dyDescent="0.2">
      <c r="D395" s="19"/>
      <c r="E395" s="19"/>
      <c r="F395" s="19"/>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9"/>
      <c r="AE395" s="18"/>
      <c r="AF395" s="18"/>
      <c r="AG395" s="18"/>
      <c r="AH395" s="18"/>
      <c r="AI395" s="18"/>
      <c r="AJ395" s="97"/>
      <c r="AK395" s="18"/>
      <c r="AL395" s="18"/>
    </row>
    <row r="396" spans="4:38" x14ac:dyDescent="0.2">
      <c r="D396" s="19"/>
      <c r="E396" s="19"/>
      <c r="F396" s="19"/>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9"/>
      <c r="AE396" s="18"/>
      <c r="AF396" s="18"/>
      <c r="AG396" s="18"/>
      <c r="AH396" s="18"/>
      <c r="AI396" s="18"/>
      <c r="AJ396" s="97"/>
      <c r="AK396" s="18"/>
      <c r="AL396" s="18"/>
    </row>
    <row r="397" spans="4:38" x14ac:dyDescent="0.2">
      <c r="D397" s="19"/>
      <c r="E397" s="19"/>
      <c r="F397" s="19"/>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9"/>
      <c r="AE397" s="18"/>
      <c r="AF397" s="18"/>
      <c r="AG397" s="18"/>
      <c r="AH397" s="18"/>
      <c r="AI397" s="18"/>
      <c r="AJ397" s="97"/>
      <c r="AK397" s="18"/>
      <c r="AL397" s="18"/>
    </row>
    <row r="398" spans="4:38" x14ac:dyDescent="0.2">
      <c r="D398" s="19"/>
      <c r="E398" s="19"/>
      <c r="F398" s="19"/>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9"/>
      <c r="AE398" s="18"/>
      <c r="AF398" s="18"/>
      <c r="AG398" s="18"/>
      <c r="AH398" s="18"/>
      <c r="AI398" s="18"/>
      <c r="AJ398" s="97"/>
      <c r="AK398" s="18"/>
      <c r="AL398" s="18"/>
    </row>
    <row r="399" spans="4:38" x14ac:dyDescent="0.2">
      <c r="D399" s="19"/>
      <c r="E399" s="19"/>
      <c r="F399" s="19"/>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9"/>
      <c r="AE399" s="18"/>
      <c r="AF399" s="18"/>
      <c r="AG399" s="18"/>
      <c r="AH399" s="18"/>
      <c r="AI399" s="18"/>
      <c r="AJ399" s="97"/>
      <c r="AK399" s="18"/>
      <c r="AL399" s="18"/>
    </row>
    <row r="400" spans="4:38" x14ac:dyDescent="0.2">
      <c r="D400" s="19"/>
      <c r="E400" s="19"/>
      <c r="F400" s="19"/>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9"/>
      <c r="AE400" s="18"/>
      <c r="AF400" s="18"/>
      <c r="AG400" s="18"/>
      <c r="AH400" s="18"/>
      <c r="AI400" s="18"/>
      <c r="AJ400" s="97"/>
      <c r="AK400" s="18"/>
      <c r="AL400" s="18"/>
    </row>
    <row r="401" spans="4:38" x14ac:dyDescent="0.2">
      <c r="D401" s="19"/>
      <c r="E401" s="19"/>
      <c r="F401" s="19"/>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9"/>
      <c r="AE401" s="18"/>
      <c r="AF401" s="18"/>
      <c r="AG401" s="18"/>
      <c r="AH401" s="18"/>
      <c r="AI401" s="18"/>
      <c r="AJ401" s="97"/>
      <c r="AK401" s="18"/>
      <c r="AL401" s="18"/>
    </row>
    <row r="402" spans="4:38" x14ac:dyDescent="0.2">
      <c r="D402" s="19"/>
      <c r="E402" s="19"/>
      <c r="F402" s="19"/>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9"/>
      <c r="AE402" s="18"/>
      <c r="AF402" s="18"/>
      <c r="AG402" s="18"/>
      <c r="AH402" s="18"/>
      <c r="AI402" s="18"/>
      <c r="AJ402" s="97"/>
      <c r="AK402" s="18"/>
      <c r="AL402" s="18"/>
    </row>
    <row r="403" spans="4:38" x14ac:dyDescent="0.2">
      <c r="D403" s="19"/>
      <c r="E403" s="19"/>
      <c r="F403" s="19"/>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9"/>
      <c r="AE403" s="18"/>
      <c r="AF403" s="18"/>
      <c r="AG403" s="18"/>
      <c r="AH403" s="18"/>
      <c r="AI403" s="18"/>
      <c r="AJ403" s="97"/>
      <c r="AK403" s="18"/>
      <c r="AL403" s="18"/>
    </row>
    <row r="404" spans="4:38" x14ac:dyDescent="0.2">
      <c r="D404" s="19"/>
      <c r="E404" s="19"/>
      <c r="F404" s="19"/>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9"/>
      <c r="AE404" s="18"/>
      <c r="AF404" s="18"/>
      <c r="AG404" s="18"/>
      <c r="AH404" s="18"/>
      <c r="AI404" s="18"/>
      <c r="AJ404" s="97"/>
      <c r="AK404" s="18"/>
      <c r="AL404" s="18"/>
    </row>
    <row r="405" spans="4:38" x14ac:dyDescent="0.2">
      <c r="D405" s="19"/>
      <c r="E405" s="19"/>
      <c r="F405" s="19"/>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9"/>
      <c r="AE405" s="18"/>
      <c r="AF405" s="18"/>
      <c r="AG405" s="18"/>
      <c r="AH405" s="18"/>
      <c r="AI405" s="18"/>
      <c r="AJ405" s="97"/>
      <c r="AK405" s="18"/>
      <c r="AL405" s="18"/>
    </row>
    <row r="406" spans="4:38" x14ac:dyDescent="0.2">
      <c r="D406" s="19"/>
      <c r="E406" s="19"/>
      <c r="F406" s="19"/>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9"/>
      <c r="AE406" s="18"/>
      <c r="AF406" s="18"/>
      <c r="AG406" s="18"/>
      <c r="AH406" s="18"/>
      <c r="AI406" s="18"/>
      <c r="AJ406" s="97"/>
      <c r="AK406" s="18"/>
      <c r="AL406" s="18"/>
    </row>
    <row r="407" spans="4:38" x14ac:dyDescent="0.2">
      <c r="D407" s="19"/>
      <c r="E407" s="19"/>
      <c r="F407" s="19"/>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9"/>
      <c r="AE407" s="18"/>
      <c r="AF407" s="18"/>
      <c r="AG407" s="18"/>
      <c r="AH407" s="18"/>
      <c r="AI407" s="18"/>
      <c r="AJ407" s="97"/>
      <c r="AK407" s="18"/>
      <c r="AL407" s="18"/>
    </row>
    <row r="408" spans="4:38" x14ac:dyDescent="0.2">
      <c r="D408" s="19"/>
      <c r="E408" s="19"/>
      <c r="F408" s="19"/>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9"/>
      <c r="AE408" s="18"/>
      <c r="AF408" s="18"/>
      <c r="AG408" s="18"/>
      <c r="AH408" s="18"/>
      <c r="AI408" s="18"/>
      <c r="AJ408" s="97"/>
      <c r="AK408" s="18"/>
      <c r="AL408" s="18"/>
    </row>
    <row r="409" spans="4:38" x14ac:dyDescent="0.2">
      <c r="D409" s="19"/>
      <c r="E409" s="19"/>
      <c r="F409" s="19"/>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9"/>
      <c r="AE409" s="18"/>
      <c r="AF409" s="18"/>
      <c r="AG409" s="18"/>
      <c r="AH409" s="18"/>
      <c r="AI409" s="18"/>
      <c r="AJ409" s="97"/>
      <c r="AK409" s="18"/>
      <c r="AL409" s="18"/>
    </row>
    <row r="410" spans="4:38" x14ac:dyDescent="0.2">
      <c r="D410" s="19"/>
      <c r="E410" s="19"/>
      <c r="F410" s="19"/>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9"/>
      <c r="AE410" s="18"/>
      <c r="AF410" s="18"/>
      <c r="AG410" s="18"/>
      <c r="AH410" s="18"/>
      <c r="AI410" s="18"/>
      <c r="AJ410" s="97"/>
      <c r="AK410" s="18"/>
      <c r="AL410" s="18"/>
    </row>
    <row r="411" spans="4:38" x14ac:dyDescent="0.2">
      <c r="D411" s="19"/>
      <c r="E411" s="19"/>
      <c r="F411" s="19"/>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9"/>
      <c r="AE411" s="18"/>
      <c r="AF411" s="18"/>
      <c r="AG411" s="18"/>
      <c r="AH411" s="18"/>
      <c r="AI411" s="18"/>
      <c r="AJ411" s="97"/>
      <c r="AK411" s="18"/>
      <c r="AL411" s="18"/>
    </row>
    <row r="412" spans="4:38" x14ac:dyDescent="0.2">
      <c r="D412" s="19"/>
      <c r="E412" s="19"/>
      <c r="F412" s="19"/>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9"/>
      <c r="AE412" s="18"/>
      <c r="AF412" s="18"/>
      <c r="AG412" s="18"/>
      <c r="AH412" s="18"/>
      <c r="AI412" s="18"/>
      <c r="AJ412" s="97"/>
      <c r="AK412" s="18"/>
      <c r="AL412" s="18"/>
    </row>
    <row r="413" spans="4:38" x14ac:dyDescent="0.2">
      <c r="D413" s="19"/>
      <c r="E413" s="19"/>
      <c r="F413" s="19"/>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9"/>
      <c r="AE413" s="18"/>
      <c r="AF413" s="18"/>
      <c r="AG413" s="18"/>
      <c r="AH413" s="18"/>
      <c r="AI413" s="18"/>
      <c r="AJ413" s="97"/>
      <c r="AK413" s="18"/>
      <c r="AL413" s="18"/>
    </row>
    <row r="414" spans="4:38" x14ac:dyDescent="0.2">
      <c r="D414" s="19"/>
      <c r="E414" s="19"/>
      <c r="F414" s="19"/>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9"/>
      <c r="AE414" s="18"/>
      <c r="AF414" s="18"/>
      <c r="AG414" s="18"/>
      <c r="AH414" s="18"/>
      <c r="AI414" s="18"/>
      <c r="AJ414" s="97"/>
      <c r="AK414" s="18"/>
      <c r="AL414" s="18"/>
    </row>
    <row r="415" spans="4:38" x14ac:dyDescent="0.2">
      <c r="D415" s="19"/>
      <c r="E415" s="19"/>
      <c r="F415" s="19"/>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9"/>
      <c r="AE415" s="18"/>
      <c r="AF415" s="18"/>
      <c r="AG415" s="18"/>
      <c r="AH415" s="18"/>
      <c r="AI415" s="18"/>
      <c r="AJ415" s="97"/>
      <c r="AK415" s="18"/>
      <c r="AL415" s="18"/>
    </row>
    <row r="416" spans="4:38" x14ac:dyDescent="0.2">
      <c r="D416" s="19"/>
      <c r="E416" s="19"/>
      <c r="F416" s="19"/>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9"/>
      <c r="AE416" s="18"/>
      <c r="AF416" s="18"/>
      <c r="AG416" s="18"/>
      <c r="AH416" s="18"/>
      <c r="AI416" s="18"/>
      <c r="AJ416" s="97"/>
      <c r="AK416" s="18"/>
      <c r="AL416" s="18"/>
    </row>
    <row r="417" spans="4:38" x14ac:dyDescent="0.2">
      <c r="D417" s="19"/>
      <c r="E417" s="19"/>
      <c r="F417" s="19"/>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9"/>
      <c r="AE417" s="18"/>
      <c r="AF417" s="18"/>
      <c r="AG417" s="18"/>
      <c r="AH417" s="18"/>
      <c r="AI417" s="18"/>
      <c r="AJ417" s="97"/>
      <c r="AK417" s="18"/>
      <c r="AL417" s="18"/>
    </row>
    <row r="418" spans="4:38" x14ac:dyDescent="0.2">
      <c r="D418" s="19"/>
      <c r="E418" s="19"/>
      <c r="F418" s="19"/>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9"/>
      <c r="AE418" s="18"/>
      <c r="AF418" s="18"/>
      <c r="AG418" s="18"/>
      <c r="AH418" s="18"/>
      <c r="AI418" s="18"/>
      <c r="AJ418" s="97"/>
      <c r="AK418" s="18"/>
      <c r="AL418" s="18"/>
    </row>
    <row r="419" spans="4:38" x14ac:dyDescent="0.2">
      <c r="D419" s="19"/>
      <c r="E419" s="19"/>
      <c r="F419" s="19"/>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9"/>
      <c r="AE419" s="18"/>
      <c r="AF419" s="18"/>
      <c r="AG419" s="18"/>
      <c r="AH419" s="18"/>
      <c r="AI419" s="18"/>
      <c r="AJ419" s="97"/>
      <c r="AK419" s="18"/>
      <c r="AL419" s="18"/>
    </row>
    <row r="420" spans="4:38" x14ac:dyDescent="0.2">
      <c r="D420" s="19"/>
      <c r="E420" s="19"/>
      <c r="F420" s="19"/>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9"/>
      <c r="AE420" s="18"/>
      <c r="AF420" s="18"/>
      <c r="AG420" s="18"/>
      <c r="AH420" s="18"/>
      <c r="AI420" s="18"/>
      <c r="AJ420" s="97"/>
      <c r="AK420" s="18"/>
      <c r="AL420" s="18"/>
    </row>
    <row r="421" spans="4:38" x14ac:dyDescent="0.2">
      <c r="D421" s="19"/>
      <c r="E421" s="19"/>
      <c r="F421" s="19"/>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9"/>
      <c r="AE421" s="18"/>
      <c r="AF421" s="18"/>
      <c r="AG421" s="18"/>
      <c r="AH421" s="18"/>
      <c r="AI421" s="18"/>
      <c r="AJ421" s="97"/>
      <c r="AK421" s="18"/>
      <c r="AL421" s="18"/>
    </row>
    <row r="422" spans="4:38" x14ac:dyDescent="0.2">
      <c r="D422" s="19"/>
      <c r="E422" s="19"/>
      <c r="F422" s="19"/>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9"/>
      <c r="AE422" s="18"/>
      <c r="AF422" s="18"/>
      <c r="AG422" s="18"/>
      <c r="AH422" s="18"/>
      <c r="AI422" s="18"/>
      <c r="AJ422" s="97"/>
      <c r="AK422" s="18"/>
      <c r="AL422" s="18"/>
    </row>
    <row r="423" spans="4:38" x14ac:dyDescent="0.2">
      <c r="D423" s="19"/>
      <c r="E423" s="19"/>
      <c r="F423" s="19"/>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9"/>
      <c r="AE423" s="18"/>
      <c r="AF423" s="18"/>
      <c r="AG423" s="18"/>
      <c r="AH423" s="18"/>
      <c r="AI423" s="18"/>
      <c r="AJ423" s="97"/>
      <c r="AK423" s="18"/>
      <c r="AL423" s="18"/>
    </row>
    <row r="424" spans="4:38" x14ac:dyDescent="0.2">
      <c r="D424" s="19"/>
      <c r="E424" s="19"/>
      <c r="F424" s="19"/>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9"/>
      <c r="AE424" s="18"/>
      <c r="AF424" s="18"/>
      <c r="AG424" s="18"/>
      <c r="AH424" s="18"/>
      <c r="AI424" s="18"/>
      <c r="AJ424" s="97"/>
      <c r="AK424" s="18"/>
      <c r="AL424" s="18"/>
    </row>
    <row r="425" spans="4:38" x14ac:dyDescent="0.2">
      <c r="D425" s="19"/>
      <c r="E425" s="19"/>
      <c r="F425" s="19"/>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9"/>
      <c r="AE425" s="18"/>
      <c r="AF425" s="18"/>
      <c r="AG425" s="18"/>
      <c r="AH425" s="18"/>
      <c r="AI425" s="18"/>
      <c r="AJ425" s="97"/>
      <c r="AK425" s="18"/>
      <c r="AL425" s="18"/>
    </row>
    <row r="426" spans="4:38" x14ac:dyDescent="0.2">
      <c r="D426" s="19"/>
      <c r="E426" s="19"/>
      <c r="F426" s="19"/>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9"/>
      <c r="AE426" s="18"/>
      <c r="AF426" s="18"/>
      <c r="AG426" s="18"/>
      <c r="AH426" s="18"/>
      <c r="AI426" s="18"/>
      <c r="AJ426" s="97"/>
      <c r="AK426" s="18"/>
      <c r="AL426" s="18"/>
    </row>
    <row r="427" spans="4:38" x14ac:dyDescent="0.2">
      <c r="D427" s="19"/>
      <c r="E427" s="19"/>
      <c r="F427" s="19"/>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9"/>
      <c r="AE427" s="18"/>
      <c r="AF427" s="18"/>
      <c r="AG427" s="18"/>
      <c r="AH427" s="18"/>
      <c r="AI427" s="18"/>
      <c r="AJ427" s="97"/>
      <c r="AK427" s="18"/>
      <c r="AL427" s="18"/>
    </row>
    <row r="428" spans="4:38" x14ac:dyDescent="0.2">
      <c r="D428" s="19"/>
      <c r="E428" s="19"/>
      <c r="F428" s="19"/>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9"/>
      <c r="AE428" s="18"/>
      <c r="AF428" s="18"/>
      <c r="AG428" s="18"/>
      <c r="AH428" s="18"/>
      <c r="AI428" s="18"/>
      <c r="AJ428" s="97"/>
      <c r="AK428" s="18"/>
      <c r="AL428" s="18"/>
    </row>
    <row r="429" spans="4:38" x14ac:dyDescent="0.2">
      <c r="D429" s="19"/>
      <c r="E429" s="19"/>
      <c r="F429" s="19"/>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9"/>
      <c r="AE429" s="18"/>
      <c r="AF429" s="18"/>
      <c r="AG429" s="18"/>
      <c r="AH429" s="18"/>
      <c r="AI429" s="18"/>
      <c r="AJ429" s="97"/>
      <c r="AK429" s="18"/>
      <c r="AL429" s="18"/>
    </row>
    <row r="430" spans="4:38" x14ac:dyDescent="0.2">
      <c r="D430" s="19"/>
      <c r="E430" s="19"/>
      <c r="F430" s="19"/>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9"/>
      <c r="AE430" s="18"/>
      <c r="AF430" s="18"/>
      <c r="AG430" s="18"/>
      <c r="AH430" s="18"/>
      <c r="AI430" s="18"/>
      <c r="AJ430" s="97"/>
      <c r="AK430" s="18"/>
      <c r="AL430" s="18"/>
    </row>
    <row r="431" spans="4:38" x14ac:dyDescent="0.2">
      <c r="D431" s="19"/>
      <c r="E431" s="19"/>
      <c r="F431" s="19"/>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9"/>
      <c r="AE431" s="18"/>
      <c r="AF431" s="18"/>
      <c r="AG431" s="18"/>
      <c r="AH431" s="18"/>
      <c r="AI431" s="18"/>
      <c r="AJ431" s="97"/>
      <c r="AK431" s="18"/>
      <c r="AL431" s="18"/>
    </row>
    <row r="432" spans="4:38" x14ac:dyDescent="0.2">
      <c r="D432" s="19"/>
      <c r="E432" s="19"/>
      <c r="F432" s="19"/>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9"/>
      <c r="AE432" s="18"/>
      <c r="AF432" s="18"/>
      <c r="AG432" s="18"/>
      <c r="AH432" s="18"/>
      <c r="AI432" s="18"/>
      <c r="AJ432" s="97"/>
      <c r="AK432" s="18"/>
      <c r="AL432" s="18"/>
    </row>
    <row r="433" spans="4:38" x14ac:dyDescent="0.2">
      <c r="D433" s="19"/>
      <c r="E433" s="19"/>
      <c r="F433" s="19"/>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9"/>
      <c r="AE433" s="18"/>
      <c r="AF433" s="18"/>
      <c r="AG433" s="18"/>
      <c r="AH433" s="18"/>
      <c r="AI433" s="18"/>
      <c r="AJ433" s="97"/>
      <c r="AK433" s="18"/>
      <c r="AL433" s="18"/>
    </row>
    <row r="434" spans="4:38" x14ac:dyDescent="0.2">
      <c r="D434" s="19"/>
      <c r="E434" s="19"/>
      <c r="F434" s="19"/>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9"/>
      <c r="AE434" s="18"/>
      <c r="AF434" s="18"/>
      <c r="AG434" s="18"/>
      <c r="AH434" s="18"/>
      <c r="AI434" s="18"/>
      <c r="AJ434" s="97"/>
      <c r="AK434" s="18"/>
      <c r="AL434" s="18"/>
    </row>
    <row r="435" spans="4:38" x14ac:dyDescent="0.2">
      <c r="D435" s="19"/>
      <c r="E435" s="19"/>
      <c r="F435" s="19"/>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9"/>
      <c r="AE435" s="18"/>
      <c r="AF435" s="18"/>
      <c r="AG435" s="18"/>
      <c r="AH435" s="18"/>
      <c r="AI435" s="18"/>
      <c r="AJ435" s="97"/>
      <c r="AK435" s="18"/>
      <c r="AL435" s="18"/>
    </row>
    <row r="436" spans="4:38" x14ac:dyDescent="0.2">
      <c r="D436" s="19"/>
      <c r="E436" s="19"/>
      <c r="F436" s="19"/>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9"/>
      <c r="AE436" s="18"/>
      <c r="AF436" s="18"/>
      <c r="AG436" s="18"/>
      <c r="AH436" s="18"/>
      <c r="AI436" s="18"/>
      <c r="AJ436" s="97"/>
      <c r="AK436" s="18"/>
      <c r="AL436" s="18"/>
    </row>
    <row r="437" spans="4:38" x14ac:dyDescent="0.2">
      <c r="D437" s="19"/>
      <c r="E437" s="19"/>
      <c r="F437" s="19"/>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9"/>
      <c r="AE437" s="18"/>
      <c r="AF437" s="18"/>
      <c r="AG437" s="18"/>
      <c r="AH437" s="18"/>
      <c r="AI437" s="18"/>
      <c r="AJ437" s="97"/>
      <c r="AK437" s="18"/>
      <c r="AL437" s="18"/>
    </row>
    <row r="438" spans="4:38" x14ac:dyDescent="0.2">
      <c r="D438" s="19"/>
      <c r="E438" s="19"/>
      <c r="F438" s="19"/>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9"/>
      <c r="AE438" s="18"/>
      <c r="AF438" s="18"/>
      <c r="AG438" s="18"/>
      <c r="AH438" s="18"/>
      <c r="AI438" s="18"/>
      <c r="AJ438" s="97"/>
      <c r="AK438" s="18"/>
      <c r="AL438" s="18"/>
    </row>
    <row r="439" spans="4:38" x14ac:dyDescent="0.2">
      <c r="D439" s="19"/>
      <c r="E439" s="19"/>
      <c r="F439" s="19"/>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9"/>
      <c r="AE439" s="18"/>
      <c r="AF439" s="18"/>
      <c r="AG439" s="18"/>
      <c r="AH439" s="18"/>
      <c r="AI439" s="18"/>
      <c r="AJ439" s="97"/>
      <c r="AK439" s="18"/>
      <c r="AL439" s="18"/>
    </row>
    <row r="440" spans="4:38" x14ac:dyDescent="0.2">
      <c r="D440" s="19"/>
      <c r="E440" s="19"/>
      <c r="F440" s="19"/>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9"/>
      <c r="AE440" s="18"/>
      <c r="AF440" s="18"/>
      <c r="AG440" s="18"/>
      <c r="AH440" s="18"/>
      <c r="AI440" s="18"/>
      <c r="AJ440" s="97"/>
      <c r="AK440" s="18"/>
      <c r="AL440" s="18"/>
    </row>
    <row r="441" spans="4:38" x14ac:dyDescent="0.2">
      <c r="D441" s="19"/>
      <c r="E441" s="19"/>
      <c r="F441" s="19"/>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9"/>
      <c r="AE441" s="18"/>
      <c r="AF441" s="18"/>
      <c r="AG441" s="18"/>
      <c r="AH441" s="18"/>
      <c r="AI441" s="18"/>
      <c r="AJ441" s="97"/>
      <c r="AK441" s="18"/>
      <c r="AL441" s="18"/>
    </row>
    <row r="442" spans="4:38" x14ac:dyDescent="0.2">
      <c r="D442" s="19"/>
      <c r="E442" s="19"/>
      <c r="F442" s="19"/>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9"/>
      <c r="AE442" s="18"/>
      <c r="AF442" s="18"/>
      <c r="AG442" s="18"/>
      <c r="AH442" s="18"/>
      <c r="AI442" s="18"/>
      <c r="AJ442" s="97"/>
      <c r="AK442" s="18"/>
      <c r="AL442" s="18"/>
    </row>
    <row r="443" spans="4:38" x14ac:dyDescent="0.2">
      <c r="D443" s="19"/>
      <c r="E443" s="19"/>
      <c r="F443" s="19"/>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9"/>
      <c r="AE443" s="18"/>
      <c r="AF443" s="18"/>
      <c r="AG443" s="18"/>
      <c r="AH443" s="18"/>
      <c r="AI443" s="18"/>
      <c r="AJ443" s="97"/>
      <c r="AK443" s="18"/>
      <c r="AL443" s="18"/>
    </row>
    <row r="444" spans="4:38" x14ac:dyDescent="0.2">
      <c r="D444" s="19"/>
      <c r="E444" s="19"/>
      <c r="F444" s="19"/>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9"/>
      <c r="AE444" s="18"/>
      <c r="AF444" s="18"/>
      <c r="AG444" s="18"/>
      <c r="AH444" s="18"/>
      <c r="AI444" s="18"/>
      <c r="AJ444" s="97"/>
      <c r="AK444" s="18"/>
      <c r="AL444" s="18"/>
    </row>
    <row r="445" spans="4:38" x14ac:dyDescent="0.2">
      <c r="D445" s="19"/>
      <c r="E445" s="19"/>
      <c r="F445" s="19"/>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9"/>
      <c r="AE445" s="18"/>
      <c r="AF445" s="18"/>
      <c r="AG445" s="18"/>
      <c r="AH445" s="18"/>
      <c r="AI445" s="18"/>
      <c r="AJ445" s="97"/>
      <c r="AK445" s="18"/>
      <c r="AL445" s="18"/>
    </row>
    <row r="446" spans="4:38" x14ac:dyDescent="0.2">
      <c r="D446" s="19"/>
      <c r="E446" s="19"/>
      <c r="F446" s="19"/>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9"/>
      <c r="AE446" s="18"/>
      <c r="AF446" s="18"/>
      <c r="AG446" s="18"/>
      <c r="AH446" s="18"/>
      <c r="AI446" s="18"/>
      <c r="AJ446" s="97"/>
      <c r="AK446" s="18"/>
      <c r="AL446" s="18"/>
    </row>
    <row r="447" spans="4:38" x14ac:dyDescent="0.2">
      <c r="D447" s="19"/>
      <c r="E447" s="19"/>
      <c r="F447" s="19"/>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9"/>
      <c r="AE447" s="18"/>
      <c r="AF447" s="18"/>
      <c r="AG447" s="18"/>
      <c r="AH447" s="18"/>
      <c r="AI447" s="18"/>
      <c r="AJ447" s="97"/>
      <c r="AK447" s="18"/>
      <c r="AL447" s="18"/>
    </row>
    <row r="448" spans="4:38" x14ac:dyDescent="0.2">
      <c r="D448" s="19"/>
      <c r="E448" s="19"/>
      <c r="F448" s="19"/>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9"/>
      <c r="AE448" s="18"/>
      <c r="AF448" s="18"/>
      <c r="AG448" s="18"/>
      <c r="AH448" s="18"/>
      <c r="AI448" s="18"/>
      <c r="AJ448" s="97"/>
      <c r="AK448" s="18"/>
      <c r="AL448" s="18"/>
    </row>
    <row r="449" spans="4:38" x14ac:dyDescent="0.2">
      <c r="D449" s="19"/>
      <c r="E449" s="19"/>
      <c r="F449" s="19"/>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9"/>
      <c r="AE449" s="18"/>
      <c r="AF449" s="18"/>
      <c r="AG449" s="18"/>
      <c r="AH449" s="18"/>
      <c r="AI449" s="18"/>
      <c r="AJ449" s="97"/>
      <c r="AK449" s="18"/>
      <c r="AL449" s="18"/>
    </row>
    <row r="450" spans="4:38" x14ac:dyDescent="0.2">
      <c r="D450" s="19"/>
      <c r="E450" s="19"/>
      <c r="F450" s="19"/>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9"/>
      <c r="AE450" s="18"/>
      <c r="AF450" s="18"/>
      <c r="AG450" s="18"/>
      <c r="AH450" s="18"/>
      <c r="AI450" s="18"/>
      <c r="AJ450" s="97"/>
      <c r="AK450" s="18"/>
      <c r="AL450" s="18"/>
    </row>
    <row r="451" spans="4:38" x14ac:dyDescent="0.2">
      <c r="D451" s="19"/>
      <c r="E451" s="19"/>
      <c r="F451" s="19"/>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9"/>
      <c r="AE451" s="18"/>
      <c r="AF451" s="18"/>
      <c r="AG451" s="18"/>
      <c r="AH451" s="18"/>
      <c r="AI451" s="18"/>
      <c r="AJ451" s="97"/>
      <c r="AK451" s="18"/>
      <c r="AL451" s="18"/>
    </row>
    <row r="452" spans="4:38" x14ac:dyDescent="0.2">
      <c r="D452" s="19"/>
      <c r="E452" s="19"/>
      <c r="F452" s="19"/>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9"/>
      <c r="AE452" s="18"/>
      <c r="AF452" s="18"/>
      <c r="AG452" s="18"/>
      <c r="AH452" s="18"/>
      <c r="AI452" s="18"/>
      <c r="AJ452" s="97"/>
      <c r="AK452" s="18"/>
      <c r="AL452" s="18"/>
    </row>
    <row r="453" spans="4:38" x14ac:dyDescent="0.2">
      <c r="D453" s="19"/>
      <c r="E453" s="19"/>
      <c r="F453" s="19"/>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9"/>
      <c r="AE453" s="18"/>
      <c r="AF453" s="18"/>
      <c r="AG453" s="18"/>
      <c r="AH453" s="18"/>
      <c r="AI453" s="18"/>
      <c r="AJ453" s="97"/>
      <c r="AK453" s="18"/>
      <c r="AL453" s="18"/>
    </row>
    <row r="454" spans="4:38" x14ac:dyDescent="0.2">
      <c r="D454" s="19"/>
      <c r="E454" s="19"/>
      <c r="F454" s="19"/>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9"/>
      <c r="AE454" s="18"/>
      <c r="AF454" s="18"/>
      <c r="AG454" s="18"/>
      <c r="AH454" s="18"/>
      <c r="AI454" s="18"/>
      <c r="AJ454" s="97"/>
      <c r="AK454" s="18"/>
      <c r="AL454" s="18"/>
    </row>
    <row r="455" spans="4:38" x14ac:dyDescent="0.2">
      <c r="D455" s="19"/>
      <c r="E455" s="19"/>
      <c r="F455" s="19"/>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9"/>
      <c r="AE455" s="18"/>
      <c r="AF455" s="18"/>
      <c r="AG455" s="18"/>
      <c r="AH455" s="18"/>
      <c r="AI455" s="18"/>
      <c r="AJ455" s="97"/>
      <c r="AK455" s="18"/>
      <c r="AL455" s="18"/>
    </row>
    <row r="456" spans="4:38" x14ac:dyDescent="0.2">
      <c r="D456" s="19"/>
      <c r="E456" s="19"/>
      <c r="F456" s="19"/>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9"/>
      <c r="AE456" s="18"/>
      <c r="AF456" s="18"/>
      <c r="AG456" s="18"/>
      <c r="AH456" s="18"/>
      <c r="AI456" s="18"/>
      <c r="AJ456" s="97"/>
      <c r="AK456" s="18"/>
      <c r="AL456" s="18"/>
    </row>
    <row r="457" spans="4:38" x14ac:dyDescent="0.2">
      <c r="D457" s="19"/>
      <c r="E457" s="19"/>
      <c r="F457" s="19"/>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9"/>
      <c r="AE457" s="18"/>
      <c r="AF457" s="18"/>
      <c r="AG457" s="18"/>
      <c r="AH457" s="18"/>
      <c r="AI457" s="18"/>
      <c r="AJ457" s="97"/>
      <c r="AK457" s="18"/>
      <c r="AL457" s="18"/>
    </row>
    <row r="458" spans="4:38" x14ac:dyDescent="0.2">
      <c r="D458" s="19"/>
      <c r="E458" s="19"/>
      <c r="F458" s="19"/>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9"/>
      <c r="AE458" s="18"/>
      <c r="AF458" s="18"/>
      <c r="AG458" s="18"/>
      <c r="AH458" s="18"/>
      <c r="AI458" s="18"/>
      <c r="AJ458" s="97"/>
      <c r="AK458" s="18"/>
      <c r="AL458" s="18"/>
    </row>
    <row r="459" spans="4:38" x14ac:dyDescent="0.2">
      <c r="D459" s="19"/>
      <c r="E459" s="19"/>
      <c r="F459" s="19"/>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9"/>
      <c r="AE459" s="18"/>
      <c r="AF459" s="18"/>
      <c r="AG459" s="18"/>
      <c r="AH459" s="18"/>
      <c r="AI459" s="18"/>
      <c r="AJ459" s="97"/>
      <c r="AK459" s="18"/>
      <c r="AL459" s="18"/>
    </row>
    <row r="460" spans="4:38" x14ac:dyDescent="0.2">
      <c r="D460" s="19"/>
      <c r="E460" s="19"/>
      <c r="F460" s="19"/>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9"/>
      <c r="AE460" s="18"/>
      <c r="AF460" s="18"/>
      <c r="AG460" s="18"/>
      <c r="AH460" s="18"/>
      <c r="AI460" s="18"/>
      <c r="AJ460" s="97"/>
      <c r="AK460" s="18"/>
      <c r="AL460" s="18"/>
    </row>
    <row r="461" spans="4:38" x14ac:dyDescent="0.2">
      <c r="D461" s="19"/>
      <c r="E461" s="19"/>
      <c r="F461" s="19"/>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9"/>
      <c r="AE461" s="18"/>
      <c r="AF461" s="18"/>
      <c r="AG461" s="18"/>
      <c r="AH461" s="18"/>
      <c r="AI461" s="18"/>
      <c r="AJ461" s="97"/>
      <c r="AK461" s="18"/>
      <c r="AL461" s="18"/>
    </row>
    <row r="462" spans="4:38" x14ac:dyDescent="0.2">
      <c r="D462" s="19"/>
      <c r="E462" s="19"/>
      <c r="F462" s="19"/>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9"/>
      <c r="AE462" s="18"/>
      <c r="AF462" s="18"/>
      <c r="AG462" s="18"/>
      <c r="AH462" s="18"/>
      <c r="AI462" s="18"/>
      <c r="AJ462" s="97"/>
      <c r="AK462" s="18"/>
      <c r="AL462" s="18"/>
    </row>
    <row r="463" spans="4:38" x14ac:dyDescent="0.2">
      <c r="D463" s="19"/>
      <c r="E463" s="19"/>
      <c r="F463" s="19"/>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9"/>
      <c r="AE463" s="18"/>
      <c r="AF463" s="18"/>
      <c r="AG463" s="18"/>
      <c r="AH463" s="18"/>
      <c r="AI463" s="18"/>
      <c r="AJ463" s="97"/>
      <c r="AK463" s="18"/>
      <c r="AL463" s="18"/>
    </row>
    <row r="464" spans="4:38" x14ac:dyDescent="0.2">
      <c r="D464" s="19"/>
      <c r="E464" s="19"/>
      <c r="F464" s="19"/>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9"/>
      <c r="AE464" s="18"/>
      <c r="AF464" s="18"/>
      <c r="AG464" s="18"/>
      <c r="AH464" s="18"/>
      <c r="AI464" s="18"/>
      <c r="AJ464" s="97"/>
      <c r="AK464" s="18"/>
      <c r="AL464" s="18"/>
    </row>
    <row r="465" spans="4:38" x14ac:dyDescent="0.2">
      <c r="D465" s="19"/>
      <c r="E465" s="19"/>
      <c r="F465" s="19"/>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9"/>
      <c r="AE465" s="18"/>
      <c r="AF465" s="18"/>
      <c r="AG465" s="18"/>
      <c r="AH465" s="18"/>
      <c r="AI465" s="18"/>
      <c r="AJ465" s="97"/>
      <c r="AK465" s="18"/>
      <c r="AL465" s="18"/>
    </row>
    <row r="466" spans="4:38" x14ac:dyDescent="0.2">
      <c r="D466" s="19"/>
      <c r="E466" s="19"/>
      <c r="F466" s="19"/>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9"/>
      <c r="AE466" s="18"/>
      <c r="AF466" s="18"/>
      <c r="AG466" s="18"/>
      <c r="AH466" s="18"/>
      <c r="AI466" s="18"/>
      <c r="AJ466" s="97"/>
      <c r="AK466" s="18"/>
      <c r="AL466" s="18"/>
    </row>
    <row r="467" spans="4:38" x14ac:dyDescent="0.2">
      <c r="D467" s="19"/>
      <c r="E467" s="19"/>
      <c r="F467" s="19"/>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9"/>
      <c r="AE467" s="18"/>
      <c r="AF467" s="18"/>
      <c r="AG467" s="18"/>
      <c r="AH467" s="18"/>
      <c r="AI467" s="18"/>
      <c r="AJ467" s="97"/>
      <c r="AK467" s="18"/>
      <c r="AL467" s="18"/>
    </row>
    <row r="468" spans="4:38" x14ac:dyDescent="0.2">
      <c r="D468" s="19"/>
      <c r="E468" s="19"/>
      <c r="F468" s="19"/>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9"/>
      <c r="AE468" s="18"/>
      <c r="AF468" s="18"/>
      <c r="AG468" s="18"/>
      <c r="AH468" s="18"/>
      <c r="AI468" s="18"/>
      <c r="AJ468" s="97"/>
      <c r="AK468" s="18"/>
      <c r="AL468" s="18"/>
    </row>
    <row r="469" spans="4:38" x14ac:dyDescent="0.2">
      <c r="D469" s="19"/>
      <c r="E469" s="19"/>
      <c r="F469" s="19"/>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9"/>
      <c r="AE469" s="18"/>
      <c r="AF469" s="18"/>
      <c r="AG469" s="18"/>
      <c r="AH469" s="18"/>
      <c r="AI469" s="18"/>
      <c r="AJ469" s="97"/>
      <c r="AK469" s="18"/>
      <c r="AL469" s="18"/>
    </row>
    <row r="470" spans="4:38" x14ac:dyDescent="0.2">
      <c r="D470" s="19"/>
      <c r="E470" s="19"/>
      <c r="F470" s="19"/>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9"/>
      <c r="AE470" s="18"/>
      <c r="AF470" s="18"/>
      <c r="AG470" s="18"/>
      <c r="AH470" s="18"/>
      <c r="AI470" s="18"/>
      <c r="AJ470" s="97"/>
      <c r="AK470" s="18"/>
      <c r="AL470" s="18"/>
    </row>
    <row r="471" spans="4:38" x14ac:dyDescent="0.2">
      <c r="D471" s="19"/>
      <c r="E471" s="19"/>
      <c r="F471" s="19"/>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9"/>
      <c r="AE471" s="18"/>
      <c r="AF471" s="18"/>
      <c r="AG471" s="18"/>
      <c r="AH471" s="18"/>
      <c r="AI471" s="18"/>
      <c r="AJ471" s="97"/>
      <c r="AK471" s="18"/>
      <c r="AL471" s="18"/>
    </row>
    <row r="472" spans="4:38" x14ac:dyDescent="0.2">
      <c r="D472" s="19"/>
      <c r="E472" s="19"/>
      <c r="F472" s="19"/>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9"/>
      <c r="AE472" s="18"/>
      <c r="AF472" s="18"/>
      <c r="AG472" s="18"/>
      <c r="AH472" s="18"/>
      <c r="AI472" s="18"/>
      <c r="AJ472" s="97"/>
      <c r="AK472" s="18"/>
      <c r="AL472" s="18"/>
    </row>
    <row r="473" spans="4:38" x14ac:dyDescent="0.2">
      <c r="D473" s="19"/>
      <c r="E473" s="19"/>
      <c r="F473" s="19"/>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9"/>
      <c r="AE473" s="18"/>
      <c r="AF473" s="18"/>
      <c r="AG473" s="18"/>
      <c r="AH473" s="18"/>
      <c r="AI473" s="18"/>
      <c r="AJ473" s="97"/>
      <c r="AK473" s="18"/>
      <c r="AL473" s="18"/>
    </row>
    <row r="474" spans="4:38" x14ac:dyDescent="0.2">
      <c r="D474" s="19"/>
      <c r="E474" s="19"/>
      <c r="F474" s="19"/>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9"/>
      <c r="AE474" s="18"/>
      <c r="AF474" s="18"/>
      <c r="AG474" s="18"/>
      <c r="AH474" s="18"/>
      <c r="AI474" s="18"/>
      <c r="AJ474" s="97"/>
      <c r="AK474" s="18"/>
      <c r="AL474" s="18"/>
    </row>
    <row r="475" spans="4:38" x14ac:dyDescent="0.2">
      <c r="D475" s="19"/>
      <c r="E475" s="19"/>
      <c r="F475" s="19"/>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9"/>
      <c r="AE475" s="18"/>
      <c r="AF475" s="18"/>
      <c r="AG475" s="18"/>
      <c r="AH475" s="18"/>
      <c r="AI475" s="18"/>
      <c r="AJ475" s="97"/>
      <c r="AK475" s="18"/>
      <c r="AL475" s="18"/>
    </row>
    <row r="476" spans="4:38" x14ac:dyDescent="0.2">
      <c r="D476" s="19"/>
      <c r="E476" s="19"/>
      <c r="F476" s="19"/>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9"/>
      <c r="AE476" s="18"/>
      <c r="AF476" s="18"/>
      <c r="AG476" s="18"/>
      <c r="AH476" s="18"/>
      <c r="AI476" s="18"/>
      <c r="AJ476" s="97"/>
      <c r="AK476" s="18"/>
      <c r="AL476" s="18"/>
    </row>
    <row r="477" spans="4:38" x14ac:dyDescent="0.2">
      <c r="D477" s="19"/>
      <c r="E477" s="19"/>
      <c r="F477" s="19"/>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9"/>
      <c r="AE477" s="18"/>
      <c r="AF477" s="18"/>
      <c r="AG477" s="18"/>
      <c r="AH477" s="18"/>
      <c r="AI477" s="18"/>
      <c r="AJ477" s="97"/>
      <c r="AK477" s="18"/>
      <c r="AL477" s="18"/>
    </row>
    <row r="478" spans="4:38" x14ac:dyDescent="0.2">
      <c r="D478" s="19"/>
      <c r="E478" s="19"/>
      <c r="F478" s="19"/>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9"/>
      <c r="AE478" s="18"/>
      <c r="AF478" s="18"/>
      <c r="AG478" s="18"/>
      <c r="AH478" s="18"/>
      <c r="AI478" s="18"/>
      <c r="AJ478" s="97"/>
      <c r="AK478" s="18"/>
      <c r="AL478" s="18"/>
    </row>
    <row r="479" spans="4:38" x14ac:dyDescent="0.2">
      <c r="D479" s="19"/>
      <c r="E479" s="19"/>
      <c r="F479" s="19"/>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9"/>
      <c r="AE479" s="18"/>
      <c r="AF479" s="18"/>
      <c r="AG479" s="18"/>
      <c r="AH479" s="18"/>
      <c r="AI479" s="18"/>
      <c r="AJ479" s="97"/>
      <c r="AK479" s="18"/>
      <c r="AL479" s="18"/>
    </row>
    <row r="480" spans="4:38" x14ac:dyDescent="0.2">
      <c r="D480" s="19"/>
      <c r="E480" s="19"/>
      <c r="F480" s="19"/>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9"/>
      <c r="AE480" s="18"/>
      <c r="AF480" s="18"/>
      <c r="AG480" s="18"/>
      <c r="AH480" s="18"/>
      <c r="AI480" s="18"/>
      <c r="AJ480" s="97"/>
      <c r="AK480" s="18"/>
      <c r="AL480" s="18"/>
    </row>
    <row r="481" spans="4:38" x14ac:dyDescent="0.2">
      <c r="D481" s="19"/>
      <c r="E481" s="19"/>
      <c r="F481" s="19"/>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9"/>
      <c r="AE481" s="18"/>
      <c r="AF481" s="18"/>
      <c r="AG481" s="18"/>
      <c r="AH481" s="18"/>
      <c r="AI481" s="18"/>
      <c r="AJ481" s="97"/>
      <c r="AK481" s="18"/>
      <c r="AL481" s="18"/>
    </row>
    <row r="482" spans="4:38" x14ac:dyDescent="0.2">
      <c r="D482" s="19"/>
      <c r="E482" s="19"/>
      <c r="F482" s="19"/>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9"/>
      <c r="AE482" s="18"/>
      <c r="AF482" s="18"/>
      <c r="AG482" s="18"/>
      <c r="AH482" s="18"/>
      <c r="AI482" s="18"/>
      <c r="AJ482" s="97"/>
      <c r="AK482" s="18"/>
      <c r="AL482" s="18"/>
    </row>
    <row r="483" spans="4:38" x14ac:dyDescent="0.2">
      <c r="D483" s="19"/>
      <c r="E483" s="19"/>
      <c r="F483" s="19"/>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9"/>
      <c r="AE483" s="18"/>
      <c r="AF483" s="18"/>
      <c r="AG483" s="18"/>
      <c r="AH483" s="18"/>
      <c r="AI483" s="18"/>
      <c r="AJ483" s="97"/>
      <c r="AK483" s="18"/>
      <c r="AL483" s="18"/>
    </row>
    <row r="484" spans="4:38" x14ac:dyDescent="0.2">
      <c r="D484" s="19"/>
      <c r="E484" s="19"/>
      <c r="F484" s="19"/>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9"/>
      <c r="AE484" s="18"/>
      <c r="AF484" s="18"/>
      <c r="AG484" s="18"/>
      <c r="AH484" s="18"/>
      <c r="AI484" s="18"/>
      <c r="AJ484" s="97"/>
      <c r="AK484" s="18"/>
      <c r="AL484" s="18"/>
    </row>
    <row r="485" spans="4:38" x14ac:dyDescent="0.2">
      <c r="D485" s="19"/>
      <c r="E485" s="19"/>
      <c r="F485" s="19"/>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9"/>
      <c r="AE485" s="18"/>
      <c r="AF485" s="18"/>
      <c r="AG485" s="18"/>
      <c r="AH485" s="18"/>
      <c r="AI485" s="18"/>
      <c r="AJ485" s="97"/>
      <c r="AK485" s="18"/>
      <c r="AL485" s="18"/>
    </row>
    <row r="486" spans="4:38" x14ac:dyDescent="0.2">
      <c r="D486" s="19"/>
      <c r="E486" s="19"/>
      <c r="F486" s="19"/>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9"/>
      <c r="AE486" s="18"/>
      <c r="AF486" s="18"/>
      <c r="AG486" s="18"/>
      <c r="AH486" s="18"/>
      <c r="AI486" s="18"/>
      <c r="AJ486" s="97"/>
      <c r="AK486" s="18"/>
      <c r="AL486" s="18"/>
    </row>
    <row r="487" spans="4:38" x14ac:dyDescent="0.2">
      <c r="D487" s="19"/>
      <c r="E487" s="19"/>
      <c r="F487" s="19"/>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9"/>
      <c r="AE487" s="18"/>
      <c r="AF487" s="18"/>
      <c r="AG487" s="18"/>
      <c r="AH487" s="18"/>
      <c r="AI487" s="18"/>
      <c r="AJ487" s="97"/>
      <c r="AK487" s="18"/>
      <c r="AL487" s="18"/>
    </row>
    <row r="488" spans="4:38" x14ac:dyDescent="0.2">
      <c r="D488" s="19"/>
      <c r="E488" s="19"/>
      <c r="F488" s="19"/>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9"/>
      <c r="AE488" s="18"/>
      <c r="AF488" s="18"/>
      <c r="AG488" s="18"/>
      <c r="AH488" s="18"/>
      <c r="AI488" s="18"/>
      <c r="AJ488" s="97"/>
      <c r="AK488" s="18"/>
      <c r="AL488" s="18"/>
    </row>
    <row r="489" spans="4:38" x14ac:dyDescent="0.2">
      <c r="D489" s="19"/>
      <c r="E489" s="19"/>
      <c r="F489" s="19"/>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9"/>
      <c r="AE489" s="18"/>
      <c r="AF489" s="18"/>
      <c r="AG489" s="18"/>
      <c r="AH489" s="18"/>
      <c r="AI489" s="18"/>
      <c r="AJ489" s="97"/>
      <c r="AK489" s="18"/>
      <c r="AL489" s="18"/>
    </row>
    <row r="490" spans="4:38" x14ac:dyDescent="0.2">
      <c r="D490" s="19"/>
      <c r="E490" s="19"/>
      <c r="F490" s="19"/>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9"/>
      <c r="AE490" s="18"/>
      <c r="AF490" s="18"/>
      <c r="AG490" s="18"/>
      <c r="AH490" s="18"/>
      <c r="AI490" s="18"/>
      <c r="AJ490" s="97"/>
      <c r="AK490" s="18"/>
      <c r="AL490" s="18"/>
    </row>
    <row r="491" spans="4:38" x14ac:dyDescent="0.2">
      <c r="D491" s="19"/>
      <c r="E491" s="19"/>
      <c r="F491" s="19"/>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9"/>
      <c r="AE491" s="18"/>
      <c r="AF491" s="18"/>
      <c r="AG491" s="18"/>
      <c r="AH491" s="18"/>
      <c r="AI491" s="18"/>
      <c r="AJ491" s="97"/>
      <c r="AK491" s="18"/>
      <c r="AL491" s="18"/>
    </row>
    <row r="492" spans="4:38" x14ac:dyDescent="0.2">
      <c r="D492" s="19"/>
      <c r="E492" s="19"/>
      <c r="F492" s="19"/>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9"/>
      <c r="AE492" s="18"/>
      <c r="AF492" s="18"/>
      <c r="AG492" s="18"/>
      <c r="AH492" s="18"/>
      <c r="AI492" s="18"/>
      <c r="AJ492" s="97"/>
      <c r="AK492" s="18"/>
      <c r="AL492" s="18"/>
    </row>
    <row r="493" spans="4:38" x14ac:dyDescent="0.2">
      <c r="D493" s="19"/>
      <c r="E493" s="19"/>
      <c r="F493" s="19"/>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9"/>
      <c r="AE493" s="18"/>
      <c r="AF493" s="18"/>
      <c r="AG493" s="18"/>
      <c r="AH493" s="18"/>
      <c r="AI493" s="18"/>
      <c r="AJ493" s="97"/>
      <c r="AK493" s="18"/>
      <c r="AL493" s="18"/>
    </row>
    <row r="494" spans="4:38" x14ac:dyDescent="0.2">
      <c r="D494" s="19"/>
      <c r="E494" s="19"/>
      <c r="F494" s="19"/>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9"/>
      <c r="AE494" s="18"/>
      <c r="AF494" s="18"/>
      <c r="AG494" s="18"/>
      <c r="AH494" s="18"/>
      <c r="AI494" s="18"/>
      <c r="AJ494" s="97"/>
      <c r="AK494" s="18"/>
      <c r="AL494" s="18"/>
    </row>
    <row r="495" spans="4:38" x14ac:dyDescent="0.2">
      <c r="D495" s="19"/>
      <c r="E495" s="19"/>
      <c r="F495" s="19"/>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9"/>
      <c r="AE495" s="18"/>
      <c r="AF495" s="18"/>
      <c r="AG495" s="18"/>
      <c r="AH495" s="18"/>
      <c r="AI495" s="18"/>
      <c r="AJ495" s="97"/>
      <c r="AK495" s="18"/>
      <c r="AL495" s="18"/>
    </row>
    <row r="496" spans="4:38" x14ac:dyDescent="0.2">
      <c r="D496" s="19"/>
      <c r="E496" s="19"/>
      <c r="F496" s="19"/>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9"/>
      <c r="AE496" s="18"/>
      <c r="AF496" s="18"/>
      <c r="AG496" s="18"/>
      <c r="AH496" s="18"/>
      <c r="AI496" s="18"/>
      <c r="AJ496" s="97"/>
      <c r="AK496" s="18"/>
      <c r="AL496" s="18"/>
    </row>
    <row r="497" spans="4:38" x14ac:dyDescent="0.2">
      <c r="D497" s="19"/>
      <c r="E497" s="19"/>
      <c r="F497" s="19"/>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9"/>
      <c r="AE497" s="18"/>
      <c r="AF497" s="18"/>
      <c r="AG497" s="18"/>
      <c r="AH497" s="18"/>
      <c r="AI497" s="18"/>
      <c r="AJ497" s="97"/>
      <c r="AK497" s="18"/>
      <c r="AL497" s="18"/>
    </row>
    <row r="498" spans="4:38" x14ac:dyDescent="0.2">
      <c r="D498" s="19"/>
      <c r="E498" s="19"/>
      <c r="F498" s="19"/>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9"/>
      <c r="AE498" s="18"/>
      <c r="AF498" s="18"/>
      <c r="AG498" s="18"/>
      <c r="AH498" s="18"/>
      <c r="AI498" s="18"/>
      <c r="AJ498" s="97"/>
      <c r="AK498" s="18"/>
      <c r="AL498" s="18"/>
    </row>
    <row r="499" spans="4:38" x14ac:dyDescent="0.2">
      <c r="D499" s="19"/>
      <c r="E499" s="19"/>
      <c r="F499" s="19"/>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9"/>
      <c r="AE499" s="18"/>
      <c r="AF499" s="18"/>
      <c r="AG499" s="18"/>
      <c r="AH499" s="18"/>
      <c r="AI499" s="18"/>
      <c r="AJ499" s="97"/>
      <c r="AK499" s="18"/>
      <c r="AL499" s="18"/>
    </row>
    <row r="500" spans="4:38" x14ac:dyDescent="0.2">
      <c r="D500" s="19"/>
      <c r="E500" s="19"/>
      <c r="F500" s="19"/>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9"/>
      <c r="AE500" s="18"/>
      <c r="AF500" s="18"/>
      <c r="AG500" s="18"/>
      <c r="AH500" s="18"/>
      <c r="AI500" s="18"/>
      <c r="AJ500" s="97"/>
      <c r="AK500" s="18"/>
      <c r="AL500" s="18"/>
    </row>
    <row r="501" spans="4:38" x14ac:dyDescent="0.2">
      <c r="D501" s="19"/>
      <c r="E501" s="19"/>
      <c r="F501" s="19"/>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9"/>
      <c r="AE501" s="18"/>
      <c r="AF501" s="18"/>
      <c r="AG501" s="18"/>
      <c r="AH501" s="18"/>
      <c r="AI501" s="18"/>
      <c r="AJ501" s="97"/>
      <c r="AK501" s="18"/>
      <c r="AL501" s="18"/>
    </row>
    <row r="502" spans="4:38" x14ac:dyDescent="0.2">
      <c r="D502" s="19"/>
      <c r="E502" s="19"/>
      <c r="F502" s="19"/>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9"/>
      <c r="AE502" s="18"/>
      <c r="AF502" s="18"/>
      <c r="AG502" s="18"/>
      <c r="AH502" s="18"/>
      <c r="AI502" s="18"/>
      <c r="AJ502" s="97"/>
      <c r="AK502" s="18"/>
      <c r="AL502" s="18"/>
    </row>
    <row r="503" spans="4:38" x14ac:dyDescent="0.2">
      <c r="D503" s="19"/>
      <c r="E503" s="19"/>
      <c r="F503" s="19"/>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9"/>
      <c r="AE503" s="18"/>
      <c r="AF503" s="18"/>
      <c r="AG503" s="18"/>
      <c r="AH503" s="18"/>
      <c r="AI503" s="18"/>
      <c r="AJ503" s="97"/>
      <c r="AK503" s="18"/>
      <c r="AL503" s="18"/>
    </row>
    <row r="504" spans="4:38" x14ac:dyDescent="0.2">
      <c r="D504" s="19"/>
      <c r="E504" s="19"/>
      <c r="F504" s="19"/>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9"/>
      <c r="AE504" s="18"/>
      <c r="AF504" s="18"/>
      <c r="AG504" s="18"/>
      <c r="AH504" s="18"/>
      <c r="AI504" s="18"/>
      <c r="AJ504" s="97"/>
      <c r="AK504" s="18"/>
      <c r="AL504" s="18"/>
    </row>
    <row r="505" spans="4:38" x14ac:dyDescent="0.2">
      <c r="D505" s="19"/>
      <c r="E505" s="19"/>
      <c r="F505" s="19"/>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9"/>
      <c r="AE505" s="18"/>
      <c r="AF505" s="18"/>
      <c r="AG505" s="18"/>
      <c r="AH505" s="18"/>
      <c r="AI505" s="18"/>
      <c r="AJ505" s="97"/>
      <c r="AK505" s="18"/>
      <c r="AL505" s="18"/>
    </row>
    <row r="506" spans="4:38" x14ac:dyDescent="0.2">
      <c r="D506" s="19"/>
      <c r="E506" s="19"/>
      <c r="F506" s="19"/>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9"/>
      <c r="AE506" s="18"/>
      <c r="AF506" s="18"/>
      <c r="AG506" s="18"/>
      <c r="AH506" s="18"/>
      <c r="AI506" s="18"/>
      <c r="AJ506" s="97"/>
      <c r="AK506" s="18"/>
      <c r="AL506" s="18"/>
    </row>
    <row r="507" spans="4:38" x14ac:dyDescent="0.2">
      <c r="D507" s="19"/>
      <c r="E507" s="19"/>
      <c r="F507" s="19"/>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9"/>
      <c r="AE507" s="18"/>
      <c r="AF507" s="18"/>
      <c r="AG507" s="18"/>
      <c r="AH507" s="18"/>
      <c r="AI507" s="18"/>
      <c r="AJ507" s="97"/>
      <c r="AK507" s="18"/>
      <c r="AL507" s="18"/>
    </row>
    <row r="508" spans="4:38" x14ac:dyDescent="0.2">
      <c r="D508" s="19"/>
      <c r="E508" s="19"/>
      <c r="F508" s="19"/>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9"/>
      <c r="AE508" s="18"/>
      <c r="AF508" s="18"/>
      <c r="AG508" s="18"/>
      <c r="AH508" s="18"/>
      <c r="AI508" s="18"/>
      <c r="AJ508" s="97"/>
      <c r="AK508" s="18"/>
      <c r="AL508" s="18"/>
    </row>
    <row r="509" spans="4:38" x14ac:dyDescent="0.2">
      <c r="D509" s="19"/>
      <c r="E509" s="19"/>
      <c r="F509" s="19"/>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9"/>
      <c r="AE509" s="18"/>
      <c r="AF509" s="18"/>
      <c r="AG509" s="18"/>
      <c r="AH509" s="18"/>
      <c r="AI509" s="18"/>
      <c r="AJ509" s="97"/>
      <c r="AK509" s="18"/>
      <c r="AL509" s="18"/>
    </row>
    <row r="510" spans="4:38" x14ac:dyDescent="0.2">
      <c r="D510" s="19"/>
      <c r="E510" s="19"/>
      <c r="F510" s="19"/>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9"/>
      <c r="AE510" s="18"/>
      <c r="AF510" s="18"/>
      <c r="AG510" s="18"/>
      <c r="AH510" s="18"/>
      <c r="AI510" s="18"/>
      <c r="AJ510" s="97"/>
      <c r="AK510" s="18"/>
      <c r="AL510" s="18"/>
    </row>
    <row r="511" spans="4:38" x14ac:dyDescent="0.2">
      <c r="D511" s="19"/>
      <c r="E511" s="19"/>
      <c r="F511" s="19"/>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9"/>
      <c r="AE511" s="18"/>
      <c r="AF511" s="18"/>
      <c r="AG511" s="18"/>
      <c r="AH511" s="18"/>
      <c r="AI511" s="18"/>
      <c r="AJ511" s="97"/>
      <c r="AK511" s="18"/>
      <c r="AL511" s="18"/>
    </row>
    <row r="512" spans="4:38" x14ac:dyDescent="0.2">
      <c r="D512" s="19"/>
      <c r="E512" s="19"/>
      <c r="F512" s="19"/>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9"/>
      <c r="AE512" s="18"/>
      <c r="AF512" s="18"/>
      <c r="AG512" s="18"/>
      <c r="AH512" s="18"/>
      <c r="AI512" s="18"/>
      <c r="AJ512" s="97"/>
      <c r="AK512" s="18"/>
      <c r="AL512" s="18"/>
    </row>
    <row r="513" spans="4:38" x14ac:dyDescent="0.2">
      <c r="D513" s="19"/>
      <c r="E513" s="19"/>
      <c r="F513" s="19"/>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9"/>
      <c r="AE513" s="18"/>
      <c r="AF513" s="18"/>
      <c r="AG513" s="18"/>
      <c r="AH513" s="18"/>
      <c r="AI513" s="18"/>
      <c r="AJ513" s="97"/>
      <c r="AK513" s="18"/>
      <c r="AL513" s="18"/>
    </row>
    <row r="514" spans="4:38" x14ac:dyDescent="0.2">
      <c r="D514" s="19"/>
      <c r="E514" s="19"/>
      <c r="F514" s="19"/>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9"/>
      <c r="AE514" s="18"/>
      <c r="AF514" s="18"/>
      <c r="AG514" s="18"/>
      <c r="AH514" s="18"/>
      <c r="AI514" s="18"/>
      <c r="AJ514" s="97"/>
      <c r="AK514" s="18"/>
      <c r="AL514" s="18"/>
    </row>
    <row r="515" spans="4:38" x14ac:dyDescent="0.2">
      <c r="D515" s="19"/>
      <c r="E515" s="19"/>
      <c r="F515" s="19"/>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9"/>
      <c r="AE515" s="18"/>
      <c r="AF515" s="18"/>
      <c r="AG515" s="18"/>
      <c r="AH515" s="18"/>
      <c r="AI515" s="18"/>
      <c r="AJ515" s="97"/>
      <c r="AK515" s="18"/>
      <c r="AL515" s="18"/>
    </row>
    <row r="516" spans="4:38" x14ac:dyDescent="0.2">
      <c r="D516" s="19"/>
      <c r="E516" s="19"/>
      <c r="F516" s="19"/>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9"/>
      <c r="AE516" s="18"/>
      <c r="AF516" s="18"/>
      <c r="AG516" s="18"/>
      <c r="AH516" s="18"/>
      <c r="AI516" s="18"/>
      <c r="AJ516" s="97"/>
      <c r="AK516" s="18"/>
      <c r="AL516" s="18"/>
    </row>
    <row r="517" spans="4:38" x14ac:dyDescent="0.2">
      <c r="D517" s="19"/>
      <c r="E517" s="19"/>
      <c r="F517" s="19"/>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9"/>
      <c r="AE517" s="18"/>
      <c r="AF517" s="18"/>
      <c r="AG517" s="18"/>
      <c r="AH517" s="18"/>
      <c r="AI517" s="18"/>
      <c r="AJ517" s="97"/>
      <c r="AK517" s="18"/>
      <c r="AL517" s="18"/>
    </row>
    <row r="518" spans="4:38" x14ac:dyDescent="0.2">
      <c r="D518" s="19"/>
      <c r="E518" s="19"/>
      <c r="F518" s="19"/>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9"/>
      <c r="AE518" s="18"/>
      <c r="AF518" s="18"/>
      <c r="AG518" s="18"/>
      <c r="AH518" s="18"/>
      <c r="AI518" s="18"/>
      <c r="AJ518" s="97"/>
      <c r="AK518" s="18"/>
      <c r="AL518" s="18"/>
    </row>
    <row r="519" spans="4:38" x14ac:dyDescent="0.2">
      <c r="D519" s="19"/>
      <c r="E519" s="19"/>
      <c r="F519" s="19"/>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9"/>
      <c r="AE519" s="18"/>
      <c r="AF519" s="18"/>
      <c r="AG519" s="18"/>
      <c r="AH519" s="18"/>
      <c r="AI519" s="18"/>
      <c r="AJ519" s="97"/>
      <c r="AK519" s="18"/>
      <c r="AL519" s="18"/>
    </row>
    <row r="520" spans="4:38" x14ac:dyDescent="0.2">
      <c r="D520" s="19"/>
      <c r="E520" s="19"/>
      <c r="F520" s="19"/>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9"/>
      <c r="AE520" s="18"/>
      <c r="AF520" s="18"/>
      <c r="AG520" s="18"/>
      <c r="AH520" s="18"/>
      <c r="AI520" s="18"/>
      <c r="AJ520" s="97"/>
      <c r="AK520" s="18"/>
      <c r="AL520" s="18"/>
    </row>
    <row r="521" spans="4:38" x14ac:dyDescent="0.2">
      <c r="D521" s="19"/>
      <c r="E521" s="19"/>
      <c r="F521" s="19"/>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9"/>
      <c r="AE521" s="18"/>
      <c r="AF521" s="18"/>
      <c r="AG521" s="18"/>
      <c r="AH521" s="18"/>
      <c r="AI521" s="18"/>
      <c r="AJ521" s="97"/>
      <c r="AK521" s="18"/>
      <c r="AL521" s="18"/>
    </row>
    <row r="522" spans="4:38" x14ac:dyDescent="0.2">
      <c r="D522" s="19"/>
      <c r="E522" s="19"/>
      <c r="F522" s="19"/>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9"/>
      <c r="AE522" s="18"/>
      <c r="AF522" s="18"/>
      <c r="AG522" s="18"/>
      <c r="AH522" s="18"/>
      <c r="AI522" s="18"/>
      <c r="AJ522" s="97"/>
      <c r="AK522" s="18"/>
      <c r="AL522" s="18"/>
    </row>
    <row r="523" spans="4:38" x14ac:dyDescent="0.2">
      <c r="D523" s="19"/>
      <c r="E523" s="19"/>
      <c r="F523" s="19"/>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9"/>
      <c r="AE523" s="18"/>
      <c r="AF523" s="18"/>
      <c r="AG523" s="18"/>
      <c r="AH523" s="18"/>
      <c r="AI523" s="18"/>
      <c r="AJ523" s="97"/>
      <c r="AK523" s="18"/>
      <c r="AL523" s="18"/>
    </row>
    <row r="524" spans="4:38" x14ac:dyDescent="0.2">
      <c r="D524" s="19"/>
      <c r="E524" s="19"/>
      <c r="F524" s="19"/>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9"/>
      <c r="AE524" s="18"/>
      <c r="AF524" s="18"/>
      <c r="AG524" s="18"/>
      <c r="AH524" s="18"/>
      <c r="AI524" s="18"/>
      <c r="AJ524" s="97"/>
      <c r="AK524" s="18"/>
      <c r="AL524" s="18"/>
    </row>
    <row r="525" spans="4:38" x14ac:dyDescent="0.2">
      <c r="D525" s="19"/>
      <c r="E525" s="19"/>
      <c r="F525" s="19"/>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9"/>
      <c r="AE525" s="18"/>
      <c r="AF525" s="18"/>
      <c r="AG525" s="18"/>
      <c r="AH525" s="18"/>
      <c r="AI525" s="18"/>
      <c r="AJ525" s="97"/>
      <c r="AK525" s="18"/>
      <c r="AL525" s="18"/>
    </row>
    <row r="526" spans="4:38" x14ac:dyDescent="0.2">
      <c r="D526" s="19"/>
      <c r="E526" s="19"/>
      <c r="F526" s="19"/>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9"/>
      <c r="AE526" s="18"/>
      <c r="AF526" s="18"/>
      <c r="AG526" s="18"/>
      <c r="AH526" s="18"/>
      <c r="AI526" s="18"/>
      <c r="AJ526" s="97"/>
      <c r="AK526" s="18"/>
      <c r="AL526" s="18"/>
    </row>
    <row r="527" spans="4:38" x14ac:dyDescent="0.2">
      <c r="D527" s="19"/>
      <c r="E527" s="19"/>
      <c r="F527" s="19"/>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9"/>
      <c r="AE527" s="18"/>
      <c r="AF527" s="18"/>
      <c r="AG527" s="18"/>
      <c r="AH527" s="18"/>
      <c r="AI527" s="18"/>
      <c r="AJ527" s="97"/>
      <c r="AK527" s="18"/>
      <c r="AL527" s="18"/>
    </row>
    <row r="528" spans="4:38" x14ac:dyDescent="0.2">
      <c r="D528" s="19"/>
      <c r="E528" s="19"/>
      <c r="F528" s="19"/>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9"/>
      <c r="AE528" s="18"/>
      <c r="AF528" s="18"/>
      <c r="AG528" s="18"/>
      <c r="AH528" s="18"/>
      <c r="AI528" s="18"/>
      <c r="AJ528" s="97"/>
      <c r="AK528" s="18"/>
      <c r="AL528" s="18"/>
    </row>
    <row r="529" spans="4:38" x14ac:dyDescent="0.2">
      <c r="D529" s="19"/>
      <c r="E529" s="19"/>
      <c r="F529" s="19"/>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9"/>
      <c r="AE529" s="18"/>
      <c r="AF529" s="18"/>
      <c r="AG529" s="18"/>
      <c r="AH529" s="18"/>
      <c r="AI529" s="18"/>
      <c r="AJ529" s="97"/>
      <c r="AK529" s="18"/>
      <c r="AL529" s="18"/>
    </row>
    <row r="530" spans="4:38" x14ac:dyDescent="0.2">
      <c r="D530" s="19"/>
      <c r="E530" s="19"/>
      <c r="F530" s="19"/>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9"/>
      <c r="AE530" s="18"/>
      <c r="AF530" s="18"/>
      <c r="AG530" s="18"/>
      <c r="AH530" s="18"/>
      <c r="AI530" s="18"/>
      <c r="AJ530" s="97"/>
      <c r="AK530" s="18"/>
      <c r="AL530" s="18"/>
    </row>
    <row r="531" spans="4:38" x14ac:dyDescent="0.2">
      <c r="D531" s="19"/>
      <c r="E531" s="19"/>
      <c r="F531" s="19"/>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9"/>
      <c r="AE531" s="18"/>
      <c r="AF531" s="18"/>
      <c r="AG531" s="18"/>
      <c r="AH531" s="18"/>
      <c r="AI531" s="18"/>
      <c r="AJ531" s="97"/>
      <c r="AK531" s="18"/>
      <c r="AL531" s="18"/>
    </row>
    <row r="532" spans="4:38" x14ac:dyDescent="0.2">
      <c r="D532" s="19"/>
      <c r="E532" s="19"/>
      <c r="F532" s="19"/>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9"/>
      <c r="AE532" s="18"/>
      <c r="AF532" s="18"/>
      <c r="AG532" s="18"/>
      <c r="AH532" s="18"/>
      <c r="AI532" s="18"/>
      <c r="AJ532" s="97"/>
      <c r="AK532" s="18"/>
      <c r="AL532" s="18"/>
    </row>
    <row r="533" spans="4:38" x14ac:dyDescent="0.2">
      <c r="D533" s="19"/>
      <c r="E533" s="19"/>
      <c r="F533" s="19"/>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9"/>
      <c r="AE533" s="18"/>
      <c r="AF533" s="18"/>
      <c r="AG533" s="18"/>
      <c r="AH533" s="18"/>
      <c r="AI533" s="18"/>
      <c r="AJ533" s="97"/>
      <c r="AK533" s="18"/>
      <c r="AL533" s="18"/>
    </row>
    <row r="534" spans="4:38" x14ac:dyDescent="0.2">
      <c r="D534" s="19"/>
      <c r="E534" s="19"/>
      <c r="F534" s="19"/>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9"/>
      <c r="AE534" s="18"/>
      <c r="AF534" s="18"/>
      <c r="AG534" s="18"/>
      <c r="AH534" s="18"/>
      <c r="AI534" s="18"/>
      <c r="AJ534" s="97"/>
      <c r="AK534" s="18"/>
      <c r="AL534" s="18"/>
    </row>
    <row r="535" spans="4:38" x14ac:dyDescent="0.2">
      <c r="D535" s="19"/>
      <c r="E535" s="19"/>
      <c r="F535" s="19"/>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9"/>
      <c r="AE535" s="18"/>
      <c r="AF535" s="18"/>
      <c r="AG535" s="18"/>
      <c r="AH535" s="18"/>
      <c r="AI535" s="18"/>
      <c r="AJ535" s="97"/>
      <c r="AK535" s="18"/>
      <c r="AL535" s="18"/>
    </row>
    <row r="536" spans="4:38" x14ac:dyDescent="0.2">
      <c r="D536" s="19"/>
      <c r="E536" s="19"/>
      <c r="F536" s="19"/>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9"/>
      <c r="AE536" s="18"/>
      <c r="AF536" s="18"/>
      <c r="AG536" s="18"/>
      <c r="AH536" s="18"/>
      <c r="AI536" s="18"/>
      <c r="AJ536" s="97"/>
      <c r="AK536" s="18"/>
      <c r="AL536" s="18"/>
    </row>
    <row r="537" spans="4:38" x14ac:dyDescent="0.2">
      <c r="D537" s="19"/>
      <c r="E537" s="19"/>
      <c r="F537" s="19"/>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9"/>
      <c r="AE537" s="18"/>
      <c r="AF537" s="18"/>
      <c r="AG537" s="18"/>
      <c r="AH537" s="18"/>
      <c r="AI537" s="18"/>
      <c r="AJ537" s="97"/>
      <c r="AK537" s="18"/>
      <c r="AL537" s="18"/>
    </row>
    <row r="538" spans="4:38" x14ac:dyDescent="0.2">
      <c r="D538" s="19"/>
      <c r="E538" s="19"/>
      <c r="F538" s="19"/>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9"/>
      <c r="AE538" s="18"/>
      <c r="AF538" s="18"/>
      <c r="AG538" s="18"/>
      <c r="AH538" s="18"/>
      <c r="AI538" s="18"/>
      <c r="AJ538" s="97"/>
      <c r="AK538" s="18"/>
      <c r="AL538" s="18"/>
    </row>
    <row r="539" spans="4:38" x14ac:dyDescent="0.2">
      <c r="D539" s="19"/>
      <c r="E539" s="19"/>
      <c r="F539" s="19"/>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9"/>
      <c r="AE539" s="18"/>
      <c r="AF539" s="18"/>
      <c r="AG539" s="18"/>
      <c r="AH539" s="18"/>
      <c r="AI539" s="18"/>
      <c r="AJ539" s="97"/>
      <c r="AK539" s="18"/>
      <c r="AL539" s="18"/>
    </row>
    <row r="540" spans="4:38" x14ac:dyDescent="0.2">
      <c r="D540" s="19"/>
      <c r="E540" s="19"/>
      <c r="F540" s="19"/>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9"/>
      <c r="AE540" s="18"/>
      <c r="AF540" s="18"/>
      <c r="AG540" s="18"/>
      <c r="AH540" s="18"/>
      <c r="AI540" s="18"/>
      <c r="AJ540" s="97"/>
      <c r="AK540" s="18"/>
      <c r="AL540" s="18"/>
    </row>
    <row r="541" spans="4:38" x14ac:dyDescent="0.2">
      <c r="D541" s="19"/>
      <c r="E541" s="19"/>
      <c r="F541" s="19"/>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9"/>
      <c r="AE541" s="18"/>
      <c r="AF541" s="18"/>
      <c r="AG541" s="18"/>
      <c r="AH541" s="18"/>
      <c r="AI541" s="18"/>
      <c r="AJ541" s="97"/>
      <c r="AK541" s="18"/>
      <c r="AL541" s="18"/>
    </row>
    <row r="542" spans="4:38" x14ac:dyDescent="0.2">
      <c r="D542" s="19"/>
      <c r="E542" s="19"/>
      <c r="F542" s="19"/>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9"/>
      <c r="AE542" s="18"/>
      <c r="AF542" s="18"/>
      <c r="AG542" s="18"/>
      <c r="AH542" s="18"/>
      <c r="AI542" s="18"/>
      <c r="AJ542" s="97"/>
      <c r="AK542" s="18"/>
      <c r="AL542" s="18"/>
    </row>
    <row r="543" spans="4:38" x14ac:dyDescent="0.2">
      <c r="D543" s="19"/>
      <c r="E543" s="19"/>
      <c r="F543" s="19"/>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9"/>
      <c r="AE543" s="18"/>
      <c r="AF543" s="18"/>
      <c r="AG543" s="18"/>
      <c r="AH543" s="18"/>
      <c r="AI543" s="18"/>
      <c r="AJ543" s="97"/>
      <c r="AK543" s="18"/>
      <c r="AL543" s="18"/>
    </row>
    <row r="544" spans="4:38" x14ac:dyDescent="0.2">
      <c r="D544" s="19"/>
      <c r="E544" s="19"/>
      <c r="F544" s="19"/>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9"/>
      <c r="AE544" s="18"/>
      <c r="AF544" s="18"/>
      <c r="AG544" s="18"/>
      <c r="AH544" s="18"/>
      <c r="AI544" s="18"/>
      <c r="AJ544" s="97"/>
      <c r="AK544" s="18"/>
      <c r="AL544" s="18"/>
    </row>
    <row r="545" spans="4:38" x14ac:dyDescent="0.2">
      <c r="D545" s="19"/>
      <c r="E545" s="19"/>
      <c r="F545" s="19"/>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9"/>
      <c r="AE545" s="18"/>
      <c r="AF545" s="18"/>
      <c r="AG545" s="18"/>
      <c r="AH545" s="18"/>
      <c r="AI545" s="18"/>
      <c r="AJ545" s="97"/>
      <c r="AK545" s="18"/>
      <c r="AL545" s="18"/>
    </row>
    <row r="546" spans="4:38" x14ac:dyDescent="0.2">
      <c r="D546" s="19"/>
      <c r="E546" s="19"/>
      <c r="F546" s="19"/>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9"/>
      <c r="AE546" s="18"/>
      <c r="AF546" s="18"/>
      <c r="AG546" s="18"/>
      <c r="AH546" s="18"/>
      <c r="AI546" s="18"/>
      <c r="AJ546" s="97"/>
      <c r="AK546" s="18"/>
      <c r="AL546" s="18"/>
    </row>
    <row r="547" spans="4:38" x14ac:dyDescent="0.2">
      <c r="D547" s="19"/>
      <c r="E547" s="19"/>
      <c r="F547" s="19"/>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9"/>
      <c r="AE547" s="18"/>
      <c r="AF547" s="18"/>
      <c r="AG547" s="18"/>
      <c r="AH547" s="18"/>
      <c r="AI547" s="18"/>
      <c r="AJ547" s="97"/>
      <c r="AK547" s="18"/>
      <c r="AL547" s="18"/>
    </row>
    <row r="548" spans="4:38" x14ac:dyDescent="0.2">
      <c r="D548" s="19"/>
      <c r="E548" s="19"/>
      <c r="F548" s="19"/>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9"/>
      <c r="AE548" s="18"/>
      <c r="AF548" s="18"/>
      <c r="AG548" s="18"/>
      <c r="AH548" s="18"/>
      <c r="AI548" s="18"/>
      <c r="AJ548" s="97"/>
      <c r="AK548" s="18"/>
      <c r="AL548" s="18"/>
    </row>
    <row r="549" spans="4:38" x14ac:dyDescent="0.2">
      <c r="D549" s="19"/>
      <c r="E549" s="19"/>
      <c r="F549" s="19"/>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9"/>
      <c r="AE549" s="18"/>
      <c r="AF549" s="18"/>
      <c r="AG549" s="18"/>
      <c r="AH549" s="18"/>
      <c r="AI549" s="18"/>
      <c r="AJ549" s="97"/>
      <c r="AK549" s="18"/>
      <c r="AL549" s="18"/>
    </row>
    <row r="550" spans="4:38" x14ac:dyDescent="0.2">
      <c r="D550" s="19"/>
      <c r="E550" s="19"/>
      <c r="F550" s="19"/>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9"/>
      <c r="AE550" s="18"/>
      <c r="AF550" s="18"/>
      <c r="AG550" s="18"/>
      <c r="AH550" s="18"/>
      <c r="AI550" s="18"/>
      <c r="AJ550" s="97"/>
      <c r="AK550" s="18"/>
      <c r="AL550" s="18"/>
    </row>
    <row r="551" spans="4:38" x14ac:dyDescent="0.2">
      <c r="D551" s="19"/>
      <c r="E551" s="19"/>
      <c r="F551" s="19"/>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9"/>
      <c r="AE551" s="18"/>
      <c r="AF551" s="18"/>
      <c r="AG551" s="18"/>
      <c r="AH551" s="18"/>
      <c r="AI551" s="18"/>
      <c r="AJ551" s="97"/>
      <c r="AK551" s="18"/>
      <c r="AL551" s="18"/>
    </row>
    <row r="552" spans="4:38" x14ac:dyDescent="0.2">
      <c r="D552" s="19"/>
      <c r="E552" s="19"/>
      <c r="F552" s="19"/>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9"/>
      <c r="AE552" s="18"/>
      <c r="AF552" s="18"/>
      <c r="AG552" s="18"/>
      <c r="AH552" s="18"/>
      <c r="AI552" s="18"/>
      <c r="AJ552" s="97"/>
      <c r="AK552" s="18"/>
      <c r="AL552" s="18"/>
    </row>
    <row r="553" spans="4:38" x14ac:dyDescent="0.2">
      <c r="D553" s="19"/>
      <c r="E553" s="19"/>
      <c r="F553" s="19"/>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9"/>
      <c r="AE553" s="18"/>
      <c r="AF553" s="18"/>
      <c r="AG553" s="18"/>
      <c r="AH553" s="18"/>
      <c r="AI553" s="18"/>
      <c r="AJ553" s="97"/>
      <c r="AK553" s="18"/>
      <c r="AL553" s="18"/>
    </row>
    <row r="554" spans="4:38" x14ac:dyDescent="0.2">
      <c r="D554" s="19"/>
      <c r="E554" s="19"/>
      <c r="F554" s="19"/>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9"/>
      <c r="AE554" s="18"/>
      <c r="AF554" s="18"/>
      <c r="AG554" s="18"/>
      <c r="AH554" s="18"/>
      <c r="AI554" s="18"/>
      <c r="AJ554" s="97"/>
      <c r="AK554" s="18"/>
      <c r="AL554" s="18"/>
    </row>
    <row r="555" spans="4:38" x14ac:dyDescent="0.2">
      <c r="D555" s="19"/>
      <c r="E555" s="19"/>
      <c r="F555" s="19"/>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9"/>
      <c r="AE555" s="18"/>
      <c r="AF555" s="18"/>
      <c r="AG555" s="18"/>
      <c r="AH555" s="18"/>
      <c r="AI555" s="18"/>
      <c r="AJ555" s="97"/>
      <c r="AK555" s="18"/>
      <c r="AL555" s="18"/>
    </row>
    <row r="556" spans="4:38" x14ac:dyDescent="0.2">
      <c r="D556" s="19"/>
      <c r="E556" s="19"/>
      <c r="F556" s="19"/>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9"/>
      <c r="AE556" s="18"/>
      <c r="AF556" s="18"/>
      <c r="AG556" s="18"/>
      <c r="AH556" s="18"/>
      <c r="AI556" s="18"/>
      <c r="AJ556" s="97"/>
      <c r="AK556" s="18"/>
      <c r="AL556" s="18"/>
    </row>
    <row r="557" spans="4:38" x14ac:dyDescent="0.2">
      <c r="D557" s="19"/>
      <c r="E557" s="19"/>
      <c r="F557" s="19"/>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9"/>
      <c r="AE557" s="18"/>
      <c r="AF557" s="18"/>
      <c r="AG557" s="18"/>
      <c r="AH557" s="18"/>
      <c r="AI557" s="18"/>
      <c r="AJ557" s="97"/>
      <c r="AK557" s="18"/>
      <c r="AL557" s="18"/>
    </row>
    <row r="558" spans="4:38" x14ac:dyDescent="0.2">
      <c r="D558" s="19"/>
      <c r="E558" s="19"/>
      <c r="F558" s="19"/>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9"/>
      <c r="AE558" s="18"/>
      <c r="AF558" s="18"/>
      <c r="AG558" s="18"/>
      <c r="AH558" s="18"/>
      <c r="AI558" s="18"/>
      <c r="AJ558" s="97"/>
      <c r="AK558" s="18"/>
      <c r="AL558" s="18"/>
    </row>
    <row r="559" spans="4:38" x14ac:dyDescent="0.2">
      <c r="D559" s="19"/>
      <c r="E559" s="19"/>
      <c r="F559" s="19"/>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9"/>
      <c r="AE559" s="18"/>
      <c r="AF559" s="18"/>
      <c r="AG559" s="18"/>
      <c r="AH559" s="18"/>
      <c r="AI559" s="18"/>
      <c r="AJ559" s="97"/>
      <c r="AK559" s="18"/>
      <c r="AL559" s="18"/>
    </row>
    <row r="560" spans="4:38" x14ac:dyDescent="0.2">
      <c r="D560" s="19"/>
      <c r="E560" s="19"/>
      <c r="F560" s="19"/>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9"/>
      <c r="AE560" s="18"/>
      <c r="AF560" s="18"/>
      <c r="AG560" s="18"/>
      <c r="AH560" s="18"/>
      <c r="AI560" s="18"/>
      <c r="AJ560" s="97"/>
      <c r="AK560" s="18"/>
      <c r="AL560" s="18"/>
    </row>
    <row r="561" spans="4:38" x14ac:dyDescent="0.2">
      <c r="D561" s="19"/>
      <c r="E561" s="19"/>
      <c r="F561" s="19"/>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9"/>
      <c r="AE561" s="18"/>
      <c r="AF561" s="18"/>
      <c r="AG561" s="18"/>
      <c r="AH561" s="18"/>
      <c r="AI561" s="18"/>
      <c r="AJ561" s="97"/>
      <c r="AK561" s="18"/>
      <c r="AL561" s="18"/>
    </row>
    <row r="562" spans="4:38" x14ac:dyDescent="0.2">
      <c r="D562" s="19"/>
      <c r="E562" s="19"/>
      <c r="F562" s="19"/>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9"/>
      <c r="AE562" s="18"/>
      <c r="AF562" s="18"/>
      <c r="AG562" s="18"/>
      <c r="AH562" s="18"/>
      <c r="AI562" s="18"/>
      <c r="AJ562" s="97"/>
      <c r="AK562" s="18"/>
      <c r="AL562" s="18"/>
    </row>
    <row r="563" spans="4:38" x14ac:dyDescent="0.2">
      <c r="D563" s="19"/>
      <c r="E563" s="19"/>
      <c r="F563" s="19"/>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9"/>
      <c r="AE563" s="18"/>
      <c r="AF563" s="18"/>
      <c r="AG563" s="18"/>
      <c r="AH563" s="18"/>
      <c r="AI563" s="18"/>
      <c r="AJ563" s="97"/>
      <c r="AK563" s="18"/>
      <c r="AL563" s="18"/>
    </row>
    <row r="564" spans="4:38" x14ac:dyDescent="0.2">
      <c r="D564" s="19"/>
      <c r="E564" s="19"/>
      <c r="F564" s="19"/>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9"/>
      <c r="AE564" s="18"/>
      <c r="AF564" s="18"/>
      <c r="AG564" s="18"/>
      <c r="AH564" s="18"/>
      <c r="AI564" s="18"/>
      <c r="AJ564" s="97"/>
      <c r="AK564" s="18"/>
      <c r="AL564" s="18"/>
    </row>
    <row r="565" spans="4:38" x14ac:dyDescent="0.2">
      <c r="D565" s="19"/>
      <c r="E565" s="19"/>
      <c r="F565" s="19"/>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9"/>
      <c r="AE565" s="18"/>
      <c r="AF565" s="18"/>
      <c r="AG565" s="18"/>
      <c r="AH565" s="18"/>
      <c r="AI565" s="18"/>
      <c r="AJ565" s="97"/>
      <c r="AK565" s="18"/>
      <c r="AL565" s="18"/>
    </row>
    <row r="566" spans="4:38" x14ac:dyDescent="0.2">
      <c r="D566" s="19"/>
      <c r="E566" s="19"/>
      <c r="F566" s="19"/>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9"/>
      <c r="AE566" s="18"/>
      <c r="AF566" s="18"/>
      <c r="AG566" s="18"/>
      <c r="AH566" s="18"/>
      <c r="AI566" s="18"/>
      <c r="AJ566" s="97"/>
      <c r="AK566" s="18"/>
      <c r="AL566" s="18"/>
    </row>
    <row r="567" spans="4:38" x14ac:dyDescent="0.2">
      <c r="D567" s="19"/>
      <c r="E567" s="19"/>
      <c r="F567" s="19"/>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9"/>
      <c r="AE567" s="18"/>
      <c r="AF567" s="18"/>
      <c r="AG567" s="18"/>
      <c r="AH567" s="18"/>
      <c r="AI567" s="18"/>
      <c r="AJ567" s="97"/>
      <c r="AK567" s="18"/>
      <c r="AL567" s="18"/>
    </row>
    <row r="568" spans="4:38" x14ac:dyDescent="0.2">
      <c r="D568" s="19"/>
      <c r="E568" s="19"/>
      <c r="F568" s="19"/>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9"/>
      <c r="AE568" s="18"/>
      <c r="AF568" s="18"/>
      <c r="AG568" s="18"/>
      <c r="AH568" s="18"/>
      <c r="AI568" s="18"/>
      <c r="AJ568" s="97"/>
      <c r="AK568" s="18"/>
      <c r="AL568" s="18"/>
    </row>
    <row r="569" spans="4:38" x14ac:dyDescent="0.2">
      <c r="D569" s="19"/>
      <c r="E569" s="19"/>
      <c r="F569" s="19"/>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9"/>
      <c r="AE569" s="18"/>
      <c r="AF569" s="18"/>
      <c r="AG569" s="18"/>
      <c r="AH569" s="18"/>
      <c r="AI569" s="18"/>
      <c r="AJ569" s="97"/>
      <c r="AK569" s="18"/>
      <c r="AL569" s="18"/>
    </row>
    <row r="570" spans="4:38" x14ac:dyDescent="0.2">
      <c r="D570" s="19"/>
      <c r="E570" s="19"/>
      <c r="F570" s="19"/>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9"/>
      <c r="AE570" s="18"/>
      <c r="AF570" s="18"/>
      <c r="AG570" s="18"/>
      <c r="AH570" s="18"/>
      <c r="AI570" s="18"/>
      <c r="AJ570" s="97"/>
      <c r="AK570" s="18"/>
      <c r="AL570" s="18"/>
    </row>
    <row r="571" spans="4:38" x14ac:dyDescent="0.2">
      <c r="D571" s="19"/>
      <c r="E571" s="19"/>
      <c r="F571" s="19"/>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9"/>
      <c r="AE571" s="18"/>
      <c r="AF571" s="18"/>
      <c r="AG571" s="18"/>
      <c r="AH571" s="18"/>
      <c r="AI571" s="18"/>
      <c r="AJ571" s="97"/>
      <c r="AK571" s="18"/>
      <c r="AL571" s="18"/>
    </row>
    <row r="572" spans="4:38" x14ac:dyDescent="0.2">
      <c r="D572" s="19"/>
      <c r="E572" s="19"/>
      <c r="F572" s="19"/>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9"/>
      <c r="AE572" s="18"/>
      <c r="AF572" s="18"/>
      <c r="AG572" s="18"/>
      <c r="AH572" s="18"/>
      <c r="AI572" s="18"/>
      <c r="AJ572" s="97"/>
      <c r="AK572" s="18"/>
      <c r="AL572" s="18"/>
    </row>
    <row r="573" spans="4:38" x14ac:dyDescent="0.2">
      <c r="D573" s="19"/>
      <c r="E573" s="19"/>
      <c r="F573" s="19"/>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9"/>
      <c r="AE573" s="18"/>
      <c r="AF573" s="18"/>
      <c r="AG573" s="18"/>
      <c r="AH573" s="18"/>
      <c r="AI573" s="18"/>
      <c r="AJ573" s="97"/>
      <c r="AK573" s="18"/>
      <c r="AL573" s="18"/>
    </row>
    <row r="574" spans="4:38" x14ac:dyDescent="0.2">
      <c r="D574" s="19"/>
      <c r="E574" s="19"/>
      <c r="F574" s="19"/>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9"/>
      <c r="AE574" s="18"/>
      <c r="AF574" s="18"/>
      <c r="AG574" s="18"/>
      <c r="AH574" s="18"/>
      <c r="AI574" s="18"/>
      <c r="AJ574" s="97"/>
      <c r="AK574" s="18"/>
      <c r="AL574" s="18"/>
    </row>
    <row r="575" spans="4:38" x14ac:dyDescent="0.2">
      <c r="D575" s="19"/>
      <c r="E575" s="19"/>
      <c r="F575" s="19"/>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9"/>
      <c r="AE575" s="18"/>
      <c r="AF575" s="18"/>
      <c r="AG575" s="18"/>
      <c r="AH575" s="18"/>
      <c r="AI575" s="18"/>
      <c r="AJ575" s="97"/>
      <c r="AK575" s="18"/>
      <c r="AL575" s="18"/>
    </row>
    <row r="576" spans="4:38" x14ac:dyDescent="0.2">
      <c r="D576" s="19"/>
      <c r="E576" s="19"/>
      <c r="F576" s="19"/>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9"/>
      <c r="AE576" s="18"/>
      <c r="AF576" s="18"/>
      <c r="AG576" s="18"/>
      <c r="AH576" s="18"/>
      <c r="AI576" s="18"/>
      <c r="AJ576" s="97"/>
      <c r="AK576" s="18"/>
      <c r="AL576" s="18"/>
    </row>
    <row r="577" spans="4:38" x14ac:dyDescent="0.2">
      <c r="D577" s="19"/>
      <c r="E577" s="19"/>
      <c r="F577" s="19"/>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9"/>
      <c r="AE577" s="18"/>
      <c r="AF577" s="18"/>
      <c r="AG577" s="18"/>
      <c r="AH577" s="18"/>
      <c r="AI577" s="18"/>
      <c r="AJ577" s="97"/>
      <c r="AK577" s="18"/>
      <c r="AL577" s="18"/>
    </row>
    <row r="578" spans="4:38" x14ac:dyDescent="0.2">
      <c r="D578" s="19"/>
      <c r="E578" s="19"/>
      <c r="F578" s="19"/>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9"/>
      <c r="AE578" s="18"/>
      <c r="AF578" s="18"/>
      <c r="AG578" s="18"/>
      <c r="AH578" s="18"/>
      <c r="AI578" s="18"/>
      <c r="AJ578" s="97"/>
      <c r="AK578" s="18"/>
      <c r="AL578" s="18"/>
    </row>
    <row r="579" spans="4:38" x14ac:dyDescent="0.2">
      <c r="D579" s="19"/>
      <c r="E579" s="19"/>
      <c r="F579" s="19"/>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9"/>
      <c r="AE579" s="18"/>
      <c r="AF579" s="18"/>
      <c r="AG579" s="18"/>
      <c r="AH579" s="18"/>
      <c r="AI579" s="18"/>
      <c r="AJ579" s="97"/>
      <c r="AK579" s="18"/>
      <c r="AL579" s="18"/>
    </row>
    <row r="580" spans="4:38" x14ac:dyDescent="0.2">
      <c r="D580" s="19"/>
      <c r="E580" s="19"/>
      <c r="F580" s="19"/>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9"/>
      <c r="AE580" s="18"/>
      <c r="AF580" s="18"/>
      <c r="AG580" s="18"/>
      <c r="AH580" s="18"/>
      <c r="AI580" s="18"/>
      <c r="AJ580" s="97"/>
      <c r="AK580" s="18"/>
      <c r="AL580" s="18"/>
    </row>
    <row r="581" spans="4:38" x14ac:dyDescent="0.2">
      <c r="D581" s="19"/>
      <c r="E581" s="19"/>
      <c r="F581" s="19"/>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9"/>
      <c r="AE581" s="18"/>
      <c r="AF581" s="18"/>
      <c r="AG581" s="18"/>
      <c r="AH581" s="18"/>
      <c r="AI581" s="18"/>
      <c r="AJ581" s="97"/>
      <c r="AK581" s="18"/>
      <c r="AL581" s="18"/>
    </row>
    <row r="582" spans="4:38" x14ac:dyDescent="0.2">
      <c r="D582" s="19"/>
      <c r="E582" s="19"/>
      <c r="F582" s="19"/>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9"/>
      <c r="AE582" s="18"/>
      <c r="AF582" s="18"/>
      <c r="AG582" s="18"/>
      <c r="AH582" s="18"/>
      <c r="AI582" s="18"/>
      <c r="AJ582" s="97"/>
      <c r="AK582" s="18"/>
      <c r="AL582" s="18"/>
    </row>
    <row r="583" spans="4:38" x14ac:dyDescent="0.2">
      <c r="D583" s="19"/>
      <c r="E583" s="19"/>
      <c r="F583" s="19"/>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9"/>
      <c r="AE583" s="18"/>
      <c r="AF583" s="18"/>
      <c r="AG583" s="18"/>
      <c r="AH583" s="18"/>
      <c r="AI583" s="18"/>
      <c r="AJ583" s="97"/>
      <c r="AK583" s="18"/>
      <c r="AL583" s="18"/>
    </row>
    <row r="584" spans="4:38" x14ac:dyDescent="0.2">
      <c r="D584" s="19"/>
      <c r="E584" s="19"/>
      <c r="F584" s="19"/>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9"/>
      <c r="AE584" s="18"/>
      <c r="AF584" s="18"/>
      <c r="AG584" s="18"/>
      <c r="AH584" s="18"/>
      <c r="AI584" s="18"/>
      <c r="AJ584" s="97"/>
      <c r="AK584" s="18"/>
      <c r="AL584" s="18"/>
    </row>
    <row r="585" spans="4:38" x14ac:dyDescent="0.2">
      <c r="D585" s="19"/>
      <c r="E585" s="19"/>
      <c r="F585" s="19"/>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9"/>
      <c r="AE585" s="18"/>
      <c r="AF585" s="18"/>
      <c r="AG585" s="18"/>
      <c r="AH585" s="18"/>
      <c r="AI585" s="18"/>
      <c r="AJ585" s="97"/>
      <c r="AK585" s="18"/>
      <c r="AL585" s="18"/>
    </row>
    <row r="586" spans="4:38" x14ac:dyDescent="0.2">
      <c r="D586" s="19"/>
      <c r="E586" s="19"/>
      <c r="F586" s="19"/>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9"/>
      <c r="AE586" s="18"/>
      <c r="AF586" s="18"/>
      <c r="AG586" s="18"/>
      <c r="AH586" s="18"/>
      <c r="AI586" s="18"/>
      <c r="AJ586" s="97"/>
      <c r="AK586" s="18"/>
      <c r="AL586" s="18"/>
    </row>
    <row r="587" spans="4:38" x14ac:dyDescent="0.2">
      <c r="D587" s="19"/>
      <c r="E587" s="19"/>
      <c r="F587" s="19"/>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9"/>
      <c r="AE587" s="18"/>
      <c r="AF587" s="18"/>
      <c r="AG587" s="18"/>
      <c r="AH587" s="18"/>
      <c r="AI587" s="18"/>
      <c r="AJ587" s="97"/>
      <c r="AK587" s="18"/>
      <c r="AL587" s="18"/>
    </row>
    <row r="588" spans="4:38" x14ac:dyDescent="0.2">
      <c r="D588" s="19"/>
      <c r="E588" s="19"/>
      <c r="F588" s="19"/>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9"/>
      <c r="AE588" s="18"/>
      <c r="AF588" s="18"/>
      <c r="AG588" s="18"/>
      <c r="AH588" s="18"/>
      <c r="AI588" s="18"/>
      <c r="AJ588" s="97"/>
      <c r="AK588" s="18"/>
      <c r="AL588" s="18"/>
    </row>
    <row r="589" spans="4:38" x14ac:dyDescent="0.2">
      <c r="D589" s="19"/>
      <c r="E589" s="19"/>
      <c r="F589" s="19"/>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9"/>
      <c r="AE589" s="18"/>
      <c r="AF589" s="18"/>
      <c r="AG589" s="18"/>
      <c r="AH589" s="18"/>
      <c r="AI589" s="18"/>
      <c r="AJ589" s="97"/>
      <c r="AK589" s="18"/>
      <c r="AL589" s="18"/>
    </row>
    <row r="590" spans="4:38" x14ac:dyDescent="0.2">
      <c r="D590" s="19"/>
      <c r="E590" s="19"/>
      <c r="F590" s="19"/>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9"/>
      <c r="AE590" s="18"/>
      <c r="AF590" s="18"/>
      <c r="AG590" s="18"/>
      <c r="AH590" s="18"/>
      <c r="AI590" s="18"/>
      <c r="AJ590" s="97"/>
      <c r="AK590" s="18"/>
      <c r="AL590" s="18"/>
    </row>
    <row r="591" spans="4:38" x14ac:dyDescent="0.2">
      <c r="D591" s="19"/>
      <c r="E591" s="19"/>
      <c r="F591" s="19"/>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9"/>
      <c r="AE591" s="18"/>
      <c r="AF591" s="18"/>
      <c r="AG591" s="18"/>
      <c r="AH591" s="18"/>
      <c r="AI591" s="18"/>
      <c r="AJ591" s="97"/>
      <c r="AK591" s="18"/>
      <c r="AL591" s="18"/>
    </row>
    <row r="592" spans="4:38" x14ac:dyDescent="0.2">
      <c r="D592" s="19"/>
      <c r="E592" s="19"/>
      <c r="F592" s="19"/>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9"/>
      <c r="AE592" s="18"/>
      <c r="AF592" s="18"/>
      <c r="AG592" s="18"/>
      <c r="AH592" s="18"/>
      <c r="AI592" s="18"/>
      <c r="AJ592" s="97"/>
      <c r="AK592" s="18"/>
      <c r="AL592" s="18"/>
    </row>
    <row r="593" spans="4:38" x14ac:dyDescent="0.2">
      <c r="D593" s="19"/>
      <c r="E593" s="19"/>
      <c r="F593" s="19"/>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9"/>
      <c r="AE593" s="18"/>
      <c r="AF593" s="18"/>
      <c r="AG593" s="18"/>
      <c r="AH593" s="18"/>
      <c r="AI593" s="18"/>
      <c r="AJ593" s="97"/>
      <c r="AK593" s="18"/>
      <c r="AL593" s="18"/>
    </row>
    <row r="594" spans="4:38" x14ac:dyDescent="0.2">
      <c r="D594" s="19"/>
      <c r="E594" s="19"/>
      <c r="F594" s="19"/>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9"/>
      <c r="AE594" s="18"/>
      <c r="AF594" s="18"/>
      <c r="AG594" s="18"/>
      <c r="AH594" s="18"/>
      <c r="AI594" s="18"/>
      <c r="AJ594" s="97"/>
      <c r="AK594" s="18"/>
      <c r="AL594" s="18"/>
    </row>
    <row r="595" spans="4:38" x14ac:dyDescent="0.2">
      <c r="D595" s="19"/>
      <c r="E595" s="19"/>
      <c r="F595" s="19"/>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9"/>
      <c r="AE595" s="18"/>
      <c r="AF595" s="18"/>
      <c r="AG595" s="18"/>
      <c r="AH595" s="18"/>
      <c r="AI595" s="18"/>
      <c r="AJ595" s="97"/>
      <c r="AK595" s="18"/>
      <c r="AL595" s="18"/>
    </row>
    <row r="596" spans="4:38" x14ac:dyDescent="0.2">
      <c r="D596" s="19"/>
      <c r="E596" s="19"/>
      <c r="F596" s="19"/>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9"/>
      <c r="AE596" s="18"/>
      <c r="AF596" s="18"/>
      <c r="AG596" s="18"/>
      <c r="AH596" s="18"/>
      <c r="AI596" s="18"/>
      <c r="AJ596" s="97"/>
      <c r="AK596" s="18"/>
      <c r="AL596" s="18"/>
    </row>
    <row r="597" spans="4:38" x14ac:dyDescent="0.2">
      <c r="D597" s="19"/>
      <c r="E597" s="19"/>
      <c r="F597" s="19"/>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9"/>
      <c r="AE597" s="18"/>
      <c r="AF597" s="18"/>
      <c r="AG597" s="18"/>
      <c r="AH597" s="18"/>
      <c r="AI597" s="18"/>
      <c r="AJ597" s="97"/>
      <c r="AK597" s="18"/>
      <c r="AL597" s="18"/>
    </row>
    <row r="598" spans="4:38" x14ac:dyDescent="0.2">
      <c r="D598" s="19"/>
      <c r="E598" s="19"/>
      <c r="F598" s="19"/>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9"/>
      <c r="AE598" s="18"/>
      <c r="AF598" s="18"/>
      <c r="AG598" s="18"/>
      <c r="AH598" s="18"/>
      <c r="AI598" s="18"/>
      <c r="AJ598" s="97"/>
      <c r="AK598" s="18"/>
      <c r="AL598" s="18"/>
    </row>
    <row r="599" spans="4:38" x14ac:dyDescent="0.2">
      <c r="D599" s="19"/>
      <c r="E599" s="19"/>
      <c r="F599" s="19"/>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9"/>
      <c r="AE599" s="18"/>
      <c r="AF599" s="18"/>
      <c r="AG599" s="18"/>
      <c r="AH599" s="18"/>
      <c r="AI599" s="18"/>
      <c r="AJ599" s="97"/>
      <c r="AK599" s="18"/>
      <c r="AL599" s="18"/>
    </row>
    <row r="600" spans="4:38" x14ac:dyDescent="0.2">
      <c r="D600" s="19"/>
      <c r="E600" s="19"/>
      <c r="F600" s="19"/>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9"/>
      <c r="AE600" s="18"/>
      <c r="AF600" s="18"/>
      <c r="AG600" s="18"/>
      <c r="AH600" s="18"/>
      <c r="AI600" s="18"/>
      <c r="AJ600" s="97"/>
      <c r="AK600" s="18"/>
      <c r="AL600" s="18"/>
    </row>
    <row r="601" spans="4:38" x14ac:dyDescent="0.2">
      <c r="D601" s="19"/>
      <c r="E601" s="19"/>
      <c r="F601" s="19"/>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9"/>
      <c r="AE601" s="18"/>
      <c r="AF601" s="18"/>
      <c r="AG601" s="18"/>
      <c r="AH601" s="18"/>
      <c r="AI601" s="18"/>
      <c r="AJ601" s="97"/>
      <c r="AK601" s="18"/>
      <c r="AL601" s="18"/>
    </row>
    <row r="602" spans="4:38" x14ac:dyDescent="0.2">
      <c r="D602" s="19"/>
      <c r="E602" s="19"/>
      <c r="F602" s="19"/>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9"/>
      <c r="AE602" s="18"/>
      <c r="AF602" s="18"/>
      <c r="AG602" s="18"/>
      <c r="AH602" s="18"/>
      <c r="AI602" s="18"/>
      <c r="AJ602" s="97"/>
      <c r="AK602" s="18"/>
      <c r="AL602" s="18"/>
    </row>
    <row r="603" spans="4:38" x14ac:dyDescent="0.2">
      <c r="D603" s="19"/>
      <c r="E603" s="19"/>
      <c r="F603" s="19"/>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9"/>
      <c r="AE603" s="18"/>
      <c r="AF603" s="18"/>
      <c r="AG603" s="18"/>
      <c r="AH603" s="18"/>
      <c r="AI603" s="18"/>
      <c r="AJ603" s="97"/>
      <c r="AK603" s="18"/>
      <c r="AL603" s="18"/>
    </row>
    <row r="604" spans="4:38" x14ac:dyDescent="0.2">
      <c r="D604" s="19"/>
      <c r="E604" s="19"/>
      <c r="F604" s="19"/>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9"/>
      <c r="AE604" s="18"/>
      <c r="AF604" s="18"/>
      <c r="AG604" s="18"/>
      <c r="AH604" s="18"/>
      <c r="AI604" s="18"/>
      <c r="AJ604" s="97"/>
      <c r="AK604" s="18"/>
      <c r="AL604" s="18"/>
    </row>
    <row r="605" spans="4:38" x14ac:dyDescent="0.2">
      <c r="D605" s="19"/>
      <c r="E605" s="19"/>
      <c r="F605" s="19"/>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9"/>
      <c r="AE605" s="18"/>
      <c r="AF605" s="18"/>
      <c r="AG605" s="18"/>
      <c r="AH605" s="18"/>
      <c r="AI605" s="18"/>
      <c r="AJ605" s="97"/>
      <c r="AK605" s="18"/>
      <c r="AL605" s="18"/>
    </row>
    <row r="606" spans="4:38" x14ac:dyDescent="0.2">
      <c r="D606" s="19"/>
      <c r="E606" s="19"/>
      <c r="F606" s="19"/>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9"/>
      <c r="AE606" s="18"/>
      <c r="AF606" s="18"/>
      <c r="AG606" s="18"/>
      <c r="AH606" s="18"/>
      <c r="AI606" s="18"/>
      <c r="AJ606" s="97"/>
      <c r="AK606" s="18"/>
      <c r="AL606" s="18"/>
    </row>
    <row r="607" spans="4:38" x14ac:dyDescent="0.2">
      <c r="D607" s="19"/>
      <c r="E607" s="19"/>
      <c r="F607" s="19"/>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9"/>
      <c r="AE607" s="18"/>
      <c r="AF607" s="18"/>
      <c r="AG607" s="18"/>
      <c r="AH607" s="18"/>
      <c r="AI607" s="18"/>
      <c r="AJ607" s="97"/>
      <c r="AK607" s="18"/>
      <c r="AL607" s="18"/>
    </row>
    <row r="608" spans="4:38" x14ac:dyDescent="0.2">
      <c r="D608" s="19"/>
      <c r="E608" s="19"/>
      <c r="F608" s="19"/>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9"/>
      <c r="AE608" s="18"/>
      <c r="AF608" s="18"/>
      <c r="AG608" s="18"/>
      <c r="AH608" s="18"/>
      <c r="AI608" s="18"/>
      <c r="AJ608" s="97"/>
      <c r="AK608" s="18"/>
      <c r="AL608" s="18"/>
    </row>
    <row r="609" spans="4:38" x14ac:dyDescent="0.2">
      <c r="D609" s="19"/>
      <c r="E609" s="19"/>
      <c r="F609" s="19"/>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9"/>
      <c r="AE609" s="18"/>
      <c r="AF609" s="18"/>
      <c r="AG609" s="18"/>
      <c r="AH609" s="18"/>
      <c r="AI609" s="18"/>
      <c r="AJ609" s="97"/>
      <c r="AK609" s="18"/>
      <c r="AL609" s="18"/>
    </row>
    <row r="610" spans="4:38" x14ac:dyDescent="0.2">
      <c r="D610" s="19"/>
      <c r="E610" s="19"/>
      <c r="F610" s="19"/>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9"/>
      <c r="AE610" s="18"/>
      <c r="AF610" s="18"/>
      <c r="AG610" s="18"/>
      <c r="AH610" s="18"/>
      <c r="AI610" s="18"/>
      <c r="AJ610" s="97"/>
      <c r="AK610" s="18"/>
      <c r="AL610" s="18"/>
    </row>
    <row r="611" spans="4:38" x14ac:dyDescent="0.2">
      <c r="D611" s="19"/>
      <c r="E611" s="19"/>
      <c r="F611" s="19"/>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9"/>
      <c r="AE611" s="18"/>
      <c r="AF611" s="18"/>
      <c r="AG611" s="18"/>
      <c r="AH611" s="18"/>
      <c r="AI611" s="18"/>
      <c r="AJ611" s="97"/>
      <c r="AK611" s="18"/>
      <c r="AL611" s="18"/>
    </row>
    <row r="612" spans="4:38" x14ac:dyDescent="0.2">
      <c r="D612" s="19"/>
      <c r="E612" s="19"/>
      <c r="F612" s="19"/>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9"/>
      <c r="AE612" s="18"/>
      <c r="AF612" s="18"/>
      <c r="AG612" s="18"/>
      <c r="AH612" s="18"/>
      <c r="AI612" s="18"/>
      <c r="AJ612" s="97"/>
      <c r="AK612" s="18"/>
      <c r="AL612" s="18"/>
    </row>
    <row r="613" spans="4:38" x14ac:dyDescent="0.2">
      <c r="D613" s="19"/>
      <c r="E613" s="19"/>
      <c r="F613" s="19"/>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9"/>
      <c r="AE613" s="18"/>
      <c r="AF613" s="18"/>
      <c r="AG613" s="18"/>
      <c r="AH613" s="18"/>
      <c r="AI613" s="18"/>
      <c r="AJ613" s="97"/>
      <c r="AK613" s="18"/>
      <c r="AL613" s="18"/>
    </row>
    <row r="614" spans="4:38" x14ac:dyDescent="0.2">
      <c r="D614" s="19"/>
      <c r="E614" s="19"/>
      <c r="F614" s="19"/>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9"/>
      <c r="AE614" s="18"/>
      <c r="AF614" s="18"/>
      <c r="AG614" s="18"/>
      <c r="AH614" s="18"/>
      <c r="AI614" s="18"/>
      <c r="AJ614" s="97"/>
      <c r="AK614" s="18"/>
      <c r="AL614" s="18"/>
    </row>
    <row r="615" spans="4:38" x14ac:dyDescent="0.2">
      <c r="D615" s="19"/>
      <c r="E615" s="19"/>
      <c r="F615" s="19"/>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9"/>
      <c r="AE615" s="18"/>
      <c r="AF615" s="18"/>
      <c r="AG615" s="18"/>
      <c r="AH615" s="18"/>
      <c r="AI615" s="18"/>
      <c r="AJ615" s="97"/>
      <c r="AK615" s="18"/>
      <c r="AL615" s="18"/>
    </row>
    <row r="616" spans="4:38" x14ac:dyDescent="0.2">
      <c r="D616" s="19"/>
      <c r="E616" s="19"/>
      <c r="F616" s="19"/>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9"/>
      <c r="AE616" s="18"/>
      <c r="AF616" s="18"/>
      <c r="AG616" s="18"/>
      <c r="AH616" s="18"/>
      <c r="AI616" s="18"/>
      <c r="AJ616" s="97"/>
      <c r="AK616" s="18"/>
      <c r="AL616" s="18"/>
    </row>
    <row r="617" spans="4:38" x14ac:dyDescent="0.2">
      <c r="D617" s="19"/>
      <c r="E617" s="19"/>
      <c r="F617" s="19"/>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9"/>
      <c r="AE617" s="18"/>
      <c r="AF617" s="18"/>
      <c r="AG617" s="18"/>
      <c r="AH617" s="18"/>
      <c r="AI617" s="18"/>
      <c r="AJ617" s="97"/>
      <c r="AK617" s="18"/>
      <c r="AL617" s="18"/>
    </row>
    <row r="618" spans="4:38" x14ac:dyDescent="0.2">
      <c r="D618" s="19"/>
      <c r="E618" s="19"/>
      <c r="F618" s="19"/>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9"/>
      <c r="AE618" s="18"/>
      <c r="AF618" s="18"/>
      <c r="AG618" s="18"/>
      <c r="AH618" s="18"/>
      <c r="AI618" s="18"/>
      <c r="AJ618" s="97"/>
      <c r="AK618" s="18"/>
      <c r="AL618" s="18"/>
    </row>
    <row r="619" spans="4:38" x14ac:dyDescent="0.2">
      <c r="D619" s="19"/>
      <c r="E619" s="19"/>
      <c r="F619" s="19"/>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9"/>
      <c r="AE619" s="18"/>
      <c r="AF619" s="18"/>
      <c r="AG619" s="18"/>
      <c r="AH619" s="18"/>
      <c r="AI619" s="18"/>
      <c r="AJ619" s="97"/>
      <c r="AK619" s="18"/>
      <c r="AL619" s="18"/>
    </row>
    <row r="620" spans="4:38" x14ac:dyDescent="0.2">
      <c r="D620" s="19"/>
      <c r="E620" s="19"/>
      <c r="F620" s="19"/>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9"/>
      <c r="AE620" s="18"/>
      <c r="AF620" s="18"/>
      <c r="AG620" s="18"/>
      <c r="AH620" s="18"/>
      <c r="AI620" s="18"/>
      <c r="AJ620" s="97"/>
      <c r="AK620" s="18"/>
      <c r="AL620" s="18"/>
    </row>
    <row r="621" spans="4:38" x14ac:dyDescent="0.2">
      <c r="D621" s="19"/>
      <c r="E621" s="19"/>
      <c r="F621" s="19"/>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9"/>
      <c r="AE621" s="18"/>
      <c r="AF621" s="18"/>
      <c r="AG621" s="18"/>
      <c r="AH621" s="18"/>
      <c r="AI621" s="18"/>
      <c r="AJ621" s="97"/>
      <c r="AK621" s="18"/>
      <c r="AL621" s="18"/>
    </row>
    <row r="622" spans="4:38" x14ac:dyDescent="0.2">
      <c r="D622" s="19"/>
      <c r="E622" s="19"/>
      <c r="F622" s="19"/>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9"/>
      <c r="AE622" s="18"/>
      <c r="AF622" s="18"/>
      <c r="AG622" s="18"/>
      <c r="AH622" s="18"/>
      <c r="AI622" s="18"/>
      <c r="AJ622" s="97"/>
      <c r="AK622" s="18"/>
      <c r="AL622" s="18"/>
    </row>
    <row r="623" spans="4:38" x14ac:dyDescent="0.2">
      <c r="D623" s="19"/>
      <c r="E623" s="19"/>
      <c r="F623" s="19"/>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9"/>
      <c r="AE623" s="18"/>
      <c r="AF623" s="18"/>
      <c r="AG623" s="18"/>
      <c r="AH623" s="18"/>
      <c r="AI623" s="18"/>
      <c r="AJ623" s="97"/>
      <c r="AK623" s="18"/>
      <c r="AL623" s="18"/>
    </row>
    <row r="624" spans="4:38" x14ac:dyDescent="0.2">
      <c r="D624" s="19"/>
      <c r="E624" s="19"/>
      <c r="F624" s="19"/>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9"/>
      <c r="AE624" s="18"/>
      <c r="AF624" s="18"/>
      <c r="AG624" s="18"/>
      <c r="AH624" s="18"/>
      <c r="AI624" s="18"/>
      <c r="AJ624" s="97"/>
      <c r="AK624" s="18"/>
      <c r="AL624" s="18"/>
    </row>
    <row r="625" spans="4:38" x14ac:dyDescent="0.2">
      <c r="D625" s="19"/>
      <c r="E625" s="19"/>
      <c r="F625" s="19"/>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9"/>
      <c r="AE625" s="18"/>
      <c r="AF625" s="18"/>
      <c r="AG625" s="18"/>
      <c r="AH625" s="18"/>
      <c r="AI625" s="18"/>
      <c r="AJ625" s="97"/>
      <c r="AK625" s="18"/>
      <c r="AL625" s="18"/>
    </row>
    <row r="626" spans="4:38" x14ac:dyDescent="0.2">
      <c r="D626" s="19"/>
      <c r="E626" s="19"/>
      <c r="F626" s="19"/>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9"/>
      <c r="AE626" s="18"/>
      <c r="AF626" s="18"/>
      <c r="AG626" s="18"/>
      <c r="AH626" s="18"/>
      <c r="AI626" s="18"/>
      <c r="AJ626" s="97"/>
      <c r="AK626" s="18"/>
      <c r="AL626" s="18"/>
    </row>
    <row r="627" spans="4:38" x14ac:dyDescent="0.2">
      <c r="D627" s="19"/>
      <c r="E627" s="19"/>
      <c r="F627" s="19"/>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9"/>
      <c r="AE627" s="18"/>
      <c r="AF627" s="18"/>
      <c r="AG627" s="18"/>
      <c r="AH627" s="18"/>
      <c r="AI627" s="18"/>
      <c r="AJ627" s="97"/>
      <c r="AK627" s="18"/>
      <c r="AL627" s="18"/>
    </row>
    <row r="628" spans="4:38" x14ac:dyDescent="0.2">
      <c r="D628" s="19"/>
      <c r="E628" s="19"/>
      <c r="F628" s="19"/>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9"/>
      <c r="AE628" s="18"/>
      <c r="AF628" s="18"/>
      <c r="AG628" s="18"/>
      <c r="AH628" s="18"/>
      <c r="AI628" s="18"/>
      <c r="AJ628" s="97"/>
      <c r="AK628" s="18"/>
      <c r="AL628" s="18"/>
    </row>
    <row r="629" spans="4:38" x14ac:dyDescent="0.2">
      <c r="D629" s="19"/>
      <c r="E629" s="19"/>
      <c r="F629" s="19"/>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9"/>
      <c r="AE629" s="18"/>
      <c r="AF629" s="18"/>
      <c r="AG629" s="18"/>
      <c r="AH629" s="18"/>
      <c r="AI629" s="18"/>
      <c r="AJ629" s="97"/>
      <c r="AK629" s="18"/>
      <c r="AL629" s="18"/>
    </row>
    <row r="630" spans="4:38" x14ac:dyDescent="0.2">
      <c r="D630" s="19"/>
      <c r="E630" s="19"/>
      <c r="F630" s="19"/>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9"/>
      <c r="AE630" s="18"/>
      <c r="AF630" s="18"/>
      <c r="AG630" s="18"/>
      <c r="AH630" s="18"/>
      <c r="AI630" s="18"/>
      <c r="AJ630" s="97"/>
      <c r="AK630" s="18"/>
      <c r="AL630" s="18"/>
    </row>
    <row r="631" spans="4:38" x14ac:dyDescent="0.2">
      <c r="D631" s="19"/>
      <c r="E631" s="19"/>
      <c r="F631" s="19"/>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9"/>
      <c r="AE631" s="18"/>
      <c r="AF631" s="18"/>
      <c r="AG631" s="18"/>
      <c r="AH631" s="18"/>
      <c r="AI631" s="18"/>
      <c r="AJ631" s="97"/>
      <c r="AK631" s="18"/>
      <c r="AL631" s="18"/>
    </row>
    <row r="632" spans="4:38" x14ac:dyDescent="0.2">
      <c r="D632" s="19"/>
      <c r="E632" s="19"/>
      <c r="F632" s="19"/>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9"/>
      <c r="AE632" s="18"/>
      <c r="AF632" s="18"/>
      <c r="AG632" s="18"/>
      <c r="AH632" s="18"/>
      <c r="AI632" s="18"/>
      <c r="AJ632" s="97"/>
      <c r="AK632" s="18"/>
      <c r="AL632" s="18"/>
    </row>
    <row r="633" spans="4:38" x14ac:dyDescent="0.2">
      <c r="D633" s="19"/>
      <c r="E633" s="19"/>
      <c r="F633" s="19"/>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9"/>
      <c r="AE633" s="18"/>
      <c r="AF633" s="18"/>
      <c r="AG633" s="18"/>
      <c r="AH633" s="18"/>
      <c r="AI633" s="18"/>
      <c r="AJ633" s="97"/>
      <c r="AK633" s="18"/>
      <c r="AL633" s="18"/>
    </row>
    <row r="634" spans="4:38" x14ac:dyDescent="0.2">
      <c r="D634" s="19"/>
      <c r="E634" s="19"/>
      <c r="F634" s="19"/>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9"/>
      <c r="AE634" s="18"/>
      <c r="AF634" s="18"/>
      <c r="AG634" s="18"/>
      <c r="AH634" s="18"/>
      <c r="AI634" s="18"/>
      <c r="AJ634" s="97"/>
      <c r="AK634" s="18"/>
      <c r="AL634" s="18"/>
    </row>
    <row r="635" spans="4:38" x14ac:dyDescent="0.2">
      <c r="D635" s="19"/>
      <c r="E635" s="19"/>
      <c r="F635" s="19"/>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9"/>
      <c r="AE635" s="18"/>
      <c r="AF635" s="18"/>
      <c r="AG635" s="18"/>
      <c r="AH635" s="18"/>
      <c r="AI635" s="18"/>
      <c r="AJ635" s="97"/>
      <c r="AK635" s="18"/>
      <c r="AL635" s="18"/>
    </row>
    <row r="636" spans="4:38" x14ac:dyDescent="0.2">
      <c r="D636" s="19"/>
      <c r="E636" s="19"/>
      <c r="F636" s="19"/>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9"/>
      <c r="AE636" s="18"/>
      <c r="AF636" s="18"/>
      <c r="AG636" s="18"/>
      <c r="AH636" s="18"/>
      <c r="AI636" s="18"/>
      <c r="AJ636" s="97"/>
      <c r="AK636" s="18"/>
      <c r="AL636" s="18"/>
    </row>
    <row r="637" spans="4:38" x14ac:dyDescent="0.2">
      <c r="D637" s="19"/>
      <c r="E637" s="19"/>
      <c r="F637" s="19"/>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9"/>
      <c r="AE637" s="18"/>
      <c r="AF637" s="18"/>
      <c r="AG637" s="18"/>
      <c r="AH637" s="18"/>
      <c r="AI637" s="18"/>
      <c r="AJ637" s="97"/>
      <c r="AK637" s="18"/>
      <c r="AL637" s="18"/>
    </row>
    <row r="638" spans="4:38" x14ac:dyDescent="0.2">
      <c r="D638" s="19"/>
      <c r="E638" s="19"/>
      <c r="F638" s="19"/>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9"/>
      <c r="AE638" s="18"/>
      <c r="AF638" s="18"/>
      <c r="AG638" s="18"/>
      <c r="AH638" s="18"/>
      <c r="AI638" s="18"/>
      <c r="AJ638" s="97"/>
      <c r="AK638" s="18"/>
      <c r="AL638" s="18"/>
    </row>
    <row r="639" spans="4:38" x14ac:dyDescent="0.2">
      <c r="D639" s="19"/>
      <c r="E639" s="19"/>
      <c r="F639" s="19"/>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9"/>
      <c r="AE639" s="18"/>
      <c r="AF639" s="18"/>
      <c r="AG639" s="18"/>
      <c r="AH639" s="18"/>
      <c r="AI639" s="18"/>
      <c r="AJ639" s="97"/>
      <c r="AK639" s="18"/>
      <c r="AL639" s="18"/>
    </row>
    <row r="640" spans="4:38" x14ac:dyDescent="0.2">
      <c r="D640" s="19"/>
      <c r="E640" s="19"/>
      <c r="F640" s="19"/>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9"/>
      <c r="AE640" s="18"/>
      <c r="AF640" s="18"/>
      <c r="AG640" s="18"/>
      <c r="AH640" s="18"/>
      <c r="AI640" s="18"/>
      <c r="AJ640" s="97"/>
      <c r="AK640" s="18"/>
      <c r="AL640" s="18"/>
    </row>
    <row r="641" spans="4:38" x14ac:dyDescent="0.2">
      <c r="D641" s="19"/>
      <c r="E641" s="19"/>
      <c r="F641" s="19"/>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9"/>
      <c r="AE641" s="18"/>
      <c r="AF641" s="18"/>
      <c r="AG641" s="18"/>
      <c r="AH641" s="18"/>
      <c r="AI641" s="18"/>
      <c r="AJ641" s="97"/>
      <c r="AK641" s="18"/>
      <c r="AL641" s="18"/>
    </row>
    <row r="642" spans="4:38" x14ac:dyDescent="0.2">
      <c r="D642" s="19"/>
      <c r="E642" s="19"/>
      <c r="F642" s="19"/>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9"/>
      <c r="AE642" s="18"/>
      <c r="AF642" s="18"/>
      <c r="AG642" s="18"/>
      <c r="AH642" s="18"/>
      <c r="AI642" s="18"/>
      <c r="AJ642" s="97"/>
      <c r="AK642" s="18"/>
      <c r="AL642" s="18"/>
    </row>
    <row r="643" spans="4:38" x14ac:dyDescent="0.2">
      <c r="D643" s="19"/>
      <c r="E643" s="19"/>
      <c r="F643" s="19"/>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9"/>
      <c r="AE643" s="18"/>
      <c r="AF643" s="18"/>
      <c r="AG643" s="18"/>
      <c r="AH643" s="18"/>
      <c r="AI643" s="18"/>
      <c r="AJ643" s="97"/>
      <c r="AK643" s="18"/>
      <c r="AL643" s="18"/>
    </row>
    <row r="644" spans="4:38" x14ac:dyDescent="0.2">
      <c r="D644" s="19"/>
      <c r="E644" s="19"/>
      <c r="F644" s="19"/>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9"/>
      <c r="AE644" s="18"/>
      <c r="AF644" s="18"/>
      <c r="AG644" s="18"/>
      <c r="AH644" s="18"/>
      <c r="AI644" s="18"/>
      <c r="AJ644" s="97"/>
      <c r="AK644" s="18"/>
      <c r="AL644" s="18"/>
    </row>
    <row r="645" spans="4:38" x14ac:dyDescent="0.2">
      <c r="D645" s="19"/>
      <c r="E645" s="19"/>
      <c r="F645" s="19"/>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9"/>
      <c r="AE645" s="18"/>
      <c r="AF645" s="18"/>
      <c r="AG645" s="18"/>
      <c r="AH645" s="18"/>
      <c r="AI645" s="18"/>
      <c r="AJ645" s="97"/>
      <c r="AK645" s="18"/>
      <c r="AL645" s="18"/>
    </row>
    <row r="646" spans="4:38" x14ac:dyDescent="0.2">
      <c r="D646" s="19"/>
      <c r="E646" s="19"/>
      <c r="F646" s="19"/>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9"/>
      <c r="AE646" s="18"/>
      <c r="AF646" s="18"/>
      <c r="AG646" s="18"/>
      <c r="AH646" s="18"/>
      <c r="AI646" s="18"/>
      <c r="AJ646" s="97"/>
      <c r="AK646" s="18"/>
      <c r="AL646" s="18"/>
    </row>
    <row r="647" spans="4:38" x14ac:dyDescent="0.2">
      <c r="D647" s="19"/>
      <c r="E647" s="19"/>
      <c r="F647" s="19"/>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9"/>
      <c r="AE647" s="18"/>
      <c r="AF647" s="18"/>
      <c r="AG647" s="18"/>
      <c r="AH647" s="18"/>
      <c r="AI647" s="18"/>
      <c r="AJ647" s="97"/>
      <c r="AK647" s="18"/>
      <c r="AL647" s="18"/>
    </row>
    <row r="648" spans="4:38" x14ac:dyDescent="0.2">
      <c r="D648" s="19"/>
      <c r="E648" s="19"/>
      <c r="F648" s="19"/>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9"/>
      <c r="AE648" s="18"/>
      <c r="AF648" s="18"/>
      <c r="AG648" s="18"/>
      <c r="AH648" s="18"/>
      <c r="AI648" s="18"/>
      <c r="AJ648" s="97"/>
      <c r="AK648" s="18"/>
      <c r="AL648" s="18"/>
    </row>
    <row r="649" spans="4:38" x14ac:dyDescent="0.2">
      <c r="D649" s="19"/>
      <c r="E649" s="19"/>
      <c r="F649" s="19"/>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9"/>
      <c r="AE649" s="18"/>
      <c r="AF649" s="18"/>
      <c r="AG649" s="18"/>
      <c r="AH649" s="18"/>
      <c r="AI649" s="18"/>
      <c r="AJ649" s="97"/>
      <c r="AK649" s="18"/>
      <c r="AL649" s="18"/>
    </row>
    <row r="650" spans="4:38" x14ac:dyDescent="0.2">
      <c r="D650" s="19"/>
      <c r="E650" s="19"/>
      <c r="F650" s="19"/>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9"/>
      <c r="AE650" s="18"/>
      <c r="AF650" s="18"/>
      <c r="AG650" s="18"/>
      <c r="AH650" s="18"/>
      <c r="AI650" s="18"/>
      <c r="AJ650" s="97"/>
      <c r="AK650" s="18"/>
      <c r="AL650" s="18"/>
    </row>
    <row r="651" spans="4:38" x14ac:dyDescent="0.2">
      <c r="D651" s="19"/>
      <c r="E651" s="19"/>
      <c r="F651" s="19"/>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9"/>
      <c r="AE651" s="18"/>
      <c r="AF651" s="18"/>
      <c r="AG651" s="18"/>
      <c r="AH651" s="18"/>
      <c r="AI651" s="18"/>
      <c r="AJ651" s="97"/>
      <c r="AK651" s="18"/>
      <c r="AL651" s="18"/>
    </row>
    <row r="652" spans="4:38" x14ac:dyDescent="0.2">
      <c r="D652" s="19"/>
      <c r="E652" s="19"/>
      <c r="F652" s="19"/>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9"/>
      <c r="AE652" s="18"/>
      <c r="AF652" s="18"/>
      <c r="AG652" s="18"/>
      <c r="AH652" s="18"/>
      <c r="AI652" s="18"/>
      <c r="AJ652" s="97"/>
      <c r="AK652" s="18"/>
      <c r="AL652" s="18"/>
    </row>
    <row r="653" spans="4:38" x14ac:dyDescent="0.2">
      <c r="D653" s="19"/>
      <c r="E653" s="19"/>
      <c r="F653" s="19"/>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9"/>
      <c r="AE653" s="18"/>
      <c r="AF653" s="18"/>
      <c r="AG653" s="18"/>
      <c r="AH653" s="18"/>
      <c r="AI653" s="18"/>
      <c r="AJ653" s="97"/>
      <c r="AK653" s="18"/>
      <c r="AL653" s="18"/>
    </row>
    <row r="654" spans="4:38" x14ac:dyDescent="0.2">
      <c r="D654" s="19"/>
      <c r="E654" s="19"/>
      <c r="F654" s="19"/>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9"/>
      <c r="AE654" s="18"/>
      <c r="AF654" s="18"/>
      <c r="AG654" s="18"/>
      <c r="AH654" s="18"/>
      <c r="AI654" s="18"/>
      <c r="AJ654" s="97"/>
      <c r="AK654" s="18"/>
      <c r="AL654" s="18"/>
    </row>
    <row r="655" spans="4:38" x14ac:dyDescent="0.2">
      <c r="D655" s="19"/>
      <c r="E655" s="19"/>
      <c r="F655" s="19"/>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9"/>
      <c r="AE655" s="18"/>
      <c r="AF655" s="18"/>
      <c r="AG655" s="18"/>
      <c r="AH655" s="18"/>
      <c r="AI655" s="18"/>
      <c r="AJ655" s="97"/>
      <c r="AK655" s="18"/>
      <c r="AL655" s="18"/>
    </row>
    <row r="656" spans="4:38" x14ac:dyDescent="0.2">
      <c r="D656" s="19"/>
      <c r="E656" s="19"/>
      <c r="F656" s="19"/>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9"/>
      <c r="AE656" s="18"/>
      <c r="AF656" s="18"/>
      <c r="AG656" s="18"/>
      <c r="AH656" s="18"/>
      <c r="AI656" s="18"/>
      <c r="AJ656" s="97"/>
      <c r="AK656" s="18"/>
      <c r="AL656" s="18"/>
    </row>
    <row r="657" spans="4:38" x14ac:dyDescent="0.2">
      <c r="D657" s="19"/>
      <c r="E657" s="19"/>
      <c r="F657" s="19"/>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9"/>
      <c r="AE657" s="18"/>
      <c r="AF657" s="18"/>
      <c r="AG657" s="18"/>
      <c r="AH657" s="18"/>
      <c r="AI657" s="18"/>
      <c r="AJ657" s="97"/>
      <c r="AK657" s="18"/>
      <c r="AL657" s="18"/>
    </row>
    <row r="658" spans="4:38" x14ac:dyDescent="0.2">
      <c r="D658" s="19"/>
      <c r="E658" s="19"/>
      <c r="F658" s="19"/>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9"/>
      <c r="AE658" s="18"/>
      <c r="AF658" s="18"/>
      <c r="AG658" s="18"/>
      <c r="AH658" s="18"/>
      <c r="AI658" s="18"/>
      <c r="AJ658" s="97"/>
      <c r="AK658" s="18"/>
      <c r="AL658" s="18"/>
    </row>
    <row r="659" spans="4:38" x14ac:dyDescent="0.2">
      <c r="D659" s="19"/>
      <c r="E659" s="19"/>
      <c r="F659" s="19"/>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9"/>
      <c r="AE659" s="18"/>
      <c r="AF659" s="18"/>
      <c r="AG659" s="18"/>
      <c r="AH659" s="18"/>
      <c r="AI659" s="18"/>
      <c r="AJ659" s="97"/>
      <c r="AK659" s="18"/>
      <c r="AL659" s="18"/>
    </row>
    <row r="660" spans="4:38" x14ac:dyDescent="0.2">
      <c r="D660" s="19"/>
      <c r="E660" s="19"/>
      <c r="F660" s="19"/>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9"/>
      <c r="AE660" s="18"/>
      <c r="AF660" s="18"/>
      <c r="AG660" s="18"/>
      <c r="AH660" s="18"/>
      <c r="AI660" s="18"/>
      <c r="AJ660" s="97"/>
      <c r="AK660" s="18"/>
      <c r="AL660" s="18"/>
    </row>
    <row r="661" spans="4:38" x14ac:dyDescent="0.2">
      <c r="D661" s="19"/>
      <c r="E661" s="19"/>
      <c r="F661" s="19"/>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9"/>
      <c r="AE661" s="18"/>
      <c r="AF661" s="18"/>
      <c r="AG661" s="18"/>
      <c r="AH661" s="18"/>
      <c r="AI661" s="18"/>
      <c r="AJ661" s="97"/>
      <c r="AK661" s="18"/>
      <c r="AL661" s="18"/>
    </row>
    <row r="662" spans="4:38" x14ac:dyDescent="0.2">
      <c r="D662" s="19"/>
      <c r="E662" s="19"/>
      <c r="F662" s="19"/>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9"/>
      <c r="AE662" s="18"/>
      <c r="AF662" s="18"/>
      <c r="AG662" s="18"/>
      <c r="AH662" s="18"/>
      <c r="AI662" s="18"/>
      <c r="AJ662" s="97"/>
      <c r="AK662" s="18"/>
      <c r="AL662" s="18"/>
    </row>
    <row r="663" spans="4:38" x14ac:dyDescent="0.2">
      <c r="D663" s="19"/>
      <c r="E663" s="19"/>
      <c r="F663" s="19"/>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9"/>
      <c r="AE663" s="18"/>
      <c r="AF663" s="18"/>
      <c r="AG663" s="18"/>
      <c r="AH663" s="18"/>
      <c r="AI663" s="18"/>
      <c r="AJ663" s="97"/>
      <c r="AK663" s="18"/>
      <c r="AL663" s="18"/>
    </row>
    <row r="664" spans="4:38" x14ac:dyDescent="0.2">
      <c r="D664" s="19"/>
      <c r="E664" s="19"/>
      <c r="F664" s="19"/>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9"/>
      <c r="AE664" s="18"/>
      <c r="AF664" s="18"/>
      <c r="AG664" s="18"/>
      <c r="AH664" s="18"/>
      <c r="AI664" s="18"/>
      <c r="AJ664" s="97"/>
      <c r="AK664" s="18"/>
      <c r="AL664" s="18"/>
    </row>
    <row r="665" spans="4:38" x14ac:dyDescent="0.2">
      <c r="D665" s="19"/>
      <c r="E665" s="19"/>
      <c r="F665" s="19"/>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9"/>
      <c r="AE665" s="18"/>
      <c r="AF665" s="18"/>
      <c r="AG665" s="18"/>
      <c r="AH665" s="18"/>
      <c r="AI665" s="18"/>
      <c r="AJ665" s="97"/>
      <c r="AK665" s="18"/>
      <c r="AL665" s="18"/>
    </row>
    <row r="666" spans="4:38" x14ac:dyDescent="0.2">
      <c r="D666" s="19"/>
      <c r="E666" s="19"/>
      <c r="F666" s="19"/>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9"/>
      <c r="AE666" s="18"/>
      <c r="AF666" s="18"/>
      <c r="AG666" s="18"/>
      <c r="AH666" s="18"/>
      <c r="AI666" s="18"/>
      <c r="AJ666" s="97"/>
      <c r="AK666" s="18"/>
      <c r="AL666" s="18"/>
    </row>
    <row r="667" spans="4:38" x14ac:dyDescent="0.2">
      <c r="D667" s="19"/>
      <c r="E667" s="19"/>
      <c r="F667" s="19"/>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9"/>
      <c r="AE667" s="18"/>
      <c r="AF667" s="18"/>
      <c r="AG667" s="18"/>
      <c r="AH667" s="18"/>
      <c r="AI667" s="18"/>
      <c r="AJ667" s="97"/>
      <c r="AK667" s="18"/>
      <c r="AL667" s="18"/>
    </row>
    <row r="668" spans="4:38" x14ac:dyDescent="0.2">
      <c r="D668" s="19"/>
      <c r="E668" s="19"/>
      <c r="F668" s="19"/>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9"/>
      <c r="AE668" s="18"/>
      <c r="AF668" s="18"/>
      <c r="AG668" s="18"/>
      <c r="AH668" s="18"/>
      <c r="AI668" s="18"/>
      <c r="AJ668" s="97"/>
      <c r="AK668" s="18"/>
      <c r="AL668" s="18"/>
    </row>
    <row r="669" spans="4:38" x14ac:dyDescent="0.2">
      <c r="D669" s="19"/>
      <c r="E669" s="19"/>
      <c r="F669" s="19"/>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9"/>
      <c r="AE669" s="18"/>
      <c r="AF669" s="18"/>
      <c r="AG669" s="18"/>
      <c r="AH669" s="18"/>
      <c r="AI669" s="18"/>
      <c r="AJ669" s="97"/>
      <c r="AK669" s="18"/>
      <c r="AL669" s="18"/>
    </row>
    <row r="670" spans="4:38" x14ac:dyDescent="0.2">
      <c r="D670" s="19"/>
      <c r="E670" s="19"/>
      <c r="F670" s="19"/>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9"/>
      <c r="AE670" s="18"/>
      <c r="AF670" s="18"/>
      <c r="AG670" s="18"/>
      <c r="AH670" s="18"/>
      <c r="AI670" s="18"/>
      <c r="AJ670" s="97"/>
      <c r="AK670" s="18"/>
      <c r="AL670" s="18"/>
    </row>
    <row r="671" spans="4:38" x14ac:dyDescent="0.2">
      <c r="D671" s="19"/>
      <c r="E671" s="19"/>
      <c r="F671" s="19"/>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9"/>
      <c r="AE671" s="18"/>
      <c r="AF671" s="18"/>
      <c r="AG671" s="18"/>
      <c r="AH671" s="18"/>
      <c r="AI671" s="18"/>
      <c r="AJ671" s="97"/>
      <c r="AK671" s="18"/>
      <c r="AL671" s="18"/>
    </row>
    <row r="672" spans="4:38" x14ac:dyDescent="0.2">
      <c r="D672" s="19"/>
      <c r="E672" s="19"/>
      <c r="F672" s="19"/>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9"/>
      <c r="AE672" s="18"/>
      <c r="AF672" s="18"/>
      <c r="AG672" s="18"/>
      <c r="AH672" s="18"/>
      <c r="AI672" s="18"/>
      <c r="AJ672" s="97"/>
      <c r="AK672" s="18"/>
      <c r="AL672" s="18"/>
    </row>
    <row r="673" spans="4:38" x14ac:dyDescent="0.2">
      <c r="D673" s="19"/>
      <c r="E673" s="19"/>
      <c r="F673" s="19"/>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9"/>
      <c r="AE673" s="18"/>
      <c r="AF673" s="18"/>
      <c r="AG673" s="18"/>
      <c r="AH673" s="18"/>
      <c r="AI673" s="18"/>
      <c r="AJ673" s="97"/>
      <c r="AK673" s="18"/>
      <c r="AL673" s="18"/>
    </row>
    <row r="674" spans="4:38" x14ac:dyDescent="0.2">
      <c r="D674" s="19"/>
      <c r="E674" s="19"/>
      <c r="F674" s="19"/>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9"/>
      <c r="AE674" s="18"/>
      <c r="AF674" s="18"/>
      <c r="AG674" s="18"/>
      <c r="AH674" s="18"/>
      <c r="AI674" s="18"/>
      <c r="AJ674" s="97"/>
      <c r="AK674" s="18"/>
      <c r="AL674" s="18"/>
    </row>
    <row r="675" spans="4:38" x14ac:dyDescent="0.2">
      <c r="D675" s="19"/>
      <c r="E675" s="19"/>
      <c r="F675" s="19"/>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9"/>
      <c r="AE675" s="18"/>
      <c r="AF675" s="18"/>
      <c r="AG675" s="18"/>
      <c r="AH675" s="18"/>
      <c r="AI675" s="18"/>
      <c r="AJ675" s="97"/>
      <c r="AK675" s="18"/>
      <c r="AL675" s="18"/>
    </row>
    <row r="676" spans="4:38" x14ac:dyDescent="0.2">
      <c r="D676" s="19"/>
      <c r="E676" s="19"/>
      <c r="F676" s="19"/>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9"/>
      <c r="AE676" s="18"/>
      <c r="AF676" s="18"/>
      <c r="AG676" s="18"/>
      <c r="AH676" s="18"/>
      <c r="AI676" s="18"/>
      <c r="AJ676" s="97"/>
      <c r="AK676" s="18"/>
      <c r="AL676" s="18"/>
    </row>
    <row r="677" spans="4:38" x14ac:dyDescent="0.2">
      <c r="D677" s="19"/>
      <c r="E677" s="19"/>
      <c r="F677" s="19"/>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9"/>
      <c r="AE677" s="18"/>
      <c r="AF677" s="18"/>
      <c r="AG677" s="18"/>
      <c r="AH677" s="18"/>
      <c r="AI677" s="18"/>
      <c r="AJ677" s="97"/>
      <c r="AK677" s="18"/>
      <c r="AL677" s="18"/>
    </row>
    <row r="678" spans="4:38" x14ac:dyDescent="0.2">
      <c r="D678" s="19"/>
      <c r="E678" s="19"/>
      <c r="F678" s="19"/>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9"/>
      <c r="AE678" s="18"/>
      <c r="AF678" s="18"/>
      <c r="AG678" s="18"/>
      <c r="AH678" s="18"/>
      <c r="AI678" s="18"/>
      <c r="AJ678" s="97"/>
      <c r="AK678" s="18"/>
      <c r="AL678" s="18"/>
    </row>
    <row r="679" spans="4:38" x14ac:dyDescent="0.2">
      <c r="D679" s="19"/>
      <c r="E679" s="19"/>
      <c r="F679" s="19"/>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9"/>
      <c r="AE679" s="18"/>
      <c r="AF679" s="18"/>
      <c r="AG679" s="18"/>
      <c r="AH679" s="18"/>
      <c r="AI679" s="18"/>
      <c r="AJ679" s="97"/>
      <c r="AK679" s="18"/>
      <c r="AL679" s="18"/>
    </row>
    <row r="680" spans="4:38" x14ac:dyDescent="0.2">
      <c r="D680" s="19"/>
      <c r="E680" s="19"/>
      <c r="F680" s="19"/>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9"/>
      <c r="AE680" s="18"/>
      <c r="AF680" s="18"/>
      <c r="AG680" s="18"/>
      <c r="AH680" s="18"/>
      <c r="AI680" s="18"/>
      <c r="AJ680" s="97"/>
      <c r="AK680" s="18"/>
      <c r="AL680" s="18"/>
    </row>
    <row r="681" spans="4:38" x14ac:dyDescent="0.2">
      <c r="D681" s="19"/>
      <c r="E681" s="19"/>
      <c r="F681" s="19"/>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9"/>
      <c r="AE681" s="18"/>
      <c r="AF681" s="18"/>
      <c r="AG681" s="18"/>
      <c r="AH681" s="18"/>
      <c r="AI681" s="18"/>
      <c r="AJ681" s="97"/>
      <c r="AK681" s="18"/>
      <c r="AL681" s="18"/>
    </row>
    <row r="682" spans="4:38" x14ac:dyDescent="0.2">
      <c r="D682" s="19"/>
      <c r="E682" s="19"/>
      <c r="F682" s="19"/>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9"/>
      <c r="AE682" s="18"/>
      <c r="AF682" s="18"/>
      <c r="AG682" s="18"/>
      <c r="AH682" s="18"/>
      <c r="AI682" s="18"/>
      <c r="AJ682" s="97"/>
      <c r="AK682" s="18"/>
      <c r="AL682" s="18"/>
    </row>
    <row r="683" spans="4:38" x14ac:dyDescent="0.2">
      <c r="D683" s="19"/>
      <c r="E683" s="19"/>
      <c r="F683" s="19"/>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9"/>
      <c r="AE683" s="18"/>
      <c r="AF683" s="18"/>
      <c r="AG683" s="18"/>
      <c r="AH683" s="18"/>
      <c r="AI683" s="18"/>
      <c r="AJ683" s="97"/>
      <c r="AK683" s="18"/>
      <c r="AL683" s="18"/>
    </row>
    <row r="684" spans="4:38" x14ac:dyDescent="0.2">
      <c r="D684" s="19"/>
      <c r="E684" s="19"/>
      <c r="F684" s="19"/>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9"/>
      <c r="AE684" s="18"/>
      <c r="AF684" s="18"/>
      <c r="AG684" s="18"/>
      <c r="AH684" s="18"/>
      <c r="AI684" s="18"/>
      <c r="AJ684" s="97"/>
      <c r="AK684" s="18"/>
      <c r="AL684" s="18"/>
    </row>
    <row r="685" spans="4:38" x14ac:dyDescent="0.2">
      <c r="D685" s="19"/>
      <c r="E685" s="19"/>
      <c r="F685" s="19"/>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9"/>
      <c r="AE685" s="18"/>
      <c r="AF685" s="18"/>
      <c r="AG685" s="18"/>
      <c r="AH685" s="18"/>
      <c r="AI685" s="18"/>
      <c r="AJ685" s="97"/>
      <c r="AK685" s="18"/>
      <c r="AL685" s="18"/>
    </row>
    <row r="686" spans="4:38" x14ac:dyDescent="0.2">
      <c r="D686" s="19"/>
      <c r="E686" s="19"/>
      <c r="F686" s="19"/>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9"/>
      <c r="AE686" s="18"/>
      <c r="AF686" s="18"/>
      <c r="AG686" s="18"/>
      <c r="AH686" s="18"/>
      <c r="AI686" s="18"/>
      <c r="AJ686" s="97"/>
      <c r="AK686" s="18"/>
      <c r="AL686" s="18"/>
    </row>
    <row r="687" spans="4:38" x14ac:dyDescent="0.2">
      <c r="D687" s="19"/>
      <c r="E687" s="19"/>
      <c r="F687" s="19"/>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9"/>
      <c r="AE687" s="18"/>
      <c r="AF687" s="18"/>
      <c r="AG687" s="18"/>
      <c r="AH687" s="18"/>
      <c r="AI687" s="18"/>
      <c r="AJ687" s="97"/>
      <c r="AK687" s="18"/>
      <c r="AL687" s="18"/>
    </row>
    <row r="688" spans="4:38" x14ac:dyDescent="0.2">
      <c r="D688" s="19"/>
      <c r="E688" s="19"/>
      <c r="F688" s="19"/>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9"/>
      <c r="AE688" s="18"/>
      <c r="AF688" s="18"/>
      <c r="AG688" s="18"/>
      <c r="AH688" s="18"/>
      <c r="AI688" s="18"/>
      <c r="AJ688" s="97"/>
      <c r="AK688" s="18"/>
      <c r="AL688" s="18"/>
    </row>
    <row r="689" spans="4:38" x14ac:dyDescent="0.2">
      <c r="D689" s="19"/>
      <c r="E689" s="19"/>
      <c r="F689" s="19"/>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9"/>
      <c r="AE689" s="18"/>
      <c r="AF689" s="18"/>
      <c r="AG689" s="18"/>
      <c r="AH689" s="18"/>
      <c r="AI689" s="18"/>
      <c r="AJ689" s="97"/>
      <c r="AK689" s="18"/>
      <c r="AL689" s="18"/>
    </row>
    <row r="690" spans="4:38" x14ac:dyDescent="0.2">
      <c r="D690" s="19"/>
      <c r="E690" s="19"/>
      <c r="F690" s="19"/>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9"/>
      <c r="AE690" s="18"/>
      <c r="AF690" s="18"/>
      <c r="AG690" s="18"/>
      <c r="AH690" s="18"/>
      <c r="AI690" s="18"/>
      <c r="AJ690" s="97"/>
      <c r="AK690" s="18"/>
      <c r="AL690" s="18"/>
    </row>
    <row r="691" spans="4:38" x14ac:dyDescent="0.2">
      <c r="D691" s="19"/>
      <c r="E691" s="19"/>
      <c r="F691" s="19"/>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9"/>
      <c r="AE691" s="18"/>
      <c r="AF691" s="18"/>
      <c r="AG691" s="18"/>
      <c r="AH691" s="18"/>
      <c r="AI691" s="18"/>
      <c r="AJ691" s="97"/>
      <c r="AK691" s="18"/>
      <c r="AL691" s="18"/>
    </row>
    <row r="692" spans="4:38" x14ac:dyDescent="0.2">
      <c r="D692" s="19"/>
      <c r="E692" s="19"/>
      <c r="F692" s="19"/>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9"/>
      <c r="AE692" s="18"/>
      <c r="AF692" s="18"/>
      <c r="AG692" s="18"/>
      <c r="AH692" s="18"/>
      <c r="AI692" s="18"/>
      <c r="AJ692" s="97"/>
      <c r="AK692" s="18"/>
      <c r="AL692" s="18"/>
    </row>
    <row r="693" spans="4:38" x14ac:dyDescent="0.2">
      <c r="D693" s="19"/>
      <c r="E693" s="19"/>
      <c r="F693" s="19"/>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9"/>
      <c r="AE693" s="18"/>
      <c r="AF693" s="18"/>
      <c r="AG693" s="18"/>
      <c r="AH693" s="18"/>
      <c r="AI693" s="18"/>
      <c r="AJ693" s="97"/>
      <c r="AK693" s="18"/>
      <c r="AL693" s="18"/>
    </row>
    <row r="694" spans="4:38" x14ac:dyDescent="0.2">
      <c r="D694" s="19"/>
      <c r="E694" s="19"/>
      <c r="F694" s="19"/>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9"/>
      <c r="AE694" s="18"/>
      <c r="AF694" s="18"/>
      <c r="AG694" s="18"/>
      <c r="AH694" s="18"/>
      <c r="AI694" s="18"/>
      <c r="AJ694" s="97"/>
      <c r="AK694" s="18"/>
      <c r="AL694" s="18"/>
    </row>
    <row r="695" spans="4:38" x14ac:dyDescent="0.2">
      <c r="D695" s="19"/>
      <c r="E695" s="19"/>
      <c r="F695" s="19"/>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9"/>
      <c r="AE695" s="18"/>
      <c r="AF695" s="18"/>
      <c r="AG695" s="18"/>
      <c r="AH695" s="18"/>
      <c r="AI695" s="18"/>
      <c r="AJ695" s="97"/>
      <c r="AK695" s="18"/>
      <c r="AL695" s="18"/>
    </row>
    <row r="696" spans="4:38" x14ac:dyDescent="0.2">
      <c r="D696" s="19"/>
      <c r="E696" s="19"/>
      <c r="F696" s="19"/>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9"/>
      <c r="AE696" s="18"/>
      <c r="AF696" s="18"/>
      <c r="AG696" s="18"/>
      <c r="AH696" s="18"/>
      <c r="AI696" s="18"/>
      <c r="AJ696" s="97"/>
      <c r="AK696" s="18"/>
      <c r="AL696" s="18"/>
    </row>
    <row r="697" spans="4:38" x14ac:dyDescent="0.2">
      <c r="D697" s="19"/>
      <c r="E697" s="19"/>
      <c r="F697" s="19"/>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9"/>
      <c r="AE697" s="18"/>
      <c r="AF697" s="18"/>
      <c r="AG697" s="18"/>
      <c r="AH697" s="18"/>
      <c r="AI697" s="18"/>
      <c r="AJ697" s="97"/>
      <c r="AK697" s="18"/>
      <c r="AL697" s="18"/>
    </row>
    <row r="698" spans="4:38" x14ac:dyDescent="0.2">
      <c r="D698" s="19"/>
      <c r="E698" s="19"/>
      <c r="F698" s="19"/>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9"/>
      <c r="AE698" s="18"/>
      <c r="AF698" s="18"/>
      <c r="AG698" s="18"/>
      <c r="AH698" s="18"/>
      <c r="AI698" s="18"/>
      <c r="AJ698" s="97"/>
      <c r="AK698" s="18"/>
      <c r="AL698" s="18"/>
    </row>
    <row r="699" spans="4:38" x14ac:dyDescent="0.2">
      <c r="D699" s="19"/>
      <c r="E699" s="19"/>
      <c r="F699" s="19"/>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9"/>
      <c r="AE699" s="18"/>
      <c r="AF699" s="18"/>
      <c r="AG699" s="18"/>
      <c r="AH699" s="18"/>
      <c r="AI699" s="18"/>
      <c r="AJ699" s="97"/>
      <c r="AK699" s="18"/>
      <c r="AL699" s="18"/>
    </row>
    <row r="700" spans="4:38" x14ac:dyDescent="0.2">
      <c r="D700" s="19"/>
      <c r="E700" s="19"/>
      <c r="F700" s="19"/>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9"/>
      <c r="AE700" s="18"/>
      <c r="AF700" s="18"/>
      <c r="AG700" s="18"/>
      <c r="AH700" s="18"/>
      <c r="AI700" s="18"/>
      <c r="AJ700" s="97"/>
      <c r="AK700" s="18"/>
      <c r="AL700" s="18"/>
    </row>
    <row r="701" spans="4:38" x14ac:dyDescent="0.2">
      <c r="D701" s="19"/>
      <c r="E701" s="19"/>
      <c r="F701" s="19"/>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9"/>
      <c r="AE701" s="18"/>
      <c r="AF701" s="18"/>
      <c r="AG701" s="18"/>
      <c r="AH701" s="18"/>
      <c r="AI701" s="18"/>
      <c r="AJ701" s="97"/>
      <c r="AK701" s="18"/>
      <c r="AL701" s="18"/>
    </row>
    <row r="702" spans="4:38" x14ac:dyDescent="0.2">
      <c r="D702" s="19"/>
      <c r="E702" s="19"/>
      <c r="F702" s="19"/>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9"/>
      <c r="AE702" s="18"/>
      <c r="AF702" s="18"/>
      <c r="AG702" s="18"/>
      <c r="AH702" s="18"/>
      <c r="AI702" s="18"/>
      <c r="AJ702" s="97"/>
      <c r="AK702" s="18"/>
      <c r="AL702" s="18"/>
    </row>
    <row r="703" spans="4:38" x14ac:dyDescent="0.2">
      <c r="D703" s="19"/>
      <c r="E703" s="19"/>
      <c r="F703" s="19"/>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9"/>
      <c r="AE703" s="18"/>
      <c r="AF703" s="18"/>
      <c r="AG703" s="18"/>
      <c r="AH703" s="18"/>
      <c r="AI703" s="18"/>
      <c r="AJ703" s="97"/>
      <c r="AK703" s="18"/>
      <c r="AL703" s="18"/>
    </row>
    <row r="704" spans="4:38" x14ac:dyDescent="0.2">
      <c r="D704" s="19"/>
      <c r="E704" s="19"/>
      <c r="F704" s="19"/>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9"/>
      <c r="AE704" s="18"/>
      <c r="AF704" s="18"/>
      <c r="AG704" s="18"/>
      <c r="AH704" s="18"/>
      <c r="AI704" s="18"/>
      <c r="AJ704" s="97"/>
      <c r="AK704" s="18"/>
      <c r="AL704" s="18"/>
    </row>
    <row r="705" spans="4:38" x14ac:dyDescent="0.2">
      <c r="D705" s="19"/>
      <c r="E705" s="19"/>
      <c r="F705" s="19"/>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9"/>
      <c r="AE705" s="18"/>
      <c r="AF705" s="18"/>
      <c r="AG705" s="18"/>
      <c r="AH705" s="18"/>
      <c r="AI705" s="18"/>
      <c r="AJ705" s="97"/>
      <c r="AK705" s="18"/>
      <c r="AL705" s="18"/>
    </row>
    <row r="706" spans="4:38" x14ac:dyDescent="0.2">
      <c r="D706" s="19"/>
      <c r="E706" s="19"/>
      <c r="F706" s="19"/>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9"/>
      <c r="AE706" s="18"/>
      <c r="AF706" s="18"/>
      <c r="AG706" s="18"/>
      <c r="AH706" s="18"/>
      <c r="AI706" s="18"/>
      <c r="AJ706" s="97"/>
      <c r="AK706" s="18"/>
      <c r="AL706" s="18"/>
    </row>
    <row r="707" spans="4:38" x14ac:dyDescent="0.2">
      <c r="D707" s="19"/>
      <c r="E707" s="19"/>
      <c r="F707" s="19"/>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9"/>
      <c r="AE707" s="18"/>
      <c r="AF707" s="18"/>
      <c r="AG707" s="18"/>
      <c r="AH707" s="18"/>
      <c r="AI707" s="18"/>
      <c r="AJ707" s="97"/>
      <c r="AK707" s="18"/>
      <c r="AL707" s="18"/>
    </row>
    <row r="708" spans="4:38" x14ac:dyDescent="0.2">
      <c r="D708" s="19"/>
      <c r="E708" s="19"/>
      <c r="F708" s="19"/>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9"/>
      <c r="AE708" s="18"/>
      <c r="AF708" s="18"/>
      <c r="AG708" s="18"/>
      <c r="AH708" s="18"/>
      <c r="AI708" s="18"/>
      <c r="AJ708" s="97"/>
      <c r="AK708" s="18"/>
      <c r="AL708" s="18"/>
    </row>
    <row r="709" spans="4:38" x14ac:dyDescent="0.2">
      <c r="D709" s="19"/>
      <c r="E709" s="19"/>
      <c r="F709" s="19"/>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9"/>
      <c r="AE709" s="18"/>
      <c r="AF709" s="18"/>
      <c r="AG709" s="18"/>
      <c r="AH709" s="18"/>
      <c r="AI709" s="18"/>
      <c r="AJ709" s="97"/>
      <c r="AK709" s="18"/>
      <c r="AL709" s="18"/>
    </row>
    <row r="710" spans="4:38" x14ac:dyDescent="0.2">
      <c r="D710" s="19"/>
      <c r="E710" s="19"/>
      <c r="F710" s="19"/>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9"/>
      <c r="AE710" s="18"/>
      <c r="AF710" s="18"/>
      <c r="AG710" s="18"/>
      <c r="AH710" s="18"/>
      <c r="AI710" s="18"/>
      <c r="AJ710" s="97"/>
      <c r="AK710" s="18"/>
      <c r="AL710" s="18"/>
    </row>
    <row r="711" spans="4:38" x14ac:dyDescent="0.2">
      <c r="D711" s="19"/>
      <c r="E711" s="19"/>
      <c r="F711" s="19"/>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9"/>
      <c r="AE711" s="18"/>
      <c r="AF711" s="18"/>
      <c r="AG711" s="18"/>
      <c r="AH711" s="18"/>
      <c r="AI711" s="18"/>
      <c r="AJ711" s="97"/>
      <c r="AK711" s="18"/>
      <c r="AL711" s="18"/>
    </row>
    <row r="712" spans="4:38" x14ac:dyDescent="0.2">
      <c r="D712" s="19"/>
      <c r="E712" s="19"/>
      <c r="F712" s="19"/>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9"/>
      <c r="AE712" s="18"/>
      <c r="AF712" s="18"/>
      <c r="AG712" s="18"/>
      <c r="AH712" s="18"/>
      <c r="AI712" s="18"/>
      <c r="AJ712" s="97"/>
      <c r="AK712" s="18"/>
      <c r="AL712" s="18"/>
    </row>
    <row r="713" spans="4:38" x14ac:dyDescent="0.2">
      <c r="D713" s="19"/>
      <c r="E713" s="19"/>
      <c r="F713" s="19"/>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9"/>
      <c r="AE713" s="18"/>
      <c r="AF713" s="18"/>
      <c r="AG713" s="18"/>
      <c r="AH713" s="18"/>
      <c r="AI713" s="18"/>
      <c r="AJ713" s="97"/>
      <c r="AK713" s="18"/>
      <c r="AL713" s="18"/>
    </row>
    <row r="714" spans="4:38" x14ac:dyDescent="0.2">
      <c r="D714" s="19"/>
      <c r="E714" s="19"/>
      <c r="F714" s="19"/>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9"/>
      <c r="AE714" s="18"/>
      <c r="AF714" s="18"/>
      <c r="AG714" s="18"/>
      <c r="AH714" s="18"/>
      <c r="AI714" s="18"/>
      <c r="AJ714" s="97"/>
      <c r="AK714" s="18"/>
      <c r="AL714" s="18"/>
    </row>
    <row r="715" spans="4:38" x14ac:dyDescent="0.2">
      <c r="D715" s="19"/>
      <c r="E715" s="19"/>
      <c r="F715" s="19"/>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9"/>
      <c r="AE715" s="18"/>
      <c r="AF715" s="18"/>
      <c r="AG715" s="18"/>
      <c r="AH715" s="18"/>
      <c r="AI715" s="18"/>
      <c r="AJ715" s="97"/>
      <c r="AK715" s="18"/>
      <c r="AL715" s="18"/>
    </row>
    <row r="716" spans="4:38" x14ac:dyDescent="0.2">
      <c r="D716" s="19"/>
      <c r="E716" s="19"/>
      <c r="F716" s="19"/>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9"/>
      <c r="AE716" s="18"/>
      <c r="AF716" s="18"/>
      <c r="AG716" s="18"/>
      <c r="AH716" s="18"/>
      <c r="AI716" s="18"/>
      <c r="AJ716" s="97"/>
      <c r="AK716" s="18"/>
      <c r="AL716" s="18"/>
    </row>
    <row r="717" spans="4:38" x14ac:dyDescent="0.2">
      <c r="D717" s="19"/>
      <c r="E717" s="19"/>
      <c r="F717" s="19"/>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9"/>
      <c r="AE717" s="18"/>
      <c r="AF717" s="18"/>
      <c r="AG717" s="18"/>
      <c r="AH717" s="18"/>
      <c r="AI717" s="18"/>
      <c r="AJ717" s="97"/>
      <c r="AK717" s="18"/>
      <c r="AL717" s="18"/>
    </row>
    <row r="718" spans="4:38" x14ac:dyDescent="0.2">
      <c r="D718" s="19"/>
      <c r="E718" s="19"/>
      <c r="F718" s="19"/>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9"/>
      <c r="AE718" s="18"/>
      <c r="AF718" s="18"/>
      <c r="AG718" s="18"/>
      <c r="AH718" s="18"/>
      <c r="AI718" s="18"/>
      <c r="AJ718" s="97"/>
      <c r="AK718" s="18"/>
      <c r="AL718" s="18"/>
    </row>
    <row r="719" spans="4:38" x14ac:dyDescent="0.2">
      <c r="D719" s="19"/>
      <c r="E719" s="19"/>
      <c r="F719" s="19"/>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9"/>
      <c r="AE719" s="18"/>
      <c r="AF719" s="18"/>
      <c r="AG719" s="18"/>
      <c r="AH719" s="18"/>
      <c r="AI719" s="18"/>
      <c r="AJ719" s="97"/>
      <c r="AK719" s="18"/>
      <c r="AL719" s="18"/>
    </row>
    <row r="720" spans="4:38" x14ac:dyDescent="0.2">
      <c r="D720" s="19"/>
      <c r="E720" s="19"/>
      <c r="F720" s="19"/>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9"/>
      <c r="AE720" s="18"/>
      <c r="AF720" s="18"/>
      <c r="AG720" s="18"/>
      <c r="AH720" s="18"/>
      <c r="AI720" s="18"/>
      <c r="AJ720" s="97"/>
      <c r="AK720" s="18"/>
      <c r="AL720" s="18"/>
    </row>
    <row r="721" spans="4:38" x14ac:dyDescent="0.2">
      <c r="D721" s="19"/>
      <c r="E721" s="19"/>
      <c r="F721" s="19"/>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9"/>
      <c r="AE721" s="18"/>
      <c r="AF721" s="18"/>
      <c r="AG721" s="18"/>
      <c r="AH721" s="18"/>
      <c r="AI721" s="18"/>
      <c r="AJ721" s="97"/>
      <c r="AK721" s="18"/>
      <c r="AL721" s="18"/>
    </row>
    <row r="722" spans="4:38" x14ac:dyDescent="0.2">
      <c r="D722" s="19"/>
      <c r="E722" s="19"/>
      <c r="F722" s="19"/>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9"/>
      <c r="AE722" s="18"/>
      <c r="AF722" s="18"/>
      <c r="AG722" s="18"/>
      <c r="AH722" s="18"/>
      <c r="AI722" s="18"/>
      <c r="AJ722" s="97"/>
      <c r="AK722" s="18"/>
      <c r="AL722" s="18"/>
    </row>
    <row r="723" spans="4:38" x14ac:dyDescent="0.2">
      <c r="D723" s="19"/>
      <c r="E723" s="19"/>
      <c r="F723" s="19"/>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9"/>
      <c r="AE723" s="18"/>
      <c r="AF723" s="18"/>
      <c r="AG723" s="18"/>
      <c r="AH723" s="18"/>
      <c r="AI723" s="18"/>
      <c r="AJ723" s="97"/>
      <c r="AK723" s="18"/>
      <c r="AL723" s="18"/>
    </row>
    <row r="724" spans="4:38" x14ac:dyDescent="0.2">
      <c r="D724" s="19"/>
      <c r="E724" s="19"/>
      <c r="F724" s="19"/>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9"/>
      <c r="AE724" s="18"/>
      <c r="AF724" s="18"/>
      <c r="AG724" s="18"/>
      <c r="AH724" s="18"/>
      <c r="AI724" s="18"/>
      <c r="AJ724" s="97"/>
      <c r="AK724" s="18"/>
      <c r="AL724" s="18"/>
    </row>
    <row r="725" spans="4:38" x14ac:dyDescent="0.2">
      <c r="D725" s="19"/>
      <c r="E725" s="19"/>
      <c r="F725" s="19"/>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9"/>
      <c r="AE725" s="18"/>
      <c r="AF725" s="18"/>
      <c r="AG725" s="18"/>
      <c r="AH725" s="18"/>
      <c r="AI725" s="18"/>
      <c r="AJ725" s="97"/>
      <c r="AK725" s="18"/>
      <c r="AL725" s="18"/>
    </row>
    <row r="726" spans="4:38" x14ac:dyDescent="0.2">
      <c r="D726" s="19"/>
      <c r="E726" s="19"/>
      <c r="F726" s="19"/>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9"/>
      <c r="AE726" s="18"/>
      <c r="AF726" s="18"/>
      <c r="AG726" s="18"/>
      <c r="AH726" s="18"/>
      <c r="AI726" s="18"/>
      <c r="AJ726" s="97"/>
      <c r="AK726" s="18"/>
      <c r="AL726" s="18"/>
    </row>
    <row r="727" spans="4:38" x14ac:dyDescent="0.2">
      <c r="D727" s="19"/>
      <c r="E727" s="19"/>
      <c r="F727" s="19"/>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9"/>
      <c r="AE727" s="18"/>
      <c r="AF727" s="18"/>
      <c r="AG727" s="18"/>
      <c r="AH727" s="18"/>
      <c r="AI727" s="18"/>
      <c r="AJ727" s="97"/>
      <c r="AK727" s="18"/>
      <c r="AL727" s="18"/>
    </row>
    <row r="728" spans="4:38" x14ac:dyDescent="0.2">
      <c r="D728" s="19"/>
      <c r="E728" s="19"/>
      <c r="F728" s="19"/>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9"/>
      <c r="AE728" s="18"/>
      <c r="AF728" s="18"/>
      <c r="AG728" s="18"/>
      <c r="AH728" s="18"/>
      <c r="AI728" s="18"/>
      <c r="AJ728" s="97"/>
      <c r="AK728" s="18"/>
      <c r="AL728" s="18"/>
    </row>
    <row r="729" spans="4:38" x14ac:dyDescent="0.2">
      <c r="D729" s="19"/>
      <c r="E729" s="19"/>
      <c r="F729" s="19"/>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9"/>
      <c r="AE729" s="18"/>
      <c r="AF729" s="18"/>
      <c r="AG729" s="18"/>
      <c r="AH729" s="18"/>
      <c r="AI729" s="18"/>
      <c r="AJ729" s="97"/>
      <c r="AK729" s="18"/>
      <c r="AL729" s="18"/>
    </row>
    <row r="730" spans="4:38" x14ac:dyDescent="0.2">
      <c r="D730" s="19"/>
      <c r="E730" s="19"/>
      <c r="F730" s="19"/>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9"/>
      <c r="AE730" s="18"/>
      <c r="AF730" s="18"/>
      <c r="AG730" s="18"/>
      <c r="AH730" s="18"/>
      <c r="AI730" s="18"/>
      <c r="AJ730" s="97"/>
      <c r="AK730" s="18"/>
      <c r="AL730" s="18"/>
    </row>
    <row r="731" spans="4:38" x14ac:dyDescent="0.2">
      <c r="D731" s="19"/>
      <c r="E731" s="19"/>
      <c r="F731" s="19"/>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9"/>
      <c r="AE731" s="18"/>
      <c r="AF731" s="18"/>
      <c r="AG731" s="18"/>
      <c r="AH731" s="18"/>
      <c r="AI731" s="18"/>
      <c r="AJ731" s="97"/>
      <c r="AK731" s="18"/>
      <c r="AL731" s="18"/>
    </row>
    <row r="732" spans="4:38" x14ac:dyDescent="0.2">
      <c r="D732" s="19"/>
      <c r="E732" s="19"/>
      <c r="F732" s="19"/>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9"/>
      <c r="AE732" s="18"/>
      <c r="AF732" s="18"/>
      <c r="AG732" s="18"/>
      <c r="AH732" s="18"/>
      <c r="AI732" s="18"/>
      <c r="AJ732" s="97"/>
      <c r="AK732" s="18"/>
      <c r="AL732" s="18"/>
    </row>
    <row r="733" spans="4:38" x14ac:dyDescent="0.2">
      <c r="D733" s="19"/>
      <c r="E733" s="19"/>
      <c r="F733" s="19"/>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9"/>
      <c r="AE733" s="18"/>
      <c r="AF733" s="18"/>
      <c r="AG733" s="18"/>
      <c r="AH733" s="18"/>
      <c r="AI733" s="18"/>
      <c r="AJ733" s="97"/>
      <c r="AK733" s="18"/>
      <c r="AL733" s="18"/>
    </row>
    <row r="734" spans="4:38" x14ac:dyDescent="0.2">
      <c r="D734" s="19"/>
      <c r="E734" s="19"/>
      <c r="F734" s="19"/>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9"/>
      <c r="AE734" s="18"/>
      <c r="AF734" s="18"/>
      <c r="AG734" s="18"/>
      <c r="AH734" s="18"/>
      <c r="AI734" s="18"/>
      <c r="AJ734" s="97"/>
      <c r="AK734" s="18"/>
      <c r="AL734" s="18"/>
    </row>
    <row r="735" spans="4:38" x14ac:dyDescent="0.2">
      <c r="D735" s="19"/>
      <c r="E735" s="19"/>
      <c r="F735" s="19"/>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9"/>
      <c r="AE735" s="18"/>
      <c r="AF735" s="18"/>
      <c r="AG735" s="18"/>
      <c r="AH735" s="18"/>
      <c r="AI735" s="18"/>
      <c r="AJ735" s="97"/>
      <c r="AK735" s="18"/>
      <c r="AL735" s="18"/>
    </row>
    <row r="736" spans="4:38" x14ac:dyDescent="0.2">
      <c r="D736" s="19"/>
      <c r="E736" s="19"/>
      <c r="F736" s="19"/>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9"/>
      <c r="AE736" s="18"/>
      <c r="AF736" s="18"/>
      <c r="AG736" s="18"/>
      <c r="AH736" s="18"/>
      <c r="AI736" s="18"/>
      <c r="AJ736" s="97"/>
      <c r="AK736" s="18"/>
      <c r="AL736" s="18"/>
    </row>
    <row r="737" spans="4:38" x14ac:dyDescent="0.2">
      <c r="D737" s="19"/>
      <c r="E737" s="19"/>
      <c r="F737" s="19"/>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9"/>
      <c r="AE737" s="18"/>
      <c r="AF737" s="18"/>
      <c r="AG737" s="18"/>
      <c r="AH737" s="18"/>
      <c r="AI737" s="18"/>
      <c r="AJ737" s="97"/>
      <c r="AK737" s="18"/>
      <c r="AL737" s="18"/>
    </row>
    <row r="738" spans="4:38" x14ac:dyDescent="0.2">
      <c r="D738" s="19"/>
      <c r="E738" s="19"/>
      <c r="F738" s="19"/>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9"/>
      <c r="AE738" s="18"/>
      <c r="AF738" s="18"/>
      <c r="AG738" s="18"/>
      <c r="AH738" s="18"/>
      <c r="AI738" s="18"/>
      <c r="AJ738" s="97"/>
      <c r="AK738" s="18"/>
      <c r="AL738" s="18"/>
    </row>
    <row r="739" spans="4:38" x14ac:dyDescent="0.2">
      <c r="D739" s="19"/>
      <c r="E739" s="19"/>
      <c r="F739" s="19"/>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9"/>
      <c r="AE739" s="18"/>
      <c r="AF739" s="18"/>
      <c r="AG739" s="18"/>
      <c r="AH739" s="18"/>
      <c r="AI739" s="18"/>
      <c r="AJ739" s="97"/>
      <c r="AK739" s="18"/>
      <c r="AL739" s="18"/>
    </row>
    <row r="740" spans="4:38" x14ac:dyDescent="0.2">
      <c r="D740" s="19"/>
      <c r="E740" s="19"/>
      <c r="F740" s="19"/>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9"/>
      <c r="AE740" s="18"/>
      <c r="AF740" s="18"/>
      <c r="AG740" s="18"/>
      <c r="AH740" s="18"/>
      <c r="AI740" s="18"/>
      <c r="AJ740" s="97"/>
      <c r="AK740" s="18"/>
      <c r="AL740" s="18"/>
    </row>
    <row r="741" spans="4:38" x14ac:dyDescent="0.2">
      <c r="D741" s="19"/>
      <c r="E741" s="19"/>
      <c r="F741" s="19"/>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9"/>
      <c r="AE741" s="18"/>
      <c r="AF741" s="18"/>
      <c r="AG741" s="18"/>
      <c r="AH741" s="18"/>
      <c r="AI741" s="18"/>
      <c r="AJ741" s="97"/>
      <c r="AK741" s="18"/>
      <c r="AL741" s="18"/>
    </row>
    <row r="742" spans="4:38" x14ac:dyDescent="0.2">
      <c r="D742" s="19"/>
      <c r="E742" s="19"/>
      <c r="F742" s="19"/>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9"/>
      <c r="AE742" s="18"/>
      <c r="AF742" s="18"/>
      <c r="AG742" s="18"/>
      <c r="AH742" s="18"/>
      <c r="AI742" s="18"/>
      <c r="AJ742" s="97"/>
      <c r="AK742" s="18"/>
      <c r="AL742" s="18"/>
    </row>
    <row r="743" spans="4:38" x14ac:dyDescent="0.2">
      <c r="D743" s="19"/>
      <c r="E743" s="19"/>
      <c r="F743" s="19"/>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9"/>
      <c r="AE743" s="18"/>
      <c r="AF743" s="18"/>
      <c r="AG743" s="18"/>
      <c r="AH743" s="18"/>
      <c r="AI743" s="18"/>
      <c r="AJ743" s="97"/>
      <c r="AK743" s="18"/>
      <c r="AL743" s="18"/>
    </row>
    <row r="744" spans="4:38" x14ac:dyDescent="0.2">
      <c r="D744" s="19"/>
      <c r="E744" s="19"/>
      <c r="F744" s="19"/>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9"/>
      <c r="AE744" s="18"/>
      <c r="AF744" s="18"/>
      <c r="AG744" s="18"/>
      <c r="AH744" s="18"/>
      <c r="AI744" s="18"/>
      <c r="AJ744" s="97"/>
      <c r="AK744" s="18"/>
      <c r="AL744" s="18"/>
    </row>
    <row r="745" spans="4:38" x14ac:dyDescent="0.2">
      <c r="D745" s="19"/>
      <c r="E745" s="19"/>
      <c r="F745" s="19"/>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9"/>
      <c r="AE745" s="18"/>
      <c r="AF745" s="18"/>
      <c r="AG745" s="18"/>
      <c r="AH745" s="18"/>
      <c r="AI745" s="18"/>
      <c r="AJ745" s="97"/>
      <c r="AK745" s="18"/>
      <c r="AL745" s="18"/>
    </row>
    <row r="746" spans="4:38" x14ac:dyDescent="0.2">
      <c r="D746" s="19"/>
      <c r="E746" s="19"/>
      <c r="F746" s="19"/>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9"/>
      <c r="AE746" s="18"/>
      <c r="AF746" s="18"/>
      <c r="AG746" s="18"/>
      <c r="AH746" s="18"/>
      <c r="AI746" s="18"/>
      <c r="AJ746" s="97"/>
      <c r="AK746" s="18"/>
      <c r="AL746" s="18"/>
    </row>
    <row r="747" spans="4:38" x14ac:dyDescent="0.2">
      <c r="D747" s="19"/>
      <c r="E747" s="19"/>
      <c r="F747" s="19"/>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9"/>
      <c r="AE747" s="18"/>
      <c r="AF747" s="18"/>
      <c r="AG747" s="18"/>
      <c r="AH747" s="18"/>
      <c r="AI747" s="18"/>
      <c r="AJ747" s="97"/>
      <c r="AK747" s="18"/>
      <c r="AL747" s="18"/>
    </row>
    <row r="748" spans="4:38" x14ac:dyDescent="0.2">
      <c r="D748" s="19"/>
      <c r="E748" s="19"/>
      <c r="F748" s="19"/>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9"/>
      <c r="AE748" s="18"/>
      <c r="AF748" s="18"/>
      <c r="AG748" s="18"/>
      <c r="AH748" s="18"/>
      <c r="AI748" s="18"/>
      <c r="AJ748" s="97"/>
      <c r="AK748" s="18"/>
      <c r="AL748" s="18"/>
    </row>
    <row r="749" spans="4:38" x14ac:dyDescent="0.2">
      <c r="D749" s="19"/>
      <c r="E749" s="19"/>
      <c r="F749" s="19"/>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9"/>
      <c r="AE749" s="18"/>
      <c r="AF749" s="18"/>
      <c r="AG749" s="18"/>
      <c r="AH749" s="18"/>
      <c r="AI749" s="18"/>
      <c r="AJ749" s="97"/>
      <c r="AK749" s="18"/>
      <c r="AL749" s="18"/>
    </row>
    <row r="750" spans="4:38" x14ac:dyDescent="0.2">
      <c r="D750" s="19"/>
      <c r="E750" s="19"/>
      <c r="F750" s="19"/>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9"/>
      <c r="AE750" s="18"/>
      <c r="AF750" s="18"/>
      <c r="AG750" s="18"/>
      <c r="AH750" s="18"/>
      <c r="AI750" s="18"/>
      <c r="AJ750" s="97"/>
      <c r="AK750" s="18"/>
      <c r="AL750" s="18"/>
    </row>
    <row r="751" spans="4:38" x14ac:dyDescent="0.2">
      <c r="D751" s="19"/>
      <c r="E751" s="19"/>
      <c r="F751" s="19"/>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9"/>
      <c r="AE751" s="18"/>
      <c r="AF751" s="18"/>
      <c r="AG751" s="18"/>
      <c r="AH751" s="18"/>
      <c r="AI751" s="18"/>
      <c r="AJ751" s="97"/>
      <c r="AK751" s="18"/>
      <c r="AL751" s="18"/>
    </row>
    <row r="752" spans="4:38" x14ac:dyDescent="0.2">
      <c r="D752" s="19"/>
      <c r="E752" s="19"/>
      <c r="F752" s="19"/>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9"/>
      <c r="AE752" s="18"/>
      <c r="AF752" s="18"/>
      <c r="AG752" s="18"/>
      <c r="AH752" s="18"/>
      <c r="AI752" s="18"/>
      <c r="AJ752" s="97"/>
      <c r="AK752" s="18"/>
      <c r="AL752" s="18"/>
    </row>
    <row r="753" spans="4:38" x14ac:dyDescent="0.2">
      <c r="D753" s="19"/>
      <c r="E753" s="19"/>
      <c r="F753" s="19"/>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9"/>
      <c r="AE753" s="18"/>
      <c r="AF753" s="18"/>
      <c r="AG753" s="18"/>
      <c r="AH753" s="18"/>
      <c r="AI753" s="18"/>
      <c r="AJ753" s="97"/>
      <c r="AK753" s="18"/>
      <c r="AL753" s="18"/>
    </row>
    <row r="754" spans="4:38" x14ac:dyDescent="0.2">
      <c r="D754" s="19"/>
      <c r="E754" s="19"/>
      <c r="F754" s="19"/>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9"/>
      <c r="AE754" s="18"/>
      <c r="AF754" s="18"/>
      <c r="AG754" s="18"/>
      <c r="AH754" s="18"/>
      <c r="AI754" s="18"/>
      <c r="AJ754" s="97"/>
      <c r="AK754" s="18"/>
      <c r="AL754" s="18"/>
    </row>
    <row r="755" spans="4:38" x14ac:dyDescent="0.2">
      <c r="D755" s="19"/>
      <c r="E755" s="19"/>
      <c r="F755" s="19"/>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9"/>
      <c r="AE755" s="18"/>
      <c r="AF755" s="18"/>
      <c r="AG755" s="18"/>
      <c r="AH755" s="18"/>
      <c r="AI755" s="18"/>
      <c r="AJ755" s="97"/>
      <c r="AK755" s="18"/>
      <c r="AL755" s="18"/>
    </row>
    <row r="756" spans="4:38" x14ac:dyDescent="0.2">
      <c r="D756" s="19"/>
      <c r="E756" s="19"/>
      <c r="F756" s="19"/>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9"/>
      <c r="AE756" s="18"/>
      <c r="AF756" s="18"/>
      <c r="AG756" s="18"/>
      <c r="AH756" s="18"/>
      <c r="AI756" s="18"/>
      <c r="AJ756" s="97"/>
      <c r="AK756" s="18"/>
      <c r="AL756" s="18"/>
    </row>
    <row r="757" spans="4:38" x14ac:dyDescent="0.2">
      <c r="D757" s="19"/>
      <c r="E757" s="19"/>
      <c r="F757" s="19"/>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9"/>
      <c r="AE757" s="18"/>
      <c r="AF757" s="18"/>
      <c r="AG757" s="18"/>
      <c r="AH757" s="18"/>
      <c r="AI757" s="18"/>
      <c r="AJ757" s="97"/>
      <c r="AK757" s="18"/>
      <c r="AL757" s="18"/>
    </row>
    <row r="758" spans="4:38" x14ac:dyDescent="0.2">
      <c r="D758" s="19"/>
      <c r="E758" s="19"/>
      <c r="F758" s="19"/>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9"/>
      <c r="AE758" s="18"/>
      <c r="AF758" s="18"/>
      <c r="AG758" s="18"/>
      <c r="AH758" s="18"/>
      <c r="AI758" s="18"/>
      <c r="AJ758" s="97"/>
      <c r="AK758" s="18"/>
      <c r="AL758" s="18"/>
    </row>
    <row r="759" spans="4:38" x14ac:dyDescent="0.2">
      <c r="D759" s="19"/>
      <c r="E759" s="19"/>
      <c r="F759" s="19"/>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9"/>
      <c r="AE759" s="18"/>
      <c r="AF759" s="18"/>
      <c r="AG759" s="18"/>
      <c r="AH759" s="18"/>
      <c r="AI759" s="18"/>
      <c r="AJ759" s="97"/>
      <c r="AK759" s="18"/>
      <c r="AL759" s="18"/>
    </row>
    <row r="760" spans="4:38" x14ac:dyDescent="0.2">
      <c r="D760" s="19"/>
      <c r="E760" s="19"/>
      <c r="F760" s="19"/>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9"/>
      <c r="AE760" s="18"/>
      <c r="AF760" s="18"/>
      <c r="AG760" s="18"/>
      <c r="AH760" s="18"/>
      <c r="AI760" s="18"/>
      <c r="AJ760" s="97"/>
      <c r="AK760" s="18"/>
      <c r="AL760" s="18"/>
    </row>
    <row r="761" spans="4:38" x14ac:dyDescent="0.2">
      <c r="D761" s="19"/>
      <c r="E761" s="19"/>
      <c r="F761" s="19"/>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9"/>
      <c r="AE761" s="18"/>
      <c r="AF761" s="18"/>
      <c r="AG761" s="18"/>
      <c r="AH761" s="18"/>
      <c r="AI761" s="18"/>
      <c r="AJ761" s="97"/>
      <c r="AK761" s="18"/>
      <c r="AL761" s="18"/>
    </row>
    <row r="762" spans="4:38" x14ac:dyDescent="0.2">
      <c r="D762" s="19"/>
      <c r="E762" s="19"/>
      <c r="F762" s="19"/>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9"/>
      <c r="AE762" s="18"/>
      <c r="AF762" s="18"/>
      <c r="AG762" s="18"/>
      <c r="AH762" s="18"/>
      <c r="AI762" s="18"/>
      <c r="AJ762" s="97"/>
      <c r="AK762" s="18"/>
      <c r="AL762" s="18"/>
    </row>
    <row r="763" spans="4:38" x14ac:dyDescent="0.2">
      <c r="D763" s="19"/>
      <c r="E763" s="19"/>
      <c r="F763" s="19"/>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9"/>
      <c r="AE763" s="18"/>
      <c r="AF763" s="18"/>
      <c r="AG763" s="18"/>
      <c r="AH763" s="18"/>
      <c r="AI763" s="18"/>
      <c r="AJ763" s="97"/>
      <c r="AK763" s="18"/>
      <c r="AL763" s="18"/>
    </row>
    <row r="764" spans="4:38" x14ac:dyDescent="0.2">
      <c r="D764" s="19"/>
      <c r="E764" s="19"/>
      <c r="F764" s="19"/>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9"/>
      <c r="AE764" s="18"/>
      <c r="AF764" s="18"/>
      <c r="AG764" s="18"/>
      <c r="AH764" s="18"/>
      <c r="AI764" s="18"/>
      <c r="AJ764" s="97"/>
      <c r="AK764" s="18"/>
      <c r="AL764" s="18"/>
    </row>
    <row r="765" spans="4:38" x14ac:dyDescent="0.2">
      <c r="D765" s="19"/>
      <c r="E765" s="19"/>
      <c r="F765" s="19"/>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9"/>
      <c r="AE765" s="18"/>
      <c r="AF765" s="18"/>
      <c r="AG765" s="18"/>
      <c r="AH765" s="18"/>
      <c r="AI765" s="18"/>
      <c r="AJ765" s="97"/>
      <c r="AK765" s="18"/>
      <c r="AL765" s="18"/>
    </row>
    <row r="766" spans="4:38" x14ac:dyDescent="0.2">
      <c r="D766" s="19"/>
      <c r="E766" s="19"/>
      <c r="F766" s="19"/>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9"/>
      <c r="AE766" s="18"/>
      <c r="AF766" s="18"/>
      <c r="AG766" s="18"/>
      <c r="AH766" s="18"/>
      <c r="AI766" s="18"/>
      <c r="AJ766" s="97"/>
      <c r="AK766" s="18"/>
      <c r="AL766" s="18"/>
    </row>
    <row r="767" spans="4:38" x14ac:dyDescent="0.2">
      <c r="D767" s="19"/>
      <c r="E767" s="19"/>
      <c r="F767" s="19"/>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9"/>
      <c r="AE767" s="18"/>
      <c r="AF767" s="18"/>
      <c r="AG767" s="18"/>
      <c r="AH767" s="18"/>
      <c r="AI767" s="18"/>
      <c r="AJ767" s="97"/>
      <c r="AK767" s="18"/>
      <c r="AL767" s="18"/>
    </row>
    <row r="768" spans="4:38" x14ac:dyDescent="0.2">
      <c r="D768" s="19"/>
      <c r="E768" s="19"/>
      <c r="F768" s="19"/>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9"/>
      <c r="AE768" s="18"/>
      <c r="AF768" s="18"/>
      <c r="AG768" s="18"/>
      <c r="AH768" s="18"/>
      <c r="AI768" s="18"/>
      <c r="AJ768" s="97"/>
      <c r="AK768" s="18"/>
      <c r="AL768" s="18"/>
    </row>
    <row r="769" spans="4:38" x14ac:dyDescent="0.2">
      <c r="D769" s="19"/>
      <c r="E769" s="19"/>
      <c r="F769" s="19"/>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9"/>
      <c r="AE769" s="18"/>
      <c r="AF769" s="18"/>
      <c r="AG769" s="18"/>
      <c r="AH769" s="18"/>
      <c r="AI769" s="18"/>
      <c r="AJ769" s="97"/>
      <c r="AK769" s="18"/>
      <c r="AL769" s="18"/>
    </row>
    <row r="770" spans="4:38" x14ac:dyDescent="0.2">
      <c r="D770" s="19"/>
      <c r="E770" s="19"/>
      <c r="F770" s="19"/>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9"/>
      <c r="AE770" s="18"/>
      <c r="AF770" s="18"/>
      <c r="AG770" s="18"/>
      <c r="AH770" s="18"/>
      <c r="AI770" s="18"/>
      <c r="AJ770" s="97"/>
      <c r="AK770" s="18"/>
      <c r="AL770" s="18"/>
    </row>
    <row r="771" spans="4:38" x14ac:dyDescent="0.2">
      <c r="D771" s="19"/>
      <c r="E771" s="19"/>
      <c r="F771" s="19"/>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9"/>
      <c r="AE771" s="18"/>
      <c r="AF771" s="18"/>
      <c r="AG771" s="18"/>
      <c r="AH771" s="18"/>
      <c r="AI771" s="18"/>
      <c r="AJ771" s="97"/>
      <c r="AK771" s="18"/>
      <c r="AL771" s="18"/>
    </row>
    <row r="772" spans="4:38" x14ac:dyDescent="0.2">
      <c r="D772" s="19"/>
      <c r="E772" s="19"/>
      <c r="F772" s="19"/>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9"/>
      <c r="AE772" s="18"/>
      <c r="AF772" s="18"/>
      <c r="AG772" s="18"/>
      <c r="AH772" s="18"/>
      <c r="AI772" s="18"/>
      <c r="AJ772" s="97"/>
      <c r="AK772" s="18"/>
      <c r="AL772" s="18"/>
    </row>
    <row r="773" spans="4:38" x14ac:dyDescent="0.2">
      <c r="D773" s="19"/>
      <c r="E773" s="19"/>
      <c r="F773" s="19"/>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9"/>
      <c r="AE773" s="18"/>
      <c r="AF773" s="18"/>
      <c r="AG773" s="18"/>
      <c r="AH773" s="18"/>
      <c r="AI773" s="18"/>
      <c r="AJ773" s="97"/>
      <c r="AK773" s="18"/>
      <c r="AL773" s="18"/>
    </row>
    <row r="774" spans="4:38" x14ac:dyDescent="0.2">
      <c r="D774" s="19"/>
      <c r="E774" s="19"/>
      <c r="F774" s="19"/>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9"/>
      <c r="AE774" s="18"/>
      <c r="AF774" s="18"/>
      <c r="AG774" s="18"/>
      <c r="AH774" s="18"/>
      <c r="AI774" s="18"/>
      <c r="AJ774" s="97"/>
      <c r="AK774" s="18"/>
      <c r="AL774" s="18"/>
    </row>
    <row r="775" spans="4:38" x14ac:dyDescent="0.2">
      <c r="D775" s="19"/>
      <c r="E775" s="19"/>
      <c r="F775" s="19"/>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9"/>
      <c r="AE775" s="18"/>
      <c r="AF775" s="18"/>
      <c r="AG775" s="18"/>
      <c r="AH775" s="18"/>
      <c r="AI775" s="18"/>
      <c r="AJ775" s="97"/>
      <c r="AK775" s="18"/>
      <c r="AL775" s="18"/>
    </row>
    <row r="776" spans="4:38" x14ac:dyDescent="0.2">
      <c r="D776" s="19"/>
      <c r="E776" s="19"/>
      <c r="F776" s="19"/>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9"/>
      <c r="AE776" s="18"/>
      <c r="AF776" s="18"/>
      <c r="AG776" s="18"/>
      <c r="AH776" s="18"/>
      <c r="AI776" s="18"/>
      <c r="AJ776" s="97"/>
      <c r="AK776" s="18"/>
      <c r="AL776" s="18"/>
    </row>
    <row r="777" spans="4:38" x14ac:dyDescent="0.2">
      <c r="D777" s="19"/>
      <c r="E777" s="19"/>
      <c r="F777" s="19"/>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9"/>
      <c r="AE777" s="18"/>
      <c r="AF777" s="18"/>
      <c r="AG777" s="18"/>
      <c r="AH777" s="18"/>
      <c r="AI777" s="18"/>
      <c r="AJ777" s="97"/>
      <c r="AK777" s="18"/>
      <c r="AL777" s="18"/>
    </row>
    <row r="778" spans="4:38" x14ac:dyDescent="0.2">
      <c r="D778" s="19"/>
      <c r="E778" s="19"/>
      <c r="F778" s="19"/>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9"/>
      <c r="AE778" s="18"/>
      <c r="AF778" s="18"/>
      <c r="AG778" s="18"/>
      <c r="AH778" s="18"/>
      <c r="AI778" s="18"/>
      <c r="AJ778" s="97"/>
      <c r="AK778" s="18"/>
      <c r="AL778" s="18"/>
    </row>
    <row r="779" spans="4:38" x14ac:dyDescent="0.2">
      <c r="D779" s="19"/>
      <c r="E779" s="19"/>
      <c r="F779" s="19"/>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9"/>
      <c r="AE779" s="18"/>
      <c r="AF779" s="18"/>
      <c r="AG779" s="18"/>
      <c r="AH779" s="18"/>
      <c r="AI779" s="18"/>
      <c r="AJ779" s="97"/>
      <c r="AK779" s="18"/>
      <c r="AL779" s="18"/>
    </row>
    <row r="780" spans="4:38" x14ac:dyDescent="0.2">
      <c r="D780" s="19"/>
      <c r="E780" s="19"/>
      <c r="F780" s="19"/>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9"/>
      <c r="AE780" s="18"/>
      <c r="AF780" s="18"/>
      <c r="AG780" s="18"/>
      <c r="AH780" s="18"/>
      <c r="AI780" s="18"/>
      <c r="AJ780" s="97"/>
      <c r="AK780" s="18"/>
      <c r="AL780" s="18"/>
    </row>
    <row r="781" spans="4:38" x14ac:dyDescent="0.2">
      <c r="D781" s="19"/>
      <c r="E781" s="19"/>
      <c r="F781" s="19"/>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9"/>
      <c r="AE781" s="18"/>
      <c r="AF781" s="18"/>
      <c r="AG781" s="18"/>
      <c r="AH781" s="18"/>
      <c r="AI781" s="18"/>
      <c r="AJ781" s="97"/>
      <c r="AK781" s="18"/>
      <c r="AL781" s="18"/>
    </row>
    <row r="782" spans="4:38" x14ac:dyDescent="0.2">
      <c r="D782" s="19"/>
      <c r="E782" s="19"/>
      <c r="F782" s="19"/>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9"/>
      <c r="AE782" s="18"/>
      <c r="AF782" s="18"/>
      <c r="AG782" s="18"/>
      <c r="AH782" s="18"/>
      <c r="AI782" s="18"/>
      <c r="AJ782" s="97"/>
      <c r="AK782" s="18"/>
      <c r="AL782" s="18"/>
    </row>
    <row r="783" spans="4:38" x14ac:dyDescent="0.2">
      <c r="D783" s="19"/>
      <c r="E783" s="19"/>
      <c r="F783" s="19"/>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9"/>
      <c r="AE783" s="18"/>
      <c r="AF783" s="18"/>
      <c r="AG783" s="18"/>
      <c r="AH783" s="18"/>
      <c r="AI783" s="18"/>
      <c r="AJ783" s="97"/>
      <c r="AK783" s="18"/>
      <c r="AL783" s="18"/>
    </row>
    <row r="784" spans="4:38" x14ac:dyDescent="0.2">
      <c r="D784" s="19"/>
      <c r="E784" s="19"/>
      <c r="F784" s="19"/>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9"/>
      <c r="AE784" s="18"/>
      <c r="AF784" s="18"/>
      <c r="AG784" s="18"/>
      <c r="AH784" s="18"/>
      <c r="AI784" s="18"/>
      <c r="AJ784" s="97"/>
      <c r="AK784" s="18"/>
      <c r="AL784" s="18"/>
    </row>
    <row r="785" spans="4:38" x14ac:dyDescent="0.2">
      <c r="D785" s="19"/>
      <c r="E785" s="19"/>
      <c r="F785" s="19"/>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9"/>
      <c r="AE785" s="18"/>
      <c r="AF785" s="18"/>
      <c r="AG785" s="18"/>
      <c r="AH785" s="18"/>
      <c r="AI785" s="18"/>
      <c r="AJ785" s="97"/>
      <c r="AK785" s="18"/>
      <c r="AL785" s="18"/>
    </row>
    <row r="786" spans="4:38" x14ac:dyDescent="0.2">
      <c r="D786" s="19"/>
      <c r="E786" s="19"/>
      <c r="F786" s="19"/>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9"/>
      <c r="AE786" s="18"/>
      <c r="AF786" s="18"/>
      <c r="AG786" s="18"/>
      <c r="AH786" s="18"/>
      <c r="AI786" s="18"/>
      <c r="AJ786" s="97"/>
      <c r="AK786" s="18"/>
      <c r="AL786" s="18"/>
    </row>
    <row r="787" spans="4:38" x14ac:dyDescent="0.2">
      <c r="D787" s="19"/>
      <c r="E787" s="19"/>
      <c r="F787" s="19"/>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9"/>
      <c r="AE787" s="18"/>
      <c r="AF787" s="18"/>
      <c r="AG787" s="18"/>
      <c r="AH787" s="18"/>
      <c r="AI787" s="18"/>
      <c r="AJ787" s="97"/>
      <c r="AK787" s="18"/>
      <c r="AL787" s="18"/>
    </row>
    <row r="788" spans="4:38" x14ac:dyDescent="0.2">
      <c r="D788" s="19"/>
      <c r="E788" s="19"/>
      <c r="F788" s="19"/>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9"/>
      <c r="AE788" s="18"/>
      <c r="AF788" s="18"/>
      <c r="AG788" s="18"/>
      <c r="AH788" s="18"/>
      <c r="AI788" s="18"/>
      <c r="AJ788" s="97"/>
      <c r="AK788" s="18"/>
      <c r="AL788" s="18"/>
    </row>
    <row r="789" spans="4:38" x14ac:dyDescent="0.2">
      <c r="D789" s="19"/>
      <c r="E789" s="19"/>
      <c r="F789" s="19"/>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9"/>
      <c r="AE789" s="18"/>
      <c r="AF789" s="18"/>
      <c r="AG789" s="18"/>
      <c r="AH789" s="18"/>
      <c r="AI789" s="18"/>
      <c r="AJ789" s="97"/>
      <c r="AK789" s="18"/>
      <c r="AL789" s="18"/>
    </row>
    <row r="790" spans="4:38" x14ac:dyDescent="0.2">
      <c r="D790" s="19"/>
      <c r="E790" s="19"/>
      <c r="F790" s="19"/>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9"/>
      <c r="AE790" s="18"/>
      <c r="AF790" s="18"/>
      <c r="AG790" s="18"/>
      <c r="AH790" s="18"/>
      <c r="AI790" s="18"/>
      <c r="AJ790" s="97"/>
      <c r="AK790" s="18"/>
      <c r="AL790" s="18"/>
    </row>
    <row r="791" spans="4:38" x14ac:dyDescent="0.2">
      <c r="D791" s="19"/>
      <c r="E791" s="19"/>
      <c r="F791" s="19"/>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9"/>
      <c r="AE791" s="18"/>
      <c r="AF791" s="18"/>
      <c r="AG791" s="18"/>
      <c r="AH791" s="18"/>
      <c r="AI791" s="18"/>
      <c r="AJ791" s="97"/>
      <c r="AK791" s="18"/>
      <c r="AL791" s="18"/>
    </row>
    <row r="792" spans="4:38" x14ac:dyDescent="0.2">
      <c r="D792" s="19"/>
      <c r="E792" s="19"/>
      <c r="F792" s="19"/>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9"/>
      <c r="AE792" s="18"/>
      <c r="AF792" s="18"/>
      <c r="AG792" s="18"/>
      <c r="AH792" s="18"/>
      <c r="AI792" s="18"/>
      <c r="AJ792" s="97"/>
      <c r="AK792" s="18"/>
      <c r="AL792" s="18"/>
    </row>
    <row r="793" spans="4:38" x14ac:dyDescent="0.2">
      <c r="D793" s="19"/>
      <c r="E793" s="19"/>
      <c r="F793" s="19"/>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9"/>
      <c r="AE793" s="18"/>
      <c r="AF793" s="18"/>
      <c r="AG793" s="18"/>
      <c r="AH793" s="18"/>
      <c r="AI793" s="18"/>
      <c r="AJ793" s="97"/>
      <c r="AK793" s="18"/>
      <c r="AL793" s="18"/>
    </row>
    <row r="794" spans="4:38" x14ac:dyDescent="0.2">
      <c r="D794" s="19"/>
      <c r="E794" s="19"/>
      <c r="F794" s="19"/>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9"/>
      <c r="AE794" s="18"/>
      <c r="AF794" s="18"/>
      <c r="AG794" s="18"/>
      <c r="AH794" s="18"/>
      <c r="AI794" s="18"/>
      <c r="AJ794" s="97"/>
      <c r="AK794" s="18"/>
      <c r="AL794" s="18"/>
    </row>
    <row r="795" spans="4:38" x14ac:dyDescent="0.2">
      <c r="D795" s="19"/>
      <c r="E795" s="19"/>
      <c r="F795" s="19"/>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9"/>
      <c r="AE795" s="18"/>
      <c r="AF795" s="18"/>
      <c r="AG795" s="18"/>
      <c r="AH795" s="18"/>
      <c r="AI795" s="18"/>
      <c r="AJ795" s="97"/>
      <c r="AK795" s="18"/>
      <c r="AL795" s="18"/>
    </row>
    <row r="796" spans="4:38" x14ac:dyDescent="0.2">
      <c r="D796" s="19"/>
      <c r="E796" s="19"/>
      <c r="F796" s="19"/>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9"/>
      <c r="AE796" s="18"/>
      <c r="AF796" s="18"/>
      <c r="AG796" s="18"/>
      <c r="AH796" s="18"/>
      <c r="AI796" s="18"/>
      <c r="AJ796" s="97"/>
      <c r="AK796" s="18"/>
      <c r="AL796" s="18"/>
    </row>
    <row r="797" spans="4:38" x14ac:dyDescent="0.2">
      <c r="D797" s="19"/>
      <c r="E797" s="19"/>
      <c r="F797" s="19"/>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9"/>
      <c r="AE797" s="18"/>
      <c r="AF797" s="18"/>
      <c r="AG797" s="18"/>
      <c r="AH797" s="18"/>
      <c r="AI797" s="18"/>
      <c r="AJ797" s="97"/>
      <c r="AK797" s="18"/>
      <c r="AL797" s="18"/>
    </row>
    <row r="798" spans="4:38" x14ac:dyDescent="0.2">
      <c r="D798" s="19"/>
      <c r="E798" s="19"/>
      <c r="F798" s="19"/>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9"/>
      <c r="AE798" s="18"/>
      <c r="AF798" s="18"/>
      <c r="AG798" s="18"/>
      <c r="AH798" s="18"/>
      <c r="AI798" s="18"/>
      <c r="AJ798" s="97"/>
      <c r="AK798" s="18"/>
      <c r="AL798" s="18"/>
    </row>
    <row r="799" spans="4:38" x14ac:dyDescent="0.2">
      <c r="D799" s="19"/>
      <c r="E799" s="19"/>
      <c r="F799" s="19"/>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9"/>
      <c r="AE799" s="18"/>
      <c r="AF799" s="18"/>
      <c r="AG799" s="18"/>
      <c r="AH799" s="18"/>
      <c r="AI799" s="18"/>
      <c r="AJ799" s="97"/>
      <c r="AK799" s="18"/>
      <c r="AL799" s="18"/>
    </row>
    <row r="800" spans="4:38" x14ac:dyDescent="0.2">
      <c r="D800" s="19"/>
      <c r="E800" s="19"/>
      <c r="F800" s="19"/>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9"/>
      <c r="AE800" s="18"/>
      <c r="AF800" s="18"/>
      <c r="AG800" s="18"/>
      <c r="AH800" s="18"/>
      <c r="AI800" s="18"/>
      <c r="AJ800" s="97"/>
      <c r="AK800" s="18"/>
      <c r="AL800" s="18"/>
    </row>
    <row r="801" spans="4:38" x14ac:dyDescent="0.2">
      <c r="D801" s="19"/>
      <c r="E801" s="19"/>
      <c r="F801" s="19"/>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9"/>
      <c r="AE801" s="18"/>
      <c r="AF801" s="18"/>
      <c r="AG801" s="18"/>
      <c r="AH801" s="18"/>
      <c r="AI801" s="18"/>
      <c r="AJ801" s="97"/>
      <c r="AK801" s="18"/>
      <c r="AL801" s="18"/>
    </row>
    <row r="802" spans="4:38" x14ac:dyDescent="0.2">
      <c r="D802" s="19"/>
      <c r="E802" s="19"/>
      <c r="F802" s="19"/>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9"/>
      <c r="AE802" s="18"/>
      <c r="AF802" s="18"/>
      <c r="AG802" s="18"/>
      <c r="AH802" s="18"/>
      <c r="AI802" s="18"/>
      <c r="AJ802" s="97"/>
      <c r="AK802" s="18"/>
      <c r="AL802" s="18"/>
    </row>
    <row r="803" spans="4:38" x14ac:dyDescent="0.2">
      <c r="D803" s="19"/>
      <c r="E803" s="19"/>
      <c r="F803" s="19"/>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9"/>
      <c r="AE803" s="18"/>
      <c r="AF803" s="18"/>
      <c r="AG803" s="18"/>
      <c r="AH803" s="18"/>
      <c r="AI803" s="18"/>
      <c r="AJ803" s="97"/>
      <c r="AK803" s="18"/>
      <c r="AL803" s="18"/>
    </row>
    <row r="804" spans="4:38" x14ac:dyDescent="0.2">
      <c r="D804" s="19"/>
      <c r="E804" s="19"/>
      <c r="F804" s="19"/>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9"/>
      <c r="AE804" s="18"/>
      <c r="AF804" s="18"/>
      <c r="AG804" s="18"/>
      <c r="AH804" s="18"/>
      <c r="AI804" s="18"/>
      <c r="AJ804" s="97"/>
      <c r="AK804" s="18"/>
      <c r="AL804" s="18"/>
    </row>
    <row r="805" spans="4:38" x14ac:dyDescent="0.2">
      <c r="D805" s="19"/>
      <c r="E805" s="19"/>
      <c r="F805" s="19"/>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9"/>
      <c r="AE805" s="18"/>
      <c r="AF805" s="18"/>
      <c r="AG805" s="18"/>
      <c r="AH805" s="18"/>
      <c r="AI805" s="18"/>
      <c r="AJ805" s="97"/>
      <c r="AK805" s="18"/>
      <c r="AL805" s="18"/>
    </row>
    <row r="806" spans="4:38" x14ac:dyDescent="0.2">
      <c r="D806" s="19"/>
      <c r="E806" s="19"/>
      <c r="F806" s="19"/>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9"/>
      <c r="AE806" s="18"/>
      <c r="AF806" s="18"/>
      <c r="AG806" s="18"/>
      <c r="AH806" s="18"/>
      <c r="AI806" s="18"/>
      <c r="AJ806" s="97"/>
      <c r="AK806" s="18"/>
      <c r="AL806" s="18"/>
    </row>
    <row r="807" spans="4:38" x14ac:dyDescent="0.2">
      <c r="D807" s="19"/>
      <c r="E807" s="19"/>
      <c r="F807" s="19"/>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9"/>
      <c r="AE807" s="18"/>
      <c r="AF807" s="18"/>
      <c r="AG807" s="18"/>
      <c r="AH807" s="18"/>
      <c r="AI807" s="18"/>
      <c r="AJ807" s="97"/>
      <c r="AK807" s="18"/>
      <c r="AL807" s="18"/>
    </row>
    <row r="808" spans="4:38" x14ac:dyDescent="0.2">
      <c r="D808" s="19"/>
      <c r="E808" s="19"/>
      <c r="F808" s="19"/>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9"/>
      <c r="AE808" s="18"/>
      <c r="AF808" s="18"/>
      <c r="AG808" s="18"/>
      <c r="AH808" s="18"/>
      <c r="AI808" s="18"/>
      <c r="AJ808" s="97"/>
      <c r="AK808" s="18"/>
      <c r="AL808" s="18"/>
    </row>
    <row r="809" spans="4:38" x14ac:dyDescent="0.2">
      <c r="D809" s="19"/>
      <c r="E809" s="19"/>
      <c r="F809" s="19"/>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9"/>
      <c r="AE809" s="18"/>
      <c r="AF809" s="18"/>
      <c r="AG809" s="18"/>
      <c r="AH809" s="18"/>
      <c r="AI809" s="18"/>
      <c r="AJ809" s="97"/>
      <c r="AK809" s="18"/>
      <c r="AL809" s="18"/>
    </row>
    <row r="810" spans="4:38" x14ac:dyDescent="0.2">
      <c r="D810" s="19"/>
      <c r="E810" s="19"/>
      <c r="F810" s="19"/>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9"/>
      <c r="AE810" s="18"/>
      <c r="AF810" s="18"/>
      <c r="AG810" s="18"/>
      <c r="AH810" s="18"/>
      <c r="AI810" s="18"/>
      <c r="AJ810" s="97"/>
      <c r="AK810" s="18"/>
      <c r="AL810" s="18"/>
    </row>
    <row r="811" spans="4:38" x14ac:dyDescent="0.2">
      <c r="D811" s="19"/>
      <c r="E811" s="19"/>
      <c r="F811" s="19"/>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9"/>
      <c r="AE811" s="18"/>
      <c r="AF811" s="18"/>
      <c r="AG811" s="18"/>
      <c r="AH811" s="18"/>
      <c r="AI811" s="18"/>
      <c r="AJ811" s="97"/>
      <c r="AK811" s="18"/>
      <c r="AL811" s="18"/>
    </row>
    <row r="812" spans="4:38" x14ac:dyDescent="0.2">
      <c r="D812" s="19"/>
      <c r="E812" s="19"/>
      <c r="F812" s="19"/>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9"/>
      <c r="AE812" s="18"/>
      <c r="AF812" s="18"/>
      <c r="AG812" s="18"/>
      <c r="AH812" s="18"/>
      <c r="AI812" s="18"/>
      <c r="AJ812" s="97"/>
      <c r="AK812" s="18"/>
      <c r="AL812" s="18"/>
    </row>
    <row r="813" spans="4:38" x14ac:dyDescent="0.2">
      <c r="D813" s="19"/>
      <c r="E813" s="19"/>
      <c r="F813" s="19"/>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9"/>
      <c r="AE813" s="18"/>
      <c r="AF813" s="18"/>
      <c r="AG813" s="18"/>
      <c r="AH813" s="18"/>
      <c r="AI813" s="18"/>
      <c r="AJ813" s="97"/>
      <c r="AK813" s="18"/>
      <c r="AL813" s="18"/>
    </row>
    <row r="814" spans="4:38" x14ac:dyDescent="0.2">
      <c r="D814" s="19"/>
      <c r="E814" s="19"/>
      <c r="F814" s="19"/>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9"/>
      <c r="AE814" s="18"/>
      <c r="AF814" s="18"/>
      <c r="AG814" s="18"/>
      <c r="AH814" s="18"/>
      <c r="AI814" s="18"/>
      <c r="AJ814" s="97"/>
      <c r="AK814" s="18"/>
      <c r="AL814" s="18"/>
    </row>
    <row r="815" spans="4:38" x14ac:dyDescent="0.2">
      <c r="D815" s="19"/>
      <c r="E815" s="19"/>
      <c r="F815" s="19"/>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9"/>
      <c r="AE815" s="18"/>
      <c r="AF815" s="18"/>
      <c r="AG815" s="18"/>
      <c r="AH815" s="18"/>
      <c r="AI815" s="18"/>
      <c r="AJ815" s="97"/>
      <c r="AK815" s="18"/>
      <c r="AL815" s="18"/>
    </row>
    <row r="816" spans="4:38" x14ac:dyDescent="0.2">
      <c r="D816" s="19"/>
      <c r="E816" s="19"/>
      <c r="F816" s="19"/>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9"/>
      <c r="AE816" s="18"/>
      <c r="AF816" s="18"/>
      <c r="AG816" s="18"/>
      <c r="AH816" s="18"/>
      <c r="AI816" s="18"/>
      <c r="AJ816" s="97"/>
      <c r="AK816" s="18"/>
      <c r="AL816" s="18"/>
    </row>
    <row r="817" spans="4:38" x14ac:dyDescent="0.2">
      <c r="D817" s="19"/>
      <c r="E817" s="19"/>
      <c r="F817" s="19"/>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9"/>
      <c r="AE817" s="18"/>
      <c r="AF817" s="18"/>
      <c r="AG817" s="18"/>
      <c r="AH817" s="18"/>
      <c r="AI817" s="18"/>
      <c r="AJ817" s="97"/>
      <c r="AK817" s="18"/>
      <c r="AL817" s="18"/>
    </row>
    <row r="818" spans="4:38" x14ac:dyDescent="0.2">
      <c r="D818" s="19"/>
      <c r="E818" s="19"/>
      <c r="F818" s="19"/>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9"/>
      <c r="AE818" s="18"/>
      <c r="AF818" s="18"/>
      <c r="AG818" s="18"/>
      <c r="AH818" s="18"/>
      <c r="AI818" s="18"/>
      <c r="AJ818" s="97"/>
      <c r="AK818" s="18"/>
      <c r="AL818" s="18"/>
    </row>
    <row r="819" spans="4:38" x14ac:dyDescent="0.2">
      <c r="D819" s="19"/>
      <c r="E819" s="19"/>
      <c r="F819" s="19"/>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9"/>
      <c r="AE819" s="18"/>
      <c r="AF819" s="18"/>
      <c r="AG819" s="18"/>
      <c r="AH819" s="18"/>
      <c r="AI819" s="18"/>
      <c r="AJ819" s="97"/>
      <c r="AK819" s="18"/>
      <c r="AL819" s="18"/>
    </row>
    <row r="820" spans="4:38" x14ac:dyDescent="0.2">
      <c r="D820" s="19"/>
      <c r="E820" s="19"/>
      <c r="F820" s="19"/>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9"/>
      <c r="AE820" s="18"/>
      <c r="AF820" s="18"/>
      <c r="AG820" s="18"/>
      <c r="AH820" s="18"/>
      <c r="AI820" s="18"/>
      <c r="AJ820" s="97"/>
      <c r="AK820" s="18"/>
      <c r="AL820" s="18"/>
    </row>
    <row r="821" spans="4:38" x14ac:dyDescent="0.2">
      <c r="D821" s="19"/>
      <c r="E821" s="19"/>
      <c r="F821" s="19"/>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9"/>
      <c r="AE821" s="18"/>
      <c r="AF821" s="18"/>
      <c r="AG821" s="18"/>
      <c r="AH821" s="18"/>
      <c r="AI821" s="18"/>
      <c r="AJ821" s="97"/>
      <c r="AK821" s="18"/>
      <c r="AL821" s="18"/>
    </row>
    <row r="822" spans="4:38" x14ac:dyDescent="0.2">
      <c r="D822" s="19"/>
      <c r="E822" s="19"/>
      <c r="F822" s="19"/>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9"/>
      <c r="AE822" s="18"/>
      <c r="AF822" s="18"/>
      <c r="AG822" s="18"/>
      <c r="AH822" s="18"/>
      <c r="AI822" s="18"/>
      <c r="AJ822" s="97"/>
      <c r="AK822" s="18"/>
      <c r="AL822" s="18"/>
    </row>
    <row r="823" spans="4:38" x14ac:dyDescent="0.2">
      <c r="D823" s="19"/>
      <c r="E823" s="19"/>
      <c r="F823" s="19"/>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9"/>
      <c r="AE823" s="18"/>
      <c r="AF823" s="18"/>
      <c r="AG823" s="18"/>
      <c r="AH823" s="18"/>
      <c r="AI823" s="18"/>
      <c r="AJ823" s="97"/>
      <c r="AK823" s="18"/>
      <c r="AL823" s="18"/>
    </row>
    <row r="824" spans="4:38" x14ac:dyDescent="0.2">
      <c r="D824" s="19"/>
      <c r="E824" s="19"/>
      <c r="F824" s="19"/>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9"/>
      <c r="AE824" s="18"/>
      <c r="AF824" s="18"/>
      <c r="AG824" s="18"/>
      <c r="AH824" s="18"/>
      <c r="AI824" s="18"/>
      <c r="AJ824" s="97"/>
      <c r="AK824" s="18"/>
      <c r="AL824" s="18"/>
    </row>
    <row r="825" spans="4:38" x14ac:dyDescent="0.2">
      <c r="D825" s="19"/>
      <c r="E825" s="19"/>
      <c r="F825" s="19"/>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9"/>
      <c r="AE825" s="18"/>
      <c r="AF825" s="18"/>
      <c r="AG825" s="18"/>
      <c r="AH825" s="18"/>
      <c r="AI825" s="18"/>
      <c r="AJ825" s="97"/>
      <c r="AK825" s="18"/>
      <c r="AL825" s="18"/>
    </row>
    <row r="826" spans="4:38" x14ac:dyDescent="0.2">
      <c r="D826" s="19"/>
      <c r="E826" s="19"/>
      <c r="F826" s="19"/>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9"/>
      <c r="AE826" s="18"/>
      <c r="AF826" s="18"/>
      <c r="AG826" s="18"/>
      <c r="AH826" s="18"/>
      <c r="AI826" s="18"/>
      <c r="AJ826" s="97"/>
      <c r="AK826" s="18"/>
      <c r="AL826" s="18"/>
    </row>
    <row r="827" spans="4:38" x14ac:dyDescent="0.2">
      <c r="D827" s="19"/>
      <c r="E827" s="19"/>
      <c r="F827" s="19"/>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9"/>
      <c r="AE827" s="18"/>
      <c r="AF827" s="18"/>
      <c r="AG827" s="18"/>
      <c r="AH827" s="18"/>
      <c r="AI827" s="18"/>
      <c r="AJ827" s="97"/>
      <c r="AK827" s="18"/>
      <c r="AL827" s="18"/>
    </row>
    <row r="828" spans="4:38" x14ac:dyDescent="0.2">
      <c r="D828" s="19"/>
      <c r="E828" s="19"/>
      <c r="F828" s="19"/>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9"/>
      <c r="AE828" s="18"/>
      <c r="AF828" s="18"/>
      <c r="AG828" s="18"/>
      <c r="AH828" s="18"/>
      <c r="AI828" s="18"/>
      <c r="AJ828" s="97"/>
      <c r="AK828" s="18"/>
      <c r="AL828" s="18"/>
    </row>
    <row r="829" spans="4:38" x14ac:dyDescent="0.2">
      <c r="D829" s="19"/>
      <c r="E829" s="19"/>
      <c r="F829" s="19"/>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9"/>
      <c r="AE829" s="18"/>
      <c r="AF829" s="18"/>
      <c r="AG829" s="18"/>
      <c r="AH829" s="18"/>
      <c r="AI829" s="18"/>
      <c r="AJ829" s="97"/>
      <c r="AK829" s="18"/>
      <c r="AL829" s="18"/>
    </row>
    <row r="830" spans="4:38" x14ac:dyDescent="0.2">
      <c r="D830" s="19"/>
      <c r="E830" s="19"/>
      <c r="F830" s="19"/>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9"/>
      <c r="AE830" s="18"/>
      <c r="AF830" s="18"/>
      <c r="AG830" s="18"/>
      <c r="AH830" s="18"/>
      <c r="AI830" s="18"/>
      <c r="AJ830" s="97"/>
      <c r="AK830" s="18"/>
      <c r="AL830" s="18"/>
    </row>
    <row r="831" spans="4:38" x14ac:dyDescent="0.2">
      <c r="D831" s="19"/>
      <c r="E831" s="19"/>
      <c r="F831" s="19"/>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9"/>
      <c r="AE831" s="18"/>
      <c r="AF831" s="18"/>
      <c r="AG831" s="18"/>
      <c r="AH831" s="18"/>
      <c r="AI831" s="18"/>
      <c r="AJ831" s="97"/>
      <c r="AK831" s="18"/>
      <c r="AL831" s="18"/>
    </row>
    <row r="832" spans="4:38" x14ac:dyDescent="0.2">
      <c r="D832" s="19"/>
      <c r="E832" s="19"/>
      <c r="F832" s="19"/>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9"/>
      <c r="AE832" s="18"/>
      <c r="AF832" s="18"/>
      <c r="AG832" s="18"/>
      <c r="AH832" s="18"/>
      <c r="AI832" s="18"/>
      <c r="AJ832" s="97"/>
      <c r="AK832" s="18"/>
      <c r="AL832" s="18"/>
    </row>
    <row r="833" spans="4:38" x14ac:dyDescent="0.2">
      <c r="D833" s="19"/>
      <c r="E833" s="19"/>
      <c r="F833" s="19"/>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9"/>
      <c r="AE833" s="18"/>
      <c r="AF833" s="18"/>
      <c r="AG833" s="18"/>
      <c r="AH833" s="18"/>
      <c r="AI833" s="18"/>
      <c r="AJ833" s="97"/>
      <c r="AK833" s="18"/>
      <c r="AL833" s="18"/>
    </row>
    <row r="834" spans="4:38" x14ac:dyDescent="0.2">
      <c r="D834" s="19"/>
      <c r="E834" s="19"/>
      <c r="F834" s="19"/>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9"/>
      <c r="AE834" s="18"/>
      <c r="AF834" s="18"/>
      <c r="AG834" s="18"/>
      <c r="AH834" s="18"/>
      <c r="AI834" s="18"/>
      <c r="AJ834" s="97"/>
      <c r="AK834" s="18"/>
      <c r="AL834" s="18"/>
    </row>
    <row r="835" spans="4:38" x14ac:dyDescent="0.2">
      <c r="D835" s="19"/>
      <c r="E835" s="19"/>
      <c r="F835" s="19"/>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9"/>
      <c r="AE835" s="18"/>
      <c r="AF835" s="18"/>
      <c r="AG835" s="18"/>
      <c r="AH835" s="18"/>
      <c r="AI835" s="18"/>
      <c r="AJ835" s="97"/>
      <c r="AK835" s="18"/>
      <c r="AL835" s="18"/>
    </row>
    <row r="836" spans="4:38" x14ac:dyDescent="0.2">
      <c r="D836" s="19"/>
      <c r="E836" s="19"/>
      <c r="F836" s="19"/>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9"/>
      <c r="AE836" s="18"/>
      <c r="AF836" s="18"/>
      <c r="AG836" s="18"/>
      <c r="AH836" s="18"/>
      <c r="AI836" s="18"/>
      <c r="AJ836" s="97"/>
      <c r="AK836" s="18"/>
      <c r="AL836" s="18"/>
    </row>
    <row r="837" spans="4:38" x14ac:dyDescent="0.2">
      <c r="D837" s="19"/>
      <c r="E837" s="19"/>
      <c r="F837" s="19"/>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9"/>
      <c r="AE837" s="18"/>
      <c r="AF837" s="18"/>
      <c r="AG837" s="18"/>
      <c r="AH837" s="18"/>
      <c r="AI837" s="18"/>
      <c r="AJ837" s="97"/>
      <c r="AK837" s="18"/>
      <c r="AL837" s="18"/>
    </row>
    <row r="838" spans="4:38" x14ac:dyDescent="0.2">
      <c r="D838" s="19"/>
      <c r="E838" s="19"/>
      <c r="F838" s="19"/>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9"/>
      <c r="AE838" s="18"/>
      <c r="AF838" s="18"/>
      <c r="AG838" s="18"/>
      <c r="AH838" s="18"/>
      <c r="AI838" s="18"/>
      <c r="AJ838" s="97"/>
      <c r="AK838" s="18"/>
      <c r="AL838" s="18"/>
    </row>
    <row r="839" spans="4:38" x14ac:dyDescent="0.2">
      <c r="D839" s="19"/>
      <c r="E839" s="19"/>
      <c r="F839" s="19"/>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9"/>
      <c r="AE839" s="18"/>
      <c r="AF839" s="18"/>
      <c r="AG839" s="18"/>
      <c r="AH839" s="18"/>
      <c r="AI839" s="18"/>
      <c r="AJ839" s="97"/>
      <c r="AK839" s="18"/>
      <c r="AL839" s="18"/>
    </row>
    <row r="840" spans="4:38" x14ac:dyDescent="0.2">
      <c r="D840" s="19"/>
      <c r="E840" s="19"/>
      <c r="F840" s="19"/>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9"/>
      <c r="AE840" s="18"/>
      <c r="AF840" s="18"/>
      <c r="AG840" s="18"/>
      <c r="AH840" s="18"/>
      <c r="AI840" s="18"/>
      <c r="AJ840" s="97"/>
      <c r="AK840" s="18"/>
      <c r="AL840" s="18"/>
    </row>
    <row r="841" spans="4:38" x14ac:dyDescent="0.2">
      <c r="D841" s="19"/>
      <c r="E841" s="19"/>
      <c r="F841" s="19"/>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9"/>
      <c r="AE841" s="18"/>
      <c r="AF841" s="18"/>
      <c r="AG841" s="18"/>
      <c r="AH841" s="18"/>
      <c r="AI841" s="18"/>
      <c r="AJ841" s="97"/>
      <c r="AK841" s="18"/>
      <c r="AL841" s="18"/>
    </row>
    <row r="842" spans="4:38" x14ac:dyDescent="0.2">
      <c r="D842" s="19"/>
      <c r="E842" s="19"/>
      <c r="F842" s="19"/>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9"/>
      <c r="AE842" s="18"/>
      <c r="AF842" s="18"/>
      <c r="AG842" s="18"/>
      <c r="AH842" s="18"/>
      <c r="AI842" s="18"/>
      <c r="AJ842" s="97"/>
      <c r="AK842" s="18"/>
      <c r="AL842" s="18"/>
    </row>
    <row r="843" spans="4:38" x14ac:dyDescent="0.2">
      <c r="D843" s="19"/>
      <c r="E843" s="19"/>
      <c r="F843" s="19"/>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9"/>
      <c r="AE843" s="18"/>
      <c r="AF843" s="18"/>
      <c r="AG843" s="18"/>
      <c r="AH843" s="18"/>
      <c r="AI843" s="18"/>
      <c r="AJ843" s="97"/>
      <c r="AK843" s="18"/>
      <c r="AL843" s="18"/>
    </row>
    <row r="844" spans="4:38" x14ac:dyDescent="0.2">
      <c r="D844" s="19"/>
      <c r="E844" s="19"/>
      <c r="F844" s="19"/>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9"/>
      <c r="AE844" s="18"/>
      <c r="AF844" s="18"/>
      <c r="AG844" s="18"/>
      <c r="AH844" s="18"/>
      <c r="AI844" s="18"/>
      <c r="AJ844" s="97"/>
      <c r="AK844" s="18"/>
      <c r="AL844" s="18"/>
    </row>
    <row r="845" spans="4:38" x14ac:dyDescent="0.2">
      <c r="D845" s="19"/>
      <c r="E845" s="19"/>
      <c r="F845" s="19"/>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9"/>
      <c r="AE845" s="18"/>
      <c r="AF845" s="18"/>
      <c r="AG845" s="18"/>
      <c r="AH845" s="18"/>
      <c r="AI845" s="18"/>
      <c r="AJ845" s="97"/>
      <c r="AK845" s="18"/>
      <c r="AL845" s="18"/>
    </row>
    <row r="846" spans="4:38" x14ac:dyDescent="0.2">
      <c r="D846" s="19"/>
      <c r="E846" s="19"/>
      <c r="F846" s="19"/>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9"/>
      <c r="AE846" s="18"/>
      <c r="AF846" s="18"/>
      <c r="AG846" s="18"/>
      <c r="AH846" s="18"/>
      <c r="AI846" s="18"/>
      <c r="AJ846" s="97"/>
      <c r="AK846" s="18"/>
      <c r="AL846" s="18"/>
    </row>
    <row r="847" spans="4:38" x14ac:dyDescent="0.2">
      <c r="D847" s="19"/>
      <c r="E847" s="19"/>
      <c r="F847" s="19"/>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9"/>
      <c r="AE847" s="18"/>
      <c r="AF847" s="18"/>
      <c r="AG847" s="18"/>
      <c r="AH847" s="18"/>
      <c r="AI847" s="18"/>
      <c r="AJ847" s="97"/>
      <c r="AK847" s="18"/>
      <c r="AL847" s="18"/>
    </row>
    <row r="848" spans="4:38" x14ac:dyDescent="0.2">
      <c r="D848" s="19"/>
      <c r="E848" s="19"/>
      <c r="F848" s="19"/>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9"/>
      <c r="AE848" s="18"/>
      <c r="AF848" s="18"/>
      <c r="AG848" s="18"/>
      <c r="AH848" s="18"/>
      <c r="AI848" s="18"/>
      <c r="AJ848" s="97"/>
      <c r="AK848" s="18"/>
      <c r="AL848" s="18"/>
    </row>
    <row r="849" spans="4:38" x14ac:dyDescent="0.2">
      <c r="D849" s="19"/>
      <c r="E849" s="19"/>
      <c r="F849" s="19"/>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9"/>
      <c r="AE849" s="18"/>
      <c r="AF849" s="18"/>
      <c r="AG849" s="18"/>
      <c r="AH849" s="18"/>
      <c r="AI849" s="18"/>
      <c r="AJ849" s="97"/>
      <c r="AK849" s="18"/>
      <c r="AL849" s="18"/>
    </row>
    <row r="850" spans="4:38" x14ac:dyDescent="0.2">
      <c r="D850" s="19"/>
      <c r="E850" s="19"/>
      <c r="F850" s="19"/>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9"/>
      <c r="AE850" s="18"/>
      <c r="AF850" s="18"/>
      <c r="AG850" s="18"/>
      <c r="AH850" s="18"/>
      <c r="AI850" s="18"/>
      <c r="AJ850" s="97"/>
      <c r="AK850" s="18"/>
      <c r="AL850" s="18"/>
    </row>
    <row r="851" spans="4:38" x14ac:dyDescent="0.2">
      <c r="D851" s="19"/>
      <c r="E851" s="19"/>
      <c r="F851" s="19"/>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9"/>
      <c r="AE851" s="18"/>
      <c r="AF851" s="18"/>
      <c r="AG851" s="18"/>
      <c r="AH851" s="18"/>
      <c r="AI851" s="18"/>
      <c r="AJ851" s="97"/>
      <c r="AK851" s="18"/>
      <c r="AL851" s="18"/>
    </row>
    <row r="852" spans="4:38" x14ac:dyDescent="0.2">
      <c r="D852" s="19"/>
      <c r="E852" s="19"/>
      <c r="F852" s="19"/>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9"/>
      <c r="AE852" s="18"/>
      <c r="AF852" s="18"/>
      <c r="AG852" s="18"/>
      <c r="AH852" s="18"/>
      <c r="AI852" s="18"/>
      <c r="AJ852" s="97"/>
      <c r="AK852" s="18"/>
      <c r="AL852" s="18"/>
    </row>
    <row r="853" spans="4:38" x14ac:dyDescent="0.2">
      <c r="D853" s="19"/>
      <c r="E853" s="19"/>
      <c r="F853" s="19"/>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9"/>
      <c r="AE853" s="18"/>
      <c r="AF853" s="18"/>
      <c r="AG853" s="18"/>
      <c r="AH853" s="18"/>
      <c r="AI853" s="18"/>
      <c r="AJ853" s="97"/>
      <c r="AK853" s="18"/>
      <c r="AL853" s="18"/>
    </row>
    <row r="854" spans="4:38" x14ac:dyDescent="0.2">
      <c r="D854" s="19"/>
      <c r="E854" s="19"/>
      <c r="F854" s="19"/>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9"/>
      <c r="AE854" s="18"/>
      <c r="AF854" s="18"/>
      <c r="AG854" s="18"/>
      <c r="AH854" s="18"/>
      <c r="AI854" s="18"/>
      <c r="AJ854" s="97"/>
      <c r="AK854" s="18"/>
      <c r="AL854" s="18"/>
    </row>
    <row r="855" spans="4:38" x14ac:dyDescent="0.2">
      <c r="D855" s="19"/>
      <c r="E855" s="19"/>
      <c r="F855" s="19"/>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9"/>
      <c r="AE855" s="18"/>
      <c r="AF855" s="18"/>
      <c r="AG855" s="18"/>
      <c r="AH855" s="18"/>
      <c r="AI855" s="18"/>
      <c r="AJ855" s="97"/>
      <c r="AK855" s="18"/>
      <c r="AL855" s="18"/>
    </row>
    <row r="856" spans="4:38" x14ac:dyDescent="0.2">
      <c r="D856" s="19"/>
      <c r="E856" s="19"/>
      <c r="F856" s="19"/>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9"/>
      <c r="AE856" s="18"/>
      <c r="AF856" s="18"/>
      <c r="AG856" s="18"/>
      <c r="AH856" s="18"/>
      <c r="AI856" s="18"/>
      <c r="AJ856" s="97"/>
      <c r="AK856" s="18"/>
      <c r="AL856" s="18"/>
    </row>
    <row r="857" spans="4:38" x14ac:dyDescent="0.2">
      <c r="D857" s="19"/>
      <c r="E857" s="19"/>
      <c r="F857" s="19"/>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9"/>
      <c r="AE857" s="18"/>
      <c r="AF857" s="18"/>
      <c r="AG857" s="18"/>
      <c r="AH857" s="18"/>
      <c r="AI857" s="18"/>
      <c r="AJ857" s="97"/>
      <c r="AK857" s="18"/>
      <c r="AL857" s="18"/>
    </row>
    <row r="858" spans="4:38" x14ac:dyDescent="0.2">
      <c r="D858" s="19"/>
      <c r="E858" s="19"/>
      <c r="F858" s="19"/>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9"/>
      <c r="AE858" s="18"/>
      <c r="AF858" s="18"/>
      <c r="AG858" s="18"/>
      <c r="AH858" s="18"/>
      <c r="AI858" s="18"/>
      <c r="AJ858" s="97"/>
      <c r="AK858" s="18"/>
      <c r="AL858" s="18"/>
    </row>
    <row r="859" spans="4:38" x14ac:dyDescent="0.2">
      <c r="D859" s="19"/>
      <c r="E859" s="19"/>
      <c r="F859" s="19"/>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9"/>
      <c r="AE859" s="18"/>
      <c r="AF859" s="18"/>
      <c r="AG859" s="18"/>
      <c r="AH859" s="18"/>
      <c r="AI859" s="18"/>
      <c r="AJ859" s="97"/>
      <c r="AK859" s="18"/>
      <c r="AL859" s="18"/>
    </row>
    <row r="860" spans="4:38" x14ac:dyDescent="0.2">
      <c r="D860" s="19"/>
      <c r="E860" s="19"/>
      <c r="F860" s="19"/>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9"/>
      <c r="AE860" s="18"/>
      <c r="AF860" s="18"/>
      <c r="AG860" s="18"/>
      <c r="AH860" s="18"/>
      <c r="AI860" s="18"/>
      <c r="AJ860" s="97"/>
      <c r="AK860" s="18"/>
      <c r="AL860" s="18"/>
    </row>
    <row r="861" spans="4:38" x14ac:dyDescent="0.2">
      <c r="D861" s="19"/>
      <c r="E861" s="19"/>
      <c r="F861" s="19"/>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9"/>
      <c r="AE861" s="18"/>
      <c r="AF861" s="18"/>
      <c r="AG861" s="18"/>
      <c r="AH861" s="18"/>
      <c r="AI861" s="18"/>
      <c r="AJ861" s="97"/>
      <c r="AK861" s="18"/>
      <c r="AL861" s="18"/>
    </row>
    <row r="862" spans="4:38" x14ac:dyDescent="0.2">
      <c r="D862" s="19"/>
      <c r="E862" s="19"/>
      <c r="F862" s="19"/>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9"/>
      <c r="AE862" s="18"/>
      <c r="AF862" s="18"/>
      <c r="AG862" s="18"/>
      <c r="AH862" s="18"/>
      <c r="AI862" s="18"/>
      <c r="AJ862" s="97"/>
      <c r="AK862" s="18"/>
      <c r="AL862" s="18"/>
    </row>
    <row r="863" spans="4:38" x14ac:dyDescent="0.2">
      <c r="D863" s="19"/>
      <c r="E863" s="19"/>
      <c r="F863" s="19"/>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9"/>
      <c r="AE863" s="18"/>
      <c r="AF863" s="18"/>
      <c r="AG863" s="18"/>
      <c r="AH863" s="18"/>
      <c r="AI863" s="18"/>
      <c r="AJ863" s="97"/>
      <c r="AK863" s="18"/>
      <c r="AL863" s="18"/>
    </row>
    <row r="864" spans="4:38" x14ac:dyDescent="0.2">
      <c r="D864" s="19"/>
      <c r="E864" s="19"/>
      <c r="F864" s="19"/>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9"/>
      <c r="AE864" s="18"/>
      <c r="AF864" s="18"/>
      <c r="AG864" s="18"/>
      <c r="AH864" s="18"/>
      <c r="AI864" s="18"/>
      <c r="AJ864" s="97"/>
      <c r="AK864" s="18"/>
      <c r="AL864" s="18"/>
    </row>
    <row r="865" spans="4:38" x14ac:dyDescent="0.2">
      <c r="D865" s="19"/>
      <c r="E865" s="19"/>
      <c r="F865" s="19"/>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9"/>
      <c r="AE865" s="18"/>
      <c r="AF865" s="18"/>
      <c r="AG865" s="18"/>
      <c r="AH865" s="18"/>
      <c r="AI865" s="18"/>
      <c r="AJ865" s="97"/>
      <c r="AK865" s="18"/>
      <c r="AL865" s="18"/>
    </row>
    <row r="866" spans="4:38" x14ac:dyDescent="0.2">
      <c r="D866" s="19"/>
      <c r="E866" s="19"/>
      <c r="F866" s="19"/>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9"/>
      <c r="AE866" s="18"/>
      <c r="AF866" s="18"/>
      <c r="AG866" s="18"/>
      <c r="AH866" s="18"/>
      <c r="AI866" s="18"/>
      <c r="AJ866" s="97"/>
      <c r="AK866" s="18"/>
      <c r="AL866" s="18"/>
    </row>
    <row r="867" spans="4:38" x14ac:dyDescent="0.2">
      <c r="D867" s="19"/>
      <c r="E867" s="19"/>
      <c r="F867" s="19"/>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9"/>
      <c r="AE867" s="18"/>
      <c r="AF867" s="18"/>
      <c r="AG867" s="18"/>
      <c r="AH867" s="18"/>
      <c r="AI867" s="18"/>
      <c r="AJ867" s="97"/>
      <c r="AK867" s="18"/>
      <c r="AL867" s="18"/>
    </row>
    <row r="868" spans="4:38" x14ac:dyDescent="0.2">
      <c r="D868" s="19"/>
      <c r="E868" s="19"/>
      <c r="F868" s="19"/>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9"/>
      <c r="AE868" s="18"/>
      <c r="AF868" s="18"/>
      <c r="AG868" s="18"/>
      <c r="AH868" s="18"/>
      <c r="AI868" s="18"/>
      <c r="AJ868" s="97"/>
      <c r="AK868" s="18"/>
      <c r="AL868" s="18"/>
    </row>
    <row r="869" spans="4:38" x14ac:dyDescent="0.2">
      <c r="D869" s="19"/>
      <c r="E869" s="19"/>
      <c r="F869" s="19"/>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9"/>
      <c r="AE869" s="18"/>
      <c r="AF869" s="18"/>
      <c r="AG869" s="18"/>
      <c r="AH869" s="18"/>
      <c r="AI869" s="18"/>
      <c r="AJ869" s="97"/>
      <c r="AK869" s="18"/>
      <c r="AL869" s="18"/>
    </row>
    <row r="870" spans="4:38" x14ac:dyDescent="0.2">
      <c r="D870" s="19"/>
      <c r="E870" s="19"/>
      <c r="F870" s="19"/>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9"/>
      <c r="AE870" s="18"/>
      <c r="AF870" s="18"/>
      <c r="AG870" s="18"/>
      <c r="AH870" s="18"/>
      <c r="AI870" s="18"/>
      <c r="AJ870" s="97"/>
      <c r="AK870" s="18"/>
      <c r="AL870" s="18"/>
    </row>
    <row r="871" spans="4:38" x14ac:dyDescent="0.2">
      <c r="D871" s="19"/>
      <c r="E871" s="19"/>
      <c r="F871" s="19"/>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9"/>
      <c r="AE871" s="18"/>
      <c r="AF871" s="18"/>
      <c r="AG871" s="18"/>
      <c r="AH871" s="18"/>
      <c r="AI871" s="18"/>
      <c r="AJ871" s="97"/>
      <c r="AK871" s="18"/>
      <c r="AL871" s="18"/>
    </row>
    <row r="872" spans="4:38" x14ac:dyDescent="0.2">
      <c r="D872" s="19"/>
      <c r="E872" s="19"/>
      <c r="F872" s="19"/>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9"/>
      <c r="AE872" s="18"/>
      <c r="AF872" s="18"/>
      <c r="AG872" s="18"/>
      <c r="AH872" s="18"/>
      <c r="AI872" s="18"/>
      <c r="AJ872" s="97"/>
      <c r="AK872" s="18"/>
      <c r="AL872" s="18"/>
    </row>
    <row r="873" spans="4:38" x14ac:dyDescent="0.2">
      <c r="D873" s="19"/>
      <c r="E873" s="19"/>
      <c r="F873" s="19"/>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9"/>
      <c r="AE873" s="18"/>
      <c r="AF873" s="18"/>
      <c r="AG873" s="18"/>
      <c r="AH873" s="18"/>
      <c r="AI873" s="18"/>
      <c r="AJ873" s="97"/>
      <c r="AK873" s="18"/>
      <c r="AL873" s="18"/>
    </row>
    <row r="874" spans="4:38" x14ac:dyDescent="0.2">
      <c r="D874" s="19"/>
      <c r="E874" s="19"/>
      <c r="F874" s="19"/>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9"/>
      <c r="AE874" s="18"/>
      <c r="AF874" s="18"/>
      <c r="AG874" s="18"/>
      <c r="AH874" s="18"/>
      <c r="AI874" s="18"/>
      <c r="AJ874" s="97"/>
      <c r="AK874" s="18"/>
      <c r="AL874" s="18"/>
    </row>
    <row r="875" spans="4:38" x14ac:dyDescent="0.2">
      <c r="D875" s="19"/>
      <c r="E875" s="19"/>
      <c r="F875" s="19"/>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9"/>
      <c r="AE875" s="18"/>
      <c r="AF875" s="18"/>
      <c r="AG875" s="18"/>
      <c r="AH875" s="18"/>
      <c r="AI875" s="18"/>
      <c r="AJ875" s="97"/>
      <c r="AK875" s="18"/>
      <c r="AL875" s="18"/>
    </row>
    <row r="876" spans="4:38" x14ac:dyDescent="0.2">
      <c r="D876" s="19"/>
      <c r="E876" s="19"/>
      <c r="F876" s="19"/>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9"/>
      <c r="AE876" s="18"/>
      <c r="AF876" s="18"/>
      <c r="AG876" s="18"/>
      <c r="AH876" s="18"/>
      <c r="AI876" s="18"/>
      <c r="AJ876" s="97"/>
      <c r="AK876" s="18"/>
      <c r="AL876" s="18"/>
    </row>
    <row r="877" spans="4:38" x14ac:dyDescent="0.2">
      <c r="D877" s="19"/>
      <c r="E877" s="19"/>
      <c r="F877" s="19"/>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9"/>
      <c r="AE877" s="18"/>
      <c r="AF877" s="18"/>
      <c r="AG877" s="18"/>
      <c r="AH877" s="18"/>
      <c r="AI877" s="18"/>
      <c r="AJ877" s="97"/>
      <c r="AK877" s="18"/>
      <c r="AL877" s="18"/>
    </row>
    <row r="878" spans="4:38" x14ac:dyDescent="0.2">
      <c r="D878" s="19"/>
      <c r="E878" s="19"/>
      <c r="F878" s="19"/>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9"/>
      <c r="AE878" s="18"/>
      <c r="AF878" s="18"/>
      <c r="AG878" s="18"/>
      <c r="AH878" s="18"/>
      <c r="AI878" s="18"/>
      <c r="AJ878" s="97"/>
      <c r="AK878" s="18"/>
      <c r="AL878" s="18"/>
    </row>
    <row r="879" spans="4:38" x14ac:dyDescent="0.2">
      <c r="D879" s="19"/>
      <c r="E879" s="19"/>
      <c r="F879" s="19"/>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9"/>
      <c r="AE879" s="18"/>
      <c r="AF879" s="18"/>
      <c r="AG879" s="18"/>
      <c r="AH879" s="18"/>
      <c r="AI879" s="18"/>
      <c r="AJ879" s="97"/>
      <c r="AK879" s="18"/>
      <c r="AL879" s="18"/>
    </row>
    <row r="880" spans="4:38" x14ac:dyDescent="0.2">
      <c r="D880" s="19"/>
      <c r="E880" s="19"/>
      <c r="F880" s="19"/>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9"/>
      <c r="AE880" s="18"/>
      <c r="AF880" s="18"/>
      <c r="AG880" s="18"/>
      <c r="AH880" s="18"/>
      <c r="AI880" s="18"/>
      <c r="AJ880" s="97"/>
      <c r="AK880" s="18"/>
      <c r="AL880" s="18"/>
    </row>
    <row r="881" spans="4:38" x14ac:dyDescent="0.2">
      <c r="D881" s="19"/>
      <c r="E881" s="19"/>
      <c r="F881" s="19"/>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9"/>
      <c r="AE881" s="18"/>
      <c r="AF881" s="18"/>
      <c r="AG881" s="18"/>
      <c r="AH881" s="18"/>
      <c r="AI881" s="18"/>
      <c r="AJ881" s="97"/>
      <c r="AK881" s="18"/>
      <c r="AL881" s="18"/>
    </row>
    <row r="882" spans="4:38" x14ac:dyDescent="0.2">
      <c r="D882" s="19"/>
      <c r="E882" s="19"/>
      <c r="F882" s="19"/>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9"/>
      <c r="AE882" s="18"/>
      <c r="AF882" s="18"/>
      <c r="AG882" s="18"/>
      <c r="AH882" s="18"/>
      <c r="AI882" s="18"/>
      <c r="AJ882" s="97"/>
      <c r="AK882" s="18"/>
      <c r="AL882" s="18"/>
    </row>
    <row r="883" spans="4:38" x14ac:dyDescent="0.2">
      <c r="D883" s="19"/>
      <c r="E883" s="19"/>
      <c r="F883" s="19"/>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9"/>
      <c r="AE883" s="18"/>
      <c r="AF883" s="18"/>
      <c r="AG883" s="18"/>
      <c r="AH883" s="18"/>
      <c r="AI883" s="18"/>
      <c r="AJ883" s="97"/>
      <c r="AK883" s="18"/>
      <c r="AL883" s="18"/>
    </row>
    <row r="884" spans="4:38" x14ac:dyDescent="0.2">
      <c r="D884" s="19"/>
      <c r="E884" s="19"/>
      <c r="F884" s="19"/>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9"/>
      <c r="AE884" s="18"/>
      <c r="AF884" s="18"/>
      <c r="AG884" s="18"/>
      <c r="AH884" s="18"/>
      <c r="AI884" s="18"/>
      <c r="AJ884" s="97"/>
      <c r="AK884" s="18"/>
      <c r="AL884" s="18"/>
    </row>
    <row r="885" spans="4:38" x14ac:dyDescent="0.2">
      <c r="D885" s="19"/>
      <c r="E885" s="19"/>
      <c r="F885" s="19"/>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9"/>
      <c r="AE885" s="18"/>
      <c r="AF885" s="18"/>
      <c r="AG885" s="18"/>
      <c r="AH885" s="18"/>
      <c r="AI885" s="18"/>
      <c r="AJ885" s="97"/>
      <c r="AK885" s="18"/>
      <c r="AL885" s="18"/>
    </row>
    <row r="886" spans="4:38" x14ac:dyDescent="0.2">
      <c r="D886" s="19"/>
      <c r="E886" s="19"/>
      <c r="F886" s="19"/>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9"/>
      <c r="AE886" s="18"/>
      <c r="AF886" s="18"/>
      <c r="AG886" s="18"/>
      <c r="AH886" s="18"/>
      <c r="AI886" s="18"/>
      <c r="AJ886" s="97"/>
      <c r="AK886" s="18"/>
      <c r="AL886" s="18"/>
    </row>
    <row r="887" spans="4:38" x14ac:dyDescent="0.2">
      <c r="D887" s="19"/>
      <c r="E887" s="19"/>
      <c r="F887" s="19"/>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9"/>
      <c r="AE887" s="18"/>
      <c r="AF887" s="18"/>
      <c r="AG887" s="18"/>
      <c r="AH887" s="18"/>
      <c r="AI887" s="18"/>
      <c r="AJ887" s="97"/>
      <c r="AK887" s="18"/>
      <c r="AL887" s="18"/>
    </row>
    <row r="888" spans="4:38" x14ac:dyDescent="0.2">
      <c r="D888" s="19"/>
      <c r="E888" s="19"/>
      <c r="F888" s="19"/>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9"/>
      <c r="AE888" s="18"/>
      <c r="AF888" s="18"/>
      <c r="AG888" s="18"/>
      <c r="AH888" s="18"/>
      <c r="AI888" s="18"/>
      <c r="AJ888" s="97"/>
      <c r="AK888" s="18"/>
      <c r="AL888" s="18"/>
    </row>
    <row r="889" spans="4:38" x14ac:dyDescent="0.2">
      <c r="D889" s="19"/>
      <c r="E889" s="19"/>
      <c r="F889" s="19"/>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9"/>
      <c r="AE889" s="18"/>
      <c r="AF889" s="18"/>
      <c r="AG889" s="18"/>
      <c r="AH889" s="18"/>
      <c r="AI889" s="18"/>
      <c r="AJ889" s="97"/>
      <c r="AK889" s="18"/>
      <c r="AL889" s="18"/>
    </row>
    <row r="890" spans="4:38" x14ac:dyDescent="0.2">
      <c r="D890" s="19"/>
      <c r="E890" s="19"/>
      <c r="F890" s="19"/>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9"/>
      <c r="AE890" s="18"/>
      <c r="AF890" s="18"/>
      <c r="AG890" s="18"/>
      <c r="AH890" s="18"/>
      <c r="AI890" s="18"/>
      <c r="AJ890" s="97"/>
      <c r="AK890" s="18"/>
      <c r="AL890" s="18"/>
    </row>
    <row r="891" spans="4:38" x14ac:dyDescent="0.2">
      <c r="D891" s="19"/>
      <c r="E891" s="19"/>
      <c r="F891" s="19"/>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9"/>
      <c r="AE891" s="18"/>
      <c r="AF891" s="18"/>
      <c r="AG891" s="18"/>
      <c r="AH891" s="18"/>
      <c r="AI891" s="18"/>
      <c r="AJ891" s="97"/>
      <c r="AK891" s="18"/>
      <c r="AL891" s="18"/>
    </row>
    <row r="892" spans="4:38" x14ac:dyDescent="0.2">
      <c r="D892" s="19"/>
      <c r="E892" s="19"/>
      <c r="F892" s="19"/>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9"/>
      <c r="AE892" s="18"/>
      <c r="AF892" s="18"/>
      <c r="AG892" s="18"/>
      <c r="AH892" s="18"/>
      <c r="AI892" s="18"/>
      <c r="AJ892" s="97"/>
      <c r="AK892" s="18"/>
      <c r="AL892" s="18"/>
    </row>
    <row r="893" spans="4:38" x14ac:dyDescent="0.2">
      <c r="D893" s="19"/>
      <c r="E893" s="19"/>
      <c r="F893" s="19"/>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9"/>
      <c r="AE893" s="18"/>
      <c r="AF893" s="18"/>
      <c r="AG893" s="18"/>
      <c r="AH893" s="18"/>
      <c r="AI893" s="18"/>
      <c r="AJ893" s="97"/>
      <c r="AK893" s="18"/>
      <c r="AL893" s="18"/>
    </row>
    <row r="894" spans="4:38" x14ac:dyDescent="0.2">
      <c r="D894" s="19"/>
      <c r="E894" s="19"/>
      <c r="F894" s="19"/>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9"/>
      <c r="AE894" s="18"/>
      <c r="AF894" s="18"/>
      <c r="AG894" s="18"/>
      <c r="AH894" s="18"/>
      <c r="AI894" s="18"/>
      <c r="AJ894" s="97"/>
      <c r="AK894" s="18"/>
      <c r="AL894" s="18"/>
    </row>
    <row r="895" spans="4:38" x14ac:dyDescent="0.2">
      <c r="D895" s="19"/>
      <c r="E895" s="19"/>
      <c r="F895" s="19"/>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9"/>
      <c r="AE895" s="18"/>
      <c r="AF895" s="18"/>
      <c r="AG895" s="18"/>
      <c r="AH895" s="18"/>
      <c r="AI895" s="18"/>
      <c r="AJ895" s="97"/>
      <c r="AK895" s="18"/>
      <c r="AL895" s="18"/>
    </row>
    <row r="896" spans="4:38" x14ac:dyDescent="0.2">
      <c r="D896" s="19"/>
      <c r="E896" s="19"/>
      <c r="F896" s="19"/>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9"/>
      <c r="AE896" s="18"/>
      <c r="AF896" s="18"/>
      <c r="AG896" s="18"/>
      <c r="AH896" s="18"/>
      <c r="AI896" s="18"/>
      <c r="AJ896" s="97"/>
      <c r="AK896" s="18"/>
      <c r="AL896" s="18"/>
    </row>
    <row r="897" spans="4:38" x14ac:dyDescent="0.2">
      <c r="D897" s="19"/>
      <c r="E897" s="19"/>
      <c r="F897" s="19"/>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9"/>
      <c r="AE897" s="18"/>
      <c r="AF897" s="18"/>
      <c r="AG897" s="18"/>
      <c r="AH897" s="18"/>
      <c r="AI897" s="18"/>
      <c r="AJ897" s="97"/>
      <c r="AK897" s="18"/>
      <c r="AL897" s="18"/>
    </row>
    <row r="898" spans="4:38" x14ac:dyDescent="0.2">
      <c r="D898" s="19"/>
      <c r="E898" s="19"/>
      <c r="F898" s="19"/>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9"/>
      <c r="AE898" s="18"/>
      <c r="AF898" s="18"/>
      <c r="AG898" s="18"/>
      <c r="AH898" s="18"/>
      <c r="AI898" s="18"/>
      <c r="AJ898" s="97"/>
      <c r="AK898" s="18"/>
      <c r="AL898" s="18"/>
    </row>
    <row r="899" spans="4:38" x14ac:dyDescent="0.2">
      <c r="D899" s="19"/>
      <c r="E899" s="19"/>
      <c r="F899" s="19"/>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9"/>
      <c r="AE899" s="18"/>
      <c r="AF899" s="18"/>
      <c r="AG899" s="18"/>
      <c r="AH899" s="18"/>
      <c r="AI899" s="18"/>
      <c r="AJ899" s="97"/>
      <c r="AK899" s="18"/>
      <c r="AL899" s="18"/>
    </row>
    <row r="900" spans="4:38" x14ac:dyDescent="0.2">
      <c r="D900" s="19"/>
      <c r="E900" s="19"/>
      <c r="F900" s="19"/>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9"/>
      <c r="AE900" s="18"/>
      <c r="AF900" s="18"/>
      <c r="AG900" s="18"/>
      <c r="AH900" s="18"/>
      <c r="AI900" s="18"/>
      <c r="AJ900" s="97"/>
      <c r="AK900" s="18"/>
      <c r="AL900" s="18"/>
    </row>
    <row r="901" spans="4:38" x14ac:dyDescent="0.2">
      <c r="D901" s="19"/>
      <c r="E901" s="19"/>
      <c r="F901" s="19"/>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9"/>
      <c r="AE901" s="18"/>
      <c r="AF901" s="18"/>
      <c r="AG901" s="18"/>
      <c r="AH901" s="18"/>
      <c r="AI901" s="18"/>
      <c r="AJ901" s="97"/>
      <c r="AK901" s="18"/>
      <c r="AL901" s="18"/>
    </row>
    <row r="902" spans="4:38" x14ac:dyDescent="0.2">
      <c r="D902" s="19"/>
      <c r="E902" s="19"/>
      <c r="F902" s="19"/>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9"/>
      <c r="AE902" s="18"/>
      <c r="AF902" s="18"/>
      <c r="AG902" s="18"/>
      <c r="AH902" s="18"/>
      <c r="AI902" s="18"/>
      <c r="AJ902" s="97"/>
      <c r="AK902" s="18"/>
      <c r="AL902" s="18"/>
    </row>
    <row r="903" spans="4:38" x14ac:dyDescent="0.2">
      <c r="D903" s="19"/>
      <c r="E903" s="19"/>
      <c r="F903" s="19"/>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9"/>
      <c r="AE903" s="18"/>
      <c r="AF903" s="18"/>
      <c r="AG903" s="18"/>
      <c r="AH903" s="18"/>
      <c r="AI903" s="18"/>
      <c r="AJ903" s="97"/>
      <c r="AK903" s="18"/>
      <c r="AL903" s="18"/>
    </row>
    <row r="904" spans="4:38" x14ac:dyDescent="0.2">
      <c r="D904" s="19"/>
      <c r="E904" s="19"/>
      <c r="F904" s="19"/>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9"/>
      <c r="AE904" s="18"/>
      <c r="AF904" s="18"/>
      <c r="AG904" s="18"/>
      <c r="AH904" s="18"/>
      <c r="AI904" s="18"/>
      <c r="AJ904" s="97"/>
      <c r="AK904" s="18"/>
      <c r="AL904" s="18"/>
    </row>
    <row r="905" spans="4:38" x14ac:dyDescent="0.2">
      <c r="D905" s="19"/>
      <c r="E905" s="19"/>
      <c r="F905" s="19"/>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9"/>
      <c r="AE905" s="18"/>
      <c r="AF905" s="18"/>
      <c r="AG905" s="18"/>
      <c r="AH905" s="18"/>
      <c r="AI905" s="18"/>
      <c r="AJ905" s="97"/>
      <c r="AK905" s="18"/>
      <c r="AL905" s="18"/>
    </row>
    <row r="906" spans="4:38" x14ac:dyDescent="0.2">
      <c r="D906" s="19"/>
      <c r="E906" s="19"/>
      <c r="F906" s="19"/>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9"/>
      <c r="AE906" s="18"/>
      <c r="AF906" s="18"/>
      <c r="AG906" s="18"/>
      <c r="AH906" s="18"/>
      <c r="AI906" s="18"/>
      <c r="AJ906" s="97"/>
      <c r="AK906" s="18"/>
      <c r="AL906" s="18"/>
    </row>
    <row r="907" spans="4:38" x14ac:dyDescent="0.2">
      <c r="D907" s="19"/>
      <c r="E907" s="19"/>
      <c r="F907" s="19"/>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9"/>
      <c r="AE907" s="18"/>
      <c r="AF907" s="18"/>
      <c r="AG907" s="18"/>
      <c r="AH907" s="18"/>
      <c r="AI907" s="18"/>
      <c r="AJ907" s="97"/>
      <c r="AK907" s="18"/>
      <c r="AL907" s="18"/>
    </row>
    <row r="908" spans="4:38" x14ac:dyDescent="0.2">
      <c r="D908" s="19"/>
      <c r="E908" s="19"/>
      <c r="F908" s="19"/>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9"/>
      <c r="AE908" s="18"/>
      <c r="AF908" s="18"/>
      <c r="AG908" s="18"/>
      <c r="AH908" s="18"/>
      <c r="AI908" s="18"/>
      <c r="AJ908" s="97"/>
      <c r="AK908" s="18"/>
      <c r="AL908" s="18"/>
    </row>
    <row r="909" spans="4:38" x14ac:dyDescent="0.2">
      <c r="D909" s="19"/>
      <c r="E909" s="19"/>
      <c r="F909" s="19"/>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9"/>
      <c r="AE909" s="18"/>
      <c r="AF909" s="18"/>
      <c r="AG909" s="18"/>
      <c r="AH909" s="18"/>
      <c r="AI909" s="18"/>
      <c r="AJ909" s="97"/>
      <c r="AK909" s="18"/>
      <c r="AL909" s="18"/>
    </row>
    <row r="910" spans="4:38" x14ac:dyDescent="0.2">
      <c r="D910" s="19"/>
      <c r="E910" s="19"/>
      <c r="F910" s="19"/>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9"/>
      <c r="AE910" s="18"/>
      <c r="AF910" s="18"/>
      <c r="AG910" s="18"/>
      <c r="AH910" s="18"/>
      <c r="AI910" s="18"/>
      <c r="AJ910" s="97"/>
      <c r="AK910" s="18"/>
      <c r="AL910" s="18"/>
    </row>
    <row r="911" spans="4:38" x14ac:dyDescent="0.2">
      <c r="D911" s="19"/>
      <c r="E911" s="19"/>
      <c r="F911" s="19"/>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9"/>
      <c r="AE911" s="18"/>
      <c r="AF911" s="18"/>
      <c r="AG911" s="18"/>
      <c r="AH911" s="18"/>
      <c r="AI911" s="18"/>
      <c r="AJ911" s="97"/>
      <c r="AK911" s="18"/>
      <c r="AL911" s="18"/>
    </row>
    <row r="912" spans="4:38" x14ac:dyDescent="0.2">
      <c r="D912" s="19"/>
      <c r="E912" s="19"/>
      <c r="F912" s="19"/>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9"/>
      <c r="AE912" s="18"/>
      <c r="AF912" s="18"/>
      <c r="AG912" s="18"/>
      <c r="AH912" s="18"/>
      <c r="AI912" s="18"/>
      <c r="AJ912" s="97"/>
      <c r="AK912" s="18"/>
      <c r="AL912" s="18"/>
    </row>
    <row r="913" spans="4:38" x14ac:dyDescent="0.2">
      <c r="D913" s="19"/>
      <c r="E913" s="19"/>
      <c r="F913" s="19"/>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9"/>
      <c r="AE913" s="18"/>
      <c r="AF913" s="18"/>
      <c r="AG913" s="18"/>
      <c r="AH913" s="18"/>
      <c r="AI913" s="18"/>
      <c r="AJ913" s="97"/>
      <c r="AK913" s="18"/>
      <c r="AL913" s="18"/>
    </row>
    <row r="914" spans="4:38" x14ac:dyDescent="0.2">
      <c r="D914" s="19"/>
      <c r="E914" s="19"/>
      <c r="F914" s="19"/>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9"/>
      <c r="AE914" s="18"/>
      <c r="AF914" s="18"/>
      <c r="AG914" s="18"/>
      <c r="AH914" s="18"/>
      <c r="AI914" s="18"/>
      <c r="AJ914" s="97"/>
      <c r="AK914" s="18"/>
      <c r="AL914" s="18"/>
    </row>
    <row r="915" spans="4:38" x14ac:dyDescent="0.2">
      <c r="D915" s="19"/>
      <c r="E915" s="19"/>
      <c r="F915" s="19"/>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9"/>
      <c r="AE915" s="18"/>
      <c r="AF915" s="18"/>
      <c r="AG915" s="18"/>
      <c r="AH915" s="18"/>
      <c r="AI915" s="18"/>
      <c r="AJ915" s="97"/>
      <c r="AK915" s="18"/>
      <c r="AL915" s="18"/>
    </row>
    <row r="916" spans="4:38" x14ac:dyDescent="0.2">
      <c r="D916" s="19"/>
      <c r="E916" s="19"/>
      <c r="F916" s="19"/>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9"/>
      <c r="AE916" s="18"/>
      <c r="AF916" s="18"/>
      <c r="AG916" s="18"/>
      <c r="AH916" s="18"/>
      <c r="AI916" s="18"/>
      <c r="AJ916" s="97"/>
      <c r="AK916" s="18"/>
      <c r="AL916" s="18"/>
    </row>
    <row r="917" spans="4:38" x14ac:dyDescent="0.2">
      <c r="D917" s="19"/>
      <c r="E917" s="19"/>
      <c r="F917" s="19"/>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9"/>
      <c r="AE917" s="18"/>
      <c r="AF917" s="18"/>
      <c r="AG917" s="18"/>
      <c r="AH917" s="18"/>
      <c r="AI917" s="18"/>
      <c r="AJ917" s="97"/>
      <c r="AK917" s="18"/>
      <c r="AL917" s="18"/>
    </row>
    <row r="918" spans="4:38" x14ac:dyDescent="0.2">
      <c r="D918" s="19"/>
      <c r="E918" s="19"/>
      <c r="F918" s="19"/>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9"/>
      <c r="AE918" s="18"/>
      <c r="AF918" s="18"/>
      <c r="AG918" s="18"/>
      <c r="AH918" s="18"/>
      <c r="AI918" s="18"/>
      <c r="AJ918" s="97"/>
      <c r="AK918" s="18"/>
      <c r="AL918" s="18"/>
    </row>
    <row r="919" spans="4:38" x14ac:dyDescent="0.2">
      <c r="D919" s="19"/>
      <c r="E919" s="19"/>
      <c r="F919" s="19"/>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9"/>
      <c r="AE919" s="18"/>
      <c r="AF919" s="18"/>
      <c r="AG919" s="18"/>
      <c r="AH919" s="18"/>
      <c r="AI919" s="18"/>
      <c r="AJ919" s="97"/>
      <c r="AK919" s="18"/>
      <c r="AL919" s="18"/>
    </row>
    <row r="920" spans="4:38" x14ac:dyDescent="0.2">
      <c r="D920" s="19"/>
      <c r="E920" s="19"/>
      <c r="F920" s="19"/>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9"/>
      <c r="AE920" s="18"/>
      <c r="AF920" s="18"/>
      <c r="AG920" s="18"/>
      <c r="AH920" s="18"/>
      <c r="AI920" s="18"/>
      <c r="AJ920" s="97"/>
      <c r="AK920" s="18"/>
      <c r="AL920" s="18"/>
    </row>
    <row r="921" spans="4:38" x14ac:dyDescent="0.2">
      <c r="D921" s="19"/>
      <c r="E921" s="19"/>
      <c r="F921" s="19"/>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9"/>
      <c r="AE921" s="18"/>
      <c r="AF921" s="18"/>
      <c r="AG921" s="18"/>
      <c r="AH921" s="18"/>
      <c r="AI921" s="18"/>
      <c r="AJ921" s="97"/>
      <c r="AK921" s="18"/>
      <c r="AL921" s="18"/>
    </row>
    <row r="922" spans="4:38" x14ac:dyDescent="0.2">
      <c r="D922" s="19"/>
      <c r="E922" s="19"/>
      <c r="F922" s="19"/>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9"/>
      <c r="AE922" s="18"/>
      <c r="AF922" s="18"/>
      <c r="AG922" s="18"/>
      <c r="AH922" s="18"/>
      <c r="AI922" s="18"/>
      <c r="AJ922" s="97"/>
      <c r="AK922" s="18"/>
      <c r="AL922" s="18"/>
    </row>
    <row r="923" spans="4:38" x14ac:dyDescent="0.2">
      <c r="D923" s="19"/>
      <c r="E923" s="19"/>
      <c r="F923" s="19"/>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9"/>
      <c r="AE923" s="18"/>
      <c r="AF923" s="18"/>
      <c r="AG923" s="18"/>
      <c r="AH923" s="18"/>
      <c r="AI923" s="18"/>
      <c r="AJ923" s="97"/>
      <c r="AK923" s="18"/>
      <c r="AL923" s="18"/>
    </row>
    <row r="924" spans="4:38" x14ac:dyDescent="0.2">
      <c r="D924" s="19"/>
      <c r="E924" s="19"/>
      <c r="F924" s="19"/>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9"/>
      <c r="AE924" s="18"/>
      <c r="AF924" s="18"/>
      <c r="AG924" s="18"/>
      <c r="AH924" s="18"/>
      <c r="AI924" s="18"/>
      <c r="AJ924" s="97"/>
      <c r="AK924" s="18"/>
      <c r="AL924" s="18"/>
    </row>
    <row r="925" spans="4:38" x14ac:dyDescent="0.2">
      <c r="D925" s="19"/>
      <c r="E925" s="19"/>
      <c r="F925" s="19"/>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9"/>
      <c r="AE925" s="18"/>
      <c r="AF925" s="18"/>
      <c r="AG925" s="18"/>
      <c r="AH925" s="18"/>
      <c r="AI925" s="18"/>
      <c r="AJ925" s="97"/>
      <c r="AK925" s="18"/>
      <c r="AL925" s="18"/>
    </row>
    <row r="926" spans="4:38" x14ac:dyDescent="0.2">
      <c r="D926" s="19"/>
      <c r="E926" s="19"/>
      <c r="F926" s="19"/>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9"/>
      <c r="AE926" s="18"/>
      <c r="AF926" s="18"/>
      <c r="AG926" s="18"/>
      <c r="AH926" s="18"/>
      <c r="AI926" s="18"/>
      <c r="AJ926" s="97"/>
      <c r="AK926" s="18"/>
      <c r="AL926" s="18"/>
    </row>
    <row r="927" spans="4:38" x14ac:dyDescent="0.2">
      <c r="D927" s="19"/>
      <c r="E927" s="19"/>
      <c r="F927" s="19"/>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9"/>
      <c r="AE927" s="18"/>
      <c r="AF927" s="18"/>
      <c r="AG927" s="18"/>
      <c r="AH927" s="18"/>
      <c r="AI927" s="18"/>
      <c r="AJ927" s="97"/>
      <c r="AK927" s="18"/>
      <c r="AL927" s="18"/>
    </row>
    <row r="928" spans="4:38" x14ac:dyDescent="0.2">
      <c r="D928" s="19"/>
      <c r="E928" s="19"/>
      <c r="F928" s="19"/>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9"/>
      <c r="AE928" s="18"/>
      <c r="AF928" s="18"/>
      <c r="AG928" s="18"/>
      <c r="AH928" s="18"/>
      <c r="AI928" s="18"/>
      <c r="AJ928" s="97"/>
      <c r="AK928" s="18"/>
      <c r="AL928" s="18"/>
    </row>
    <row r="929" spans="4:38" x14ac:dyDescent="0.2">
      <c r="D929" s="19"/>
      <c r="E929" s="19"/>
      <c r="F929" s="19"/>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9"/>
      <c r="AE929" s="18"/>
      <c r="AF929" s="18"/>
      <c r="AG929" s="18"/>
      <c r="AH929" s="18"/>
      <c r="AI929" s="18"/>
      <c r="AJ929" s="97"/>
      <c r="AK929" s="18"/>
      <c r="AL929" s="18"/>
    </row>
    <row r="930" spans="4:38" x14ac:dyDescent="0.2">
      <c r="D930" s="19"/>
      <c r="E930" s="19"/>
      <c r="F930" s="19"/>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9"/>
      <c r="AE930" s="18"/>
      <c r="AF930" s="18"/>
      <c r="AG930" s="18"/>
      <c r="AH930" s="18"/>
      <c r="AI930" s="18"/>
      <c r="AJ930" s="97"/>
      <c r="AK930" s="18"/>
      <c r="AL930" s="18"/>
    </row>
    <row r="931" spans="4:38" x14ac:dyDescent="0.2">
      <c r="D931" s="19"/>
      <c r="E931" s="19"/>
      <c r="F931" s="19"/>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9"/>
      <c r="AE931" s="18"/>
      <c r="AF931" s="18"/>
      <c r="AG931" s="18"/>
      <c r="AH931" s="18"/>
      <c r="AI931" s="18"/>
      <c r="AJ931" s="97"/>
      <c r="AK931" s="18"/>
      <c r="AL931" s="18"/>
    </row>
    <row r="932" spans="4:38" x14ac:dyDescent="0.2">
      <c r="D932" s="19"/>
      <c r="E932" s="19"/>
      <c r="F932" s="19"/>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9"/>
      <c r="AE932" s="18"/>
      <c r="AF932" s="18"/>
      <c r="AG932" s="18"/>
      <c r="AH932" s="18"/>
      <c r="AI932" s="18"/>
      <c r="AJ932" s="97"/>
      <c r="AK932" s="18"/>
      <c r="AL932" s="18"/>
    </row>
    <row r="933" spans="4:38" x14ac:dyDescent="0.2">
      <c r="D933" s="19"/>
      <c r="E933" s="19"/>
      <c r="F933" s="19"/>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9"/>
      <c r="AE933" s="18"/>
      <c r="AF933" s="18"/>
      <c r="AG933" s="18"/>
      <c r="AH933" s="18"/>
      <c r="AI933" s="18"/>
      <c r="AJ933" s="97"/>
      <c r="AK933" s="18"/>
      <c r="AL933" s="18"/>
    </row>
    <row r="934" spans="4:38" x14ac:dyDescent="0.2">
      <c r="D934" s="19"/>
      <c r="E934" s="19"/>
      <c r="F934" s="19"/>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9"/>
      <c r="AE934" s="18"/>
      <c r="AF934" s="18"/>
      <c r="AG934" s="18"/>
      <c r="AH934" s="18"/>
      <c r="AI934" s="18"/>
      <c r="AJ934" s="97"/>
      <c r="AK934" s="18"/>
      <c r="AL934" s="18"/>
    </row>
    <row r="935" spans="4:38" x14ac:dyDescent="0.2">
      <c r="D935" s="19"/>
      <c r="E935" s="19"/>
      <c r="F935" s="19"/>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9"/>
      <c r="AE935" s="18"/>
      <c r="AF935" s="18"/>
      <c r="AG935" s="18"/>
      <c r="AH935" s="18"/>
      <c r="AI935" s="18"/>
      <c r="AJ935" s="97"/>
      <c r="AK935" s="18"/>
      <c r="AL935" s="18"/>
    </row>
    <row r="936" spans="4:38" x14ac:dyDescent="0.2">
      <c r="D936" s="19"/>
      <c r="E936" s="19"/>
      <c r="F936" s="19"/>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9"/>
      <c r="AE936" s="18"/>
      <c r="AF936" s="18"/>
      <c r="AG936" s="18"/>
      <c r="AH936" s="18"/>
      <c r="AI936" s="18"/>
      <c r="AJ936" s="97"/>
      <c r="AK936" s="18"/>
      <c r="AL936" s="18"/>
    </row>
    <row r="937" spans="4:38" x14ac:dyDescent="0.2">
      <c r="D937" s="19"/>
      <c r="E937" s="19"/>
      <c r="F937" s="19"/>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9"/>
      <c r="AE937" s="18"/>
      <c r="AF937" s="18"/>
      <c r="AG937" s="18"/>
      <c r="AH937" s="18"/>
      <c r="AI937" s="18"/>
      <c r="AJ937" s="97"/>
      <c r="AK937" s="18"/>
      <c r="AL937" s="18"/>
    </row>
    <row r="938" spans="4:38" x14ac:dyDescent="0.2">
      <c r="D938" s="19"/>
      <c r="E938" s="19"/>
      <c r="F938" s="19"/>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9"/>
      <c r="AE938" s="18"/>
      <c r="AF938" s="18"/>
      <c r="AG938" s="18"/>
      <c r="AH938" s="18"/>
      <c r="AI938" s="18"/>
      <c r="AJ938" s="97"/>
      <c r="AK938" s="18"/>
      <c r="AL938" s="18"/>
    </row>
    <row r="939" spans="4:38" x14ac:dyDescent="0.2">
      <c r="D939" s="19"/>
      <c r="E939" s="19"/>
      <c r="F939" s="19"/>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9"/>
      <c r="AE939" s="18"/>
      <c r="AF939" s="18"/>
      <c r="AG939" s="18"/>
      <c r="AH939" s="18"/>
      <c r="AI939" s="18"/>
      <c r="AJ939" s="97"/>
      <c r="AK939" s="18"/>
      <c r="AL939" s="18"/>
    </row>
    <row r="940" spans="4:38" x14ac:dyDescent="0.2">
      <c r="D940" s="19"/>
      <c r="E940" s="19"/>
      <c r="F940" s="19"/>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9"/>
      <c r="AE940" s="18"/>
      <c r="AF940" s="18"/>
      <c r="AG940" s="18"/>
      <c r="AH940" s="18"/>
      <c r="AI940" s="18"/>
      <c r="AJ940" s="97"/>
      <c r="AK940" s="18"/>
      <c r="AL940" s="18"/>
    </row>
    <row r="941" spans="4:38" x14ac:dyDescent="0.2">
      <c r="D941" s="19"/>
      <c r="E941" s="19"/>
      <c r="F941" s="19"/>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9"/>
      <c r="AE941" s="18"/>
      <c r="AF941" s="18"/>
      <c r="AG941" s="18"/>
      <c r="AH941" s="18"/>
      <c r="AI941" s="18"/>
      <c r="AJ941" s="97"/>
      <c r="AK941" s="18"/>
      <c r="AL941" s="18"/>
    </row>
    <row r="942" spans="4:38" x14ac:dyDescent="0.2">
      <c r="D942" s="19"/>
      <c r="E942" s="19"/>
      <c r="F942" s="19"/>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9"/>
      <c r="AE942" s="18"/>
      <c r="AF942" s="18"/>
      <c r="AG942" s="18"/>
      <c r="AH942" s="18"/>
      <c r="AI942" s="18"/>
      <c r="AJ942" s="97"/>
      <c r="AK942" s="18"/>
      <c r="AL942" s="18"/>
    </row>
    <row r="943" spans="4:38" x14ac:dyDescent="0.2">
      <c r="D943" s="19"/>
      <c r="E943" s="19"/>
      <c r="F943" s="19"/>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9"/>
      <c r="AE943" s="18"/>
      <c r="AF943" s="18"/>
      <c r="AG943" s="18"/>
      <c r="AH943" s="18"/>
      <c r="AI943" s="18"/>
      <c r="AJ943" s="97"/>
      <c r="AK943" s="18"/>
      <c r="AL943" s="18"/>
    </row>
    <row r="944" spans="4:38" x14ac:dyDescent="0.2">
      <c r="D944" s="19"/>
      <c r="E944" s="19"/>
      <c r="F944" s="19"/>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9"/>
      <c r="AE944" s="18"/>
      <c r="AF944" s="18"/>
      <c r="AG944" s="18"/>
      <c r="AH944" s="18"/>
      <c r="AI944" s="18"/>
      <c r="AJ944" s="97"/>
      <c r="AK944" s="18"/>
      <c r="AL944" s="18"/>
    </row>
    <row r="945" spans="4:38" x14ac:dyDescent="0.2">
      <c r="D945" s="19"/>
      <c r="E945" s="19"/>
      <c r="F945" s="19"/>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9"/>
      <c r="AE945" s="18"/>
      <c r="AF945" s="18"/>
      <c r="AG945" s="18"/>
      <c r="AH945" s="18"/>
      <c r="AI945" s="18"/>
      <c r="AJ945" s="97"/>
      <c r="AK945" s="18"/>
      <c r="AL945" s="18"/>
    </row>
    <row r="946" spans="4:38" x14ac:dyDescent="0.2">
      <c r="D946" s="19"/>
      <c r="E946" s="19"/>
      <c r="F946" s="19"/>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9"/>
      <c r="AE946" s="18"/>
      <c r="AF946" s="18"/>
      <c r="AG946" s="18"/>
      <c r="AH946" s="18"/>
      <c r="AI946" s="18"/>
      <c r="AJ946" s="97"/>
      <c r="AK946" s="18"/>
      <c r="AL946" s="18"/>
    </row>
    <row r="947" spans="4:38" x14ac:dyDescent="0.2">
      <c r="D947" s="19"/>
      <c r="E947" s="19"/>
      <c r="F947" s="19"/>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9"/>
      <c r="AE947" s="18"/>
      <c r="AF947" s="18"/>
      <c r="AG947" s="18"/>
      <c r="AH947" s="18"/>
      <c r="AI947" s="18"/>
      <c r="AJ947" s="97"/>
      <c r="AK947" s="18"/>
      <c r="AL947" s="18"/>
    </row>
    <row r="948" spans="4:38" x14ac:dyDescent="0.2">
      <c r="D948" s="19"/>
      <c r="E948" s="19"/>
      <c r="F948" s="19"/>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9"/>
      <c r="AE948" s="18"/>
      <c r="AF948" s="18"/>
      <c r="AG948" s="18"/>
      <c r="AH948" s="18"/>
      <c r="AI948" s="18"/>
      <c r="AJ948" s="97"/>
      <c r="AK948" s="18"/>
      <c r="AL948" s="18"/>
    </row>
    <row r="949" spans="4:38" x14ac:dyDescent="0.2">
      <c r="D949" s="19"/>
      <c r="E949" s="19"/>
      <c r="F949" s="19"/>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9"/>
      <c r="AE949" s="18"/>
      <c r="AF949" s="18"/>
      <c r="AG949" s="18"/>
      <c r="AH949" s="18"/>
      <c r="AI949" s="18"/>
      <c r="AJ949" s="97"/>
      <c r="AK949" s="18"/>
      <c r="AL949" s="18"/>
    </row>
    <row r="950" spans="4:38" x14ac:dyDescent="0.2">
      <c r="D950" s="19"/>
      <c r="E950" s="19"/>
      <c r="F950" s="19"/>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9"/>
      <c r="AE950" s="18"/>
      <c r="AF950" s="18"/>
      <c r="AG950" s="18"/>
      <c r="AH950" s="18"/>
      <c r="AI950" s="18"/>
      <c r="AJ950" s="97"/>
      <c r="AK950" s="18"/>
      <c r="AL950" s="18"/>
    </row>
    <row r="951" spans="4:38" x14ac:dyDescent="0.2">
      <c r="D951" s="19"/>
      <c r="E951" s="19"/>
      <c r="F951" s="19"/>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9"/>
      <c r="AE951" s="18"/>
      <c r="AF951" s="18"/>
      <c r="AG951" s="18"/>
      <c r="AH951" s="18"/>
      <c r="AI951" s="18"/>
      <c r="AJ951" s="97"/>
      <c r="AK951" s="18"/>
      <c r="AL951" s="18"/>
    </row>
    <row r="952" spans="4:38" x14ac:dyDescent="0.2">
      <c r="D952" s="19"/>
      <c r="E952" s="19"/>
      <c r="F952" s="19"/>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9"/>
      <c r="AE952" s="18"/>
      <c r="AF952" s="18"/>
      <c r="AG952" s="18"/>
      <c r="AH952" s="18"/>
      <c r="AI952" s="18"/>
      <c r="AJ952" s="97"/>
      <c r="AK952" s="18"/>
      <c r="AL952" s="18"/>
    </row>
    <row r="953" spans="4:38" x14ac:dyDescent="0.2">
      <c r="D953" s="19"/>
      <c r="E953" s="19"/>
      <c r="F953" s="19"/>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9"/>
      <c r="AE953" s="18"/>
      <c r="AF953" s="18"/>
      <c r="AG953" s="18"/>
      <c r="AH953" s="18"/>
      <c r="AI953" s="18"/>
      <c r="AJ953" s="97"/>
      <c r="AK953" s="18"/>
      <c r="AL953" s="18"/>
    </row>
    <row r="954" spans="4:38" x14ac:dyDescent="0.2">
      <c r="D954" s="19"/>
      <c r="E954" s="19"/>
      <c r="F954" s="19"/>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9"/>
      <c r="AE954" s="18"/>
      <c r="AF954" s="18"/>
      <c r="AG954" s="18"/>
      <c r="AH954" s="18"/>
      <c r="AI954" s="18"/>
      <c r="AJ954" s="97"/>
      <c r="AK954" s="18"/>
      <c r="AL954" s="18"/>
    </row>
    <row r="955" spans="4:38" x14ac:dyDescent="0.2">
      <c r="D955" s="19"/>
      <c r="E955" s="19"/>
      <c r="F955" s="19"/>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9"/>
      <c r="AE955" s="18"/>
      <c r="AF955" s="18"/>
      <c r="AG955" s="18"/>
      <c r="AH955" s="18"/>
      <c r="AI955" s="18"/>
      <c r="AJ955" s="97"/>
      <c r="AK955" s="18"/>
      <c r="AL955" s="18"/>
    </row>
    <row r="956" spans="4:38" x14ac:dyDescent="0.2">
      <c r="D956" s="19"/>
      <c r="E956" s="19"/>
      <c r="F956" s="19"/>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9"/>
      <c r="AE956" s="18"/>
      <c r="AF956" s="18"/>
      <c r="AG956" s="18"/>
      <c r="AH956" s="18"/>
      <c r="AI956" s="18"/>
      <c r="AJ956" s="97"/>
      <c r="AK956" s="18"/>
      <c r="AL956" s="18"/>
    </row>
    <row r="957" spans="4:38" x14ac:dyDescent="0.2">
      <c r="D957" s="19"/>
      <c r="E957" s="19"/>
      <c r="F957" s="19"/>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9"/>
      <c r="AE957" s="18"/>
      <c r="AF957" s="18"/>
      <c r="AG957" s="18"/>
      <c r="AH957" s="18"/>
      <c r="AI957" s="18"/>
      <c r="AJ957" s="97"/>
      <c r="AK957" s="18"/>
      <c r="AL957" s="18"/>
    </row>
    <row r="958" spans="4:38" x14ac:dyDescent="0.2">
      <c r="D958" s="19"/>
      <c r="E958" s="19"/>
      <c r="F958" s="19"/>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9"/>
      <c r="AE958" s="18"/>
      <c r="AF958" s="18"/>
      <c r="AG958" s="18"/>
      <c r="AH958" s="18"/>
      <c r="AI958" s="18"/>
      <c r="AJ958" s="97"/>
      <c r="AK958" s="18"/>
      <c r="AL958" s="18"/>
    </row>
    <row r="959" spans="4:38" x14ac:dyDescent="0.2">
      <c r="D959" s="19"/>
      <c r="E959" s="19"/>
      <c r="F959" s="19"/>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9"/>
      <c r="AE959" s="18"/>
      <c r="AF959" s="18"/>
      <c r="AG959" s="18"/>
      <c r="AH959" s="18"/>
      <c r="AI959" s="18"/>
      <c r="AJ959" s="97"/>
      <c r="AK959" s="18"/>
      <c r="AL959" s="18"/>
    </row>
    <row r="960" spans="4:38" x14ac:dyDescent="0.2">
      <c r="D960" s="19"/>
      <c r="E960" s="19"/>
      <c r="F960" s="19"/>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9"/>
      <c r="AE960" s="18"/>
      <c r="AF960" s="18"/>
      <c r="AG960" s="18"/>
      <c r="AH960" s="18"/>
      <c r="AI960" s="18"/>
      <c r="AJ960" s="97"/>
      <c r="AK960" s="18"/>
      <c r="AL960" s="18"/>
    </row>
    <row r="961" spans="4:38" x14ac:dyDescent="0.2">
      <c r="D961" s="19"/>
      <c r="E961" s="19"/>
      <c r="F961" s="19"/>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9"/>
      <c r="AE961" s="18"/>
      <c r="AF961" s="18"/>
      <c r="AG961" s="18"/>
      <c r="AH961" s="18"/>
      <c r="AI961" s="18"/>
      <c r="AJ961" s="97"/>
      <c r="AK961" s="18"/>
      <c r="AL961" s="18"/>
    </row>
    <row r="962" spans="4:38" x14ac:dyDescent="0.2">
      <c r="D962" s="19"/>
      <c r="E962" s="19"/>
      <c r="F962" s="19"/>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9"/>
      <c r="AE962" s="18"/>
      <c r="AF962" s="18"/>
      <c r="AG962" s="18"/>
      <c r="AH962" s="18"/>
      <c r="AI962" s="18"/>
      <c r="AJ962" s="97"/>
      <c r="AK962" s="18"/>
      <c r="AL962" s="18"/>
    </row>
    <row r="963" spans="4:38" x14ac:dyDescent="0.2">
      <c r="D963" s="19"/>
      <c r="E963" s="19"/>
      <c r="F963" s="19"/>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9"/>
      <c r="AE963" s="18"/>
      <c r="AF963" s="18"/>
      <c r="AG963" s="18"/>
      <c r="AH963" s="18"/>
      <c r="AI963" s="18"/>
      <c r="AJ963" s="97"/>
      <c r="AK963" s="18"/>
      <c r="AL963" s="18"/>
    </row>
    <row r="964" spans="4:38" x14ac:dyDescent="0.2">
      <c r="D964" s="19"/>
      <c r="E964" s="19"/>
      <c r="F964" s="19"/>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9"/>
      <c r="AE964" s="18"/>
      <c r="AF964" s="18"/>
      <c r="AG964" s="18"/>
      <c r="AH964" s="18"/>
      <c r="AI964" s="18"/>
      <c r="AJ964" s="97"/>
      <c r="AK964" s="18"/>
      <c r="AL964" s="18"/>
    </row>
    <row r="965" spans="4:38" x14ac:dyDescent="0.2">
      <c r="D965" s="19"/>
      <c r="E965" s="19"/>
      <c r="F965" s="19"/>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9"/>
      <c r="AE965" s="18"/>
      <c r="AF965" s="18"/>
      <c r="AG965" s="18"/>
      <c r="AH965" s="18"/>
      <c r="AI965" s="18"/>
      <c r="AJ965" s="97"/>
      <c r="AK965" s="18"/>
      <c r="AL965" s="18"/>
    </row>
    <row r="966" spans="4:38" x14ac:dyDescent="0.2">
      <c r="D966" s="19"/>
      <c r="E966" s="19"/>
      <c r="F966" s="19"/>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9"/>
      <c r="AE966" s="18"/>
      <c r="AF966" s="18"/>
      <c r="AG966" s="18"/>
      <c r="AH966" s="18"/>
      <c r="AI966" s="18"/>
      <c r="AJ966" s="97"/>
      <c r="AK966" s="18"/>
      <c r="AL966" s="18"/>
    </row>
    <row r="967" spans="4:38" x14ac:dyDescent="0.2">
      <c r="D967" s="19"/>
      <c r="E967" s="19"/>
      <c r="F967" s="19"/>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9"/>
      <c r="AE967" s="18"/>
      <c r="AF967" s="18"/>
      <c r="AG967" s="18"/>
      <c r="AH967" s="18"/>
      <c r="AI967" s="18"/>
      <c r="AJ967" s="97"/>
      <c r="AK967" s="18"/>
      <c r="AL967" s="18"/>
    </row>
    <row r="968" spans="4:38" x14ac:dyDescent="0.2">
      <c r="D968" s="19"/>
      <c r="E968" s="19"/>
      <c r="F968" s="19"/>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9"/>
      <c r="AE968" s="18"/>
      <c r="AF968" s="18"/>
      <c r="AG968" s="18"/>
      <c r="AH968" s="18"/>
      <c r="AI968" s="18"/>
      <c r="AJ968" s="97"/>
      <c r="AK968" s="18"/>
      <c r="AL968" s="18"/>
    </row>
    <row r="969" spans="4:38" x14ac:dyDescent="0.2">
      <c r="D969" s="19"/>
      <c r="E969" s="19"/>
      <c r="F969" s="19"/>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9"/>
      <c r="AE969" s="18"/>
      <c r="AF969" s="18"/>
      <c r="AG969" s="18"/>
      <c r="AH969" s="18"/>
      <c r="AI969" s="18"/>
      <c r="AJ969" s="97"/>
      <c r="AK969" s="18"/>
      <c r="AL969" s="18"/>
    </row>
    <row r="970" spans="4:38" x14ac:dyDescent="0.2">
      <c r="D970" s="19"/>
      <c r="E970" s="19"/>
      <c r="F970" s="19"/>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9"/>
      <c r="AE970" s="18"/>
      <c r="AF970" s="18"/>
      <c r="AG970" s="18"/>
      <c r="AH970" s="18"/>
      <c r="AI970" s="18"/>
      <c r="AJ970" s="97"/>
      <c r="AK970" s="18"/>
      <c r="AL970" s="18"/>
    </row>
    <row r="971" spans="4:38" x14ac:dyDescent="0.2">
      <c r="D971" s="19"/>
      <c r="E971" s="19"/>
      <c r="F971" s="19"/>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9"/>
      <c r="AE971" s="18"/>
      <c r="AF971" s="18"/>
      <c r="AG971" s="18"/>
      <c r="AH971" s="18"/>
      <c r="AI971" s="18"/>
      <c r="AJ971" s="97"/>
      <c r="AK971" s="18"/>
      <c r="AL971" s="18"/>
    </row>
    <row r="972" spans="4:38" x14ac:dyDescent="0.2">
      <c r="D972" s="19"/>
      <c r="E972" s="19"/>
      <c r="F972" s="19"/>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9"/>
      <c r="AE972" s="18"/>
      <c r="AF972" s="18"/>
      <c r="AG972" s="18"/>
      <c r="AH972" s="18"/>
      <c r="AI972" s="18"/>
      <c r="AJ972" s="97"/>
      <c r="AK972" s="18"/>
      <c r="AL972" s="18"/>
    </row>
    <row r="973" spans="4:38" x14ac:dyDescent="0.2">
      <c r="D973" s="19"/>
      <c r="E973" s="19"/>
      <c r="F973" s="19"/>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9"/>
      <c r="AE973" s="18"/>
      <c r="AF973" s="18"/>
      <c r="AG973" s="18"/>
      <c r="AH973" s="18"/>
      <c r="AI973" s="18"/>
      <c r="AJ973" s="97"/>
      <c r="AK973" s="18"/>
      <c r="AL973" s="18"/>
    </row>
    <row r="974" spans="4:38" x14ac:dyDescent="0.2">
      <c r="D974" s="19"/>
      <c r="E974" s="19"/>
      <c r="F974" s="19"/>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9"/>
      <c r="AE974" s="18"/>
      <c r="AF974" s="18"/>
      <c r="AG974" s="18"/>
      <c r="AH974" s="18"/>
      <c r="AI974" s="18"/>
      <c r="AJ974" s="97"/>
      <c r="AK974" s="18"/>
      <c r="AL974" s="18"/>
    </row>
    <row r="975" spans="4:38" x14ac:dyDescent="0.2">
      <c r="D975" s="19"/>
      <c r="E975" s="19"/>
      <c r="F975" s="19"/>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9"/>
      <c r="AE975" s="18"/>
      <c r="AF975" s="18"/>
      <c r="AG975" s="18"/>
      <c r="AH975" s="18"/>
      <c r="AI975" s="18"/>
      <c r="AJ975" s="97"/>
      <c r="AK975" s="18"/>
      <c r="AL975" s="18"/>
    </row>
    <row r="976" spans="4:38" x14ac:dyDescent="0.2">
      <c r="D976" s="19"/>
      <c r="E976" s="19"/>
      <c r="F976" s="19"/>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9"/>
      <c r="AE976" s="18"/>
      <c r="AF976" s="18"/>
      <c r="AG976" s="18"/>
      <c r="AH976" s="18"/>
      <c r="AI976" s="18"/>
      <c r="AJ976" s="97"/>
      <c r="AK976" s="18"/>
      <c r="AL976" s="18"/>
    </row>
    <row r="977" spans="4:38" x14ac:dyDescent="0.2">
      <c r="D977" s="19"/>
      <c r="E977" s="19"/>
      <c r="F977" s="19"/>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9"/>
      <c r="AE977" s="18"/>
      <c r="AF977" s="18"/>
      <c r="AG977" s="18"/>
      <c r="AH977" s="18"/>
      <c r="AI977" s="18"/>
      <c r="AJ977" s="97"/>
      <c r="AK977" s="18"/>
      <c r="AL977" s="18"/>
    </row>
    <row r="978" spans="4:38" x14ac:dyDescent="0.2">
      <c r="D978" s="19"/>
      <c r="E978" s="19"/>
      <c r="F978" s="19"/>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9"/>
      <c r="AE978" s="18"/>
      <c r="AF978" s="18"/>
      <c r="AG978" s="18"/>
      <c r="AH978" s="18"/>
      <c r="AI978" s="18"/>
      <c r="AJ978" s="97"/>
      <c r="AK978" s="18"/>
      <c r="AL978" s="18"/>
    </row>
    <row r="979" spans="4:38" x14ac:dyDescent="0.2">
      <c r="D979" s="19"/>
      <c r="E979" s="19"/>
      <c r="F979" s="19"/>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9"/>
      <c r="AE979" s="18"/>
      <c r="AF979" s="18"/>
      <c r="AG979" s="18"/>
      <c r="AH979" s="18"/>
      <c r="AI979" s="18"/>
      <c r="AJ979" s="97"/>
      <c r="AK979" s="18"/>
      <c r="AL979" s="18"/>
    </row>
    <row r="980" spans="4:38" x14ac:dyDescent="0.2">
      <c r="D980" s="19"/>
      <c r="E980" s="19"/>
      <c r="F980" s="19"/>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9"/>
      <c r="AE980" s="18"/>
      <c r="AF980" s="18"/>
      <c r="AG980" s="18"/>
      <c r="AH980" s="18"/>
      <c r="AI980" s="18"/>
      <c r="AJ980" s="97"/>
      <c r="AK980" s="18"/>
      <c r="AL980" s="18"/>
    </row>
    <row r="981" spans="4:38" x14ac:dyDescent="0.2">
      <c r="D981" s="19"/>
      <c r="E981" s="19"/>
      <c r="F981" s="19"/>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9"/>
      <c r="AE981" s="18"/>
      <c r="AF981" s="18"/>
      <c r="AG981" s="18"/>
      <c r="AH981" s="18"/>
      <c r="AI981" s="18"/>
      <c r="AJ981" s="97"/>
      <c r="AK981" s="18"/>
      <c r="AL981" s="18"/>
    </row>
    <row r="982" spans="4:38" x14ac:dyDescent="0.2">
      <c r="D982" s="19"/>
      <c r="E982" s="19"/>
      <c r="F982" s="19"/>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9"/>
      <c r="AE982" s="18"/>
      <c r="AF982" s="18"/>
      <c r="AG982" s="18"/>
      <c r="AH982" s="18"/>
      <c r="AI982" s="18"/>
      <c r="AJ982" s="97"/>
      <c r="AK982" s="18"/>
      <c r="AL982" s="18"/>
    </row>
    <row r="983" spans="4:38" x14ac:dyDescent="0.2">
      <c r="D983" s="19"/>
      <c r="E983" s="19"/>
      <c r="F983" s="19"/>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9"/>
      <c r="AE983" s="18"/>
      <c r="AF983" s="18"/>
      <c r="AG983" s="18"/>
      <c r="AH983" s="18"/>
      <c r="AI983" s="18"/>
      <c r="AJ983" s="97"/>
      <c r="AK983" s="18"/>
      <c r="AL983" s="18"/>
    </row>
    <row r="984" spans="4:38" x14ac:dyDescent="0.2">
      <c r="D984" s="19"/>
      <c r="E984" s="19"/>
      <c r="F984" s="19"/>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9"/>
      <c r="AE984" s="18"/>
      <c r="AF984" s="18"/>
      <c r="AG984" s="18"/>
      <c r="AH984" s="18"/>
      <c r="AI984" s="18"/>
      <c r="AJ984" s="97"/>
      <c r="AK984" s="18"/>
      <c r="AL984" s="18"/>
    </row>
    <row r="985" spans="4:38" x14ac:dyDescent="0.2">
      <c r="D985" s="19"/>
      <c r="E985" s="19"/>
      <c r="F985" s="19"/>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9"/>
      <c r="AE985" s="18"/>
      <c r="AF985" s="18"/>
      <c r="AG985" s="18"/>
      <c r="AH985" s="18"/>
      <c r="AI985" s="18"/>
      <c r="AJ985" s="97"/>
      <c r="AK985" s="18"/>
      <c r="AL985" s="18"/>
    </row>
    <row r="986" spans="4:38" x14ac:dyDescent="0.2">
      <c r="D986" s="19"/>
      <c r="E986" s="19"/>
      <c r="F986" s="19"/>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9"/>
      <c r="AE986" s="18"/>
      <c r="AF986" s="18"/>
      <c r="AG986" s="18"/>
      <c r="AH986" s="18"/>
      <c r="AI986" s="18"/>
      <c r="AJ986" s="97"/>
      <c r="AK986" s="18"/>
      <c r="AL986" s="18"/>
    </row>
    <row r="987" spans="4:38" x14ac:dyDescent="0.2">
      <c r="D987" s="19"/>
      <c r="E987" s="19"/>
      <c r="F987" s="19"/>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9"/>
      <c r="AE987" s="18"/>
      <c r="AF987" s="18"/>
      <c r="AG987" s="18"/>
      <c r="AH987" s="18"/>
      <c r="AI987" s="18"/>
      <c r="AJ987" s="97"/>
      <c r="AK987" s="18"/>
      <c r="AL987" s="18"/>
    </row>
    <row r="988" spans="4:38" x14ac:dyDescent="0.2">
      <c r="D988" s="19"/>
      <c r="E988" s="19"/>
      <c r="F988" s="19"/>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9"/>
      <c r="AE988" s="18"/>
      <c r="AF988" s="18"/>
      <c r="AG988" s="18"/>
      <c r="AH988" s="18"/>
      <c r="AI988" s="18"/>
      <c r="AJ988" s="97"/>
      <c r="AK988" s="18"/>
      <c r="AL988" s="18"/>
    </row>
    <row r="989" spans="4:38" x14ac:dyDescent="0.2">
      <c r="D989" s="19"/>
      <c r="E989" s="19"/>
      <c r="F989" s="19"/>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9"/>
      <c r="AE989" s="18"/>
      <c r="AF989" s="18"/>
      <c r="AG989" s="18"/>
      <c r="AH989" s="18"/>
      <c r="AI989" s="18"/>
      <c r="AJ989" s="97"/>
      <c r="AK989" s="18"/>
      <c r="AL989" s="18"/>
    </row>
    <row r="990" spans="4:38" x14ac:dyDescent="0.2">
      <c r="D990" s="19"/>
      <c r="E990" s="19"/>
      <c r="F990" s="19"/>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9"/>
      <c r="AE990" s="18"/>
      <c r="AF990" s="18"/>
      <c r="AG990" s="18"/>
      <c r="AH990" s="18"/>
      <c r="AI990" s="18"/>
      <c r="AJ990" s="97"/>
      <c r="AK990" s="18"/>
      <c r="AL990" s="18"/>
    </row>
    <row r="991" spans="4:38" x14ac:dyDescent="0.2">
      <c r="D991" s="19"/>
      <c r="E991" s="19"/>
      <c r="F991" s="19"/>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9"/>
      <c r="AE991" s="18"/>
      <c r="AF991" s="18"/>
      <c r="AG991" s="18"/>
      <c r="AH991" s="18"/>
      <c r="AI991" s="18"/>
      <c r="AJ991" s="97"/>
      <c r="AK991" s="18"/>
      <c r="AL991" s="18"/>
    </row>
    <row r="992" spans="4:38" x14ac:dyDescent="0.2">
      <c r="D992" s="19"/>
      <c r="E992" s="19"/>
      <c r="F992" s="19"/>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9"/>
      <c r="AE992" s="18"/>
      <c r="AF992" s="18"/>
      <c r="AG992" s="18"/>
      <c r="AH992" s="18"/>
      <c r="AI992" s="18"/>
      <c r="AJ992" s="97"/>
      <c r="AK992" s="18"/>
      <c r="AL992" s="18"/>
    </row>
    <row r="993" spans="4:38" x14ac:dyDescent="0.2">
      <c r="D993" s="19"/>
      <c r="E993" s="19"/>
      <c r="F993" s="19"/>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9"/>
      <c r="AE993" s="18"/>
      <c r="AF993" s="18"/>
      <c r="AG993" s="18"/>
      <c r="AH993" s="18"/>
      <c r="AI993" s="18"/>
      <c r="AJ993" s="97"/>
      <c r="AK993" s="18"/>
      <c r="AL993" s="18"/>
    </row>
    <row r="994" spans="4:38" x14ac:dyDescent="0.2">
      <c r="D994" s="19"/>
      <c r="E994" s="19"/>
      <c r="F994" s="19"/>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9"/>
      <c r="AE994" s="18"/>
      <c r="AF994" s="18"/>
      <c r="AG994" s="18"/>
      <c r="AH994" s="18"/>
      <c r="AI994" s="18"/>
      <c r="AJ994" s="97"/>
      <c r="AK994" s="18"/>
      <c r="AL994" s="18"/>
    </row>
    <row r="995" spans="4:38" x14ac:dyDescent="0.2">
      <c r="D995" s="19"/>
      <c r="E995" s="19"/>
      <c r="F995" s="19"/>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9"/>
      <c r="AE995" s="18"/>
      <c r="AF995" s="18"/>
      <c r="AG995" s="18"/>
      <c r="AH995" s="18"/>
      <c r="AI995" s="18"/>
      <c r="AJ995" s="97"/>
      <c r="AK995" s="18"/>
      <c r="AL995" s="18"/>
    </row>
    <row r="996" spans="4:38" x14ac:dyDescent="0.2">
      <c r="D996" s="19"/>
      <c r="E996" s="19"/>
      <c r="F996" s="19"/>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9"/>
      <c r="AE996" s="18"/>
      <c r="AF996" s="18"/>
      <c r="AG996" s="18"/>
      <c r="AH996" s="18"/>
      <c r="AI996" s="18"/>
      <c r="AJ996" s="97"/>
      <c r="AK996" s="18"/>
      <c r="AL996" s="18"/>
    </row>
    <row r="997" spans="4:38" x14ac:dyDescent="0.2">
      <c r="D997" s="19"/>
      <c r="E997" s="19"/>
      <c r="F997" s="19"/>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9"/>
      <c r="AE997" s="18"/>
      <c r="AF997" s="18"/>
      <c r="AG997" s="18"/>
      <c r="AH997" s="18"/>
      <c r="AI997" s="18"/>
      <c r="AJ997" s="97"/>
      <c r="AK997" s="18"/>
      <c r="AL997" s="18"/>
    </row>
    <row r="998" spans="4:38" x14ac:dyDescent="0.2">
      <c r="D998" s="19"/>
      <c r="E998" s="19"/>
      <c r="F998" s="19"/>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9"/>
      <c r="AE998" s="18"/>
      <c r="AF998" s="18"/>
      <c r="AG998" s="18"/>
      <c r="AH998" s="18"/>
      <c r="AI998" s="18"/>
      <c r="AJ998" s="97"/>
      <c r="AK998" s="18"/>
      <c r="AL998" s="18"/>
    </row>
    <row r="999" spans="4:38" x14ac:dyDescent="0.2">
      <c r="D999" s="19"/>
      <c r="E999" s="19"/>
      <c r="F999" s="19"/>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9"/>
      <c r="AE999" s="18"/>
      <c r="AF999" s="18"/>
      <c r="AG999" s="18"/>
      <c r="AH999" s="18"/>
      <c r="AI999" s="18"/>
      <c r="AJ999" s="97"/>
      <c r="AK999" s="18"/>
      <c r="AL999" s="18"/>
    </row>
    <row r="1000" spans="4:38" x14ac:dyDescent="0.2">
      <c r="D1000" s="19"/>
      <c r="E1000" s="19"/>
      <c r="F1000" s="19"/>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9"/>
      <c r="AE1000" s="18"/>
      <c r="AF1000" s="18"/>
      <c r="AG1000" s="18"/>
      <c r="AH1000" s="18"/>
      <c r="AI1000" s="18"/>
      <c r="AJ1000" s="97"/>
      <c r="AK1000" s="18"/>
      <c r="AL1000" s="18"/>
    </row>
    <row r="1001" spans="4:38" x14ac:dyDescent="0.2">
      <c r="D1001" s="19"/>
      <c r="E1001" s="19"/>
      <c r="F1001" s="19"/>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9"/>
      <c r="AE1001" s="18"/>
      <c r="AF1001" s="18"/>
      <c r="AG1001" s="18"/>
      <c r="AH1001" s="18"/>
      <c r="AI1001" s="18"/>
      <c r="AJ1001" s="97"/>
      <c r="AK1001" s="18"/>
      <c r="AL1001" s="18"/>
    </row>
    <row r="1002" spans="4:38" x14ac:dyDescent="0.2">
      <c r="D1002" s="19"/>
      <c r="E1002" s="19"/>
      <c r="F1002" s="19"/>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9"/>
      <c r="AE1002" s="18"/>
      <c r="AF1002" s="18"/>
      <c r="AG1002" s="18"/>
      <c r="AH1002" s="18"/>
      <c r="AI1002" s="18"/>
      <c r="AJ1002" s="97"/>
      <c r="AK1002" s="18"/>
      <c r="AL1002" s="18"/>
    </row>
    <row r="1003" spans="4:38" x14ac:dyDescent="0.2">
      <c r="D1003" s="19"/>
      <c r="E1003" s="19"/>
      <c r="F1003" s="19"/>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9"/>
      <c r="AE1003" s="18"/>
      <c r="AF1003" s="18"/>
      <c r="AG1003" s="18"/>
      <c r="AH1003" s="18"/>
      <c r="AI1003" s="18"/>
      <c r="AJ1003" s="97"/>
      <c r="AK1003" s="18"/>
      <c r="AL1003" s="18"/>
    </row>
    <row r="1004" spans="4:38" x14ac:dyDescent="0.2">
      <c r="D1004" s="19"/>
      <c r="E1004" s="19"/>
      <c r="F1004" s="19"/>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9"/>
      <c r="AE1004" s="18"/>
      <c r="AF1004" s="18"/>
      <c r="AG1004" s="18"/>
      <c r="AH1004" s="18"/>
      <c r="AI1004" s="18"/>
      <c r="AJ1004" s="97"/>
      <c r="AK1004" s="18"/>
      <c r="AL1004" s="18"/>
    </row>
    <row r="1005" spans="4:38" x14ac:dyDescent="0.2">
      <c r="D1005" s="19"/>
      <c r="E1005" s="19"/>
      <c r="F1005" s="19"/>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9"/>
      <c r="AE1005" s="18"/>
      <c r="AF1005" s="18"/>
      <c r="AG1005" s="18"/>
      <c r="AH1005" s="18"/>
      <c r="AI1005" s="18"/>
      <c r="AJ1005" s="97"/>
      <c r="AK1005" s="18"/>
      <c r="AL1005" s="18"/>
    </row>
    <row r="1006" spans="4:38" x14ac:dyDescent="0.2">
      <c r="D1006" s="19"/>
      <c r="E1006" s="19"/>
      <c r="F1006" s="19"/>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9"/>
      <c r="AE1006" s="18"/>
      <c r="AF1006" s="18"/>
      <c r="AG1006" s="18"/>
      <c r="AH1006" s="18"/>
      <c r="AI1006" s="18"/>
      <c r="AJ1006" s="97"/>
      <c r="AK1006" s="18"/>
      <c r="AL1006" s="18"/>
    </row>
    <row r="1007" spans="4:38" x14ac:dyDescent="0.2">
      <c r="D1007" s="19"/>
      <c r="E1007" s="19"/>
      <c r="F1007" s="19"/>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9"/>
      <c r="AE1007" s="18"/>
      <c r="AF1007" s="18"/>
      <c r="AG1007" s="18"/>
      <c r="AH1007" s="18"/>
      <c r="AI1007" s="18"/>
      <c r="AJ1007" s="97"/>
      <c r="AK1007" s="18"/>
      <c r="AL1007" s="18"/>
    </row>
    <row r="1008" spans="4:38" x14ac:dyDescent="0.2">
      <c r="D1008" s="19"/>
      <c r="E1008" s="19"/>
      <c r="F1008" s="19"/>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9"/>
      <c r="AE1008" s="18"/>
      <c r="AF1008" s="18"/>
      <c r="AG1008" s="18"/>
      <c r="AH1008" s="18"/>
      <c r="AI1008" s="18"/>
      <c r="AJ1008" s="97"/>
      <c r="AK1008" s="18"/>
      <c r="AL1008" s="18"/>
    </row>
    <row r="1009" spans="4:38" x14ac:dyDescent="0.2">
      <c r="D1009" s="19"/>
      <c r="E1009" s="19"/>
      <c r="F1009" s="19"/>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9"/>
      <c r="AE1009" s="18"/>
      <c r="AF1009" s="18"/>
      <c r="AG1009" s="18"/>
      <c r="AH1009" s="18"/>
      <c r="AI1009" s="18"/>
      <c r="AJ1009" s="97"/>
      <c r="AK1009" s="18"/>
      <c r="AL1009" s="18"/>
    </row>
    <row r="1010" spans="4:38" x14ac:dyDescent="0.2">
      <c r="D1010" s="19"/>
      <c r="E1010" s="19"/>
      <c r="F1010" s="19"/>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9"/>
      <c r="AE1010" s="18"/>
      <c r="AF1010" s="18"/>
      <c r="AG1010" s="18"/>
      <c r="AH1010" s="18"/>
      <c r="AI1010" s="18"/>
      <c r="AJ1010" s="97"/>
      <c r="AK1010" s="18"/>
      <c r="AL1010" s="18"/>
    </row>
    <row r="1011" spans="4:38" x14ac:dyDescent="0.2">
      <c r="D1011" s="19"/>
      <c r="E1011" s="19"/>
      <c r="F1011" s="19"/>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9"/>
      <c r="AE1011" s="18"/>
      <c r="AF1011" s="18"/>
      <c r="AG1011" s="18"/>
      <c r="AH1011" s="18"/>
      <c r="AI1011" s="18"/>
      <c r="AJ1011" s="97"/>
      <c r="AK1011" s="18"/>
      <c r="AL1011" s="18"/>
    </row>
    <row r="1012" spans="4:38" x14ac:dyDescent="0.2">
      <c r="D1012" s="19"/>
      <c r="E1012" s="19"/>
      <c r="F1012" s="19"/>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9"/>
      <c r="AE1012" s="18"/>
      <c r="AF1012" s="18"/>
      <c r="AG1012" s="18"/>
      <c r="AH1012" s="18"/>
      <c r="AI1012" s="18"/>
      <c r="AJ1012" s="97"/>
      <c r="AK1012" s="18"/>
      <c r="AL1012" s="18"/>
    </row>
    <row r="1013" spans="4:38" x14ac:dyDescent="0.2">
      <c r="D1013" s="19"/>
      <c r="E1013" s="19"/>
      <c r="F1013" s="19"/>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9"/>
      <c r="AE1013" s="18"/>
      <c r="AF1013" s="18"/>
      <c r="AG1013" s="18"/>
      <c r="AH1013" s="18"/>
      <c r="AI1013" s="18"/>
      <c r="AJ1013" s="97"/>
      <c r="AK1013" s="18"/>
      <c r="AL1013" s="18"/>
    </row>
    <row r="1014" spans="4:38" x14ac:dyDescent="0.2">
      <c r="D1014" s="19"/>
      <c r="E1014" s="19"/>
      <c r="F1014" s="19"/>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9"/>
      <c r="AE1014" s="18"/>
      <c r="AF1014" s="18"/>
      <c r="AG1014" s="18"/>
      <c r="AH1014" s="18"/>
      <c r="AI1014" s="18"/>
      <c r="AJ1014" s="97"/>
      <c r="AK1014" s="18"/>
      <c r="AL1014" s="18"/>
    </row>
    <row r="1015" spans="4:38" x14ac:dyDescent="0.2">
      <c r="D1015" s="19"/>
      <c r="E1015" s="19"/>
      <c r="F1015" s="19"/>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9"/>
      <c r="AE1015" s="18"/>
      <c r="AF1015" s="18"/>
      <c r="AG1015" s="18"/>
      <c r="AH1015" s="18"/>
      <c r="AI1015" s="18"/>
      <c r="AJ1015" s="97"/>
      <c r="AK1015" s="18"/>
      <c r="AL1015" s="18"/>
    </row>
    <row r="1016" spans="4:38" x14ac:dyDescent="0.2">
      <c r="D1016" s="19"/>
      <c r="E1016" s="19"/>
      <c r="F1016" s="19"/>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9"/>
      <c r="AE1016" s="18"/>
      <c r="AF1016" s="18"/>
      <c r="AG1016" s="18"/>
      <c r="AH1016" s="18"/>
      <c r="AI1016" s="18"/>
      <c r="AJ1016" s="97"/>
      <c r="AK1016" s="18"/>
      <c r="AL1016" s="18"/>
    </row>
    <row r="1017" spans="4:38" x14ac:dyDescent="0.2">
      <c r="D1017" s="19"/>
      <c r="E1017" s="19"/>
      <c r="F1017" s="19"/>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9"/>
      <c r="AE1017" s="18"/>
      <c r="AF1017" s="18"/>
      <c r="AG1017" s="18"/>
      <c r="AH1017" s="18"/>
      <c r="AI1017" s="18"/>
      <c r="AJ1017" s="97"/>
      <c r="AK1017" s="18"/>
      <c r="AL1017" s="18"/>
    </row>
    <row r="1018" spans="4:38" x14ac:dyDescent="0.2">
      <c r="D1018" s="19"/>
      <c r="E1018" s="19"/>
      <c r="F1018" s="19"/>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9"/>
      <c r="AE1018" s="18"/>
      <c r="AF1018" s="18"/>
      <c r="AG1018" s="18"/>
      <c r="AH1018" s="18"/>
      <c r="AI1018" s="18"/>
      <c r="AJ1018" s="97"/>
      <c r="AK1018" s="18"/>
      <c r="AL1018" s="18"/>
    </row>
    <row r="1019" spans="4:38" x14ac:dyDescent="0.2">
      <c r="D1019" s="19"/>
      <c r="E1019" s="19"/>
      <c r="F1019" s="19"/>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9"/>
      <c r="AE1019" s="18"/>
      <c r="AF1019" s="18"/>
      <c r="AG1019" s="18"/>
      <c r="AH1019" s="18"/>
      <c r="AI1019" s="18"/>
      <c r="AJ1019" s="97"/>
      <c r="AK1019" s="18"/>
      <c r="AL1019" s="18"/>
    </row>
    <row r="1020" spans="4:38" x14ac:dyDescent="0.2">
      <c r="D1020" s="19"/>
      <c r="E1020" s="19"/>
      <c r="F1020" s="19"/>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9"/>
      <c r="AE1020" s="18"/>
      <c r="AF1020" s="18"/>
      <c r="AG1020" s="18"/>
      <c r="AH1020" s="18"/>
      <c r="AI1020" s="18"/>
      <c r="AJ1020" s="97"/>
      <c r="AK1020" s="18"/>
      <c r="AL1020" s="18"/>
    </row>
    <row r="1021" spans="4:38" x14ac:dyDescent="0.2">
      <c r="D1021" s="19"/>
      <c r="E1021" s="19"/>
      <c r="F1021" s="19"/>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9"/>
      <c r="AE1021" s="18"/>
      <c r="AF1021" s="18"/>
      <c r="AG1021" s="18"/>
      <c r="AH1021" s="18"/>
      <c r="AI1021" s="18"/>
      <c r="AJ1021" s="97"/>
      <c r="AK1021" s="18"/>
      <c r="AL1021" s="18"/>
    </row>
    <row r="1022" spans="4:38" x14ac:dyDescent="0.2">
      <c r="D1022" s="19"/>
      <c r="E1022" s="19"/>
      <c r="F1022" s="19"/>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9"/>
      <c r="AE1022" s="18"/>
      <c r="AF1022" s="18"/>
      <c r="AG1022" s="18"/>
      <c r="AH1022" s="18"/>
      <c r="AI1022" s="18"/>
      <c r="AJ1022" s="97"/>
      <c r="AK1022" s="18"/>
      <c r="AL1022" s="18"/>
    </row>
    <row r="1023" spans="4:38" x14ac:dyDescent="0.2">
      <c r="D1023" s="19"/>
      <c r="E1023" s="19"/>
      <c r="F1023" s="19"/>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9"/>
      <c r="AE1023" s="18"/>
      <c r="AF1023" s="18"/>
      <c r="AG1023" s="18"/>
      <c r="AH1023" s="18"/>
      <c r="AI1023" s="18"/>
      <c r="AJ1023" s="97"/>
      <c r="AK1023" s="18"/>
      <c r="AL1023" s="18"/>
    </row>
    <row r="1024" spans="4:38" x14ac:dyDescent="0.2">
      <c r="D1024" s="19"/>
      <c r="E1024" s="19"/>
      <c r="F1024" s="19"/>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9"/>
      <c r="AE1024" s="18"/>
      <c r="AF1024" s="18"/>
      <c r="AG1024" s="18"/>
      <c r="AH1024" s="18"/>
      <c r="AI1024" s="18"/>
      <c r="AJ1024" s="97"/>
      <c r="AK1024" s="18"/>
      <c r="AL1024" s="18"/>
    </row>
    <row r="1025" spans="4:38" x14ac:dyDescent="0.2">
      <c r="D1025" s="19"/>
      <c r="E1025" s="19"/>
      <c r="F1025" s="19"/>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9"/>
      <c r="AE1025" s="18"/>
      <c r="AF1025" s="18"/>
      <c r="AG1025" s="18"/>
      <c r="AH1025" s="18"/>
      <c r="AI1025" s="18"/>
      <c r="AJ1025" s="97"/>
      <c r="AK1025" s="18"/>
      <c r="AL1025" s="18"/>
    </row>
    <row r="1026" spans="4:38" x14ac:dyDescent="0.2">
      <c r="D1026" s="19"/>
      <c r="E1026" s="19"/>
      <c r="F1026" s="19"/>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9"/>
      <c r="AE1026" s="18"/>
      <c r="AF1026" s="18"/>
      <c r="AG1026" s="18"/>
      <c r="AH1026" s="18"/>
      <c r="AI1026" s="18"/>
      <c r="AJ1026" s="97"/>
      <c r="AK1026" s="18"/>
      <c r="AL1026" s="18"/>
    </row>
    <row r="1027" spans="4:38" x14ac:dyDescent="0.2">
      <c r="D1027" s="19"/>
      <c r="E1027" s="19"/>
      <c r="F1027" s="19"/>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9"/>
      <c r="AE1027" s="18"/>
      <c r="AF1027" s="18"/>
      <c r="AG1027" s="18"/>
      <c r="AH1027" s="18"/>
      <c r="AI1027" s="18"/>
      <c r="AJ1027" s="97"/>
      <c r="AK1027" s="18"/>
      <c r="AL1027" s="18"/>
    </row>
    <row r="1028" spans="4:38" x14ac:dyDescent="0.2">
      <c r="D1028" s="19"/>
      <c r="E1028" s="19"/>
      <c r="F1028" s="19"/>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9"/>
      <c r="AE1028" s="18"/>
      <c r="AF1028" s="18"/>
      <c r="AG1028" s="18"/>
      <c r="AH1028" s="18"/>
      <c r="AI1028" s="18"/>
      <c r="AJ1028" s="97"/>
      <c r="AK1028" s="18"/>
      <c r="AL1028" s="18"/>
    </row>
    <row r="1029" spans="4:38" x14ac:dyDescent="0.2">
      <c r="D1029" s="19"/>
      <c r="E1029" s="19"/>
      <c r="F1029" s="19"/>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9"/>
      <c r="AE1029" s="18"/>
      <c r="AF1029" s="18"/>
      <c r="AG1029" s="18"/>
      <c r="AH1029" s="18"/>
      <c r="AI1029" s="18"/>
      <c r="AJ1029" s="97"/>
      <c r="AK1029" s="18"/>
      <c r="AL1029" s="18"/>
    </row>
    <row r="1030" spans="4:38" x14ac:dyDescent="0.2">
      <c r="D1030" s="19"/>
      <c r="E1030" s="19"/>
      <c r="F1030" s="19"/>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9"/>
      <c r="AE1030" s="18"/>
      <c r="AF1030" s="18"/>
      <c r="AG1030" s="18"/>
      <c r="AH1030" s="18"/>
      <c r="AI1030" s="18"/>
      <c r="AJ1030" s="97"/>
      <c r="AK1030" s="18"/>
      <c r="AL1030" s="18"/>
    </row>
    <row r="1031" spans="4:38" x14ac:dyDescent="0.2">
      <c r="D1031" s="19"/>
      <c r="E1031" s="19"/>
      <c r="F1031" s="19"/>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9"/>
      <c r="AE1031" s="18"/>
      <c r="AF1031" s="18"/>
      <c r="AG1031" s="18"/>
      <c r="AH1031" s="18"/>
      <c r="AI1031" s="18"/>
      <c r="AJ1031" s="97"/>
      <c r="AK1031" s="18"/>
      <c r="AL1031" s="18"/>
    </row>
    <row r="1032" spans="4:38" x14ac:dyDescent="0.2">
      <c r="D1032" s="19"/>
      <c r="E1032" s="19"/>
      <c r="F1032" s="19"/>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9"/>
      <c r="AE1032" s="18"/>
      <c r="AF1032" s="18"/>
      <c r="AG1032" s="18"/>
      <c r="AH1032" s="18"/>
      <c r="AI1032" s="18"/>
      <c r="AJ1032" s="97"/>
      <c r="AK1032" s="18"/>
      <c r="AL1032" s="18"/>
    </row>
    <row r="1033" spans="4:38" x14ac:dyDescent="0.2">
      <c r="D1033" s="19"/>
      <c r="E1033" s="19"/>
      <c r="F1033" s="19"/>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c r="AD1033" s="19"/>
      <c r="AE1033" s="18"/>
      <c r="AF1033" s="18"/>
      <c r="AG1033" s="18"/>
      <c r="AH1033" s="18"/>
      <c r="AI1033" s="18"/>
      <c r="AJ1033" s="97"/>
      <c r="AK1033" s="18"/>
      <c r="AL1033" s="18"/>
    </row>
    <row r="1034" spans="4:38" x14ac:dyDescent="0.2">
      <c r="D1034" s="19"/>
      <c r="E1034" s="19"/>
      <c r="F1034" s="19"/>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c r="AD1034" s="19"/>
      <c r="AE1034" s="18"/>
      <c r="AF1034" s="18"/>
      <c r="AG1034" s="18"/>
      <c r="AH1034" s="18"/>
      <c r="AI1034" s="18"/>
      <c r="AJ1034" s="97"/>
      <c r="AK1034" s="18"/>
      <c r="AL1034" s="18"/>
    </row>
    <row r="1035" spans="4:38" x14ac:dyDescent="0.2">
      <c r="D1035" s="19"/>
      <c r="E1035" s="19"/>
      <c r="F1035" s="19"/>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19"/>
      <c r="AE1035" s="18"/>
      <c r="AF1035" s="18"/>
      <c r="AG1035" s="18"/>
      <c r="AH1035" s="18"/>
      <c r="AI1035" s="18"/>
      <c r="AJ1035" s="97"/>
      <c r="AK1035" s="18"/>
      <c r="AL1035" s="18"/>
    </row>
    <row r="1036" spans="4:38" x14ac:dyDescent="0.2">
      <c r="D1036" s="19"/>
      <c r="E1036" s="19"/>
      <c r="F1036" s="19"/>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c r="AD1036" s="19"/>
      <c r="AE1036" s="18"/>
      <c r="AF1036" s="18"/>
      <c r="AG1036" s="18"/>
      <c r="AH1036" s="18"/>
      <c r="AI1036" s="18"/>
      <c r="AJ1036" s="97"/>
      <c r="AK1036" s="18"/>
      <c r="AL1036" s="18"/>
    </row>
    <row r="1037" spans="4:38" x14ac:dyDescent="0.2">
      <c r="D1037" s="19"/>
      <c r="E1037" s="19"/>
      <c r="F1037" s="19"/>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9"/>
      <c r="AE1037" s="18"/>
      <c r="AF1037" s="18"/>
      <c r="AG1037" s="18"/>
      <c r="AH1037" s="18"/>
      <c r="AI1037" s="18"/>
      <c r="AJ1037" s="97"/>
      <c r="AK1037" s="18"/>
      <c r="AL1037" s="18"/>
    </row>
    <row r="1038" spans="4:38" x14ac:dyDescent="0.2">
      <c r="D1038" s="19"/>
      <c r="E1038" s="19"/>
      <c r="F1038" s="19"/>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c r="AD1038" s="19"/>
      <c r="AE1038" s="18"/>
      <c r="AF1038" s="18"/>
      <c r="AG1038" s="18"/>
      <c r="AH1038" s="18"/>
      <c r="AI1038" s="18"/>
      <c r="AJ1038" s="97"/>
      <c r="AK1038" s="18"/>
      <c r="AL1038" s="18"/>
    </row>
    <row r="1039" spans="4:38" x14ac:dyDescent="0.2">
      <c r="D1039" s="19"/>
      <c r="E1039" s="19"/>
      <c r="F1039" s="19"/>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9"/>
      <c r="AE1039" s="18"/>
      <c r="AF1039" s="18"/>
      <c r="AG1039" s="18"/>
      <c r="AH1039" s="18"/>
      <c r="AI1039" s="18"/>
      <c r="AJ1039" s="97"/>
      <c r="AK1039" s="18"/>
      <c r="AL1039" s="18"/>
    </row>
    <row r="1040" spans="4:38" x14ac:dyDescent="0.2">
      <c r="D1040" s="19"/>
      <c r="E1040" s="19"/>
      <c r="F1040" s="19"/>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c r="AD1040" s="19"/>
      <c r="AE1040" s="18"/>
      <c r="AF1040" s="18"/>
      <c r="AG1040" s="18"/>
      <c r="AH1040" s="18"/>
      <c r="AI1040" s="18"/>
      <c r="AJ1040" s="97"/>
      <c r="AK1040" s="18"/>
      <c r="AL1040" s="18"/>
    </row>
    <row r="1041" spans="4:38" x14ac:dyDescent="0.2">
      <c r="D1041" s="19"/>
      <c r="E1041" s="19"/>
      <c r="F1041" s="19"/>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c r="AD1041" s="19"/>
      <c r="AE1041" s="18"/>
      <c r="AF1041" s="18"/>
      <c r="AG1041" s="18"/>
      <c r="AH1041" s="18"/>
      <c r="AI1041" s="18"/>
      <c r="AJ1041" s="97"/>
      <c r="AK1041" s="18"/>
      <c r="AL1041" s="18"/>
    </row>
    <row r="1042" spans="4:38" x14ac:dyDescent="0.2">
      <c r="D1042" s="19"/>
      <c r="E1042" s="19"/>
      <c r="F1042" s="19"/>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9"/>
      <c r="AE1042" s="18"/>
      <c r="AF1042" s="18"/>
      <c r="AG1042" s="18"/>
      <c r="AH1042" s="18"/>
      <c r="AI1042" s="18"/>
      <c r="AJ1042" s="97"/>
      <c r="AK1042" s="18"/>
      <c r="AL1042" s="18"/>
    </row>
    <row r="1043" spans="4:38" x14ac:dyDescent="0.2">
      <c r="D1043" s="19"/>
      <c r="E1043" s="19"/>
      <c r="F1043" s="19"/>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c r="AD1043" s="19"/>
      <c r="AE1043" s="18"/>
      <c r="AF1043" s="18"/>
      <c r="AG1043" s="18"/>
      <c r="AH1043" s="18"/>
      <c r="AI1043" s="18"/>
      <c r="AJ1043" s="97"/>
      <c r="AK1043" s="18"/>
      <c r="AL1043" s="18"/>
    </row>
    <row r="1044" spans="4:38" x14ac:dyDescent="0.2">
      <c r="D1044" s="19"/>
      <c r="E1044" s="19"/>
      <c r="F1044" s="19"/>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19"/>
      <c r="AE1044" s="18"/>
      <c r="AF1044" s="18"/>
      <c r="AG1044" s="18"/>
      <c r="AH1044" s="18"/>
      <c r="AI1044" s="18"/>
      <c r="AJ1044" s="97"/>
      <c r="AK1044" s="18"/>
      <c r="AL1044" s="18"/>
    </row>
    <row r="1045" spans="4:38" x14ac:dyDescent="0.2">
      <c r="D1045" s="19"/>
      <c r="E1045" s="19"/>
      <c r="F1045" s="19"/>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c r="AD1045" s="19"/>
      <c r="AE1045" s="18"/>
      <c r="AF1045" s="18"/>
      <c r="AG1045" s="18"/>
      <c r="AH1045" s="18"/>
      <c r="AI1045" s="18"/>
      <c r="AJ1045" s="97"/>
      <c r="AK1045" s="18"/>
      <c r="AL1045" s="18"/>
    </row>
    <row r="1046" spans="4:38" x14ac:dyDescent="0.2">
      <c r="D1046" s="19"/>
      <c r="E1046" s="19"/>
      <c r="F1046" s="19"/>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c r="AD1046" s="19"/>
      <c r="AE1046" s="18"/>
      <c r="AF1046" s="18"/>
      <c r="AG1046" s="18"/>
      <c r="AH1046" s="18"/>
      <c r="AI1046" s="18"/>
      <c r="AJ1046" s="97"/>
      <c r="AK1046" s="18"/>
      <c r="AL1046" s="18"/>
    </row>
    <row r="1047" spans="4:38" x14ac:dyDescent="0.2">
      <c r="D1047" s="19"/>
      <c r="E1047" s="19"/>
      <c r="F1047" s="19"/>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c r="AD1047" s="19"/>
      <c r="AE1047" s="18"/>
      <c r="AF1047" s="18"/>
      <c r="AG1047" s="18"/>
      <c r="AH1047" s="18"/>
      <c r="AI1047" s="18"/>
      <c r="AJ1047" s="97"/>
      <c r="AK1047" s="18"/>
      <c r="AL1047" s="18"/>
    </row>
    <row r="1048" spans="4:38" x14ac:dyDescent="0.2">
      <c r="D1048" s="19"/>
      <c r="E1048" s="19"/>
      <c r="F1048" s="19"/>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19"/>
      <c r="AE1048" s="18"/>
      <c r="AF1048" s="18"/>
      <c r="AG1048" s="18"/>
      <c r="AH1048" s="18"/>
      <c r="AI1048" s="18"/>
      <c r="AJ1048" s="97"/>
      <c r="AK1048" s="18"/>
      <c r="AL1048" s="18"/>
    </row>
    <row r="1049" spans="4:38" x14ac:dyDescent="0.2">
      <c r="D1049" s="19"/>
      <c r="E1049" s="19"/>
      <c r="F1049" s="19"/>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9"/>
      <c r="AE1049" s="18"/>
      <c r="AF1049" s="18"/>
      <c r="AG1049" s="18"/>
      <c r="AH1049" s="18"/>
      <c r="AI1049" s="18"/>
      <c r="AJ1049" s="97"/>
      <c r="AK1049" s="18"/>
      <c r="AL1049" s="18"/>
    </row>
    <row r="1050" spans="4:38" x14ac:dyDescent="0.2">
      <c r="D1050" s="19"/>
      <c r="E1050" s="19"/>
      <c r="F1050" s="19"/>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9"/>
      <c r="AE1050" s="18"/>
      <c r="AF1050" s="18"/>
      <c r="AG1050" s="18"/>
      <c r="AH1050" s="18"/>
      <c r="AI1050" s="18"/>
      <c r="AJ1050" s="97"/>
      <c r="AK1050" s="18"/>
      <c r="AL1050" s="18"/>
    </row>
    <row r="1051" spans="4:38" x14ac:dyDescent="0.2">
      <c r="D1051" s="19"/>
      <c r="E1051" s="19"/>
      <c r="F1051" s="19"/>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19"/>
      <c r="AE1051" s="18"/>
      <c r="AF1051" s="18"/>
      <c r="AG1051" s="18"/>
      <c r="AH1051" s="18"/>
      <c r="AI1051" s="18"/>
      <c r="AJ1051" s="97"/>
      <c r="AK1051" s="18"/>
      <c r="AL1051" s="18"/>
    </row>
    <row r="1052" spans="4:38" x14ac:dyDescent="0.2">
      <c r="D1052" s="19"/>
      <c r="E1052" s="19"/>
      <c r="F1052" s="19"/>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c r="AD1052" s="19"/>
      <c r="AE1052" s="18"/>
      <c r="AF1052" s="18"/>
      <c r="AG1052" s="18"/>
      <c r="AH1052" s="18"/>
      <c r="AI1052" s="18"/>
      <c r="AJ1052" s="97"/>
      <c r="AK1052" s="18"/>
      <c r="AL1052" s="18"/>
    </row>
    <row r="1053" spans="4:38" x14ac:dyDescent="0.2">
      <c r="D1053" s="19"/>
      <c r="E1053" s="19"/>
      <c r="F1053" s="19"/>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9"/>
      <c r="AE1053" s="18"/>
      <c r="AF1053" s="18"/>
      <c r="AG1053" s="18"/>
      <c r="AH1053" s="18"/>
      <c r="AI1053" s="18"/>
      <c r="AJ1053" s="97"/>
      <c r="AK1053" s="18"/>
      <c r="AL1053" s="18"/>
    </row>
    <row r="1054" spans="4:38" x14ac:dyDescent="0.2">
      <c r="D1054" s="19"/>
      <c r="E1054" s="19"/>
      <c r="F1054" s="19"/>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c r="AD1054" s="19"/>
      <c r="AE1054" s="18"/>
      <c r="AF1054" s="18"/>
      <c r="AG1054" s="18"/>
      <c r="AH1054" s="18"/>
      <c r="AI1054" s="18"/>
      <c r="AJ1054" s="97"/>
      <c r="AK1054" s="18"/>
      <c r="AL1054" s="18"/>
    </row>
    <row r="1055" spans="4:38" x14ac:dyDescent="0.2">
      <c r="D1055" s="19"/>
      <c r="E1055" s="19"/>
      <c r="F1055" s="19"/>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9"/>
      <c r="AE1055" s="18"/>
      <c r="AF1055" s="18"/>
      <c r="AG1055" s="18"/>
      <c r="AH1055" s="18"/>
      <c r="AI1055" s="18"/>
      <c r="AJ1055" s="97"/>
      <c r="AK1055" s="18"/>
      <c r="AL1055" s="18"/>
    </row>
    <row r="1056" spans="4:38" x14ac:dyDescent="0.2">
      <c r="D1056" s="19"/>
      <c r="E1056" s="19"/>
      <c r="F1056" s="19"/>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c r="AD1056" s="19"/>
      <c r="AE1056" s="18"/>
      <c r="AF1056" s="18"/>
      <c r="AG1056" s="18"/>
      <c r="AH1056" s="18"/>
      <c r="AI1056" s="18"/>
      <c r="AJ1056" s="97"/>
      <c r="AK1056" s="18"/>
      <c r="AL1056" s="18"/>
    </row>
    <row r="1057" spans="4:38" x14ac:dyDescent="0.2">
      <c r="D1057" s="19"/>
      <c r="E1057" s="19"/>
      <c r="F1057" s="19"/>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c r="AC1057" s="18"/>
      <c r="AD1057" s="19"/>
      <c r="AE1057" s="18"/>
      <c r="AF1057" s="18"/>
      <c r="AG1057" s="18"/>
      <c r="AH1057" s="18"/>
      <c r="AI1057" s="18"/>
      <c r="AJ1057" s="97"/>
      <c r="AK1057" s="18"/>
      <c r="AL1057" s="18"/>
    </row>
    <row r="1058" spans="4:38" x14ac:dyDescent="0.2">
      <c r="D1058" s="19"/>
      <c r="E1058" s="19"/>
      <c r="F1058" s="19"/>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c r="AC1058" s="18"/>
      <c r="AD1058" s="19"/>
      <c r="AE1058" s="18"/>
      <c r="AF1058" s="18"/>
      <c r="AG1058" s="18"/>
      <c r="AH1058" s="18"/>
      <c r="AI1058" s="18"/>
      <c r="AJ1058" s="97"/>
      <c r="AK1058" s="18"/>
      <c r="AL1058" s="18"/>
    </row>
    <row r="1059" spans="4:38" x14ac:dyDescent="0.2">
      <c r="D1059" s="19"/>
      <c r="E1059" s="19"/>
      <c r="F1059" s="19"/>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c r="AC1059" s="18"/>
      <c r="AD1059" s="19"/>
      <c r="AE1059" s="18"/>
      <c r="AF1059" s="18"/>
      <c r="AG1059" s="18"/>
      <c r="AH1059" s="18"/>
      <c r="AI1059" s="18"/>
      <c r="AJ1059" s="97"/>
      <c r="AK1059" s="18"/>
      <c r="AL1059" s="18"/>
    </row>
    <row r="1060" spans="4:38" x14ac:dyDescent="0.2">
      <c r="D1060" s="19"/>
      <c r="E1060" s="19"/>
      <c r="F1060" s="19"/>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c r="AC1060" s="18"/>
      <c r="AD1060" s="19"/>
      <c r="AE1060" s="18"/>
      <c r="AF1060" s="18"/>
      <c r="AG1060" s="18"/>
      <c r="AH1060" s="18"/>
      <c r="AI1060" s="18"/>
      <c r="AJ1060" s="97"/>
      <c r="AK1060" s="18"/>
      <c r="AL1060" s="18"/>
    </row>
    <row r="1061" spans="4:38" x14ac:dyDescent="0.2">
      <c r="D1061" s="19"/>
      <c r="E1061" s="19"/>
      <c r="F1061" s="19"/>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c r="AC1061" s="18"/>
      <c r="AD1061" s="19"/>
      <c r="AE1061" s="18"/>
      <c r="AF1061" s="18"/>
      <c r="AG1061" s="18"/>
      <c r="AH1061" s="18"/>
      <c r="AI1061" s="18"/>
      <c r="AJ1061" s="97"/>
      <c r="AK1061" s="18"/>
      <c r="AL1061" s="18"/>
    </row>
    <row r="1062" spans="4:38" x14ac:dyDescent="0.2">
      <c r="D1062" s="19"/>
      <c r="E1062" s="19"/>
      <c r="F1062" s="19"/>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c r="AD1062" s="19"/>
      <c r="AE1062" s="18"/>
      <c r="AF1062" s="18"/>
      <c r="AG1062" s="18"/>
      <c r="AH1062" s="18"/>
      <c r="AI1062" s="18"/>
      <c r="AJ1062" s="97"/>
      <c r="AK1062" s="18"/>
      <c r="AL1062" s="18"/>
    </row>
    <row r="1063" spans="4:38" x14ac:dyDescent="0.2">
      <c r="D1063" s="19"/>
      <c r="E1063" s="19"/>
      <c r="F1063" s="19"/>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9"/>
      <c r="AE1063" s="18"/>
      <c r="AF1063" s="18"/>
      <c r="AG1063" s="18"/>
      <c r="AH1063" s="18"/>
      <c r="AI1063" s="18"/>
      <c r="AJ1063" s="97"/>
      <c r="AK1063" s="18"/>
      <c r="AL1063" s="18"/>
    </row>
    <row r="1064" spans="4:38" x14ac:dyDescent="0.2">
      <c r="D1064" s="19"/>
      <c r="E1064" s="19"/>
      <c r="F1064" s="19"/>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c r="AD1064" s="19"/>
      <c r="AE1064" s="18"/>
      <c r="AF1064" s="18"/>
      <c r="AG1064" s="18"/>
      <c r="AH1064" s="18"/>
      <c r="AI1064" s="18"/>
      <c r="AJ1064" s="97"/>
      <c r="AK1064" s="18"/>
      <c r="AL1064" s="18"/>
    </row>
    <row r="1065" spans="4:38" x14ac:dyDescent="0.2">
      <c r="D1065" s="19"/>
      <c r="E1065" s="19"/>
      <c r="F1065" s="19"/>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c r="AC1065" s="18"/>
      <c r="AD1065" s="19"/>
      <c r="AE1065" s="18"/>
      <c r="AF1065" s="18"/>
      <c r="AG1065" s="18"/>
      <c r="AH1065" s="18"/>
      <c r="AI1065" s="18"/>
      <c r="AJ1065" s="97"/>
      <c r="AK1065" s="18"/>
      <c r="AL1065" s="18"/>
    </row>
    <row r="1066" spans="4:38" x14ac:dyDescent="0.2">
      <c r="D1066" s="19"/>
      <c r="E1066" s="19"/>
      <c r="F1066" s="19"/>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c r="AD1066" s="19"/>
      <c r="AE1066" s="18"/>
      <c r="AF1066" s="18"/>
      <c r="AG1066" s="18"/>
      <c r="AH1066" s="18"/>
      <c r="AI1066" s="18"/>
      <c r="AJ1066" s="97"/>
      <c r="AK1066" s="18"/>
      <c r="AL1066" s="18"/>
    </row>
    <row r="1067" spans="4:38" x14ac:dyDescent="0.2">
      <c r="D1067" s="19"/>
      <c r="E1067" s="19"/>
      <c r="F1067" s="19"/>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c r="AD1067" s="19"/>
      <c r="AE1067" s="18"/>
      <c r="AF1067" s="18"/>
      <c r="AG1067" s="18"/>
      <c r="AH1067" s="18"/>
      <c r="AI1067" s="18"/>
      <c r="AJ1067" s="97"/>
      <c r="AK1067" s="18"/>
      <c r="AL1067" s="18"/>
    </row>
    <row r="1068" spans="4:38" x14ac:dyDescent="0.2">
      <c r="D1068" s="19"/>
      <c r="E1068" s="19"/>
      <c r="F1068" s="19"/>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c r="AC1068" s="18"/>
      <c r="AD1068" s="19"/>
      <c r="AE1068" s="18"/>
      <c r="AF1068" s="18"/>
      <c r="AG1068" s="18"/>
      <c r="AH1068" s="18"/>
      <c r="AI1068" s="18"/>
      <c r="AJ1068" s="97"/>
      <c r="AK1068" s="18"/>
      <c r="AL1068" s="18"/>
    </row>
    <row r="1069" spans="4:38" x14ac:dyDescent="0.2">
      <c r="D1069" s="19"/>
      <c r="E1069" s="19"/>
      <c r="F1069" s="19"/>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c r="AC1069" s="18"/>
      <c r="AD1069" s="19"/>
      <c r="AE1069" s="18"/>
      <c r="AF1069" s="18"/>
      <c r="AG1069" s="18"/>
      <c r="AH1069" s="18"/>
      <c r="AI1069" s="18"/>
      <c r="AJ1069" s="97"/>
      <c r="AK1069" s="18"/>
      <c r="AL1069" s="18"/>
    </row>
    <row r="1070" spans="4:38" x14ac:dyDescent="0.2">
      <c r="D1070" s="19"/>
      <c r="E1070" s="19"/>
      <c r="F1070" s="19"/>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18"/>
      <c r="AC1070" s="18"/>
      <c r="AD1070" s="19"/>
      <c r="AE1070" s="18"/>
      <c r="AF1070" s="18"/>
      <c r="AG1070" s="18"/>
      <c r="AH1070" s="18"/>
      <c r="AI1070" s="18"/>
      <c r="AJ1070" s="97"/>
      <c r="AK1070" s="18"/>
      <c r="AL1070" s="18"/>
    </row>
    <row r="1071" spans="4:38" x14ac:dyDescent="0.2">
      <c r="D1071" s="19"/>
      <c r="E1071" s="19"/>
      <c r="F1071" s="19"/>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18"/>
      <c r="AC1071" s="18"/>
      <c r="AD1071" s="19"/>
      <c r="AE1071" s="18"/>
      <c r="AF1071" s="18"/>
      <c r="AG1071" s="18"/>
      <c r="AH1071" s="18"/>
      <c r="AI1071" s="18"/>
      <c r="AJ1071" s="97"/>
      <c r="AK1071" s="18"/>
      <c r="AL1071" s="18"/>
    </row>
    <row r="1072" spans="4:38" x14ac:dyDescent="0.2">
      <c r="D1072" s="19"/>
      <c r="E1072" s="19"/>
      <c r="F1072" s="19"/>
      <c r="G1072" s="18"/>
      <c r="H1072" s="18"/>
      <c r="I1072" s="18"/>
      <c r="J1072" s="18"/>
      <c r="K1072" s="18"/>
      <c r="L1072" s="18"/>
      <c r="M1072" s="18"/>
      <c r="N1072" s="18"/>
      <c r="O1072" s="18"/>
      <c r="P1072" s="18"/>
      <c r="Q1072" s="18"/>
      <c r="R1072" s="18"/>
      <c r="S1072" s="18"/>
      <c r="T1072" s="18"/>
      <c r="U1072" s="18"/>
      <c r="V1072" s="18"/>
      <c r="W1072" s="18"/>
      <c r="X1072" s="18"/>
      <c r="Y1072" s="18"/>
      <c r="Z1072" s="18"/>
      <c r="AA1072" s="18"/>
      <c r="AB1072" s="18"/>
      <c r="AC1072" s="18"/>
      <c r="AD1072" s="19"/>
      <c r="AE1072" s="18"/>
      <c r="AF1072" s="18"/>
      <c r="AG1072" s="18"/>
      <c r="AH1072" s="18"/>
      <c r="AI1072" s="18"/>
      <c r="AJ1072" s="97"/>
      <c r="AK1072" s="18"/>
      <c r="AL1072" s="18"/>
    </row>
    <row r="1073" spans="4:38" x14ac:dyDescent="0.2">
      <c r="D1073" s="19"/>
      <c r="E1073" s="19"/>
      <c r="F1073" s="19"/>
      <c r="G1073" s="18"/>
      <c r="H1073" s="18"/>
      <c r="I1073" s="18"/>
      <c r="J1073" s="18"/>
      <c r="K1073" s="18"/>
      <c r="L1073" s="18"/>
      <c r="M1073" s="18"/>
      <c r="N1073" s="18"/>
      <c r="O1073" s="18"/>
      <c r="P1073" s="18"/>
      <c r="Q1073" s="18"/>
      <c r="R1073" s="18"/>
      <c r="S1073" s="18"/>
      <c r="T1073" s="18"/>
      <c r="U1073" s="18"/>
      <c r="V1073" s="18"/>
      <c r="W1073" s="18"/>
      <c r="X1073" s="18"/>
      <c r="Y1073" s="18"/>
      <c r="Z1073" s="18"/>
      <c r="AA1073" s="18"/>
      <c r="AB1073" s="18"/>
      <c r="AC1073" s="18"/>
      <c r="AD1073" s="19"/>
      <c r="AE1073" s="18"/>
      <c r="AF1073" s="18"/>
      <c r="AG1073" s="18"/>
      <c r="AH1073" s="18"/>
      <c r="AI1073" s="18"/>
      <c r="AJ1073" s="97"/>
      <c r="AK1073" s="18"/>
      <c r="AL1073" s="18"/>
    </row>
    <row r="1074" spans="4:38" x14ac:dyDescent="0.2">
      <c r="D1074" s="19"/>
      <c r="E1074" s="19"/>
      <c r="F1074" s="19"/>
      <c r="G1074" s="18"/>
      <c r="H1074" s="18"/>
      <c r="I1074" s="18"/>
      <c r="J1074" s="18"/>
      <c r="K1074" s="18"/>
      <c r="L1074" s="18"/>
      <c r="M1074" s="18"/>
      <c r="N1074" s="18"/>
      <c r="O1074" s="18"/>
      <c r="P1074" s="18"/>
      <c r="Q1074" s="18"/>
      <c r="R1074" s="18"/>
      <c r="S1074" s="18"/>
      <c r="T1074" s="18"/>
      <c r="U1074" s="18"/>
      <c r="V1074" s="18"/>
      <c r="W1074" s="18"/>
      <c r="X1074" s="18"/>
      <c r="Y1074" s="18"/>
      <c r="Z1074" s="18"/>
      <c r="AA1074" s="18"/>
      <c r="AB1074" s="18"/>
      <c r="AC1074" s="18"/>
      <c r="AD1074" s="19"/>
      <c r="AE1074" s="18"/>
      <c r="AF1074" s="18"/>
      <c r="AG1074" s="18"/>
      <c r="AH1074" s="18"/>
      <c r="AI1074" s="18"/>
      <c r="AJ1074" s="97"/>
      <c r="AK1074" s="18"/>
      <c r="AL1074" s="18"/>
    </row>
    <row r="1075" spans="4:38" x14ac:dyDescent="0.2">
      <c r="D1075" s="19"/>
      <c r="E1075" s="19"/>
      <c r="F1075" s="19"/>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18"/>
      <c r="AC1075" s="18"/>
      <c r="AD1075" s="19"/>
      <c r="AE1075" s="18"/>
      <c r="AF1075" s="18"/>
      <c r="AG1075" s="18"/>
      <c r="AH1075" s="18"/>
      <c r="AI1075" s="18"/>
      <c r="AJ1075" s="97"/>
      <c r="AK1075" s="18"/>
      <c r="AL1075" s="18"/>
    </row>
    <row r="1076" spans="4:38" x14ac:dyDescent="0.2">
      <c r="D1076" s="19"/>
      <c r="E1076" s="19"/>
      <c r="F1076" s="19"/>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18"/>
      <c r="AC1076" s="18"/>
      <c r="AD1076" s="19"/>
      <c r="AE1076" s="18"/>
      <c r="AF1076" s="18"/>
      <c r="AG1076" s="18"/>
      <c r="AH1076" s="18"/>
      <c r="AI1076" s="18"/>
      <c r="AJ1076" s="97"/>
      <c r="AK1076" s="18"/>
      <c r="AL1076" s="18"/>
    </row>
    <row r="1077" spans="4:38" x14ac:dyDescent="0.2">
      <c r="D1077" s="19"/>
      <c r="E1077" s="19"/>
      <c r="F1077" s="19"/>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c r="AC1077" s="18"/>
      <c r="AD1077" s="19"/>
      <c r="AE1077" s="18"/>
      <c r="AF1077" s="18"/>
      <c r="AG1077" s="18"/>
      <c r="AH1077" s="18"/>
      <c r="AI1077" s="18"/>
      <c r="AJ1077" s="97"/>
      <c r="AK1077" s="18"/>
      <c r="AL1077" s="18"/>
    </row>
    <row r="1078" spans="4:38" x14ac:dyDescent="0.2">
      <c r="D1078" s="19"/>
      <c r="E1078" s="19"/>
      <c r="F1078" s="19"/>
      <c r="G1078" s="18"/>
      <c r="H1078" s="18"/>
      <c r="I1078" s="18"/>
      <c r="J1078" s="18"/>
      <c r="K1078" s="18"/>
      <c r="L1078" s="18"/>
      <c r="M1078" s="18"/>
      <c r="N1078" s="18"/>
      <c r="O1078" s="18"/>
      <c r="P1078" s="18"/>
      <c r="Q1078" s="18"/>
      <c r="R1078" s="18"/>
      <c r="S1078" s="18"/>
      <c r="T1078" s="18"/>
      <c r="U1078" s="18"/>
      <c r="V1078" s="18"/>
      <c r="W1078" s="18"/>
      <c r="X1078" s="18"/>
      <c r="Y1078" s="18"/>
      <c r="Z1078" s="18"/>
      <c r="AA1078" s="18"/>
      <c r="AB1078" s="18"/>
      <c r="AC1078" s="18"/>
      <c r="AD1078" s="19"/>
      <c r="AE1078" s="18"/>
      <c r="AF1078" s="18"/>
      <c r="AG1078" s="18"/>
      <c r="AH1078" s="18"/>
      <c r="AI1078" s="18"/>
      <c r="AJ1078" s="97"/>
      <c r="AK1078" s="18"/>
      <c r="AL1078" s="18"/>
    </row>
    <row r="1079" spans="4:38" x14ac:dyDescent="0.2">
      <c r="D1079" s="19"/>
      <c r="E1079" s="19"/>
      <c r="F1079" s="19"/>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c r="AC1079" s="18"/>
      <c r="AD1079" s="19"/>
      <c r="AE1079" s="18"/>
      <c r="AF1079" s="18"/>
      <c r="AG1079" s="18"/>
      <c r="AH1079" s="18"/>
      <c r="AI1079" s="18"/>
      <c r="AJ1079" s="97"/>
      <c r="AK1079" s="18"/>
      <c r="AL1079" s="18"/>
    </row>
    <row r="1080" spans="4:38" x14ac:dyDescent="0.2">
      <c r="D1080" s="19"/>
      <c r="E1080" s="19"/>
      <c r="F1080" s="19"/>
      <c r="G1080" s="18"/>
      <c r="H1080" s="18"/>
      <c r="I1080" s="18"/>
      <c r="J1080" s="18"/>
      <c r="K1080" s="18"/>
      <c r="L1080" s="18"/>
      <c r="M1080" s="18"/>
      <c r="N1080" s="18"/>
      <c r="O1080" s="18"/>
      <c r="P1080" s="18"/>
      <c r="Q1080" s="18"/>
      <c r="R1080" s="18"/>
      <c r="S1080" s="18"/>
      <c r="T1080" s="18"/>
      <c r="U1080" s="18"/>
      <c r="V1080" s="18"/>
      <c r="W1080" s="18"/>
      <c r="X1080" s="18"/>
      <c r="Y1080" s="18"/>
      <c r="Z1080" s="18"/>
      <c r="AA1080" s="18"/>
      <c r="AB1080" s="18"/>
      <c r="AC1080" s="18"/>
      <c r="AD1080" s="19"/>
      <c r="AE1080" s="18"/>
      <c r="AF1080" s="18"/>
      <c r="AG1080" s="18"/>
      <c r="AH1080" s="18"/>
      <c r="AI1080" s="18"/>
      <c r="AJ1080" s="97"/>
      <c r="AK1080" s="18"/>
      <c r="AL1080" s="18"/>
    </row>
    <row r="1081" spans="4:38" x14ac:dyDescent="0.2">
      <c r="D1081" s="19"/>
      <c r="E1081" s="19"/>
      <c r="F1081" s="19"/>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c r="AD1081" s="19"/>
      <c r="AE1081" s="18"/>
      <c r="AF1081" s="18"/>
      <c r="AG1081" s="18"/>
      <c r="AH1081" s="18"/>
      <c r="AI1081" s="18"/>
      <c r="AJ1081" s="97"/>
      <c r="AK1081" s="18"/>
      <c r="AL1081" s="18"/>
    </row>
    <row r="1082" spans="4:38" x14ac:dyDescent="0.2">
      <c r="D1082" s="19"/>
      <c r="E1082" s="19"/>
      <c r="F1082" s="19"/>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c r="AC1082" s="18"/>
      <c r="AD1082" s="19"/>
      <c r="AE1082" s="18"/>
      <c r="AF1082" s="18"/>
      <c r="AG1082" s="18"/>
      <c r="AH1082" s="18"/>
      <c r="AI1082" s="18"/>
      <c r="AJ1082" s="97"/>
      <c r="AK1082" s="18"/>
      <c r="AL1082" s="18"/>
    </row>
    <row r="1083" spans="4:38" x14ac:dyDescent="0.2">
      <c r="D1083" s="19"/>
      <c r="E1083" s="19"/>
      <c r="F1083" s="19"/>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c r="AC1083" s="18"/>
      <c r="AD1083" s="19"/>
      <c r="AE1083" s="18"/>
      <c r="AF1083" s="18"/>
      <c r="AG1083" s="18"/>
      <c r="AH1083" s="18"/>
      <c r="AI1083" s="18"/>
      <c r="AJ1083" s="97"/>
      <c r="AK1083" s="18"/>
      <c r="AL1083" s="18"/>
    </row>
    <row r="1084" spans="4:38" x14ac:dyDescent="0.2">
      <c r="D1084" s="19"/>
      <c r="E1084" s="19"/>
      <c r="F1084" s="19"/>
      <c r="G1084" s="18"/>
      <c r="H1084" s="18"/>
      <c r="I1084" s="18"/>
      <c r="J1084" s="18"/>
      <c r="K1084" s="18"/>
      <c r="L1084" s="18"/>
      <c r="M1084" s="18"/>
      <c r="N1084" s="18"/>
      <c r="O1084" s="18"/>
      <c r="P1084" s="18"/>
      <c r="Q1084" s="18"/>
      <c r="R1084" s="18"/>
      <c r="S1084" s="18"/>
      <c r="T1084" s="18"/>
      <c r="U1084" s="18"/>
      <c r="V1084" s="18"/>
      <c r="W1084" s="18"/>
      <c r="X1084" s="18"/>
      <c r="Y1084" s="18"/>
      <c r="Z1084" s="18"/>
      <c r="AA1084" s="18"/>
      <c r="AB1084" s="18"/>
      <c r="AC1084" s="18"/>
      <c r="AD1084" s="19"/>
      <c r="AE1084" s="18"/>
      <c r="AF1084" s="18"/>
      <c r="AG1084" s="18"/>
      <c r="AH1084" s="18"/>
      <c r="AI1084" s="18"/>
      <c r="AJ1084" s="97"/>
      <c r="AK1084" s="18"/>
      <c r="AL1084" s="18"/>
    </row>
    <row r="1085" spans="4:38" x14ac:dyDescent="0.2">
      <c r="D1085" s="19"/>
      <c r="E1085" s="19"/>
      <c r="F1085" s="19"/>
      <c r="G1085" s="18"/>
      <c r="H1085" s="18"/>
      <c r="I1085" s="18"/>
      <c r="J1085" s="18"/>
      <c r="K1085" s="18"/>
      <c r="L1085" s="18"/>
      <c r="M1085" s="18"/>
      <c r="N1085" s="18"/>
      <c r="O1085" s="18"/>
      <c r="P1085" s="18"/>
      <c r="Q1085" s="18"/>
      <c r="R1085" s="18"/>
      <c r="S1085" s="18"/>
      <c r="T1085" s="18"/>
      <c r="U1085" s="18"/>
      <c r="V1085" s="18"/>
      <c r="W1085" s="18"/>
      <c r="X1085" s="18"/>
      <c r="Y1085" s="18"/>
      <c r="Z1085" s="18"/>
      <c r="AA1085" s="18"/>
      <c r="AB1085" s="18"/>
      <c r="AC1085" s="18"/>
      <c r="AD1085" s="19"/>
      <c r="AE1085" s="18"/>
      <c r="AF1085" s="18"/>
      <c r="AG1085" s="18"/>
      <c r="AH1085" s="18"/>
      <c r="AI1085" s="18"/>
      <c r="AJ1085" s="97"/>
      <c r="AK1085" s="18"/>
      <c r="AL1085" s="18"/>
    </row>
    <row r="1086" spans="4:38" x14ac:dyDescent="0.2">
      <c r="D1086" s="19"/>
      <c r="E1086" s="19"/>
      <c r="F1086" s="19"/>
      <c r="G1086" s="18"/>
      <c r="H1086" s="18"/>
      <c r="I1086" s="18"/>
      <c r="J1086" s="18"/>
      <c r="K1086" s="18"/>
      <c r="L1086" s="18"/>
      <c r="M1086" s="18"/>
      <c r="N1086" s="18"/>
      <c r="O1086" s="18"/>
      <c r="P1086" s="18"/>
      <c r="Q1086" s="18"/>
      <c r="R1086" s="18"/>
      <c r="S1086" s="18"/>
      <c r="T1086" s="18"/>
      <c r="U1086" s="18"/>
      <c r="V1086" s="18"/>
      <c r="W1086" s="18"/>
      <c r="X1086" s="18"/>
      <c r="Y1086" s="18"/>
      <c r="Z1086" s="18"/>
      <c r="AA1086" s="18"/>
      <c r="AB1086" s="18"/>
      <c r="AC1086" s="18"/>
      <c r="AD1086" s="19"/>
      <c r="AE1086" s="18"/>
      <c r="AF1086" s="18"/>
      <c r="AG1086" s="18"/>
      <c r="AH1086" s="18"/>
      <c r="AI1086" s="18"/>
      <c r="AJ1086" s="97"/>
      <c r="AK1086" s="18"/>
      <c r="AL1086" s="18"/>
    </row>
    <row r="1087" spans="4:38" x14ac:dyDescent="0.2">
      <c r="D1087" s="19"/>
      <c r="E1087" s="19"/>
      <c r="F1087" s="19"/>
      <c r="G1087" s="18"/>
      <c r="H1087" s="18"/>
      <c r="I1087" s="18"/>
      <c r="J1087" s="18"/>
      <c r="K1087" s="18"/>
      <c r="L1087" s="18"/>
      <c r="M1087" s="18"/>
      <c r="N1087" s="18"/>
      <c r="O1087" s="18"/>
      <c r="P1087" s="18"/>
      <c r="Q1087" s="18"/>
      <c r="R1087" s="18"/>
      <c r="S1087" s="18"/>
      <c r="T1087" s="18"/>
      <c r="U1087" s="18"/>
      <c r="V1087" s="18"/>
      <c r="W1087" s="18"/>
      <c r="X1087" s="18"/>
      <c r="Y1087" s="18"/>
      <c r="Z1087" s="18"/>
      <c r="AA1087" s="18"/>
      <c r="AB1087" s="18"/>
      <c r="AC1087" s="18"/>
      <c r="AD1087" s="19"/>
      <c r="AE1087" s="18"/>
      <c r="AF1087" s="18"/>
      <c r="AG1087" s="18"/>
      <c r="AH1087" s="18"/>
      <c r="AI1087" s="18"/>
      <c r="AJ1087" s="97"/>
      <c r="AK1087" s="18"/>
      <c r="AL1087" s="18"/>
    </row>
    <row r="1088" spans="4:38" x14ac:dyDescent="0.2">
      <c r="D1088" s="19"/>
      <c r="E1088" s="19"/>
      <c r="F1088" s="19"/>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c r="AC1088" s="18"/>
      <c r="AD1088" s="19"/>
      <c r="AE1088" s="18"/>
      <c r="AF1088" s="18"/>
      <c r="AG1088" s="18"/>
      <c r="AH1088" s="18"/>
      <c r="AI1088" s="18"/>
      <c r="AJ1088" s="97"/>
      <c r="AK1088" s="18"/>
      <c r="AL1088" s="18"/>
    </row>
    <row r="1089" spans="4:38" x14ac:dyDescent="0.2">
      <c r="D1089" s="19"/>
      <c r="E1089" s="19"/>
      <c r="F1089" s="19"/>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c r="AC1089" s="18"/>
      <c r="AD1089" s="19"/>
      <c r="AE1089" s="18"/>
      <c r="AF1089" s="18"/>
      <c r="AG1089" s="18"/>
      <c r="AH1089" s="18"/>
      <c r="AI1089" s="18"/>
      <c r="AJ1089" s="97"/>
      <c r="AK1089" s="18"/>
      <c r="AL1089" s="18"/>
    </row>
    <row r="1090" spans="4:38" x14ac:dyDescent="0.2">
      <c r="D1090" s="19"/>
      <c r="E1090" s="19"/>
      <c r="F1090" s="19"/>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c r="AC1090" s="18"/>
      <c r="AD1090" s="19"/>
      <c r="AE1090" s="18"/>
      <c r="AF1090" s="18"/>
      <c r="AG1090" s="18"/>
      <c r="AH1090" s="18"/>
      <c r="AI1090" s="18"/>
      <c r="AJ1090" s="97"/>
      <c r="AK1090" s="18"/>
      <c r="AL1090" s="18"/>
    </row>
    <row r="1091" spans="4:38" x14ac:dyDescent="0.2">
      <c r="D1091" s="19"/>
      <c r="E1091" s="19"/>
      <c r="F1091" s="19"/>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c r="AC1091" s="18"/>
      <c r="AD1091" s="19"/>
      <c r="AE1091" s="18"/>
      <c r="AF1091" s="18"/>
      <c r="AG1091" s="18"/>
      <c r="AH1091" s="18"/>
      <c r="AI1091" s="18"/>
      <c r="AJ1091" s="97"/>
      <c r="AK1091" s="18"/>
      <c r="AL1091" s="18"/>
    </row>
    <row r="1092" spans="4:38" x14ac:dyDescent="0.2">
      <c r="D1092" s="19"/>
      <c r="E1092" s="19"/>
      <c r="F1092" s="19"/>
      <c r="G1092" s="18"/>
      <c r="H1092" s="18"/>
      <c r="I1092" s="18"/>
      <c r="J1092" s="18"/>
      <c r="K1092" s="18"/>
      <c r="L1092" s="18"/>
      <c r="M1092" s="18"/>
      <c r="N1092" s="18"/>
      <c r="O1092" s="18"/>
      <c r="P1092" s="18"/>
      <c r="Q1092" s="18"/>
      <c r="R1092" s="18"/>
      <c r="S1092" s="18"/>
      <c r="T1092" s="18"/>
      <c r="U1092" s="18"/>
      <c r="V1092" s="18"/>
      <c r="W1092" s="18"/>
      <c r="X1092" s="18"/>
      <c r="Y1092" s="18"/>
      <c r="Z1092" s="18"/>
      <c r="AA1092" s="18"/>
      <c r="AB1092" s="18"/>
      <c r="AC1092" s="18"/>
      <c r="AD1092" s="19"/>
      <c r="AE1092" s="18"/>
      <c r="AF1092" s="18"/>
      <c r="AG1092" s="18"/>
      <c r="AH1092" s="18"/>
      <c r="AI1092" s="18"/>
      <c r="AJ1092" s="97"/>
      <c r="AK1092" s="18"/>
      <c r="AL1092" s="18"/>
    </row>
    <row r="1093" spans="4:38" x14ac:dyDescent="0.2">
      <c r="D1093" s="19"/>
      <c r="E1093" s="19"/>
      <c r="F1093" s="19"/>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c r="AD1093" s="19"/>
      <c r="AE1093" s="18"/>
      <c r="AF1093" s="18"/>
      <c r="AG1093" s="18"/>
      <c r="AH1093" s="18"/>
      <c r="AI1093" s="18"/>
      <c r="AJ1093" s="97"/>
      <c r="AK1093" s="18"/>
      <c r="AL1093" s="18"/>
    </row>
    <row r="1094" spans="4:38" x14ac:dyDescent="0.2">
      <c r="D1094" s="19"/>
      <c r="E1094" s="19"/>
      <c r="F1094" s="19"/>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c r="AD1094" s="19"/>
      <c r="AE1094" s="18"/>
      <c r="AF1094" s="18"/>
      <c r="AG1094" s="18"/>
      <c r="AH1094" s="18"/>
      <c r="AI1094" s="18"/>
      <c r="AJ1094" s="97"/>
      <c r="AK1094" s="18"/>
      <c r="AL1094" s="18"/>
    </row>
    <row r="1095" spans="4:38" x14ac:dyDescent="0.2">
      <c r="D1095" s="19"/>
      <c r="E1095" s="19"/>
      <c r="F1095" s="19"/>
      <c r="G1095" s="18"/>
      <c r="H1095" s="18"/>
      <c r="I1095" s="18"/>
      <c r="J1095" s="18"/>
      <c r="K1095" s="18"/>
      <c r="L1095" s="18"/>
      <c r="M1095" s="18"/>
      <c r="N1095" s="18"/>
      <c r="O1095" s="18"/>
      <c r="P1095" s="18"/>
      <c r="Q1095" s="18"/>
      <c r="R1095" s="18"/>
      <c r="S1095" s="18"/>
      <c r="T1095" s="18"/>
      <c r="U1095" s="18"/>
      <c r="V1095" s="18"/>
      <c r="W1095" s="18"/>
      <c r="X1095" s="18"/>
      <c r="Y1095" s="18"/>
      <c r="Z1095" s="18"/>
      <c r="AA1095" s="18"/>
      <c r="AB1095" s="18"/>
      <c r="AC1095" s="18"/>
      <c r="AD1095" s="19"/>
      <c r="AE1095" s="18"/>
      <c r="AF1095" s="18"/>
      <c r="AG1095" s="18"/>
      <c r="AH1095" s="18"/>
      <c r="AI1095" s="18"/>
      <c r="AJ1095" s="97"/>
      <c r="AK1095" s="18"/>
      <c r="AL1095" s="18"/>
    </row>
    <row r="1096" spans="4:38" x14ac:dyDescent="0.2">
      <c r="D1096" s="19"/>
      <c r="E1096" s="19"/>
      <c r="F1096" s="19"/>
      <c r="G1096" s="18"/>
      <c r="H1096" s="18"/>
      <c r="I1096" s="18"/>
      <c r="J1096" s="18"/>
      <c r="K1096" s="18"/>
      <c r="L1096" s="18"/>
      <c r="M1096" s="18"/>
      <c r="N1096" s="18"/>
      <c r="O1096" s="18"/>
      <c r="P1096" s="18"/>
      <c r="Q1096" s="18"/>
      <c r="R1096" s="18"/>
      <c r="S1096" s="18"/>
      <c r="T1096" s="18"/>
      <c r="U1096" s="18"/>
      <c r="V1096" s="18"/>
      <c r="W1096" s="18"/>
      <c r="X1096" s="18"/>
      <c r="Y1096" s="18"/>
      <c r="Z1096" s="18"/>
      <c r="AA1096" s="18"/>
      <c r="AB1096" s="18"/>
      <c r="AC1096" s="18"/>
      <c r="AD1096" s="19"/>
      <c r="AE1096" s="18"/>
      <c r="AF1096" s="18"/>
      <c r="AG1096" s="18"/>
      <c r="AH1096" s="18"/>
      <c r="AI1096" s="18"/>
      <c r="AJ1096" s="97"/>
      <c r="AK1096" s="18"/>
      <c r="AL1096" s="18"/>
    </row>
    <row r="1097" spans="4:38" x14ac:dyDescent="0.2">
      <c r="D1097" s="19"/>
      <c r="E1097" s="19"/>
      <c r="F1097" s="19"/>
      <c r="G1097" s="18"/>
      <c r="H1097" s="18"/>
      <c r="I1097" s="18"/>
      <c r="J1097" s="18"/>
      <c r="K1097" s="18"/>
      <c r="L1097" s="18"/>
      <c r="M1097" s="18"/>
      <c r="N1097" s="18"/>
      <c r="O1097" s="18"/>
      <c r="P1097" s="18"/>
      <c r="Q1097" s="18"/>
      <c r="R1097" s="18"/>
      <c r="S1097" s="18"/>
      <c r="T1097" s="18"/>
      <c r="U1097" s="18"/>
      <c r="V1097" s="18"/>
      <c r="W1097" s="18"/>
      <c r="X1097" s="18"/>
      <c r="Y1097" s="18"/>
      <c r="Z1097" s="18"/>
      <c r="AA1097" s="18"/>
      <c r="AB1097" s="18"/>
      <c r="AC1097" s="18"/>
      <c r="AD1097" s="19"/>
      <c r="AE1097" s="18"/>
      <c r="AF1097" s="18"/>
      <c r="AG1097" s="18"/>
      <c r="AH1097" s="18"/>
      <c r="AI1097" s="18"/>
      <c r="AJ1097" s="97"/>
      <c r="AK1097" s="18"/>
      <c r="AL1097" s="18"/>
    </row>
    <row r="1098" spans="4:38" x14ac:dyDescent="0.2">
      <c r="D1098" s="19"/>
      <c r="E1098" s="19"/>
      <c r="F1098" s="19"/>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c r="AC1098" s="18"/>
      <c r="AD1098" s="19"/>
      <c r="AE1098" s="18"/>
      <c r="AF1098" s="18"/>
      <c r="AG1098" s="18"/>
      <c r="AH1098" s="18"/>
      <c r="AI1098" s="18"/>
      <c r="AJ1098" s="97"/>
      <c r="AK1098" s="18"/>
      <c r="AL1098" s="18"/>
    </row>
    <row r="1099" spans="4:38" x14ac:dyDescent="0.2">
      <c r="D1099" s="19"/>
      <c r="E1099" s="19"/>
      <c r="F1099" s="19"/>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c r="AC1099" s="18"/>
      <c r="AD1099" s="19"/>
      <c r="AE1099" s="18"/>
      <c r="AF1099" s="18"/>
      <c r="AG1099" s="18"/>
      <c r="AH1099" s="18"/>
      <c r="AI1099" s="18"/>
      <c r="AJ1099" s="97"/>
      <c r="AK1099" s="18"/>
      <c r="AL1099" s="18"/>
    </row>
    <row r="1100" spans="4:38" x14ac:dyDescent="0.2">
      <c r="D1100" s="19"/>
      <c r="E1100" s="19"/>
      <c r="F1100" s="19"/>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c r="AC1100" s="18"/>
      <c r="AD1100" s="19"/>
      <c r="AE1100" s="18"/>
      <c r="AF1100" s="18"/>
      <c r="AG1100" s="18"/>
      <c r="AH1100" s="18"/>
      <c r="AI1100" s="18"/>
      <c r="AJ1100" s="97"/>
      <c r="AK1100" s="18"/>
      <c r="AL1100" s="18"/>
    </row>
    <row r="1101" spans="4:38" x14ac:dyDescent="0.2">
      <c r="D1101" s="19"/>
      <c r="E1101" s="19"/>
      <c r="F1101" s="19"/>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c r="AC1101" s="18"/>
      <c r="AD1101" s="19"/>
      <c r="AE1101" s="18"/>
      <c r="AF1101" s="18"/>
      <c r="AG1101" s="18"/>
      <c r="AH1101" s="18"/>
      <c r="AI1101" s="18"/>
      <c r="AJ1101" s="97"/>
      <c r="AK1101" s="18"/>
      <c r="AL1101" s="18"/>
    </row>
    <row r="1102" spans="4:38" x14ac:dyDescent="0.2">
      <c r="D1102" s="19"/>
      <c r="E1102" s="19"/>
      <c r="F1102" s="19"/>
      <c r="G1102" s="18"/>
      <c r="H1102" s="18"/>
      <c r="I1102" s="18"/>
      <c r="J1102" s="18"/>
      <c r="K1102" s="18"/>
      <c r="L1102" s="18"/>
      <c r="M1102" s="18"/>
      <c r="N1102" s="18"/>
      <c r="O1102" s="18"/>
      <c r="P1102" s="18"/>
      <c r="Q1102" s="18"/>
      <c r="R1102" s="18"/>
      <c r="S1102" s="18"/>
      <c r="T1102" s="18"/>
      <c r="U1102" s="18"/>
      <c r="V1102" s="18"/>
      <c r="W1102" s="18"/>
      <c r="X1102" s="18"/>
      <c r="Y1102" s="18"/>
      <c r="Z1102" s="18"/>
      <c r="AA1102" s="18"/>
      <c r="AB1102" s="18"/>
      <c r="AC1102" s="18"/>
      <c r="AD1102" s="19"/>
      <c r="AE1102" s="18"/>
      <c r="AF1102" s="18"/>
      <c r="AG1102" s="18"/>
      <c r="AH1102" s="18"/>
      <c r="AI1102" s="18"/>
      <c r="AJ1102" s="97"/>
      <c r="AK1102" s="18"/>
      <c r="AL1102" s="18"/>
    </row>
    <row r="1103" spans="4:38" x14ac:dyDescent="0.2">
      <c r="D1103" s="19"/>
      <c r="E1103" s="19"/>
      <c r="F1103" s="19"/>
      <c r="G1103" s="18"/>
      <c r="H1103" s="18"/>
      <c r="I1103" s="18"/>
      <c r="J1103" s="18"/>
      <c r="K1103" s="18"/>
      <c r="L1103" s="18"/>
      <c r="M1103" s="18"/>
      <c r="N1103" s="18"/>
      <c r="O1103" s="18"/>
      <c r="P1103" s="18"/>
      <c r="Q1103" s="18"/>
      <c r="R1103" s="18"/>
      <c r="S1103" s="18"/>
      <c r="T1103" s="18"/>
      <c r="U1103" s="18"/>
      <c r="V1103" s="18"/>
      <c r="W1103" s="18"/>
      <c r="X1103" s="18"/>
      <c r="Y1103" s="18"/>
      <c r="Z1103" s="18"/>
      <c r="AA1103" s="18"/>
      <c r="AB1103" s="18"/>
      <c r="AC1103" s="18"/>
      <c r="AD1103" s="19"/>
      <c r="AE1103" s="18"/>
      <c r="AF1103" s="18"/>
      <c r="AG1103" s="18"/>
      <c r="AH1103" s="18"/>
      <c r="AI1103" s="18"/>
      <c r="AJ1103" s="97"/>
      <c r="AK1103" s="18"/>
      <c r="AL1103" s="18"/>
    </row>
    <row r="1104" spans="4:38" x14ac:dyDescent="0.2">
      <c r="D1104" s="19"/>
      <c r="E1104" s="19"/>
      <c r="F1104" s="19"/>
      <c r="G1104" s="18"/>
      <c r="H1104" s="18"/>
      <c r="I1104" s="18"/>
      <c r="J1104" s="18"/>
      <c r="K1104" s="18"/>
      <c r="L1104" s="18"/>
      <c r="M1104" s="18"/>
      <c r="N1104" s="18"/>
      <c r="O1104" s="18"/>
      <c r="P1104" s="18"/>
      <c r="Q1104" s="18"/>
      <c r="R1104" s="18"/>
      <c r="S1104" s="18"/>
      <c r="T1104" s="18"/>
      <c r="U1104" s="18"/>
      <c r="V1104" s="18"/>
      <c r="W1104" s="18"/>
      <c r="X1104" s="18"/>
      <c r="Y1104" s="18"/>
      <c r="Z1104" s="18"/>
      <c r="AA1104" s="18"/>
      <c r="AB1104" s="18"/>
      <c r="AC1104" s="18"/>
      <c r="AD1104" s="19"/>
      <c r="AE1104" s="18"/>
      <c r="AF1104" s="18"/>
      <c r="AG1104" s="18"/>
      <c r="AH1104" s="18"/>
      <c r="AI1104" s="18"/>
      <c r="AJ1104" s="97"/>
      <c r="AK1104" s="18"/>
      <c r="AL1104" s="18"/>
    </row>
    <row r="1105" spans="4:38" x14ac:dyDescent="0.2">
      <c r="D1105" s="19"/>
      <c r="E1105" s="19"/>
      <c r="F1105" s="19"/>
      <c r="G1105" s="18"/>
      <c r="H1105" s="18"/>
      <c r="I1105" s="18"/>
      <c r="J1105" s="18"/>
      <c r="K1105" s="18"/>
      <c r="L1105" s="18"/>
      <c r="M1105" s="18"/>
      <c r="N1105" s="18"/>
      <c r="O1105" s="18"/>
      <c r="P1105" s="18"/>
      <c r="Q1105" s="18"/>
      <c r="R1105" s="18"/>
      <c r="S1105" s="18"/>
      <c r="T1105" s="18"/>
      <c r="U1105" s="18"/>
      <c r="V1105" s="18"/>
      <c r="W1105" s="18"/>
      <c r="X1105" s="18"/>
      <c r="Y1105" s="18"/>
      <c r="Z1105" s="18"/>
      <c r="AA1105" s="18"/>
      <c r="AB1105" s="18"/>
      <c r="AC1105" s="18"/>
      <c r="AD1105" s="19"/>
      <c r="AE1105" s="18"/>
      <c r="AF1105" s="18"/>
      <c r="AG1105" s="18"/>
      <c r="AH1105" s="18"/>
      <c r="AI1105" s="18"/>
      <c r="AJ1105" s="97"/>
      <c r="AK1105" s="18"/>
      <c r="AL1105" s="18"/>
    </row>
    <row r="1106" spans="4:38" x14ac:dyDescent="0.2">
      <c r="D1106" s="19"/>
      <c r="E1106" s="19"/>
      <c r="F1106" s="19"/>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c r="AC1106" s="18"/>
      <c r="AD1106" s="19"/>
      <c r="AE1106" s="18"/>
      <c r="AF1106" s="18"/>
      <c r="AG1106" s="18"/>
      <c r="AH1106" s="18"/>
      <c r="AI1106" s="18"/>
      <c r="AJ1106" s="97"/>
      <c r="AK1106" s="18"/>
      <c r="AL1106" s="18"/>
    </row>
    <row r="1107" spans="4:38" x14ac:dyDescent="0.2">
      <c r="D1107" s="19"/>
      <c r="E1107" s="19"/>
      <c r="F1107" s="19"/>
      <c r="G1107" s="18"/>
      <c r="H1107" s="18"/>
      <c r="I1107" s="18"/>
      <c r="J1107" s="18"/>
      <c r="K1107" s="18"/>
      <c r="L1107" s="18"/>
      <c r="M1107" s="18"/>
      <c r="N1107" s="18"/>
      <c r="O1107" s="18"/>
      <c r="P1107" s="18"/>
      <c r="Q1107" s="18"/>
      <c r="R1107" s="18"/>
      <c r="S1107" s="18"/>
      <c r="T1107" s="18"/>
      <c r="U1107" s="18"/>
      <c r="V1107" s="18"/>
      <c r="W1107" s="18"/>
      <c r="X1107" s="18"/>
      <c r="Y1107" s="18"/>
      <c r="Z1107" s="18"/>
      <c r="AA1107" s="18"/>
      <c r="AB1107" s="18"/>
      <c r="AC1107" s="18"/>
      <c r="AD1107" s="19"/>
      <c r="AE1107" s="18"/>
      <c r="AF1107" s="18"/>
      <c r="AG1107" s="18"/>
      <c r="AH1107" s="18"/>
      <c r="AI1107" s="18"/>
      <c r="AJ1107" s="97"/>
      <c r="AK1107" s="18"/>
      <c r="AL1107" s="18"/>
    </row>
    <row r="1108" spans="4:38" x14ac:dyDescent="0.2">
      <c r="D1108" s="19"/>
      <c r="E1108" s="19"/>
      <c r="F1108" s="19"/>
      <c r="G1108" s="18"/>
      <c r="H1108" s="18"/>
      <c r="I1108" s="18"/>
      <c r="J1108" s="18"/>
      <c r="K1108" s="18"/>
      <c r="L1108" s="18"/>
      <c r="M1108" s="18"/>
      <c r="N1108" s="18"/>
      <c r="O1108" s="18"/>
      <c r="P1108" s="18"/>
      <c r="Q1108" s="18"/>
      <c r="R1108" s="18"/>
      <c r="S1108" s="18"/>
      <c r="T1108" s="18"/>
      <c r="U1108" s="18"/>
      <c r="V1108" s="18"/>
      <c r="W1108" s="18"/>
      <c r="X1108" s="18"/>
      <c r="Y1108" s="18"/>
      <c r="Z1108" s="18"/>
      <c r="AA1108" s="18"/>
      <c r="AB1108" s="18"/>
      <c r="AC1108" s="18"/>
      <c r="AD1108" s="19"/>
      <c r="AE1108" s="18"/>
      <c r="AF1108" s="18"/>
      <c r="AG1108" s="18"/>
      <c r="AH1108" s="18"/>
      <c r="AI1108" s="18"/>
      <c r="AJ1108" s="97"/>
      <c r="AK1108" s="18"/>
      <c r="AL1108" s="18"/>
    </row>
    <row r="1109" spans="4:38" x14ac:dyDescent="0.2">
      <c r="D1109" s="19"/>
      <c r="E1109" s="19"/>
      <c r="F1109" s="19"/>
      <c r="G1109" s="18"/>
      <c r="H1109" s="18"/>
      <c r="I1109" s="18"/>
      <c r="J1109" s="18"/>
      <c r="K1109" s="18"/>
      <c r="L1109" s="18"/>
      <c r="M1109" s="18"/>
      <c r="N1109" s="18"/>
      <c r="O1109" s="18"/>
      <c r="P1109" s="18"/>
      <c r="Q1109" s="18"/>
      <c r="R1109" s="18"/>
      <c r="S1109" s="18"/>
      <c r="T1109" s="18"/>
      <c r="U1109" s="18"/>
      <c r="V1109" s="18"/>
      <c r="W1109" s="18"/>
      <c r="X1109" s="18"/>
      <c r="Y1109" s="18"/>
      <c r="Z1109" s="18"/>
      <c r="AA1109" s="18"/>
      <c r="AB1109" s="18"/>
      <c r="AC1109" s="18"/>
      <c r="AD1109" s="19"/>
      <c r="AE1109" s="18"/>
      <c r="AF1109" s="18"/>
      <c r="AG1109" s="18"/>
      <c r="AH1109" s="18"/>
      <c r="AI1109" s="18"/>
      <c r="AJ1109" s="97"/>
      <c r="AK1109" s="18"/>
      <c r="AL1109" s="18"/>
    </row>
    <row r="1110" spans="4:38" x14ac:dyDescent="0.2">
      <c r="D1110" s="19"/>
      <c r="E1110" s="19"/>
      <c r="F1110" s="19"/>
      <c r="G1110" s="18"/>
      <c r="H1110" s="18"/>
      <c r="I1110" s="18"/>
      <c r="J1110" s="18"/>
      <c r="K1110" s="18"/>
      <c r="L1110" s="18"/>
      <c r="M1110" s="18"/>
      <c r="N1110" s="18"/>
      <c r="O1110" s="18"/>
      <c r="P1110" s="18"/>
      <c r="Q1110" s="18"/>
      <c r="R1110" s="18"/>
      <c r="S1110" s="18"/>
      <c r="T1110" s="18"/>
      <c r="U1110" s="18"/>
      <c r="V1110" s="18"/>
      <c r="W1110" s="18"/>
      <c r="X1110" s="18"/>
      <c r="Y1110" s="18"/>
      <c r="Z1110" s="18"/>
      <c r="AA1110" s="18"/>
      <c r="AB1110" s="18"/>
      <c r="AC1110" s="18"/>
      <c r="AD1110" s="19"/>
      <c r="AE1110" s="18"/>
      <c r="AF1110" s="18"/>
      <c r="AG1110" s="18"/>
      <c r="AH1110" s="18"/>
      <c r="AI1110" s="18"/>
      <c r="AJ1110" s="97"/>
      <c r="AK1110" s="18"/>
      <c r="AL1110" s="18"/>
    </row>
    <row r="1111" spans="4:38" x14ac:dyDescent="0.2">
      <c r="D1111" s="19"/>
      <c r="E1111" s="19"/>
      <c r="F1111" s="19"/>
      <c r="G1111" s="18"/>
      <c r="H1111" s="18"/>
      <c r="I1111" s="18"/>
      <c r="J1111" s="18"/>
      <c r="K1111" s="18"/>
      <c r="L1111" s="18"/>
      <c r="M1111" s="18"/>
      <c r="N1111" s="18"/>
      <c r="O1111" s="18"/>
      <c r="P1111" s="18"/>
      <c r="Q1111" s="18"/>
      <c r="R1111" s="18"/>
      <c r="S1111" s="18"/>
      <c r="T1111" s="18"/>
      <c r="U1111" s="18"/>
      <c r="V1111" s="18"/>
      <c r="W1111" s="18"/>
      <c r="X1111" s="18"/>
      <c r="Y1111" s="18"/>
      <c r="Z1111" s="18"/>
      <c r="AA1111" s="18"/>
      <c r="AB1111" s="18"/>
      <c r="AC1111" s="18"/>
      <c r="AD1111" s="19"/>
      <c r="AE1111" s="18"/>
      <c r="AF1111" s="18"/>
      <c r="AG1111" s="18"/>
      <c r="AH1111" s="18"/>
      <c r="AI1111" s="18"/>
      <c r="AJ1111" s="97"/>
      <c r="AK1111" s="18"/>
      <c r="AL1111" s="18"/>
    </row>
    <row r="1112" spans="4:38" x14ac:dyDescent="0.2">
      <c r="D1112" s="19"/>
      <c r="E1112" s="19"/>
      <c r="F1112" s="19"/>
      <c r="G1112" s="18"/>
      <c r="H1112" s="18"/>
      <c r="I1112" s="18"/>
      <c r="J1112" s="18"/>
      <c r="K1112" s="18"/>
      <c r="L1112" s="18"/>
      <c r="M1112" s="18"/>
      <c r="N1112" s="18"/>
      <c r="O1112" s="18"/>
      <c r="P1112" s="18"/>
      <c r="Q1112" s="18"/>
      <c r="R1112" s="18"/>
      <c r="S1112" s="18"/>
      <c r="T1112" s="18"/>
      <c r="U1112" s="18"/>
      <c r="V1112" s="18"/>
      <c r="W1112" s="18"/>
      <c r="X1112" s="18"/>
      <c r="Y1112" s="18"/>
      <c r="Z1112" s="18"/>
      <c r="AA1112" s="18"/>
      <c r="AB1112" s="18"/>
      <c r="AC1112" s="18"/>
      <c r="AD1112" s="19"/>
      <c r="AE1112" s="18"/>
      <c r="AF1112" s="18"/>
      <c r="AG1112" s="18"/>
      <c r="AH1112" s="18"/>
      <c r="AI1112" s="18"/>
      <c r="AJ1112" s="97"/>
      <c r="AK1112" s="18"/>
      <c r="AL1112" s="18"/>
    </row>
    <row r="1113" spans="4:38" x14ac:dyDescent="0.2">
      <c r="D1113" s="19"/>
      <c r="E1113" s="19"/>
      <c r="F1113" s="19"/>
      <c r="G1113" s="18"/>
      <c r="H1113" s="18"/>
      <c r="I1113" s="18"/>
      <c r="J1113" s="18"/>
      <c r="K1113" s="18"/>
      <c r="L1113" s="18"/>
      <c r="M1113" s="18"/>
      <c r="N1113" s="18"/>
      <c r="O1113" s="18"/>
      <c r="P1113" s="18"/>
      <c r="Q1113" s="18"/>
      <c r="R1113" s="18"/>
      <c r="S1113" s="18"/>
      <c r="T1113" s="18"/>
      <c r="U1113" s="18"/>
      <c r="V1113" s="18"/>
      <c r="W1113" s="18"/>
      <c r="X1113" s="18"/>
      <c r="Y1113" s="18"/>
      <c r="Z1113" s="18"/>
      <c r="AA1113" s="18"/>
      <c r="AB1113" s="18"/>
      <c r="AC1113" s="18"/>
      <c r="AD1113" s="19"/>
      <c r="AE1113" s="18"/>
      <c r="AF1113" s="18"/>
      <c r="AG1113" s="18"/>
      <c r="AH1113" s="18"/>
      <c r="AI1113" s="18"/>
      <c r="AJ1113" s="97"/>
      <c r="AK1113" s="18"/>
      <c r="AL1113" s="18"/>
    </row>
    <row r="1114" spans="4:38" x14ac:dyDescent="0.2">
      <c r="D1114" s="19"/>
      <c r="E1114" s="19"/>
      <c r="F1114" s="19"/>
      <c r="G1114" s="18"/>
      <c r="H1114" s="18"/>
      <c r="I1114" s="18"/>
      <c r="J1114" s="18"/>
      <c r="K1114" s="18"/>
      <c r="L1114" s="18"/>
      <c r="M1114" s="18"/>
      <c r="N1114" s="18"/>
      <c r="O1114" s="18"/>
      <c r="P1114" s="18"/>
      <c r="Q1114" s="18"/>
      <c r="R1114" s="18"/>
      <c r="S1114" s="18"/>
      <c r="T1114" s="18"/>
      <c r="U1114" s="18"/>
      <c r="V1114" s="18"/>
      <c r="W1114" s="18"/>
      <c r="X1114" s="18"/>
      <c r="Y1114" s="18"/>
      <c r="Z1114" s="18"/>
      <c r="AA1114" s="18"/>
      <c r="AB1114" s="18"/>
      <c r="AC1114" s="18"/>
      <c r="AD1114" s="19"/>
      <c r="AE1114" s="18"/>
      <c r="AF1114" s="18"/>
      <c r="AG1114" s="18"/>
      <c r="AH1114" s="18"/>
      <c r="AI1114" s="18"/>
      <c r="AJ1114" s="97"/>
      <c r="AK1114" s="18"/>
      <c r="AL1114" s="18"/>
    </row>
    <row r="1115" spans="4:38" x14ac:dyDescent="0.2">
      <c r="D1115" s="19"/>
      <c r="E1115" s="19"/>
      <c r="F1115" s="19"/>
      <c r="G1115" s="18"/>
      <c r="H1115" s="18"/>
      <c r="I1115" s="18"/>
      <c r="J1115" s="18"/>
      <c r="K1115" s="18"/>
      <c r="L1115" s="18"/>
      <c r="M1115" s="18"/>
      <c r="N1115" s="18"/>
      <c r="O1115" s="18"/>
      <c r="P1115" s="18"/>
      <c r="Q1115" s="18"/>
      <c r="R1115" s="18"/>
      <c r="S1115" s="18"/>
      <c r="T1115" s="18"/>
      <c r="U1115" s="18"/>
      <c r="V1115" s="18"/>
      <c r="W1115" s="18"/>
      <c r="X1115" s="18"/>
      <c r="Y1115" s="18"/>
      <c r="Z1115" s="18"/>
      <c r="AA1115" s="18"/>
      <c r="AB1115" s="18"/>
      <c r="AC1115" s="18"/>
      <c r="AD1115" s="19"/>
      <c r="AE1115" s="18"/>
      <c r="AF1115" s="18"/>
      <c r="AG1115" s="18"/>
      <c r="AH1115" s="18"/>
      <c r="AI1115" s="18"/>
      <c r="AJ1115" s="97"/>
      <c r="AK1115" s="18"/>
      <c r="AL1115" s="18"/>
    </row>
    <row r="1116" spans="4:38" x14ac:dyDescent="0.2">
      <c r="D1116" s="19"/>
      <c r="E1116" s="19"/>
      <c r="F1116" s="19"/>
      <c r="G1116" s="18"/>
      <c r="H1116" s="18"/>
      <c r="I1116" s="18"/>
      <c r="J1116" s="18"/>
      <c r="K1116" s="18"/>
      <c r="L1116" s="18"/>
      <c r="M1116" s="18"/>
      <c r="N1116" s="18"/>
      <c r="O1116" s="18"/>
      <c r="P1116" s="18"/>
      <c r="Q1116" s="18"/>
      <c r="R1116" s="18"/>
      <c r="S1116" s="18"/>
      <c r="T1116" s="18"/>
      <c r="U1116" s="18"/>
      <c r="V1116" s="18"/>
      <c r="W1116" s="18"/>
      <c r="X1116" s="18"/>
      <c r="Y1116" s="18"/>
      <c r="Z1116" s="18"/>
      <c r="AA1116" s="18"/>
      <c r="AB1116" s="18"/>
      <c r="AC1116" s="18"/>
      <c r="AD1116" s="19"/>
      <c r="AE1116" s="18"/>
      <c r="AF1116" s="18"/>
      <c r="AG1116" s="18"/>
      <c r="AH1116" s="18"/>
      <c r="AI1116" s="18"/>
      <c r="AJ1116" s="97"/>
      <c r="AK1116" s="18"/>
      <c r="AL1116" s="18"/>
    </row>
    <row r="1117" spans="4:38" x14ac:dyDescent="0.2">
      <c r="D1117" s="19"/>
      <c r="E1117" s="19"/>
      <c r="F1117" s="19"/>
      <c r="G1117" s="18"/>
      <c r="H1117" s="18"/>
      <c r="I1117" s="18"/>
      <c r="J1117" s="18"/>
      <c r="K1117" s="18"/>
      <c r="L1117" s="18"/>
      <c r="M1117" s="18"/>
      <c r="N1117" s="18"/>
      <c r="O1117" s="18"/>
      <c r="P1117" s="18"/>
      <c r="Q1117" s="18"/>
      <c r="R1117" s="18"/>
      <c r="S1117" s="18"/>
      <c r="T1117" s="18"/>
      <c r="U1117" s="18"/>
      <c r="V1117" s="18"/>
      <c r="W1117" s="18"/>
      <c r="X1117" s="18"/>
      <c r="Y1117" s="18"/>
      <c r="Z1117" s="18"/>
      <c r="AA1117" s="18"/>
      <c r="AB1117" s="18"/>
      <c r="AC1117" s="18"/>
      <c r="AD1117" s="19"/>
      <c r="AE1117" s="18"/>
      <c r="AF1117" s="18"/>
      <c r="AG1117" s="18"/>
      <c r="AH1117" s="18"/>
      <c r="AI1117" s="18"/>
      <c r="AJ1117" s="97"/>
      <c r="AK1117" s="18"/>
      <c r="AL1117" s="18"/>
    </row>
    <row r="1118" spans="4:38" x14ac:dyDescent="0.2">
      <c r="D1118" s="19"/>
      <c r="E1118" s="19"/>
      <c r="F1118" s="19"/>
      <c r="G1118" s="18"/>
      <c r="H1118" s="18"/>
      <c r="I1118" s="18"/>
      <c r="J1118" s="18"/>
      <c r="K1118" s="18"/>
      <c r="L1118" s="18"/>
      <c r="M1118" s="18"/>
      <c r="N1118" s="18"/>
      <c r="O1118" s="18"/>
      <c r="P1118" s="18"/>
      <c r="Q1118" s="18"/>
      <c r="R1118" s="18"/>
      <c r="S1118" s="18"/>
      <c r="T1118" s="18"/>
      <c r="U1118" s="18"/>
      <c r="V1118" s="18"/>
      <c r="W1118" s="18"/>
      <c r="X1118" s="18"/>
      <c r="Y1118" s="18"/>
      <c r="Z1118" s="18"/>
      <c r="AA1118" s="18"/>
      <c r="AB1118" s="18"/>
      <c r="AC1118" s="18"/>
      <c r="AD1118" s="19"/>
      <c r="AE1118" s="18"/>
      <c r="AF1118" s="18"/>
      <c r="AG1118" s="18"/>
      <c r="AH1118" s="18"/>
      <c r="AI1118" s="18"/>
      <c r="AJ1118" s="97"/>
      <c r="AK1118" s="18"/>
      <c r="AL1118" s="18"/>
    </row>
    <row r="1119" spans="4:38" x14ac:dyDescent="0.2">
      <c r="D1119" s="19"/>
      <c r="E1119" s="19"/>
      <c r="F1119" s="19"/>
      <c r="G1119" s="18"/>
      <c r="H1119" s="18"/>
      <c r="I1119" s="18"/>
      <c r="J1119" s="18"/>
      <c r="K1119" s="18"/>
      <c r="L1119" s="18"/>
      <c r="M1119" s="18"/>
      <c r="N1119" s="18"/>
      <c r="O1119" s="18"/>
      <c r="P1119" s="18"/>
      <c r="Q1119" s="18"/>
      <c r="R1119" s="18"/>
      <c r="S1119" s="18"/>
      <c r="T1119" s="18"/>
      <c r="U1119" s="18"/>
      <c r="V1119" s="18"/>
      <c r="W1119" s="18"/>
      <c r="X1119" s="18"/>
      <c r="Y1119" s="18"/>
      <c r="Z1119" s="18"/>
      <c r="AA1119" s="18"/>
      <c r="AB1119" s="18"/>
      <c r="AC1119" s="18"/>
      <c r="AD1119" s="19"/>
      <c r="AE1119" s="18"/>
      <c r="AF1119" s="18"/>
      <c r="AG1119" s="18"/>
      <c r="AH1119" s="18"/>
      <c r="AI1119" s="18"/>
      <c r="AJ1119" s="97"/>
      <c r="AK1119" s="18"/>
      <c r="AL1119" s="18"/>
    </row>
    <row r="1120" spans="4:38" x14ac:dyDescent="0.2">
      <c r="D1120" s="19"/>
      <c r="E1120" s="19"/>
      <c r="F1120" s="19"/>
      <c r="G1120" s="18"/>
      <c r="H1120" s="18"/>
      <c r="I1120" s="18"/>
      <c r="J1120" s="18"/>
      <c r="K1120" s="18"/>
      <c r="L1120" s="18"/>
      <c r="M1120" s="18"/>
      <c r="N1120" s="18"/>
      <c r="O1120" s="18"/>
      <c r="P1120" s="18"/>
      <c r="Q1120" s="18"/>
      <c r="R1120" s="18"/>
      <c r="S1120" s="18"/>
      <c r="T1120" s="18"/>
      <c r="U1120" s="18"/>
      <c r="V1120" s="18"/>
      <c r="W1120" s="18"/>
      <c r="X1120" s="18"/>
      <c r="Y1120" s="18"/>
      <c r="Z1120" s="18"/>
      <c r="AA1120" s="18"/>
      <c r="AB1120" s="18"/>
      <c r="AC1120" s="18"/>
      <c r="AD1120" s="19"/>
      <c r="AE1120" s="18"/>
      <c r="AF1120" s="18"/>
      <c r="AG1120" s="18"/>
      <c r="AH1120" s="18"/>
      <c r="AI1120" s="18"/>
      <c r="AJ1120" s="97"/>
      <c r="AK1120" s="18"/>
      <c r="AL1120" s="18"/>
    </row>
    <row r="1121" spans="4:38" x14ac:dyDescent="0.2">
      <c r="D1121" s="19"/>
      <c r="E1121" s="19"/>
      <c r="F1121" s="19"/>
      <c r="G1121" s="18"/>
      <c r="H1121" s="18"/>
      <c r="I1121" s="18"/>
      <c r="J1121" s="18"/>
      <c r="K1121" s="18"/>
      <c r="L1121" s="18"/>
      <c r="M1121" s="18"/>
      <c r="N1121" s="18"/>
      <c r="O1121" s="18"/>
      <c r="P1121" s="18"/>
      <c r="Q1121" s="18"/>
      <c r="R1121" s="18"/>
      <c r="S1121" s="18"/>
      <c r="T1121" s="18"/>
      <c r="U1121" s="18"/>
      <c r="V1121" s="18"/>
      <c r="W1121" s="18"/>
      <c r="X1121" s="18"/>
      <c r="Y1121" s="18"/>
      <c r="Z1121" s="18"/>
      <c r="AA1121" s="18"/>
      <c r="AB1121" s="18"/>
      <c r="AC1121" s="18"/>
      <c r="AD1121" s="19"/>
      <c r="AE1121" s="18"/>
      <c r="AF1121" s="18"/>
      <c r="AG1121" s="18"/>
      <c r="AH1121" s="18"/>
      <c r="AI1121" s="18"/>
      <c r="AJ1121" s="97"/>
      <c r="AK1121" s="18"/>
      <c r="AL1121" s="18"/>
    </row>
    <row r="1122" spans="4:38" x14ac:dyDescent="0.2">
      <c r="D1122" s="19"/>
      <c r="E1122" s="19"/>
      <c r="F1122" s="19"/>
      <c r="G1122" s="18"/>
      <c r="H1122" s="18"/>
      <c r="I1122" s="18"/>
      <c r="J1122" s="18"/>
      <c r="K1122" s="18"/>
      <c r="L1122" s="18"/>
      <c r="M1122" s="18"/>
      <c r="N1122" s="18"/>
      <c r="O1122" s="18"/>
      <c r="P1122" s="18"/>
      <c r="Q1122" s="18"/>
      <c r="R1122" s="18"/>
      <c r="S1122" s="18"/>
      <c r="T1122" s="18"/>
      <c r="U1122" s="18"/>
      <c r="V1122" s="18"/>
      <c r="W1122" s="18"/>
      <c r="X1122" s="18"/>
      <c r="Y1122" s="18"/>
      <c r="Z1122" s="18"/>
      <c r="AA1122" s="18"/>
      <c r="AB1122" s="18"/>
      <c r="AC1122" s="18"/>
      <c r="AD1122" s="19"/>
      <c r="AE1122" s="18"/>
      <c r="AF1122" s="18"/>
      <c r="AG1122" s="18"/>
      <c r="AH1122" s="18"/>
      <c r="AI1122" s="18"/>
      <c r="AJ1122" s="97"/>
      <c r="AK1122" s="18"/>
      <c r="AL1122" s="18"/>
    </row>
    <row r="1123" spans="4:38" x14ac:dyDescent="0.2">
      <c r="D1123" s="19"/>
      <c r="E1123" s="19"/>
      <c r="F1123" s="19"/>
      <c r="G1123" s="18"/>
      <c r="H1123" s="18"/>
      <c r="I1123" s="18"/>
      <c r="J1123" s="18"/>
      <c r="K1123" s="18"/>
      <c r="L1123" s="18"/>
      <c r="M1123" s="18"/>
      <c r="N1123" s="18"/>
      <c r="O1123" s="18"/>
      <c r="P1123" s="18"/>
      <c r="Q1123" s="18"/>
      <c r="R1123" s="18"/>
      <c r="S1123" s="18"/>
      <c r="T1123" s="18"/>
      <c r="U1123" s="18"/>
      <c r="V1123" s="18"/>
      <c r="W1123" s="18"/>
      <c r="X1123" s="18"/>
      <c r="Y1123" s="18"/>
      <c r="Z1123" s="18"/>
      <c r="AA1123" s="18"/>
      <c r="AB1123" s="18"/>
      <c r="AC1123" s="18"/>
      <c r="AD1123" s="19"/>
      <c r="AE1123" s="18"/>
      <c r="AF1123" s="18"/>
      <c r="AG1123" s="18"/>
      <c r="AH1123" s="18"/>
      <c r="AI1123" s="18"/>
      <c r="AJ1123" s="97"/>
      <c r="AK1123" s="18"/>
      <c r="AL1123" s="18"/>
    </row>
    <row r="1124" spans="4:38" x14ac:dyDescent="0.2">
      <c r="D1124" s="19"/>
      <c r="E1124" s="19"/>
      <c r="F1124" s="19"/>
      <c r="G1124" s="18"/>
      <c r="H1124" s="18"/>
      <c r="I1124" s="18"/>
      <c r="J1124" s="18"/>
      <c r="K1124" s="18"/>
      <c r="L1124" s="18"/>
      <c r="M1124" s="18"/>
      <c r="N1124" s="18"/>
      <c r="O1124" s="18"/>
      <c r="P1124" s="18"/>
      <c r="Q1124" s="18"/>
      <c r="R1124" s="18"/>
      <c r="S1124" s="18"/>
      <c r="T1124" s="18"/>
      <c r="U1124" s="18"/>
      <c r="V1124" s="18"/>
      <c r="W1124" s="18"/>
      <c r="X1124" s="18"/>
      <c r="Y1124" s="18"/>
      <c r="Z1124" s="18"/>
      <c r="AA1124" s="18"/>
      <c r="AB1124" s="18"/>
      <c r="AC1124" s="18"/>
      <c r="AD1124" s="19"/>
      <c r="AE1124" s="18"/>
      <c r="AF1124" s="18"/>
      <c r="AG1124" s="18"/>
      <c r="AH1124" s="18"/>
      <c r="AI1124" s="18"/>
      <c r="AJ1124" s="97"/>
      <c r="AK1124" s="18"/>
      <c r="AL1124" s="18"/>
    </row>
    <row r="1125" spans="4:38" x14ac:dyDescent="0.2">
      <c r="D1125" s="19"/>
      <c r="E1125" s="19"/>
      <c r="F1125" s="19"/>
      <c r="G1125" s="18"/>
      <c r="H1125" s="18"/>
      <c r="I1125" s="18"/>
      <c r="J1125" s="18"/>
      <c r="K1125" s="18"/>
      <c r="L1125" s="18"/>
      <c r="M1125" s="18"/>
      <c r="N1125" s="18"/>
      <c r="O1125" s="18"/>
      <c r="P1125" s="18"/>
      <c r="Q1125" s="18"/>
      <c r="R1125" s="18"/>
      <c r="S1125" s="18"/>
      <c r="T1125" s="18"/>
      <c r="U1125" s="18"/>
      <c r="V1125" s="18"/>
      <c r="W1125" s="18"/>
      <c r="X1125" s="18"/>
      <c r="Y1125" s="18"/>
      <c r="Z1125" s="18"/>
      <c r="AA1125" s="18"/>
      <c r="AB1125" s="18"/>
      <c r="AC1125" s="18"/>
      <c r="AD1125" s="19"/>
      <c r="AE1125" s="18"/>
      <c r="AF1125" s="18"/>
      <c r="AG1125" s="18"/>
      <c r="AH1125" s="18"/>
      <c r="AI1125" s="18"/>
      <c r="AJ1125" s="97"/>
      <c r="AK1125" s="18"/>
      <c r="AL1125" s="18"/>
    </row>
    <row r="1126" spans="4:38" x14ac:dyDescent="0.2">
      <c r="D1126" s="19"/>
      <c r="E1126" s="19"/>
      <c r="F1126" s="19"/>
      <c r="G1126" s="18"/>
      <c r="H1126" s="18"/>
      <c r="I1126" s="18"/>
      <c r="J1126" s="18"/>
      <c r="K1126" s="18"/>
      <c r="L1126" s="18"/>
      <c r="M1126" s="18"/>
      <c r="N1126" s="18"/>
      <c r="O1126" s="18"/>
      <c r="P1126" s="18"/>
      <c r="Q1126" s="18"/>
      <c r="R1126" s="18"/>
      <c r="S1126" s="18"/>
      <c r="T1126" s="18"/>
      <c r="U1126" s="18"/>
      <c r="V1126" s="18"/>
      <c r="W1126" s="18"/>
      <c r="X1126" s="18"/>
      <c r="Y1126" s="18"/>
      <c r="Z1126" s="18"/>
      <c r="AA1126" s="18"/>
      <c r="AB1126" s="18"/>
      <c r="AC1126" s="18"/>
      <c r="AD1126" s="19"/>
      <c r="AE1126" s="18"/>
      <c r="AF1126" s="18"/>
      <c r="AG1126" s="18"/>
      <c r="AH1126" s="18"/>
      <c r="AI1126" s="18"/>
      <c r="AJ1126" s="97"/>
      <c r="AK1126" s="18"/>
      <c r="AL1126" s="18"/>
    </row>
    <row r="1127" spans="4:38" x14ac:dyDescent="0.2">
      <c r="D1127" s="19"/>
      <c r="E1127" s="19"/>
      <c r="F1127" s="19"/>
      <c r="G1127" s="18"/>
      <c r="H1127" s="18"/>
      <c r="I1127" s="18"/>
      <c r="J1127" s="18"/>
      <c r="K1127" s="18"/>
      <c r="L1127" s="18"/>
      <c r="M1127" s="18"/>
      <c r="N1127" s="18"/>
      <c r="O1127" s="18"/>
      <c r="P1127" s="18"/>
      <c r="Q1127" s="18"/>
      <c r="R1127" s="18"/>
      <c r="S1127" s="18"/>
      <c r="T1127" s="18"/>
      <c r="U1127" s="18"/>
      <c r="V1127" s="18"/>
      <c r="W1127" s="18"/>
      <c r="X1127" s="18"/>
      <c r="Y1127" s="18"/>
      <c r="Z1127" s="18"/>
      <c r="AA1127" s="18"/>
      <c r="AB1127" s="18"/>
      <c r="AC1127" s="18"/>
      <c r="AD1127" s="19"/>
      <c r="AE1127" s="18"/>
      <c r="AF1127" s="18"/>
      <c r="AG1127" s="18"/>
      <c r="AH1127" s="18"/>
      <c r="AI1127" s="18"/>
      <c r="AJ1127" s="97"/>
      <c r="AK1127" s="18"/>
      <c r="AL1127" s="18"/>
    </row>
    <row r="1128" spans="4:38" x14ac:dyDescent="0.2">
      <c r="D1128" s="19"/>
      <c r="E1128" s="19"/>
      <c r="F1128" s="19"/>
      <c r="G1128" s="18"/>
      <c r="H1128" s="18"/>
      <c r="I1128" s="18"/>
      <c r="J1128" s="18"/>
      <c r="K1128" s="18"/>
      <c r="L1128" s="18"/>
      <c r="M1128" s="18"/>
      <c r="N1128" s="18"/>
      <c r="O1128" s="18"/>
      <c r="P1128" s="18"/>
      <c r="Q1128" s="18"/>
      <c r="R1128" s="18"/>
      <c r="S1128" s="18"/>
      <c r="T1128" s="18"/>
      <c r="U1128" s="18"/>
      <c r="V1128" s="18"/>
      <c r="W1128" s="18"/>
      <c r="X1128" s="18"/>
      <c r="Y1128" s="18"/>
      <c r="Z1128" s="18"/>
      <c r="AA1128" s="18"/>
      <c r="AB1128" s="18"/>
      <c r="AC1128" s="18"/>
      <c r="AD1128" s="19"/>
      <c r="AE1128" s="18"/>
      <c r="AF1128" s="18"/>
      <c r="AG1128" s="18"/>
      <c r="AH1128" s="18"/>
      <c r="AI1128" s="18"/>
      <c r="AJ1128" s="97"/>
      <c r="AK1128" s="18"/>
      <c r="AL1128" s="18"/>
    </row>
    <row r="1129" spans="4:38" x14ac:dyDescent="0.2">
      <c r="D1129" s="19"/>
      <c r="E1129" s="19"/>
      <c r="F1129" s="19"/>
      <c r="G1129" s="18"/>
      <c r="H1129" s="18"/>
      <c r="I1129" s="18"/>
      <c r="J1129" s="18"/>
      <c r="K1129" s="18"/>
      <c r="L1129" s="18"/>
      <c r="M1129" s="18"/>
      <c r="N1129" s="18"/>
      <c r="O1129" s="18"/>
      <c r="P1129" s="18"/>
      <c r="Q1129" s="18"/>
      <c r="R1129" s="18"/>
      <c r="S1129" s="18"/>
      <c r="T1129" s="18"/>
      <c r="U1129" s="18"/>
      <c r="V1129" s="18"/>
      <c r="W1129" s="18"/>
      <c r="X1129" s="18"/>
      <c r="Y1129" s="18"/>
      <c r="Z1129" s="18"/>
      <c r="AA1129" s="18"/>
      <c r="AB1129" s="18"/>
      <c r="AC1129" s="18"/>
      <c r="AD1129" s="19"/>
      <c r="AE1129" s="18"/>
      <c r="AF1129" s="18"/>
      <c r="AG1129" s="18"/>
      <c r="AH1129" s="18"/>
      <c r="AI1129" s="18"/>
      <c r="AJ1129" s="97"/>
      <c r="AK1129" s="18"/>
      <c r="AL1129" s="18"/>
    </row>
    <row r="1130" spans="4:38" x14ac:dyDescent="0.2">
      <c r="D1130" s="19"/>
      <c r="E1130" s="19"/>
      <c r="F1130" s="19"/>
      <c r="G1130" s="18"/>
      <c r="H1130" s="18"/>
      <c r="I1130" s="18"/>
      <c r="J1130" s="18"/>
      <c r="K1130" s="18"/>
      <c r="L1130" s="18"/>
      <c r="M1130" s="18"/>
      <c r="N1130" s="18"/>
      <c r="O1130" s="18"/>
      <c r="P1130" s="18"/>
      <c r="Q1130" s="18"/>
      <c r="R1130" s="18"/>
      <c r="S1130" s="18"/>
      <c r="T1130" s="18"/>
      <c r="U1130" s="18"/>
      <c r="V1130" s="18"/>
      <c r="W1130" s="18"/>
      <c r="X1130" s="18"/>
      <c r="Y1130" s="18"/>
      <c r="Z1130" s="18"/>
      <c r="AA1130" s="18"/>
      <c r="AB1130" s="18"/>
      <c r="AC1130" s="18"/>
      <c r="AD1130" s="19"/>
      <c r="AE1130" s="18"/>
      <c r="AF1130" s="18"/>
      <c r="AG1130" s="18"/>
      <c r="AH1130" s="18"/>
      <c r="AI1130" s="18"/>
      <c r="AJ1130" s="97"/>
      <c r="AK1130" s="18"/>
      <c r="AL1130" s="18"/>
    </row>
    <row r="1131" spans="4:38" x14ac:dyDescent="0.2">
      <c r="D1131" s="19"/>
      <c r="E1131" s="19"/>
      <c r="F1131" s="19"/>
      <c r="G1131" s="18"/>
      <c r="H1131" s="18"/>
      <c r="I1131" s="18"/>
      <c r="J1131" s="18"/>
      <c r="K1131" s="18"/>
      <c r="L1131" s="18"/>
      <c r="M1131" s="18"/>
      <c r="N1131" s="18"/>
      <c r="O1131" s="18"/>
      <c r="P1131" s="18"/>
      <c r="Q1131" s="18"/>
      <c r="R1131" s="18"/>
      <c r="S1131" s="18"/>
      <c r="T1131" s="18"/>
      <c r="U1131" s="18"/>
      <c r="V1131" s="18"/>
      <c r="W1131" s="18"/>
      <c r="X1131" s="18"/>
      <c r="Y1131" s="18"/>
      <c r="Z1131" s="18"/>
      <c r="AA1131" s="18"/>
      <c r="AB1131" s="18"/>
      <c r="AC1131" s="18"/>
      <c r="AD1131" s="19"/>
      <c r="AE1131" s="18"/>
      <c r="AF1131" s="18"/>
      <c r="AG1131" s="18"/>
      <c r="AH1131" s="18"/>
      <c r="AI1131" s="18"/>
      <c r="AJ1131" s="97"/>
      <c r="AK1131" s="18"/>
      <c r="AL1131" s="18"/>
    </row>
    <row r="1132" spans="4:38" x14ac:dyDescent="0.2">
      <c r="D1132" s="19"/>
      <c r="E1132" s="19"/>
      <c r="F1132" s="19"/>
      <c r="G1132" s="18"/>
      <c r="H1132" s="18"/>
      <c r="I1132" s="18"/>
      <c r="J1132" s="18"/>
      <c r="K1132" s="18"/>
      <c r="L1132" s="18"/>
      <c r="M1132" s="18"/>
      <c r="N1132" s="18"/>
      <c r="O1132" s="18"/>
      <c r="P1132" s="18"/>
      <c r="Q1132" s="18"/>
      <c r="R1132" s="18"/>
      <c r="S1132" s="18"/>
      <c r="T1132" s="18"/>
      <c r="U1132" s="18"/>
      <c r="V1132" s="18"/>
      <c r="W1132" s="18"/>
      <c r="X1132" s="18"/>
      <c r="Y1132" s="18"/>
      <c r="Z1132" s="18"/>
      <c r="AA1132" s="18"/>
      <c r="AB1132" s="18"/>
      <c r="AC1132" s="18"/>
      <c r="AD1132" s="19"/>
      <c r="AE1132" s="18"/>
      <c r="AF1132" s="18"/>
      <c r="AG1132" s="18"/>
      <c r="AH1132" s="18"/>
      <c r="AI1132" s="18"/>
      <c r="AJ1132" s="97"/>
      <c r="AK1132" s="18"/>
      <c r="AL1132" s="18"/>
    </row>
    <row r="1133" spans="4:38" x14ac:dyDescent="0.2">
      <c r="D1133" s="19"/>
      <c r="E1133" s="19"/>
      <c r="F1133" s="19"/>
      <c r="G1133" s="18"/>
      <c r="H1133" s="18"/>
      <c r="I1133" s="18"/>
      <c r="J1133" s="18"/>
      <c r="K1133" s="18"/>
      <c r="L1133" s="18"/>
      <c r="M1133" s="18"/>
      <c r="N1133" s="18"/>
      <c r="O1133" s="18"/>
      <c r="P1133" s="18"/>
      <c r="Q1133" s="18"/>
      <c r="R1133" s="18"/>
      <c r="S1133" s="18"/>
      <c r="T1133" s="18"/>
      <c r="U1133" s="18"/>
      <c r="V1133" s="18"/>
      <c r="W1133" s="18"/>
      <c r="X1133" s="18"/>
      <c r="Y1133" s="18"/>
      <c r="Z1133" s="18"/>
      <c r="AA1133" s="18"/>
      <c r="AB1133" s="18"/>
      <c r="AC1133" s="18"/>
      <c r="AD1133" s="19"/>
      <c r="AE1133" s="18"/>
      <c r="AF1133" s="18"/>
      <c r="AG1133" s="18"/>
      <c r="AH1133" s="18"/>
      <c r="AI1133" s="18"/>
      <c r="AJ1133" s="97"/>
      <c r="AK1133" s="18"/>
      <c r="AL1133" s="18"/>
    </row>
    <row r="1134" spans="4:38" x14ac:dyDescent="0.2">
      <c r="D1134" s="19"/>
      <c r="E1134" s="19"/>
      <c r="F1134" s="19"/>
      <c r="G1134" s="18"/>
      <c r="H1134" s="18"/>
      <c r="I1134" s="18"/>
      <c r="J1134" s="18"/>
      <c r="K1134" s="18"/>
      <c r="L1134" s="18"/>
      <c r="M1134" s="18"/>
      <c r="N1134" s="18"/>
      <c r="O1134" s="18"/>
      <c r="P1134" s="18"/>
      <c r="Q1134" s="18"/>
      <c r="R1134" s="18"/>
      <c r="S1134" s="18"/>
      <c r="T1134" s="18"/>
      <c r="U1134" s="18"/>
      <c r="V1134" s="18"/>
      <c r="W1134" s="18"/>
      <c r="X1134" s="18"/>
      <c r="Y1134" s="18"/>
      <c r="Z1134" s="18"/>
      <c r="AA1134" s="18"/>
      <c r="AB1134" s="18"/>
      <c r="AC1134" s="18"/>
      <c r="AD1134" s="19"/>
      <c r="AE1134" s="18"/>
      <c r="AF1134" s="18"/>
      <c r="AG1134" s="18"/>
      <c r="AH1134" s="18"/>
      <c r="AI1134" s="18"/>
      <c r="AJ1134" s="97"/>
      <c r="AK1134" s="18"/>
      <c r="AL1134" s="18"/>
    </row>
    <row r="1135" spans="4:38" x14ac:dyDescent="0.2">
      <c r="D1135" s="19"/>
      <c r="E1135" s="19"/>
      <c r="F1135" s="19"/>
      <c r="G1135" s="18"/>
      <c r="H1135" s="18"/>
      <c r="I1135" s="18"/>
      <c r="J1135" s="18"/>
      <c r="K1135" s="18"/>
      <c r="L1135" s="18"/>
      <c r="M1135" s="18"/>
      <c r="N1135" s="18"/>
      <c r="O1135" s="18"/>
      <c r="P1135" s="18"/>
      <c r="Q1135" s="18"/>
      <c r="R1135" s="18"/>
      <c r="S1135" s="18"/>
      <c r="T1135" s="18"/>
      <c r="U1135" s="18"/>
      <c r="V1135" s="18"/>
      <c r="W1135" s="18"/>
      <c r="X1135" s="18"/>
      <c r="Y1135" s="18"/>
      <c r="Z1135" s="18"/>
      <c r="AA1135" s="18"/>
      <c r="AB1135" s="18"/>
      <c r="AC1135" s="18"/>
      <c r="AD1135" s="19"/>
      <c r="AE1135" s="18"/>
      <c r="AF1135" s="18"/>
      <c r="AG1135" s="18"/>
      <c r="AH1135" s="18"/>
      <c r="AI1135" s="18"/>
      <c r="AJ1135" s="97"/>
      <c r="AK1135" s="18"/>
      <c r="AL1135" s="18"/>
    </row>
    <row r="1136" spans="4:38" x14ac:dyDescent="0.2">
      <c r="D1136" s="19"/>
      <c r="E1136" s="19"/>
      <c r="F1136" s="19"/>
      <c r="G1136" s="18"/>
      <c r="H1136" s="18"/>
      <c r="I1136" s="18"/>
      <c r="J1136" s="18"/>
      <c r="K1136" s="18"/>
      <c r="L1136" s="18"/>
      <c r="M1136" s="18"/>
      <c r="N1136" s="18"/>
      <c r="O1136" s="18"/>
      <c r="P1136" s="18"/>
      <c r="Q1136" s="18"/>
      <c r="R1136" s="18"/>
      <c r="S1136" s="18"/>
      <c r="T1136" s="18"/>
      <c r="U1136" s="18"/>
      <c r="V1136" s="18"/>
      <c r="W1136" s="18"/>
      <c r="X1136" s="18"/>
      <c r="Y1136" s="18"/>
      <c r="Z1136" s="18"/>
      <c r="AA1136" s="18"/>
      <c r="AB1136" s="18"/>
      <c r="AC1136" s="18"/>
      <c r="AD1136" s="19"/>
      <c r="AE1136" s="18"/>
      <c r="AF1136" s="18"/>
      <c r="AG1136" s="18"/>
      <c r="AH1136" s="18"/>
      <c r="AI1136" s="18"/>
      <c r="AJ1136" s="97"/>
      <c r="AK1136" s="18"/>
      <c r="AL1136" s="18"/>
    </row>
    <row r="1137" spans="4:38" x14ac:dyDescent="0.2">
      <c r="D1137" s="19"/>
      <c r="E1137" s="19"/>
      <c r="F1137" s="19"/>
      <c r="G1137" s="18"/>
      <c r="H1137" s="18"/>
      <c r="I1137" s="18"/>
      <c r="J1137" s="18"/>
      <c r="K1137" s="18"/>
      <c r="L1137" s="18"/>
      <c r="M1137" s="18"/>
      <c r="N1137" s="18"/>
      <c r="O1137" s="18"/>
      <c r="P1137" s="18"/>
      <c r="Q1137" s="18"/>
      <c r="R1137" s="18"/>
      <c r="S1137" s="18"/>
      <c r="T1137" s="18"/>
      <c r="U1137" s="18"/>
      <c r="V1137" s="18"/>
      <c r="W1137" s="18"/>
      <c r="X1137" s="18"/>
      <c r="Y1137" s="18"/>
      <c r="Z1137" s="18"/>
      <c r="AA1137" s="18"/>
      <c r="AB1137" s="18"/>
      <c r="AC1137" s="18"/>
      <c r="AD1137" s="19"/>
      <c r="AE1137" s="18"/>
      <c r="AF1137" s="18"/>
      <c r="AG1137" s="18"/>
      <c r="AH1137" s="18"/>
      <c r="AI1137" s="18"/>
      <c r="AJ1137" s="97"/>
      <c r="AK1137" s="18"/>
      <c r="AL1137" s="18"/>
    </row>
    <row r="1138" spans="4:38" x14ac:dyDescent="0.2">
      <c r="D1138" s="19"/>
      <c r="E1138" s="19"/>
      <c r="F1138" s="19"/>
      <c r="G1138" s="18"/>
      <c r="H1138" s="18"/>
      <c r="I1138" s="18"/>
      <c r="J1138" s="18"/>
      <c r="K1138" s="18"/>
      <c r="L1138" s="18"/>
      <c r="M1138" s="18"/>
      <c r="N1138" s="18"/>
      <c r="O1138" s="18"/>
      <c r="P1138" s="18"/>
      <c r="Q1138" s="18"/>
      <c r="R1138" s="18"/>
      <c r="S1138" s="18"/>
      <c r="T1138" s="18"/>
      <c r="U1138" s="18"/>
      <c r="V1138" s="18"/>
      <c r="W1138" s="18"/>
      <c r="X1138" s="18"/>
      <c r="Y1138" s="18"/>
      <c r="Z1138" s="18"/>
      <c r="AA1138" s="18"/>
      <c r="AB1138" s="18"/>
      <c r="AC1138" s="18"/>
      <c r="AD1138" s="19"/>
      <c r="AE1138" s="18"/>
      <c r="AF1138" s="18"/>
      <c r="AG1138" s="18"/>
      <c r="AH1138" s="18"/>
      <c r="AI1138" s="18"/>
      <c r="AJ1138" s="97"/>
      <c r="AK1138" s="18"/>
      <c r="AL1138" s="18"/>
    </row>
    <row r="1139" spans="4:38" x14ac:dyDescent="0.2">
      <c r="D1139" s="19"/>
      <c r="E1139" s="19"/>
      <c r="F1139" s="19"/>
      <c r="G1139" s="18"/>
      <c r="H1139" s="18"/>
      <c r="I1139" s="18"/>
      <c r="J1139" s="18"/>
      <c r="K1139" s="18"/>
      <c r="L1139" s="18"/>
      <c r="M1139" s="18"/>
      <c r="N1139" s="18"/>
      <c r="O1139" s="18"/>
      <c r="P1139" s="18"/>
      <c r="Q1139" s="18"/>
      <c r="R1139" s="18"/>
      <c r="S1139" s="18"/>
      <c r="T1139" s="18"/>
      <c r="U1139" s="18"/>
      <c r="V1139" s="18"/>
      <c r="W1139" s="18"/>
      <c r="X1139" s="18"/>
      <c r="Y1139" s="18"/>
      <c r="Z1139" s="18"/>
      <c r="AA1139" s="18"/>
      <c r="AB1139" s="18"/>
      <c r="AC1139" s="18"/>
      <c r="AD1139" s="19"/>
      <c r="AE1139" s="18"/>
      <c r="AF1139" s="18"/>
      <c r="AG1139" s="18"/>
      <c r="AH1139" s="18"/>
      <c r="AI1139" s="18"/>
      <c r="AJ1139" s="97"/>
      <c r="AK1139" s="18"/>
      <c r="AL1139" s="18"/>
    </row>
    <row r="1140" spans="4:38" x14ac:dyDescent="0.2">
      <c r="D1140" s="19"/>
      <c r="E1140" s="19"/>
      <c r="F1140" s="19"/>
      <c r="G1140" s="18"/>
      <c r="H1140" s="18"/>
      <c r="I1140" s="18"/>
      <c r="J1140" s="18"/>
      <c r="K1140" s="18"/>
      <c r="L1140" s="18"/>
      <c r="M1140" s="18"/>
      <c r="N1140" s="18"/>
      <c r="O1140" s="18"/>
      <c r="P1140" s="18"/>
      <c r="Q1140" s="18"/>
      <c r="R1140" s="18"/>
      <c r="S1140" s="18"/>
      <c r="T1140" s="18"/>
      <c r="U1140" s="18"/>
      <c r="V1140" s="18"/>
      <c r="W1140" s="18"/>
      <c r="X1140" s="18"/>
      <c r="Y1140" s="18"/>
      <c r="Z1140" s="18"/>
      <c r="AA1140" s="18"/>
      <c r="AB1140" s="18"/>
      <c r="AC1140" s="18"/>
      <c r="AD1140" s="19"/>
      <c r="AE1140" s="18"/>
      <c r="AF1140" s="18"/>
      <c r="AG1140" s="18"/>
      <c r="AH1140" s="18"/>
      <c r="AI1140" s="18"/>
      <c r="AJ1140" s="97"/>
      <c r="AK1140" s="18"/>
      <c r="AL1140" s="18"/>
    </row>
    <row r="1141" spans="4:38" x14ac:dyDescent="0.2">
      <c r="D1141" s="19"/>
      <c r="E1141" s="19"/>
      <c r="F1141" s="19"/>
      <c r="G1141" s="18"/>
      <c r="H1141" s="18"/>
      <c r="I1141" s="18"/>
      <c r="J1141" s="18"/>
      <c r="K1141" s="18"/>
      <c r="L1141" s="18"/>
      <c r="M1141" s="18"/>
      <c r="N1141" s="18"/>
      <c r="O1141" s="18"/>
      <c r="P1141" s="18"/>
      <c r="Q1141" s="18"/>
      <c r="R1141" s="18"/>
      <c r="S1141" s="18"/>
      <c r="T1141" s="18"/>
      <c r="U1141" s="18"/>
      <c r="V1141" s="18"/>
      <c r="W1141" s="18"/>
      <c r="X1141" s="18"/>
      <c r="Y1141" s="18"/>
      <c r="Z1141" s="18"/>
      <c r="AA1141" s="18"/>
      <c r="AB1141" s="18"/>
      <c r="AC1141" s="18"/>
      <c r="AD1141" s="19"/>
      <c r="AE1141" s="18"/>
      <c r="AF1141" s="18"/>
      <c r="AG1141" s="18"/>
      <c r="AH1141" s="18"/>
      <c r="AI1141" s="18"/>
      <c r="AJ1141" s="97"/>
      <c r="AK1141" s="18"/>
      <c r="AL1141" s="18"/>
    </row>
    <row r="1142" spans="4:38" x14ac:dyDescent="0.2">
      <c r="D1142" s="19"/>
      <c r="E1142" s="19"/>
      <c r="F1142" s="19"/>
      <c r="G1142" s="18"/>
      <c r="H1142" s="18"/>
      <c r="I1142" s="18"/>
      <c r="J1142" s="18"/>
      <c r="K1142" s="18"/>
      <c r="L1142" s="18"/>
      <c r="M1142" s="18"/>
      <c r="N1142" s="18"/>
      <c r="O1142" s="18"/>
      <c r="P1142" s="18"/>
      <c r="Q1142" s="18"/>
      <c r="R1142" s="18"/>
      <c r="S1142" s="18"/>
      <c r="T1142" s="18"/>
      <c r="U1142" s="18"/>
      <c r="V1142" s="18"/>
      <c r="W1142" s="18"/>
      <c r="X1142" s="18"/>
      <c r="Y1142" s="18"/>
      <c r="Z1142" s="18"/>
      <c r="AA1142" s="18"/>
      <c r="AB1142" s="18"/>
      <c r="AC1142" s="18"/>
      <c r="AD1142" s="19"/>
      <c r="AE1142" s="18"/>
      <c r="AF1142" s="18"/>
      <c r="AG1142" s="18"/>
      <c r="AH1142" s="18"/>
      <c r="AI1142" s="18"/>
      <c r="AJ1142" s="97"/>
      <c r="AK1142" s="18"/>
      <c r="AL1142" s="18"/>
    </row>
    <row r="1143" spans="4:38" x14ac:dyDescent="0.2">
      <c r="D1143" s="19"/>
      <c r="E1143" s="19"/>
      <c r="F1143" s="19"/>
      <c r="G1143" s="18"/>
      <c r="H1143" s="18"/>
      <c r="I1143" s="18"/>
      <c r="J1143" s="18"/>
      <c r="K1143" s="18"/>
      <c r="L1143" s="18"/>
      <c r="M1143" s="18"/>
      <c r="N1143" s="18"/>
      <c r="O1143" s="18"/>
      <c r="P1143" s="18"/>
      <c r="Q1143" s="18"/>
      <c r="R1143" s="18"/>
      <c r="S1143" s="18"/>
      <c r="T1143" s="18"/>
      <c r="U1143" s="18"/>
      <c r="V1143" s="18"/>
      <c r="W1143" s="18"/>
      <c r="X1143" s="18"/>
      <c r="Y1143" s="18"/>
      <c r="Z1143" s="18"/>
      <c r="AA1143" s="18"/>
      <c r="AB1143" s="18"/>
      <c r="AC1143" s="18"/>
      <c r="AD1143" s="19"/>
      <c r="AE1143" s="18"/>
      <c r="AF1143" s="18"/>
      <c r="AG1143" s="18"/>
      <c r="AH1143" s="18"/>
      <c r="AI1143" s="18"/>
      <c r="AJ1143" s="97"/>
      <c r="AK1143" s="18"/>
      <c r="AL1143" s="18"/>
    </row>
    <row r="1144" spans="4:38" x14ac:dyDescent="0.2">
      <c r="D1144" s="19"/>
      <c r="E1144" s="19"/>
      <c r="F1144" s="19"/>
      <c r="G1144" s="18"/>
      <c r="H1144" s="18"/>
      <c r="I1144" s="18"/>
      <c r="J1144" s="18"/>
      <c r="K1144" s="18"/>
      <c r="L1144" s="18"/>
      <c r="M1144" s="18"/>
      <c r="N1144" s="18"/>
      <c r="O1144" s="18"/>
      <c r="P1144" s="18"/>
      <c r="Q1144" s="18"/>
      <c r="R1144" s="18"/>
      <c r="S1144" s="18"/>
      <c r="T1144" s="18"/>
      <c r="U1144" s="18"/>
      <c r="V1144" s="18"/>
      <c r="W1144" s="18"/>
      <c r="X1144" s="18"/>
      <c r="Y1144" s="18"/>
      <c r="Z1144" s="18"/>
      <c r="AA1144" s="18"/>
      <c r="AB1144" s="18"/>
      <c r="AC1144" s="18"/>
      <c r="AD1144" s="19"/>
      <c r="AE1144" s="18"/>
      <c r="AF1144" s="18"/>
      <c r="AG1144" s="18"/>
      <c r="AH1144" s="18"/>
      <c r="AI1144" s="18"/>
      <c r="AJ1144" s="97"/>
      <c r="AK1144" s="18"/>
      <c r="AL1144" s="18"/>
    </row>
    <row r="1145" spans="4:38" x14ac:dyDescent="0.2">
      <c r="D1145" s="19"/>
      <c r="E1145" s="19"/>
      <c r="F1145" s="19"/>
      <c r="G1145" s="18"/>
      <c r="H1145" s="18"/>
      <c r="I1145" s="18"/>
      <c r="J1145" s="18"/>
      <c r="K1145" s="18"/>
      <c r="L1145" s="18"/>
      <c r="M1145" s="18"/>
      <c r="N1145" s="18"/>
      <c r="O1145" s="18"/>
      <c r="P1145" s="18"/>
      <c r="Q1145" s="18"/>
      <c r="R1145" s="18"/>
      <c r="S1145" s="18"/>
      <c r="T1145" s="18"/>
      <c r="U1145" s="18"/>
      <c r="V1145" s="18"/>
      <c r="W1145" s="18"/>
      <c r="X1145" s="18"/>
      <c r="Y1145" s="18"/>
      <c r="Z1145" s="18"/>
      <c r="AA1145" s="18"/>
      <c r="AB1145" s="18"/>
      <c r="AC1145" s="18"/>
      <c r="AD1145" s="19"/>
      <c r="AE1145" s="18"/>
      <c r="AF1145" s="18"/>
      <c r="AG1145" s="18"/>
      <c r="AH1145" s="18"/>
      <c r="AI1145" s="18"/>
      <c r="AJ1145" s="97"/>
      <c r="AK1145" s="18"/>
      <c r="AL1145" s="18"/>
    </row>
    <row r="1146" spans="4:38" x14ac:dyDescent="0.2">
      <c r="D1146" s="19"/>
      <c r="E1146" s="19"/>
      <c r="F1146" s="19"/>
      <c r="G1146" s="18"/>
      <c r="H1146" s="18"/>
      <c r="I1146" s="18"/>
      <c r="J1146" s="18"/>
      <c r="K1146" s="18"/>
      <c r="L1146" s="18"/>
      <c r="M1146" s="18"/>
      <c r="N1146" s="18"/>
      <c r="O1146" s="18"/>
      <c r="P1146" s="18"/>
      <c r="Q1146" s="18"/>
      <c r="R1146" s="18"/>
      <c r="S1146" s="18"/>
      <c r="T1146" s="18"/>
      <c r="U1146" s="18"/>
      <c r="V1146" s="18"/>
      <c r="W1146" s="18"/>
      <c r="X1146" s="18"/>
      <c r="Y1146" s="18"/>
      <c r="Z1146" s="18"/>
      <c r="AA1146" s="18"/>
      <c r="AB1146" s="18"/>
      <c r="AC1146" s="18"/>
      <c r="AD1146" s="19"/>
      <c r="AE1146" s="18"/>
      <c r="AF1146" s="18"/>
      <c r="AG1146" s="18"/>
      <c r="AH1146" s="18"/>
      <c r="AI1146" s="18"/>
      <c r="AJ1146" s="97"/>
      <c r="AK1146" s="18"/>
      <c r="AL1146" s="18"/>
    </row>
    <row r="1147" spans="4:38" x14ac:dyDescent="0.2">
      <c r="D1147" s="19"/>
      <c r="E1147" s="19"/>
      <c r="F1147" s="19"/>
      <c r="G1147" s="18"/>
      <c r="H1147" s="18"/>
      <c r="I1147" s="18"/>
      <c r="J1147" s="18"/>
      <c r="K1147" s="18"/>
      <c r="L1147" s="18"/>
      <c r="M1147" s="18"/>
      <c r="N1147" s="18"/>
      <c r="O1147" s="18"/>
      <c r="P1147" s="18"/>
      <c r="Q1147" s="18"/>
      <c r="R1147" s="18"/>
      <c r="S1147" s="18"/>
      <c r="T1147" s="18"/>
      <c r="U1147" s="18"/>
      <c r="V1147" s="18"/>
      <c r="W1147" s="18"/>
      <c r="X1147" s="18"/>
      <c r="Y1147" s="18"/>
      <c r="Z1147" s="18"/>
      <c r="AA1147" s="18"/>
      <c r="AB1147" s="18"/>
      <c r="AC1147" s="18"/>
      <c r="AD1147" s="19"/>
      <c r="AE1147" s="18"/>
      <c r="AF1147" s="18"/>
      <c r="AG1147" s="18"/>
      <c r="AH1147" s="18"/>
      <c r="AI1147" s="18"/>
      <c r="AJ1147" s="97"/>
      <c r="AK1147" s="18"/>
      <c r="AL1147" s="18"/>
    </row>
    <row r="1148" spans="4:38" x14ac:dyDescent="0.2">
      <c r="D1148" s="19"/>
      <c r="E1148" s="19"/>
      <c r="F1148" s="19"/>
      <c r="G1148" s="18"/>
      <c r="H1148" s="18"/>
      <c r="I1148" s="18"/>
      <c r="J1148" s="18"/>
      <c r="K1148" s="18"/>
      <c r="L1148" s="18"/>
      <c r="M1148" s="18"/>
      <c r="N1148" s="18"/>
      <c r="O1148" s="18"/>
      <c r="P1148" s="18"/>
      <c r="Q1148" s="18"/>
      <c r="R1148" s="18"/>
      <c r="S1148" s="18"/>
      <c r="T1148" s="18"/>
      <c r="U1148" s="18"/>
      <c r="V1148" s="18"/>
      <c r="W1148" s="18"/>
      <c r="X1148" s="18"/>
      <c r="Y1148" s="18"/>
      <c r="Z1148" s="18"/>
      <c r="AA1148" s="18"/>
      <c r="AB1148" s="18"/>
      <c r="AC1148" s="18"/>
      <c r="AD1148" s="19"/>
      <c r="AE1148" s="18"/>
      <c r="AF1148" s="18"/>
      <c r="AG1148" s="18"/>
      <c r="AH1148" s="18"/>
      <c r="AI1148" s="18"/>
      <c r="AJ1148" s="97"/>
      <c r="AK1148" s="18"/>
      <c r="AL1148" s="18"/>
    </row>
    <row r="1149" spans="4:38" x14ac:dyDescent="0.2">
      <c r="D1149" s="19"/>
      <c r="E1149" s="19"/>
      <c r="F1149" s="19"/>
      <c r="G1149" s="18"/>
      <c r="H1149" s="18"/>
      <c r="I1149" s="18"/>
      <c r="J1149" s="18"/>
      <c r="K1149" s="18"/>
      <c r="L1149" s="18"/>
      <c r="M1149" s="18"/>
      <c r="N1149" s="18"/>
      <c r="O1149" s="18"/>
      <c r="P1149" s="18"/>
      <c r="Q1149" s="18"/>
      <c r="R1149" s="18"/>
      <c r="S1149" s="18"/>
      <c r="T1149" s="18"/>
      <c r="U1149" s="18"/>
      <c r="V1149" s="18"/>
      <c r="W1149" s="18"/>
      <c r="X1149" s="18"/>
      <c r="Y1149" s="18"/>
      <c r="Z1149" s="18"/>
      <c r="AA1149" s="18"/>
      <c r="AB1149" s="18"/>
      <c r="AC1149" s="18"/>
      <c r="AD1149" s="19"/>
      <c r="AE1149" s="18"/>
      <c r="AF1149" s="18"/>
      <c r="AG1149" s="18"/>
      <c r="AH1149" s="18"/>
      <c r="AI1149" s="18"/>
      <c r="AJ1149" s="97"/>
      <c r="AK1149" s="18"/>
      <c r="AL1149" s="18"/>
    </row>
    <row r="1150" spans="4:38" x14ac:dyDescent="0.2">
      <c r="D1150" s="19"/>
      <c r="E1150" s="19"/>
      <c r="F1150" s="19"/>
      <c r="G1150" s="18"/>
      <c r="H1150" s="18"/>
      <c r="I1150" s="18"/>
      <c r="J1150" s="18"/>
      <c r="K1150" s="18"/>
      <c r="L1150" s="18"/>
      <c r="M1150" s="18"/>
      <c r="N1150" s="18"/>
      <c r="O1150" s="18"/>
      <c r="P1150" s="18"/>
      <c r="Q1150" s="18"/>
      <c r="R1150" s="18"/>
      <c r="S1150" s="18"/>
      <c r="T1150" s="18"/>
      <c r="U1150" s="18"/>
      <c r="V1150" s="18"/>
      <c r="W1150" s="18"/>
      <c r="X1150" s="18"/>
      <c r="Y1150" s="18"/>
      <c r="Z1150" s="18"/>
      <c r="AA1150" s="18"/>
      <c r="AB1150" s="18"/>
      <c r="AC1150" s="18"/>
      <c r="AD1150" s="19"/>
      <c r="AE1150" s="18"/>
      <c r="AF1150" s="18"/>
      <c r="AG1150" s="18"/>
      <c r="AH1150" s="18"/>
      <c r="AI1150" s="18"/>
      <c r="AJ1150" s="97"/>
      <c r="AK1150" s="18"/>
      <c r="AL1150" s="18"/>
    </row>
    <row r="1151" spans="4:38" x14ac:dyDescent="0.2">
      <c r="D1151" s="19"/>
      <c r="E1151" s="19"/>
      <c r="F1151" s="19"/>
      <c r="G1151" s="18"/>
      <c r="H1151" s="18"/>
      <c r="I1151" s="18"/>
      <c r="J1151" s="18"/>
      <c r="K1151" s="18"/>
      <c r="L1151" s="18"/>
      <c r="M1151" s="18"/>
      <c r="N1151" s="18"/>
      <c r="O1151" s="18"/>
      <c r="P1151" s="18"/>
      <c r="Q1151" s="18"/>
      <c r="R1151" s="18"/>
      <c r="S1151" s="18"/>
      <c r="T1151" s="18"/>
      <c r="U1151" s="18"/>
      <c r="V1151" s="18"/>
      <c r="W1151" s="18"/>
      <c r="X1151" s="18"/>
      <c r="Y1151" s="18"/>
      <c r="Z1151" s="18"/>
      <c r="AA1151" s="18"/>
      <c r="AB1151" s="18"/>
      <c r="AC1151" s="18"/>
      <c r="AD1151" s="19"/>
      <c r="AE1151" s="18"/>
      <c r="AF1151" s="18"/>
      <c r="AG1151" s="18"/>
      <c r="AH1151" s="18"/>
      <c r="AI1151" s="18"/>
      <c r="AJ1151" s="97"/>
      <c r="AK1151" s="18"/>
      <c r="AL1151" s="18"/>
    </row>
    <row r="1152" spans="4:38" x14ac:dyDescent="0.2">
      <c r="D1152" s="19"/>
      <c r="E1152" s="19"/>
      <c r="F1152" s="19"/>
      <c r="G1152" s="18"/>
      <c r="H1152" s="18"/>
      <c r="I1152" s="18"/>
      <c r="J1152" s="18"/>
      <c r="K1152" s="18"/>
      <c r="L1152" s="18"/>
      <c r="M1152" s="18"/>
      <c r="N1152" s="18"/>
      <c r="O1152" s="18"/>
      <c r="P1152" s="18"/>
      <c r="Q1152" s="18"/>
      <c r="R1152" s="18"/>
      <c r="S1152" s="18"/>
      <c r="T1152" s="18"/>
      <c r="U1152" s="18"/>
      <c r="V1152" s="18"/>
      <c r="W1152" s="18"/>
      <c r="X1152" s="18"/>
      <c r="Y1152" s="18"/>
      <c r="Z1152" s="18"/>
      <c r="AA1152" s="18"/>
      <c r="AB1152" s="18"/>
      <c r="AC1152" s="18"/>
      <c r="AD1152" s="19"/>
      <c r="AE1152" s="18"/>
      <c r="AF1152" s="18"/>
      <c r="AG1152" s="18"/>
      <c r="AH1152" s="18"/>
      <c r="AI1152" s="18"/>
      <c r="AJ1152" s="97"/>
      <c r="AK1152" s="18"/>
      <c r="AL1152" s="18"/>
    </row>
    <row r="1153" spans="4:38" x14ac:dyDescent="0.2">
      <c r="D1153" s="19"/>
      <c r="E1153" s="19"/>
      <c r="F1153" s="19"/>
      <c r="G1153" s="18"/>
      <c r="H1153" s="18"/>
      <c r="I1153" s="18"/>
      <c r="J1153" s="18"/>
      <c r="K1153" s="18"/>
      <c r="L1153" s="18"/>
      <c r="M1153" s="18"/>
      <c r="N1153" s="18"/>
      <c r="O1153" s="18"/>
      <c r="P1153" s="18"/>
      <c r="Q1153" s="18"/>
      <c r="R1153" s="18"/>
      <c r="S1153" s="18"/>
      <c r="T1153" s="18"/>
      <c r="U1153" s="18"/>
      <c r="V1153" s="18"/>
      <c r="W1153" s="18"/>
      <c r="X1153" s="18"/>
      <c r="Y1153" s="18"/>
      <c r="Z1153" s="18"/>
      <c r="AA1153" s="18"/>
      <c r="AB1153" s="18"/>
      <c r="AC1153" s="18"/>
      <c r="AD1153" s="19"/>
      <c r="AE1153" s="18"/>
      <c r="AF1153" s="18"/>
      <c r="AG1153" s="18"/>
      <c r="AH1153" s="18"/>
      <c r="AI1153" s="18"/>
      <c r="AJ1153" s="97"/>
      <c r="AK1153" s="18"/>
      <c r="AL1153" s="18"/>
    </row>
    <row r="1154" spans="4:38" x14ac:dyDescent="0.2">
      <c r="D1154" s="19"/>
      <c r="E1154" s="19"/>
      <c r="F1154" s="19"/>
      <c r="G1154" s="18"/>
      <c r="H1154" s="18"/>
      <c r="I1154" s="18"/>
      <c r="J1154" s="18"/>
      <c r="K1154" s="18"/>
      <c r="L1154" s="18"/>
      <c r="M1154" s="18"/>
      <c r="N1154" s="18"/>
      <c r="O1154" s="18"/>
      <c r="P1154" s="18"/>
      <c r="Q1154" s="18"/>
      <c r="R1154" s="18"/>
      <c r="S1154" s="18"/>
      <c r="T1154" s="18"/>
      <c r="U1154" s="18"/>
      <c r="V1154" s="18"/>
      <c r="W1154" s="18"/>
      <c r="X1154" s="18"/>
      <c r="Y1154" s="18"/>
      <c r="Z1154" s="18"/>
      <c r="AA1154" s="18"/>
      <c r="AB1154" s="18"/>
      <c r="AC1154" s="18"/>
      <c r="AD1154" s="19"/>
      <c r="AE1154" s="18"/>
      <c r="AF1154" s="18"/>
      <c r="AG1154" s="18"/>
      <c r="AH1154" s="18"/>
      <c r="AI1154" s="18"/>
      <c r="AJ1154" s="97"/>
      <c r="AK1154" s="18"/>
      <c r="AL1154" s="18"/>
    </row>
    <row r="1155" spans="4:38" x14ac:dyDescent="0.2">
      <c r="D1155" s="19"/>
      <c r="E1155" s="19"/>
      <c r="F1155" s="19"/>
      <c r="G1155" s="18"/>
      <c r="H1155" s="18"/>
      <c r="I1155" s="18"/>
      <c r="J1155" s="18"/>
      <c r="K1155" s="18"/>
      <c r="L1155" s="18"/>
      <c r="M1155" s="18"/>
      <c r="N1155" s="18"/>
      <c r="O1155" s="18"/>
      <c r="P1155" s="18"/>
      <c r="Q1155" s="18"/>
      <c r="R1155" s="18"/>
      <c r="S1155" s="18"/>
      <c r="T1155" s="18"/>
      <c r="U1155" s="18"/>
      <c r="V1155" s="18"/>
      <c r="W1155" s="18"/>
      <c r="X1155" s="18"/>
      <c r="Y1155" s="18"/>
      <c r="Z1155" s="18"/>
      <c r="AA1155" s="18"/>
      <c r="AB1155" s="18"/>
      <c r="AC1155" s="18"/>
      <c r="AD1155" s="19"/>
      <c r="AE1155" s="18"/>
      <c r="AF1155" s="18"/>
      <c r="AG1155" s="18"/>
      <c r="AH1155" s="18"/>
      <c r="AI1155" s="18"/>
      <c r="AJ1155" s="97"/>
      <c r="AK1155" s="18"/>
      <c r="AL1155" s="18"/>
    </row>
    <row r="1156" spans="4:38" x14ac:dyDescent="0.2">
      <c r="D1156" s="19"/>
      <c r="E1156" s="19"/>
      <c r="F1156" s="19"/>
      <c r="G1156" s="18"/>
      <c r="H1156" s="18"/>
      <c r="I1156" s="18"/>
      <c r="J1156" s="18"/>
      <c r="K1156" s="18"/>
      <c r="L1156" s="18"/>
      <c r="M1156" s="18"/>
      <c r="N1156" s="18"/>
      <c r="O1156" s="18"/>
      <c r="P1156" s="18"/>
      <c r="Q1156" s="18"/>
      <c r="R1156" s="18"/>
      <c r="S1156" s="18"/>
      <c r="T1156" s="18"/>
      <c r="U1156" s="18"/>
      <c r="V1156" s="18"/>
      <c r="W1156" s="18"/>
      <c r="X1156" s="18"/>
      <c r="Y1156" s="18"/>
      <c r="Z1156" s="18"/>
      <c r="AA1156" s="18"/>
      <c r="AB1156" s="18"/>
      <c r="AC1156" s="18"/>
      <c r="AD1156" s="19"/>
      <c r="AE1156" s="18"/>
      <c r="AF1156" s="18"/>
      <c r="AG1156" s="18"/>
      <c r="AH1156" s="18"/>
      <c r="AI1156" s="18"/>
      <c r="AJ1156" s="97"/>
      <c r="AK1156" s="18"/>
      <c r="AL1156" s="18"/>
    </row>
    <row r="1157" spans="4:38" x14ac:dyDescent="0.2">
      <c r="D1157" s="19"/>
      <c r="E1157" s="19"/>
      <c r="F1157" s="19"/>
      <c r="G1157" s="18"/>
      <c r="H1157" s="18"/>
      <c r="I1157" s="18"/>
      <c r="J1157" s="18"/>
      <c r="K1157" s="18"/>
      <c r="L1157" s="18"/>
      <c r="M1157" s="18"/>
      <c r="N1157" s="18"/>
      <c r="O1157" s="18"/>
      <c r="P1157" s="18"/>
      <c r="Q1157" s="18"/>
      <c r="R1157" s="18"/>
      <c r="S1157" s="18"/>
      <c r="T1157" s="18"/>
      <c r="U1157" s="18"/>
      <c r="V1157" s="18"/>
      <c r="W1157" s="18"/>
      <c r="X1157" s="18"/>
      <c r="Y1157" s="18"/>
      <c r="Z1157" s="18"/>
      <c r="AA1157" s="18"/>
      <c r="AB1157" s="18"/>
      <c r="AC1157" s="18"/>
      <c r="AD1157" s="19"/>
      <c r="AE1157" s="18"/>
      <c r="AF1157" s="18"/>
      <c r="AG1157" s="18"/>
      <c r="AH1157" s="18"/>
      <c r="AI1157" s="18"/>
      <c r="AJ1157" s="97"/>
      <c r="AK1157" s="18"/>
      <c r="AL1157" s="18"/>
    </row>
    <row r="1158" spans="4:38" x14ac:dyDescent="0.2">
      <c r="D1158" s="19"/>
      <c r="E1158" s="19"/>
      <c r="F1158" s="19"/>
      <c r="G1158" s="18"/>
      <c r="H1158" s="18"/>
      <c r="I1158" s="18"/>
      <c r="J1158" s="18"/>
      <c r="K1158" s="18"/>
      <c r="L1158" s="18"/>
      <c r="M1158" s="18"/>
      <c r="N1158" s="18"/>
      <c r="O1158" s="18"/>
      <c r="P1158" s="18"/>
      <c r="Q1158" s="18"/>
      <c r="R1158" s="18"/>
      <c r="S1158" s="18"/>
      <c r="T1158" s="18"/>
      <c r="U1158" s="18"/>
      <c r="V1158" s="18"/>
      <c r="W1158" s="18"/>
      <c r="X1158" s="18"/>
      <c r="Y1158" s="18"/>
      <c r="Z1158" s="18"/>
      <c r="AA1158" s="18"/>
      <c r="AB1158" s="18"/>
      <c r="AC1158" s="18"/>
      <c r="AD1158" s="19"/>
      <c r="AE1158" s="18"/>
      <c r="AF1158" s="18"/>
      <c r="AG1158" s="18"/>
      <c r="AH1158" s="18"/>
      <c r="AI1158" s="18"/>
      <c r="AJ1158" s="97"/>
      <c r="AK1158" s="18"/>
      <c r="AL1158" s="18"/>
    </row>
    <row r="1159" spans="4:38" x14ac:dyDescent="0.2">
      <c r="D1159" s="19"/>
      <c r="E1159" s="19"/>
      <c r="F1159" s="19"/>
      <c r="G1159" s="18"/>
      <c r="H1159" s="18"/>
      <c r="I1159" s="18"/>
      <c r="J1159" s="18"/>
      <c r="K1159" s="18"/>
      <c r="L1159" s="18"/>
      <c r="M1159" s="18"/>
      <c r="N1159" s="18"/>
      <c r="O1159" s="18"/>
      <c r="P1159" s="18"/>
      <c r="Q1159" s="18"/>
      <c r="R1159" s="18"/>
      <c r="S1159" s="18"/>
      <c r="T1159" s="18"/>
      <c r="U1159" s="18"/>
      <c r="V1159" s="18"/>
      <c r="W1159" s="18"/>
      <c r="X1159" s="18"/>
      <c r="Y1159" s="18"/>
      <c r="Z1159" s="18"/>
      <c r="AA1159" s="18"/>
      <c r="AB1159" s="18"/>
      <c r="AC1159" s="18"/>
      <c r="AD1159" s="19"/>
      <c r="AE1159" s="18"/>
      <c r="AF1159" s="18"/>
      <c r="AG1159" s="18"/>
      <c r="AH1159" s="18"/>
      <c r="AI1159" s="18"/>
      <c r="AJ1159" s="97"/>
      <c r="AK1159" s="18"/>
      <c r="AL1159" s="18"/>
    </row>
    <row r="1160" spans="4:38" x14ac:dyDescent="0.2">
      <c r="D1160" s="19"/>
      <c r="E1160" s="19"/>
      <c r="F1160" s="19"/>
      <c r="G1160" s="18"/>
      <c r="H1160" s="18"/>
      <c r="I1160" s="18"/>
      <c r="J1160" s="18"/>
      <c r="K1160" s="18"/>
      <c r="L1160" s="18"/>
      <c r="M1160" s="18"/>
      <c r="N1160" s="18"/>
      <c r="O1160" s="18"/>
      <c r="P1160" s="18"/>
      <c r="Q1160" s="18"/>
      <c r="R1160" s="18"/>
      <c r="S1160" s="18"/>
      <c r="T1160" s="18"/>
      <c r="U1160" s="18"/>
      <c r="V1160" s="18"/>
      <c r="W1160" s="18"/>
      <c r="X1160" s="18"/>
      <c r="Y1160" s="18"/>
      <c r="Z1160" s="18"/>
      <c r="AA1160" s="18"/>
      <c r="AB1160" s="18"/>
      <c r="AC1160" s="18"/>
      <c r="AD1160" s="19"/>
      <c r="AE1160" s="18"/>
      <c r="AF1160" s="18"/>
      <c r="AG1160" s="18"/>
      <c r="AH1160" s="18"/>
      <c r="AI1160" s="18"/>
      <c r="AJ1160" s="97"/>
      <c r="AK1160" s="18"/>
      <c r="AL1160" s="18"/>
    </row>
    <row r="1161" spans="4:38" x14ac:dyDescent="0.2">
      <c r="D1161" s="19"/>
      <c r="E1161" s="19"/>
      <c r="F1161" s="19"/>
      <c r="G1161" s="18"/>
      <c r="H1161" s="18"/>
      <c r="I1161" s="18"/>
      <c r="J1161" s="18"/>
      <c r="K1161" s="18"/>
      <c r="L1161" s="18"/>
      <c r="M1161" s="18"/>
      <c r="N1161" s="18"/>
      <c r="O1161" s="18"/>
      <c r="P1161" s="18"/>
      <c r="Q1161" s="18"/>
      <c r="R1161" s="18"/>
      <c r="S1161" s="18"/>
      <c r="T1161" s="18"/>
      <c r="U1161" s="18"/>
      <c r="V1161" s="18"/>
      <c r="W1161" s="18"/>
      <c r="X1161" s="18"/>
      <c r="Y1161" s="18"/>
      <c r="Z1161" s="18"/>
      <c r="AA1161" s="18"/>
      <c r="AB1161" s="18"/>
      <c r="AC1161" s="18"/>
      <c r="AD1161" s="19"/>
      <c r="AE1161" s="18"/>
      <c r="AF1161" s="18"/>
      <c r="AG1161" s="18"/>
      <c r="AH1161" s="18"/>
      <c r="AI1161" s="18"/>
      <c r="AJ1161" s="97"/>
      <c r="AK1161" s="18"/>
      <c r="AL1161" s="18"/>
    </row>
    <row r="1162" spans="4:38" x14ac:dyDescent="0.2">
      <c r="D1162" s="19"/>
      <c r="E1162" s="19"/>
      <c r="F1162" s="19"/>
      <c r="G1162" s="18"/>
      <c r="H1162" s="18"/>
      <c r="I1162" s="18"/>
      <c r="J1162" s="18"/>
      <c r="K1162" s="18"/>
      <c r="L1162" s="18"/>
      <c r="M1162" s="18"/>
      <c r="N1162" s="18"/>
      <c r="O1162" s="18"/>
      <c r="P1162" s="18"/>
      <c r="Q1162" s="18"/>
      <c r="R1162" s="18"/>
      <c r="S1162" s="18"/>
      <c r="T1162" s="18"/>
      <c r="U1162" s="18"/>
      <c r="V1162" s="18"/>
      <c r="W1162" s="18"/>
      <c r="X1162" s="18"/>
      <c r="Y1162" s="18"/>
      <c r="Z1162" s="18"/>
      <c r="AA1162" s="18"/>
      <c r="AB1162" s="18"/>
      <c r="AC1162" s="18"/>
      <c r="AD1162" s="19"/>
      <c r="AE1162" s="18"/>
      <c r="AF1162" s="18"/>
      <c r="AG1162" s="18"/>
      <c r="AH1162" s="18"/>
      <c r="AI1162" s="18"/>
      <c r="AJ1162" s="97"/>
      <c r="AK1162" s="18"/>
      <c r="AL1162" s="18"/>
    </row>
    <row r="1163" spans="4:38" x14ac:dyDescent="0.2">
      <c r="D1163" s="19"/>
      <c r="E1163" s="19"/>
      <c r="F1163" s="19"/>
      <c r="G1163" s="18"/>
      <c r="H1163" s="18"/>
      <c r="I1163" s="18"/>
      <c r="J1163" s="18"/>
      <c r="K1163" s="18"/>
      <c r="L1163" s="18"/>
      <c r="M1163" s="18"/>
      <c r="N1163" s="18"/>
      <c r="O1163" s="18"/>
      <c r="P1163" s="18"/>
      <c r="Q1163" s="18"/>
      <c r="R1163" s="18"/>
      <c r="S1163" s="18"/>
      <c r="T1163" s="18"/>
      <c r="U1163" s="18"/>
      <c r="V1163" s="18"/>
      <c r="W1163" s="18"/>
      <c r="X1163" s="18"/>
      <c r="Y1163" s="18"/>
      <c r="Z1163" s="18"/>
      <c r="AA1163" s="18"/>
      <c r="AB1163" s="18"/>
      <c r="AC1163" s="18"/>
      <c r="AD1163" s="19"/>
      <c r="AE1163" s="18"/>
      <c r="AF1163" s="18"/>
      <c r="AG1163" s="18"/>
      <c r="AH1163" s="18"/>
      <c r="AI1163" s="18"/>
      <c r="AJ1163" s="97"/>
      <c r="AK1163" s="18"/>
      <c r="AL1163" s="18"/>
    </row>
    <row r="1164" spans="4:38" x14ac:dyDescent="0.2">
      <c r="D1164" s="19"/>
      <c r="E1164" s="19"/>
      <c r="F1164" s="19"/>
      <c r="G1164" s="18"/>
      <c r="H1164" s="18"/>
      <c r="I1164" s="18"/>
      <c r="J1164" s="18"/>
      <c r="K1164" s="18"/>
      <c r="L1164" s="18"/>
      <c r="M1164" s="18"/>
      <c r="N1164" s="18"/>
      <c r="O1164" s="18"/>
      <c r="P1164" s="18"/>
      <c r="Q1164" s="18"/>
      <c r="R1164" s="18"/>
      <c r="S1164" s="18"/>
      <c r="T1164" s="18"/>
      <c r="U1164" s="18"/>
      <c r="V1164" s="18"/>
      <c r="W1164" s="18"/>
      <c r="X1164" s="18"/>
      <c r="Y1164" s="18"/>
      <c r="Z1164" s="18"/>
      <c r="AA1164" s="18"/>
      <c r="AB1164" s="18"/>
      <c r="AC1164" s="18"/>
      <c r="AD1164" s="19"/>
      <c r="AE1164" s="18"/>
      <c r="AF1164" s="18"/>
      <c r="AG1164" s="18"/>
      <c r="AH1164" s="18"/>
      <c r="AI1164" s="18"/>
      <c r="AJ1164" s="97"/>
      <c r="AK1164" s="18"/>
      <c r="AL1164" s="18"/>
    </row>
    <row r="1165" spans="4:38" x14ac:dyDescent="0.2">
      <c r="D1165" s="19"/>
      <c r="E1165" s="19"/>
      <c r="F1165" s="19"/>
      <c r="G1165" s="18"/>
      <c r="H1165" s="18"/>
      <c r="I1165" s="18"/>
      <c r="J1165" s="18"/>
      <c r="K1165" s="18"/>
      <c r="L1165" s="18"/>
      <c r="M1165" s="18"/>
      <c r="N1165" s="18"/>
      <c r="O1165" s="18"/>
      <c r="P1165" s="18"/>
      <c r="Q1165" s="18"/>
      <c r="R1165" s="18"/>
      <c r="S1165" s="18"/>
      <c r="T1165" s="18"/>
      <c r="U1165" s="18"/>
      <c r="V1165" s="18"/>
      <c r="W1165" s="18"/>
      <c r="X1165" s="18"/>
      <c r="Y1165" s="18"/>
      <c r="Z1165" s="18"/>
      <c r="AA1165" s="18"/>
      <c r="AB1165" s="18"/>
      <c r="AC1165" s="18"/>
      <c r="AD1165" s="19"/>
      <c r="AE1165" s="18"/>
      <c r="AF1165" s="18"/>
      <c r="AG1165" s="18"/>
      <c r="AH1165" s="18"/>
      <c r="AI1165" s="18"/>
      <c r="AJ1165" s="97"/>
      <c r="AK1165" s="18"/>
      <c r="AL1165" s="18"/>
    </row>
    <row r="1166" spans="4:38" x14ac:dyDescent="0.2">
      <c r="D1166" s="19"/>
      <c r="E1166" s="19"/>
      <c r="F1166" s="19"/>
      <c r="G1166" s="18"/>
      <c r="H1166" s="18"/>
      <c r="I1166" s="18"/>
      <c r="J1166" s="18"/>
      <c r="K1166" s="18"/>
      <c r="L1166" s="18"/>
      <c r="M1166" s="18"/>
      <c r="N1166" s="18"/>
      <c r="O1166" s="18"/>
      <c r="P1166" s="18"/>
      <c r="Q1166" s="18"/>
      <c r="R1166" s="18"/>
      <c r="S1166" s="18"/>
      <c r="T1166" s="18"/>
      <c r="U1166" s="18"/>
      <c r="V1166" s="18"/>
      <c r="W1166" s="18"/>
      <c r="X1166" s="18"/>
      <c r="Y1166" s="18"/>
      <c r="Z1166" s="18"/>
      <c r="AA1166" s="18"/>
      <c r="AB1166" s="18"/>
      <c r="AC1166" s="18"/>
      <c r="AD1166" s="19"/>
      <c r="AE1166" s="18"/>
      <c r="AF1166" s="18"/>
      <c r="AG1166" s="18"/>
      <c r="AH1166" s="18"/>
      <c r="AI1166" s="18"/>
      <c r="AJ1166" s="97"/>
      <c r="AK1166" s="18"/>
      <c r="AL1166" s="18"/>
    </row>
    <row r="1167" spans="4:38" x14ac:dyDescent="0.2">
      <c r="D1167" s="19"/>
      <c r="E1167" s="19"/>
      <c r="F1167" s="19"/>
      <c r="G1167" s="18"/>
      <c r="H1167" s="18"/>
      <c r="I1167" s="18"/>
      <c r="J1167" s="18"/>
      <c r="K1167" s="18"/>
      <c r="L1167" s="18"/>
      <c r="M1167" s="18"/>
      <c r="N1167" s="18"/>
      <c r="O1167" s="18"/>
      <c r="P1167" s="18"/>
      <c r="Q1167" s="18"/>
      <c r="R1167" s="18"/>
      <c r="S1167" s="18"/>
      <c r="T1167" s="18"/>
      <c r="U1167" s="18"/>
      <c r="V1167" s="18"/>
      <c r="W1167" s="18"/>
      <c r="X1167" s="18"/>
      <c r="Y1167" s="18"/>
      <c r="Z1167" s="18"/>
      <c r="AA1167" s="18"/>
      <c r="AB1167" s="18"/>
      <c r="AC1167" s="18"/>
      <c r="AD1167" s="19"/>
      <c r="AE1167" s="18"/>
      <c r="AF1167" s="18"/>
      <c r="AG1167" s="18"/>
      <c r="AH1167" s="18"/>
      <c r="AI1167" s="18"/>
      <c r="AJ1167" s="97"/>
      <c r="AK1167" s="18"/>
      <c r="AL1167" s="18"/>
    </row>
    <row r="1168" spans="4:38" x14ac:dyDescent="0.2">
      <c r="D1168" s="19"/>
      <c r="E1168" s="19"/>
      <c r="F1168" s="19"/>
      <c r="G1168" s="18"/>
      <c r="H1168" s="18"/>
      <c r="I1168" s="18"/>
      <c r="J1168" s="18"/>
      <c r="K1168" s="18"/>
      <c r="L1168" s="18"/>
      <c r="M1168" s="18"/>
      <c r="N1168" s="18"/>
      <c r="O1168" s="18"/>
      <c r="P1168" s="18"/>
      <c r="Q1168" s="18"/>
      <c r="R1168" s="18"/>
      <c r="S1168" s="18"/>
      <c r="T1168" s="18"/>
      <c r="U1168" s="18"/>
      <c r="V1168" s="18"/>
      <c r="W1168" s="18"/>
      <c r="X1168" s="18"/>
      <c r="Y1168" s="18"/>
      <c r="Z1168" s="18"/>
      <c r="AA1168" s="18"/>
      <c r="AB1168" s="18"/>
      <c r="AC1168" s="18"/>
      <c r="AD1168" s="19"/>
      <c r="AE1168" s="18"/>
      <c r="AF1168" s="18"/>
      <c r="AG1168" s="18"/>
      <c r="AH1168" s="18"/>
      <c r="AI1168" s="18"/>
      <c r="AJ1168" s="97"/>
      <c r="AK1168" s="18"/>
      <c r="AL1168" s="18"/>
    </row>
    <row r="1169" spans="4:38" x14ac:dyDescent="0.2">
      <c r="D1169" s="19"/>
      <c r="E1169" s="19"/>
      <c r="F1169" s="19"/>
      <c r="G1169" s="18"/>
      <c r="H1169" s="18"/>
      <c r="I1169" s="18"/>
      <c r="J1169" s="18"/>
      <c r="K1169" s="18"/>
      <c r="L1169" s="18"/>
      <c r="M1169" s="18"/>
      <c r="N1169" s="18"/>
      <c r="O1169" s="18"/>
      <c r="P1169" s="18"/>
      <c r="Q1169" s="18"/>
      <c r="R1169" s="18"/>
      <c r="S1169" s="18"/>
      <c r="T1169" s="18"/>
      <c r="U1169" s="18"/>
      <c r="V1169" s="18"/>
      <c r="W1169" s="18"/>
      <c r="X1169" s="18"/>
      <c r="Y1169" s="18"/>
      <c r="Z1169" s="18"/>
      <c r="AA1169" s="18"/>
      <c r="AB1169" s="18"/>
      <c r="AC1169" s="18"/>
      <c r="AD1169" s="19"/>
      <c r="AE1169" s="18"/>
      <c r="AF1169" s="18"/>
      <c r="AG1169" s="18"/>
      <c r="AH1169" s="18"/>
      <c r="AI1169" s="18"/>
      <c r="AJ1169" s="97"/>
      <c r="AK1169" s="18"/>
      <c r="AL1169" s="18"/>
    </row>
    <row r="1170" spans="4:38" x14ac:dyDescent="0.2">
      <c r="D1170" s="19"/>
      <c r="E1170" s="19"/>
      <c r="F1170" s="19"/>
      <c r="G1170" s="18"/>
      <c r="H1170" s="18"/>
      <c r="I1170" s="18"/>
      <c r="J1170" s="18"/>
      <c r="K1170" s="18"/>
      <c r="L1170" s="18"/>
      <c r="M1170" s="18"/>
      <c r="N1170" s="18"/>
      <c r="O1170" s="18"/>
      <c r="P1170" s="18"/>
      <c r="Q1170" s="18"/>
      <c r="R1170" s="18"/>
      <c r="S1170" s="18"/>
      <c r="T1170" s="18"/>
      <c r="U1170" s="18"/>
      <c r="V1170" s="18"/>
      <c r="W1170" s="18"/>
      <c r="X1170" s="18"/>
      <c r="Y1170" s="18"/>
      <c r="Z1170" s="18"/>
      <c r="AA1170" s="18"/>
      <c r="AB1170" s="18"/>
      <c r="AC1170" s="18"/>
      <c r="AD1170" s="19"/>
      <c r="AE1170" s="18"/>
      <c r="AF1170" s="18"/>
      <c r="AG1170" s="18"/>
      <c r="AH1170" s="18"/>
      <c r="AI1170" s="18"/>
      <c r="AJ1170" s="97"/>
      <c r="AK1170" s="18"/>
      <c r="AL1170" s="18"/>
    </row>
    <row r="1171" spans="4:38" x14ac:dyDescent="0.2">
      <c r="D1171" s="19"/>
      <c r="E1171" s="19"/>
      <c r="F1171" s="19"/>
      <c r="G1171" s="18"/>
      <c r="H1171" s="18"/>
      <c r="I1171" s="18"/>
      <c r="J1171" s="18"/>
      <c r="K1171" s="18"/>
      <c r="L1171" s="18"/>
      <c r="M1171" s="18"/>
      <c r="N1171" s="18"/>
      <c r="O1171" s="18"/>
      <c r="P1171" s="18"/>
      <c r="Q1171" s="18"/>
      <c r="R1171" s="18"/>
      <c r="S1171" s="18"/>
      <c r="T1171" s="18"/>
      <c r="U1171" s="18"/>
      <c r="V1171" s="18"/>
      <c r="W1171" s="18"/>
      <c r="X1171" s="18"/>
      <c r="Y1171" s="18"/>
      <c r="Z1171" s="18"/>
      <c r="AA1171" s="18"/>
      <c r="AB1171" s="18"/>
      <c r="AC1171" s="18"/>
      <c r="AD1171" s="19"/>
      <c r="AE1171" s="18"/>
      <c r="AF1171" s="18"/>
      <c r="AG1171" s="18"/>
      <c r="AH1171" s="18"/>
      <c r="AI1171" s="18"/>
      <c r="AJ1171" s="97"/>
      <c r="AK1171" s="18"/>
      <c r="AL1171" s="18"/>
    </row>
    <row r="1172" spans="4:38" x14ac:dyDescent="0.2">
      <c r="D1172" s="19"/>
      <c r="E1172" s="19"/>
      <c r="F1172" s="19"/>
      <c r="G1172" s="18"/>
      <c r="H1172" s="18"/>
      <c r="I1172" s="18"/>
      <c r="J1172" s="18"/>
      <c r="K1172" s="18"/>
      <c r="L1172" s="18"/>
      <c r="M1172" s="18"/>
      <c r="N1172" s="18"/>
      <c r="O1172" s="18"/>
      <c r="P1172" s="18"/>
      <c r="Q1172" s="18"/>
      <c r="R1172" s="18"/>
      <c r="S1172" s="18"/>
      <c r="T1172" s="18"/>
      <c r="U1172" s="18"/>
      <c r="V1172" s="18"/>
      <c r="W1172" s="18"/>
      <c r="X1172" s="18"/>
      <c r="Y1172" s="18"/>
      <c r="Z1172" s="18"/>
      <c r="AA1172" s="18"/>
      <c r="AB1172" s="18"/>
      <c r="AC1172" s="18"/>
      <c r="AD1172" s="19"/>
      <c r="AE1172" s="18"/>
      <c r="AF1172" s="18"/>
      <c r="AG1172" s="18"/>
      <c r="AH1172" s="18"/>
      <c r="AI1172" s="18"/>
      <c r="AJ1172" s="97"/>
      <c r="AK1172" s="18"/>
      <c r="AL1172" s="18"/>
    </row>
    <row r="1173" spans="4:38" x14ac:dyDescent="0.2">
      <c r="D1173" s="19"/>
      <c r="E1173" s="19"/>
      <c r="F1173" s="19"/>
      <c r="G1173" s="18"/>
      <c r="H1173" s="18"/>
      <c r="I1173" s="18"/>
      <c r="J1173" s="18"/>
      <c r="K1173" s="18"/>
      <c r="L1173" s="18"/>
      <c r="M1173" s="18"/>
      <c r="N1173" s="18"/>
      <c r="O1173" s="18"/>
      <c r="P1173" s="18"/>
      <c r="Q1173" s="18"/>
      <c r="R1173" s="18"/>
      <c r="S1173" s="18"/>
      <c r="T1173" s="18"/>
      <c r="U1173" s="18"/>
      <c r="V1173" s="18"/>
      <c r="W1173" s="18"/>
      <c r="X1173" s="18"/>
      <c r="Y1173" s="18"/>
      <c r="Z1173" s="18"/>
      <c r="AA1173" s="18"/>
      <c r="AB1173" s="18"/>
      <c r="AC1173" s="18"/>
      <c r="AD1173" s="19"/>
      <c r="AE1173" s="18"/>
      <c r="AF1173" s="18"/>
      <c r="AG1173" s="18"/>
      <c r="AH1173" s="18"/>
      <c r="AI1173" s="18"/>
      <c r="AJ1173" s="97"/>
      <c r="AK1173" s="18"/>
      <c r="AL1173" s="18"/>
    </row>
    <row r="1174" spans="4:38" x14ac:dyDescent="0.2">
      <c r="D1174" s="19"/>
      <c r="E1174" s="19"/>
      <c r="F1174" s="19"/>
      <c r="G1174" s="18"/>
      <c r="H1174" s="18"/>
      <c r="I1174" s="18"/>
      <c r="J1174" s="18"/>
      <c r="K1174" s="18"/>
      <c r="L1174" s="18"/>
      <c r="M1174" s="18"/>
      <c r="N1174" s="18"/>
      <c r="O1174" s="18"/>
      <c r="P1174" s="18"/>
      <c r="Q1174" s="18"/>
      <c r="R1174" s="18"/>
      <c r="S1174" s="18"/>
      <c r="T1174" s="18"/>
      <c r="U1174" s="18"/>
      <c r="V1174" s="18"/>
      <c r="W1174" s="18"/>
      <c r="X1174" s="18"/>
      <c r="Y1174" s="18"/>
      <c r="Z1174" s="18"/>
      <c r="AA1174" s="18"/>
      <c r="AB1174" s="18"/>
      <c r="AC1174" s="18"/>
      <c r="AD1174" s="19"/>
      <c r="AE1174" s="18"/>
      <c r="AF1174" s="18"/>
      <c r="AG1174" s="18"/>
      <c r="AH1174" s="18"/>
      <c r="AI1174" s="18"/>
      <c r="AJ1174" s="97"/>
      <c r="AK1174" s="18"/>
      <c r="AL1174" s="18"/>
    </row>
    <row r="1175" spans="4:38" x14ac:dyDescent="0.2">
      <c r="D1175" s="19"/>
      <c r="E1175" s="19"/>
      <c r="F1175" s="19"/>
      <c r="G1175" s="18"/>
      <c r="H1175" s="18"/>
      <c r="I1175" s="18"/>
      <c r="J1175" s="18"/>
      <c r="K1175" s="18"/>
      <c r="L1175" s="18"/>
      <c r="M1175" s="18"/>
      <c r="N1175" s="18"/>
      <c r="O1175" s="18"/>
      <c r="P1175" s="18"/>
      <c r="Q1175" s="18"/>
      <c r="R1175" s="18"/>
      <c r="S1175" s="18"/>
      <c r="T1175" s="18"/>
      <c r="U1175" s="18"/>
      <c r="V1175" s="18"/>
      <c r="W1175" s="18"/>
      <c r="X1175" s="18"/>
      <c r="Y1175" s="18"/>
      <c r="Z1175" s="18"/>
      <c r="AA1175" s="18"/>
      <c r="AB1175" s="18"/>
      <c r="AC1175" s="18"/>
      <c r="AD1175" s="19"/>
      <c r="AE1175" s="18"/>
      <c r="AF1175" s="18"/>
      <c r="AG1175" s="18"/>
      <c r="AH1175" s="18"/>
      <c r="AI1175" s="18"/>
      <c r="AJ1175" s="97"/>
      <c r="AK1175" s="18"/>
      <c r="AL1175" s="18"/>
    </row>
    <row r="1176" spans="4:38" x14ac:dyDescent="0.2">
      <c r="D1176" s="19"/>
      <c r="E1176" s="19"/>
      <c r="F1176" s="19"/>
      <c r="G1176" s="18"/>
      <c r="H1176" s="18"/>
      <c r="I1176" s="18"/>
      <c r="J1176" s="18"/>
      <c r="K1176" s="18"/>
      <c r="L1176" s="18"/>
      <c r="M1176" s="18"/>
      <c r="N1176" s="18"/>
      <c r="O1176" s="18"/>
      <c r="P1176" s="18"/>
      <c r="Q1176" s="18"/>
      <c r="R1176" s="18"/>
      <c r="S1176" s="18"/>
      <c r="T1176" s="18"/>
      <c r="U1176" s="18"/>
      <c r="V1176" s="18"/>
      <c r="W1176" s="18"/>
      <c r="X1176" s="18"/>
      <c r="Y1176" s="18"/>
      <c r="Z1176" s="18"/>
      <c r="AA1176" s="18"/>
      <c r="AB1176" s="18"/>
      <c r="AC1176" s="18"/>
      <c r="AD1176" s="19"/>
      <c r="AE1176" s="18"/>
      <c r="AF1176" s="18"/>
      <c r="AG1176" s="18"/>
      <c r="AH1176" s="18"/>
      <c r="AI1176" s="18"/>
      <c r="AJ1176" s="97"/>
      <c r="AK1176" s="18"/>
      <c r="AL1176" s="18"/>
    </row>
    <row r="1177" spans="4:38" x14ac:dyDescent="0.2">
      <c r="D1177" s="19"/>
      <c r="E1177" s="19"/>
      <c r="F1177" s="19"/>
      <c r="G1177" s="18"/>
      <c r="H1177" s="18"/>
      <c r="I1177" s="18"/>
      <c r="J1177" s="18"/>
      <c r="K1177" s="18"/>
      <c r="L1177" s="18"/>
      <c r="M1177" s="18"/>
      <c r="N1177" s="18"/>
      <c r="O1177" s="18"/>
      <c r="P1177" s="18"/>
      <c r="Q1177" s="18"/>
      <c r="R1177" s="18"/>
      <c r="S1177" s="18"/>
      <c r="T1177" s="18"/>
      <c r="U1177" s="18"/>
      <c r="V1177" s="18"/>
      <c r="W1177" s="18"/>
      <c r="X1177" s="18"/>
      <c r="Y1177" s="18"/>
      <c r="Z1177" s="18"/>
      <c r="AA1177" s="18"/>
      <c r="AB1177" s="18"/>
      <c r="AC1177" s="18"/>
      <c r="AD1177" s="19"/>
      <c r="AE1177" s="18"/>
      <c r="AF1177" s="18"/>
      <c r="AG1177" s="18"/>
      <c r="AH1177" s="18"/>
      <c r="AI1177" s="18"/>
      <c r="AJ1177" s="97"/>
      <c r="AK1177" s="18"/>
      <c r="AL1177" s="18"/>
    </row>
    <row r="1178" spans="4:38" x14ac:dyDescent="0.2">
      <c r="D1178" s="19"/>
      <c r="E1178" s="19"/>
      <c r="F1178" s="19"/>
      <c r="G1178" s="18"/>
      <c r="H1178" s="18"/>
      <c r="I1178" s="18"/>
      <c r="J1178" s="18"/>
      <c r="K1178" s="18"/>
      <c r="L1178" s="18"/>
      <c r="M1178" s="18"/>
      <c r="N1178" s="18"/>
      <c r="O1178" s="18"/>
      <c r="P1178" s="18"/>
      <c r="Q1178" s="18"/>
      <c r="R1178" s="18"/>
      <c r="S1178" s="18"/>
      <c r="T1178" s="18"/>
      <c r="U1178" s="18"/>
      <c r="V1178" s="18"/>
      <c r="W1178" s="18"/>
      <c r="X1178" s="18"/>
      <c r="Y1178" s="18"/>
      <c r="Z1178" s="18"/>
      <c r="AA1178" s="18"/>
      <c r="AB1178" s="18"/>
      <c r="AC1178" s="18"/>
      <c r="AD1178" s="19"/>
      <c r="AE1178" s="18"/>
      <c r="AF1178" s="18"/>
      <c r="AG1178" s="18"/>
      <c r="AH1178" s="18"/>
      <c r="AI1178" s="18"/>
      <c r="AJ1178" s="97"/>
      <c r="AK1178" s="18"/>
      <c r="AL1178" s="18"/>
    </row>
    <row r="1179" spans="4:38" x14ac:dyDescent="0.2">
      <c r="D1179" s="19"/>
      <c r="E1179" s="19"/>
      <c r="F1179" s="19"/>
      <c r="G1179" s="18"/>
      <c r="H1179" s="18"/>
      <c r="I1179" s="18"/>
      <c r="J1179" s="18"/>
      <c r="K1179" s="18"/>
      <c r="L1179" s="18"/>
      <c r="M1179" s="18"/>
      <c r="N1179" s="18"/>
      <c r="O1179" s="18"/>
      <c r="P1179" s="18"/>
      <c r="Q1179" s="18"/>
      <c r="R1179" s="18"/>
      <c r="S1179" s="18"/>
      <c r="T1179" s="18"/>
      <c r="U1179" s="18"/>
      <c r="V1179" s="18"/>
      <c r="W1179" s="18"/>
      <c r="X1179" s="18"/>
      <c r="Y1179" s="18"/>
      <c r="Z1179" s="18"/>
      <c r="AA1179" s="18"/>
      <c r="AB1179" s="18"/>
      <c r="AC1179" s="18"/>
      <c r="AD1179" s="19"/>
      <c r="AE1179" s="18"/>
      <c r="AF1179" s="18"/>
      <c r="AG1179" s="18"/>
      <c r="AH1179" s="18"/>
      <c r="AI1179" s="18"/>
      <c r="AJ1179" s="97"/>
      <c r="AK1179" s="18"/>
      <c r="AL1179" s="18"/>
    </row>
    <row r="1180" spans="4:38" x14ac:dyDescent="0.2">
      <c r="D1180" s="19"/>
      <c r="E1180" s="19"/>
      <c r="F1180" s="19"/>
      <c r="G1180" s="18"/>
      <c r="H1180" s="18"/>
      <c r="I1180" s="18"/>
      <c r="J1180" s="18"/>
      <c r="K1180" s="18"/>
      <c r="L1180" s="18"/>
      <c r="M1180" s="18"/>
      <c r="N1180" s="18"/>
      <c r="O1180" s="18"/>
      <c r="P1180" s="18"/>
      <c r="Q1180" s="18"/>
      <c r="R1180" s="18"/>
      <c r="S1180" s="18"/>
      <c r="T1180" s="18"/>
      <c r="U1180" s="18"/>
      <c r="V1180" s="18"/>
      <c r="W1180" s="18"/>
      <c r="X1180" s="18"/>
      <c r="Y1180" s="18"/>
      <c r="Z1180" s="18"/>
      <c r="AA1180" s="18"/>
      <c r="AB1180" s="18"/>
      <c r="AC1180" s="18"/>
      <c r="AD1180" s="19"/>
      <c r="AE1180" s="18"/>
      <c r="AF1180" s="18"/>
      <c r="AG1180" s="18"/>
      <c r="AH1180" s="18"/>
      <c r="AI1180" s="18"/>
      <c r="AJ1180" s="97"/>
      <c r="AK1180" s="18"/>
      <c r="AL1180" s="18"/>
    </row>
    <row r="1181" spans="4:38" x14ac:dyDescent="0.2">
      <c r="D1181" s="19"/>
      <c r="E1181" s="19"/>
      <c r="F1181" s="19"/>
      <c r="G1181" s="18"/>
      <c r="H1181" s="18"/>
      <c r="I1181" s="18"/>
      <c r="J1181" s="18"/>
      <c r="K1181" s="18"/>
      <c r="L1181" s="18"/>
      <c r="M1181" s="18"/>
      <c r="N1181" s="18"/>
      <c r="O1181" s="18"/>
      <c r="P1181" s="18"/>
      <c r="Q1181" s="18"/>
      <c r="R1181" s="18"/>
      <c r="S1181" s="18"/>
      <c r="T1181" s="18"/>
      <c r="U1181" s="18"/>
      <c r="V1181" s="18"/>
      <c r="W1181" s="18"/>
      <c r="X1181" s="18"/>
      <c r="Y1181" s="18"/>
      <c r="Z1181" s="18"/>
      <c r="AA1181" s="18"/>
      <c r="AB1181" s="18"/>
      <c r="AC1181" s="18"/>
      <c r="AD1181" s="19"/>
      <c r="AE1181" s="18"/>
      <c r="AF1181" s="18"/>
      <c r="AG1181" s="18"/>
      <c r="AH1181" s="18"/>
      <c r="AI1181" s="18"/>
      <c r="AJ1181" s="97"/>
      <c r="AK1181" s="18"/>
      <c r="AL1181" s="18"/>
    </row>
    <row r="1182" spans="4:38" x14ac:dyDescent="0.2">
      <c r="D1182" s="19"/>
      <c r="E1182" s="19"/>
      <c r="F1182" s="19"/>
      <c r="G1182" s="18"/>
      <c r="H1182" s="18"/>
      <c r="I1182" s="18"/>
      <c r="J1182" s="18"/>
      <c r="K1182" s="18"/>
      <c r="L1182" s="18"/>
      <c r="M1182" s="18"/>
      <c r="N1182" s="18"/>
      <c r="O1182" s="18"/>
      <c r="P1182" s="18"/>
      <c r="Q1182" s="18"/>
      <c r="R1182" s="18"/>
      <c r="S1182" s="18"/>
      <c r="T1182" s="18"/>
      <c r="U1182" s="18"/>
      <c r="V1182" s="18"/>
      <c r="W1182" s="18"/>
      <c r="X1182" s="18"/>
      <c r="Y1182" s="18"/>
      <c r="Z1182" s="18"/>
      <c r="AA1182" s="18"/>
      <c r="AB1182" s="18"/>
      <c r="AC1182" s="18"/>
      <c r="AD1182" s="19"/>
      <c r="AE1182" s="18"/>
      <c r="AF1182" s="18"/>
      <c r="AG1182" s="18"/>
      <c r="AH1182" s="18"/>
      <c r="AI1182" s="18"/>
      <c r="AJ1182" s="97"/>
      <c r="AK1182" s="18"/>
      <c r="AL1182" s="18"/>
    </row>
    <row r="1183" spans="4:38" x14ac:dyDescent="0.2">
      <c r="D1183" s="19"/>
      <c r="E1183" s="19"/>
      <c r="F1183" s="19"/>
      <c r="G1183" s="18"/>
      <c r="H1183" s="18"/>
      <c r="I1183" s="18"/>
      <c r="J1183" s="18"/>
      <c r="K1183" s="18"/>
      <c r="L1183" s="18"/>
      <c r="M1183" s="18"/>
      <c r="N1183" s="18"/>
      <c r="O1183" s="18"/>
      <c r="P1183" s="18"/>
      <c r="Q1183" s="18"/>
      <c r="R1183" s="18"/>
      <c r="S1183" s="18"/>
      <c r="T1183" s="18"/>
      <c r="U1183" s="18"/>
      <c r="V1183" s="18"/>
      <c r="W1183" s="18"/>
      <c r="X1183" s="18"/>
      <c r="Y1183" s="18"/>
      <c r="Z1183" s="18"/>
      <c r="AA1183" s="18"/>
      <c r="AB1183" s="18"/>
      <c r="AC1183" s="18"/>
      <c r="AD1183" s="19"/>
      <c r="AE1183" s="18"/>
      <c r="AF1183" s="18"/>
      <c r="AG1183" s="18"/>
      <c r="AH1183" s="18"/>
      <c r="AI1183" s="18"/>
      <c r="AJ1183" s="97"/>
      <c r="AK1183" s="18"/>
      <c r="AL1183" s="18"/>
    </row>
    <row r="1184" spans="4:38" x14ac:dyDescent="0.2">
      <c r="D1184" s="19"/>
      <c r="E1184" s="19"/>
      <c r="F1184" s="19"/>
      <c r="G1184" s="18"/>
      <c r="H1184" s="18"/>
      <c r="I1184" s="18"/>
      <c r="J1184" s="18"/>
      <c r="K1184" s="18"/>
      <c r="L1184" s="18"/>
      <c r="M1184" s="18"/>
      <c r="N1184" s="18"/>
      <c r="O1184" s="18"/>
      <c r="P1184" s="18"/>
      <c r="Q1184" s="18"/>
      <c r="R1184" s="18"/>
      <c r="S1184" s="18"/>
      <c r="T1184" s="18"/>
      <c r="U1184" s="18"/>
      <c r="V1184" s="18"/>
      <c r="W1184" s="18"/>
      <c r="X1184" s="18"/>
      <c r="Y1184" s="18"/>
      <c r="Z1184" s="18"/>
      <c r="AA1184" s="18"/>
      <c r="AB1184" s="18"/>
      <c r="AC1184" s="18"/>
      <c r="AD1184" s="19"/>
      <c r="AE1184" s="18"/>
      <c r="AF1184" s="18"/>
      <c r="AG1184" s="18"/>
      <c r="AH1184" s="18"/>
      <c r="AI1184" s="18"/>
      <c r="AJ1184" s="97"/>
      <c r="AK1184" s="18"/>
      <c r="AL1184" s="18"/>
    </row>
    <row r="1185" spans="4:38" x14ac:dyDescent="0.2">
      <c r="D1185" s="19"/>
      <c r="E1185" s="19"/>
      <c r="F1185" s="19"/>
      <c r="G1185" s="18"/>
      <c r="H1185" s="18"/>
      <c r="I1185" s="18"/>
      <c r="J1185" s="18"/>
      <c r="K1185" s="18"/>
      <c r="L1185" s="18"/>
      <c r="M1185" s="18"/>
      <c r="N1185" s="18"/>
      <c r="O1185" s="18"/>
      <c r="P1185" s="18"/>
      <c r="Q1185" s="18"/>
      <c r="R1185" s="18"/>
      <c r="S1185" s="18"/>
      <c r="T1185" s="18"/>
      <c r="U1185" s="18"/>
      <c r="V1185" s="18"/>
      <c r="W1185" s="18"/>
      <c r="X1185" s="18"/>
      <c r="Y1185" s="18"/>
      <c r="Z1185" s="18"/>
      <c r="AA1185" s="18"/>
      <c r="AB1185" s="18"/>
      <c r="AC1185" s="18"/>
      <c r="AD1185" s="19"/>
      <c r="AE1185" s="18"/>
      <c r="AF1185" s="18"/>
      <c r="AG1185" s="18"/>
      <c r="AH1185" s="18"/>
      <c r="AI1185" s="18"/>
      <c r="AJ1185" s="97"/>
      <c r="AK1185" s="18"/>
      <c r="AL1185" s="18"/>
    </row>
    <row r="1186" spans="4:38" x14ac:dyDescent="0.2">
      <c r="D1186" s="19"/>
      <c r="E1186" s="19"/>
      <c r="F1186" s="19"/>
      <c r="G1186" s="18"/>
      <c r="H1186" s="18"/>
      <c r="I1186" s="18"/>
      <c r="J1186" s="18"/>
      <c r="K1186" s="18"/>
      <c r="L1186" s="18"/>
      <c r="M1186" s="18"/>
      <c r="N1186" s="18"/>
      <c r="O1186" s="18"/>
      <c r="P1186" s="18"/>
      <c r="Q1186" s="18"/>
      <c r="R1186" s="18"/>
      <c r="S1186" s="18"/>
      <c r="T1186" s="18"/>
      <c r="U1186" s="18"/>
      <c r="V1186" s="18"/>
      <c r="W1186" s="18"/>
      <c r="X1186" s="18"/>
      <c r="Y1186" s="18"/>
      <c r="Z1186" s="18"/>
      <c r="AA1186" s="18"/>
      <c r="AB1186" s="18"/>
      <c r="AC1186" s="18"/>
      <c r="AD1186" s="19"/>
      <c r="AE1186" s="18"/>
      <c r="AF1186" s="18"/>
      <c r="AG1186" s="18"/>
      <c r="AH1186" s="18"/>
      <c r="AI1186" s="18"/>
      <c r="AJ1186" s="97"/>
      <c r="AK1186" s="18"/>
      <c r="AL1186" s="18"/>
    </row>
    <row r="1187" spans="4:38" x14ac:dyDescent="0.2">
      <c r="D1187" s="19"/>
      <c r="E1187" s="19"/>
      <c r="F1187" s="19"/>
      <c r="G1187" s="18"/>
      <c r="H1187" s="18"/>
      <c r="I1187" s="18"/>
      <c r="J1187" s="18"/>
      <c r="K1187" s="18"/>
      <c r="L1187" s="18"/>
      <c r="M1187" s="18"/>
      <c r="N1187" s="18"/>
      <c r="O1187" s="18"/>
      <c r="P1187" s="18"/>
      <c r="Q1187" s="18"/>
      <c r="R1187" s="18"/>
      <c r="S1187" s="18"/>
      <c r="T1187" s="18"/>
      <c r="U1187" s="18"/>
      <c r="V1187" s="18"/>
      <c r="W1187" s="18"/>
      <c r="X1187" s="18"/>
      <c r="Y1187" s="18"/>
      <c r="Z1187" s="18"/>
      <c r="AA1187" s="18"/>
      <c r="AB1187" s="18"/>
      <c r="AC1187" s="18"/>
      <c r="AD1187" s="19"/>
      <c r="AE1187" s="18"/>
      <c r="AF1187" s="18"/>
      <c r="AG1187" s="18"/>
      <c r="AH1187" s="18"/>
      <c r="AI1187" s="18"/>
      <c r="AJ1187" s="97"/>
      <c r="AK1187" s="18"/>
      <c r="AL1187" s="18"/>
    </row>
    <row r="1188" spans="4:38" x14ac:dyDescent="0.2">
      <c r="D1188" s="19"/>
      <c r="E1188" s="19"/>
      <c r="F1188" s="19"/>
      <c r="G1188" s="18"/>
      <c r="H1188" s="18"/>
      <c r="I1188" s="18"/>
      <c r="J1188" s="18"/>
      <c r="K1188" s="18"/>
      <c r="L1188" s="18"/>
      <c r="M1188" s="18"/>
      <c r="N1188" s="18"/>
      <c r="O1188" s="18"/>
      <c r="P1188" s="18"/>
      <c r="Q1188" s="18"/>
      <c r="R1188" s="18"/>
      <c r="S1188" s="18"/>
      <c r="T1188" s="18"/>
      <c r="U1188" s="18"/>
      <c r="V1188" s="18"/>
      <c r="W1188" s="18"/>
      <c r="X1188" s="18"/>
      <c r="Y1188" s="18"/>
      <c r="Z1188" s="18"/>
      <c r="AA1188" s="18"/>
      <c r="AB1188" s="18"/>
      <c r="AC1188" s="18"/>
      <c r="AD1188" s="19"/>
      <c r="AE1188" s="18"/>
      <c r="AF1188" s="18"/>
      <c r="AG1188" s="18"/>
      <c r="AH1188" s="18"/>
      <c r="AI1188" s="18"/>
      <c r="AJ1188" s="97"/>
      <c r="AK1188" s="18"/>
      <c r="AL1188" s="18"/>
    </row>
    <row r="1189" spans="4:38" x14ac:dyDescent="0.2">
      <c r="D1189" s="19"/>
      <c r="E1189" s="19"/>
      <c r="F1189" s="19"/>
      <c r="G1189" s="18"/>
      <c r="H1189" s="18"/>
      <c r="I1189" s="18"/>
      <c r="J1189" s="18"/>
      <c r="K1189" s="18"/>
      <c r="L1189" s="18"/>
      <c r="M1189" s="18"/>
      <c r="N1189" s="18"/>
      <c r="O1189" s="18"/>
      <c r="P1189" s="18"/>
      <c r="Q1189" s="18"/>
      <c r="R1189" s="18"/>
      <c r="S1189" s="18"/>
      <c r="T1189" s="18"/>
      <c r="U1189" s="18"/>
      <c r="V1189" s="18"/>
      <c r="W1189" s="18"/>
      <c r="X1189" s="18"/>
      <c r="Y1189" s="18"/>
      <c r="Z1189" s="18"/>
      <c r="AA1189" s="18"/>
      <c r="AB1189" s="18"/>
      <c r="AC1189" s="18"/>
      <c r="AD1189" s="19"/>
      <c r="AE1189" s="18"/>
      <c r="AF1189" s="18"/>
      <c r="AG1189" s="18"/>
      <c r="AH1189" s="18"/>
      <c r="AI1189" s="18"/>
      <c r="AJ1189" s="97"/>
      <c r="AK1189" s="18"/>
      <c r="AL1189" s="18"/>
    </row>
    <row r="1190" spans="4:38" x14ac:dyDescent="0.2">
      <c r="D1190" s="19"/>
      <c r="E1190" s="19"/>
      <c r="F1190" s="19"/>
      <c r="G1190" s="18"/>
      <c r="H1190" s="18"/>
      <c r="I1190" s="18"/>
      <c r="J1190" s="18"/>
      <c r="K1190" s="18"/>
      <c r="L1190" s="18"/>
      <c r="M1190" s="18"/>
      <c r="N1190" s="18"/>
      <c r="O1190" s="18"/>
      <c r="P1190" s="18"/>
      <c r="Q1190" s="18"/>
      <c r="R1190" s="18"/>
      <c r="S1190" s="18"/>
      <c r="T1190" s="18"/>
      <c r="U1190" s="18"/>
      <c r="V1190" s="18"/>
      <c r="W1190" s="18"/>
      <c r="X1190" s="18"/>
      <c r="Y1190" s="18"/>
      <c r="Z1190" s="18"/>
      <c r="AA1190" s="18"/>
      <c r="AB1190" s="18"/>
      <c r="AC1190" s="18"/>
      <c r="AD1190" s="19"/>
      <c r="AE1190" s="18"/>
      <c r="AF1190" s="18"/>
      <c r="AG1190" s="18"/>
      <c r="AH1190" s="18"/>
      <c r="AI1190" s="18"/>
      <c r="AJ1190" s="97"/>
      <c r="AK1190" s="18"/>
      <c r="AL1190" s="18"/>
    </row>
    <row r="1191" spans="4:38" x14ac:dyDescent="0.2">
      <c r="D1191" s="19"/>
      <c r="E1191" s="19"/>
      <c r="F1191" s="19"/>
      <c r="G1191" s="18"/>
      <c r="H1191" s="18"/>
      <c r="I1191" s="18"/>
      <c r="J1191" s="18"/>
      <c r="K1191" s="18"/>
      <c r="L1191" s="18"/>
      <c r="M1191" s="18"/>
      <c r="N1191" s="18"/>
      <c r="O1191" s="18"/>
      <c r="P1191" s="18"/>
      <c r="Q1191" s="18"/>
      <c r="R1191" s="18"/>
      <c r="S1191" s="18"/>
      <c r="T1191" s="18"/>
      <c r="U1191" s="18"/>
      <c r="V1191" s="18"/>
      <c r="W1191" s="18"/>
      <c r="X1191" s="18"/>
      <c r="Y1191" s="18"/>
      <c r="Z1191" s="18"/>
      <c r="AA1191" s="18"/>
      <c r="AB1191" s="18"/>
      <c r="AC1191" s="18"/>
      <c r="AD1191" s="19"/>
      <c r="AE1191" s="18"/>
      <c r="AF1191" s="18"/>
      <c r="AG1191" s="18"/>
      <c r="AH1191" s="18"/>
      <c r="AI1191" s="18"/>
      <c r="AJ1191" s="97"/>
      <c r="AK1191" s="18"/>
      <c r="AL1191" s="18"/>
    </row>
    <row r="1192" spans="4:38" x14ac:dyDescent="0.2">
      <c r="D1192" s="19"/>
      <c r="E1192" s="19"/>
      <c r="F1192" s="19"/>
      <c r="G1192" s="18"/>
      <c r="H1192" s="18"/>
      <c r="I1192" s="18"/>
      <c r="J1192" s="18"/>
      <c r="K1192" s="18"/>
      <c r="L1192" s="18"/>
      <c r="M1192" s="18"/>
      <c r="N1192" s="18"/>
      <c r="O1192" s="18"/>
      <c r="P1192" s="18"/>
      <c r="Q1192" s="18"/>
      <c r="R1192" s="18"/>
      <c r="S1192" s="18"/>
      <c r="T1192" s="18"/>
      <c r="U1192" s="18"/>
      <c r="V1192" s="18"/>
      <c r="W1192" s="18"/>
      <c r="X1192" s="18"/>
      <c r="Y1192" s="18"/>
      <c r="Z1192" s="18"/>
      <c r="AA1192" s="18"/>
      <c r="AB1192" s="18"/>
      <c r="AC1192" s="18"/>
      <c r="AD1192" s="19"/>
      <c r="AE1192" s="18"/>
      <c r="AF1192" s="18"/>
      <c r="AG1192" s="18"/>
      <c r="AH1192" s="18"/>
      <c r="AI1192" s="18"/>
      <c r="AJ1192" s="97"/>
      <c r="AK1192" s="18"/>
      <c r="AL1192" s="18"/>
    </row>
    <row r="1193" spans="4:38" x14ac:dyDescent="0.2">
      <c r="D1193" s="19"/>
      <c r="E1193" s="19"/>
      <c r="F1193" s="19"/>
      <c r="G1193" s="18"/>
      <c r="H1193" s="18"/>
      <c r="I1193" s="18"/>
      <c r="J1193" s="18"/>
      <c r="K1193" s="18"/>
      <c r="L1193" s="18"/>
      <c r="M1193" s="18"/>
      <c r="N1193" s="18"/>
      <c r="O1193" s="18"/>
      <c r="P1193" s="18"/>
      <c r="Q1193" s="18"/>
      <c r="R1193" s="18"/>
      <c r="S1193" s="18"/>
      <c r="T1193" s="18"/>
      <c r="U1193" s="18"/>
      <c r="V1193" s="18"/>
      <c r="W1193" s="18"/>
      <c r="X1193" s="18"/>
      <c r="Y1193" s="18"/>
      <c r="Z1193" s="18"/>
      <c r="AA1193" s="18"/>
      <c r="AB1193" s="18"/>
      <c r="AC1193" s="18"/>
      <c r="AD1193" s="19"/>
      <c r="AE1193" s="18"/>
      <c r="AF1193" s="18"/>
      <c r="AG1193" s="18"/>
      <c r="AH1193" s="18"/>
      <c r="AI1193" s="18"/>
      <c r="AJ1193" s="97"/>
      <c r="AK1193" s="18"/>
      <c r="AL1193" s="18"/>
    </row>
    <row r="1194" spans="4:38" x14ac:dyDescent="0.2">
      <c r="D1194" s="19"/>
      <c r="E1194" s="19"/>
      <c r="F1194" s="19"/>
      <c r="G1194" s="18"/>
      <c r="H1194" s="18"/>
      <c r="I1194" s="18"/>
      <c r="J1194" s="18"/>
      <c r="K1194" s="18"/>
      <c r="L1194" s="18"/>
      <c r="M1194" s="18"/>
      <c r="N1194" s="18"/>
      <c r="O1194" s="18"/>
      <c r="P1194" s="18"/>
      <c r="Q1194" s="18"/>
      <c r="R1194" s="18"/>
      <c r="S1194" s="18"/>
      <c r="T1194" s="18"/>
      <c r="U1194" s="18"/>
      <c r="V1194" s="18"/>
      <c r="W1194" s="18"/>
      <c r="X1194" s="18"/>
      <c r="Y1194" s="18"/>
      <c r="Z1194" s="18"/>
      <c r="AA1194" s="18"/>
      <c r="AB1194" s="18"/>
      <c r="AC1194" s="18"/>
      <c r="AD1194" s="19"/>
      <c r="AE1194" s="18"/>
      <c r="AF1194" s="18"/>
      <c r="AG1194" s="18"/>
      <c r="AH1194" s="18"/>
      <c r="AI1194" s="18"/>
      <c r="AJ1194" s="97"/>
      <c r="AK1194" s="18"/>
      <c r="AL1194" s="18"/>
    </row>
    <row r="1195" spans="4:38" x14ac:dyDescent="0.2">
      <c r="D1195" s="19"/>
      <c r="E1195" s="19"/>
      <c r="F1195" s="19"/>
      <c r="G1195" s="18"/>
      <c r="H1195" s="18"/>
      <c r="I1195" s="18"/>
      <c r="J1195" s="18"/>
      <c r="K1195" s="18"/>
      <c r="L1195" s="18"/>
      <c r="M1195" s="18"/>
      <c r="N1195" s="18"/>
      <c r="O1195" s="18"/>
      <c r="P1195" s="18"/>
      <c r="Q1195" s="18"/>
      <c r="R1195" s="18"/>
      <c r="S1195" s="18"/>
      <c r="T1195" s="18"/>
      <c r="U1195" s="18"/>
      <c r="V1195" s="18"/>
      <c r="W1195" s="18"/>
      <c r="X1195" s="18"/>
      <c r="Y1195" s="18"/>
      <c r="Z1195" s="18"/>
      <c r="AA1195" s="18"/>
      <c r="AB1195" s="18"/>
      <c r="AC1195" s="18"/>
      <c r="AD1195" s="19"/>
      <c r="AE1195" s="18"/>
      <c r="AF1195" s="18"/>
      <c r="AG1195" s="18"/>
      <c r="AH1195" s="18"/>
      <c r="AI1195" s="18"/>
      <c r="AJ1195" s="97"/>
      <c r="AK1195" s="18"/>
      <c r="AL1195" s="18"/>
    </row>
    <row r="1196" spans="4:38" x14ac:dyDescent="0.2">
      <c r="D1196" s="19"/>
      <c r="E1196" s="19"/>
      <c r="F1196" s="19"/>
      <c r="G1196" s="18"/>
      <c r="H1196" s="18"/>
      <c r="I1196" s="18"/>
      <c r="J1196" s="18"/>
      <c r="K1196" s="18"/>
      <c r="L1196" s="18"/>
      <c r="M1196" s="18"/>
      <c r="N1196" s="18"/>
      <c r="O1196" s="18"/>
      <c r="P1196" s="18"/>
      <c r="Q1196" s="18"/>
      <c r="R1196" s="18"/>
      <c r="S1196" s="18"/>
      <c r="T1196" s="18"/>
      <c r="U1196" s="18"/>
      <c r="V1196" s="18"/>
      <c r="W1196" s="18"/>
      <c r="X1196" s="18"/>
      <c r="Y1196" s="18"/>
      <c r="Z1196" s="18"/>
      <c r="AA1196" s="18"/>
      <c r="AB1196" s="18"/>
      <c r="AC1196" s="18"/>
      <c r="AD1196" s="19"/>
      <c r="AE1196" s="18"/>
      <c r="AF1196" s="18"/>
      <c r="AG1196" s="18"/>
      <c r="AH1196" s="18"/>
      <c r="AI1196" s="18"/>
      <c r="AJ1196" s="97"/>
      <c r="AK1196" s="18"/>
      <c r="AL1196" s="18"/>
    </row>
    <row r="1197" spans="4:38" x14ac:dyDescent="0.2">
      <c r="D1197" s="19"/>
      <c r="E1197" s="19"/>
      <c r="F1197" s="19"/>
      <c r="G1197" s="18"/>
      <c r="H1197" s="18"/>
      <c r="I1197" s="18"/>
      <c r="J1197" s="18"/>
      <c r="K1197" s="18"/>
      <c r="L1197" s="18"/>
      <c r="M1197" s="18"/>
      <c r="N1197" s="18"/>
      <c r="O1197" s="18"/>
      <c r="P1197" s="18"/>
      <c r="Q1197" s="18"/>
      <c r="R1197" s="18"/>
      <c r="S1197" s="18"/>
      <c r="T1197" s="18"/>
      <c r="U1197" s="18"/>
      <c r="V1197" s="18"/>
      <c r="W1197" s="18"/>
      <c r="X1197" s="18"/>
      <c r="Y1197" s="18"/>
      <c r="Z1197" s="18"/>
      <c r="AA1197" s="18"/>
      <c r="AB1197" s="18"/>
      <c r="AC1197" s="18"/>
      <c r="AD1197" s="19"/>
      <c r="AE1197" s="18"/>
      <c r="AF1197" s="18"/>
      <c r="AG1197" s="18"/>
      <c r="AH1197" s="18"/>
      <c r="AI1197" s="18"/>
      <c r="AJ1197" s="97"/>
      <c r="AK1197" s="18"/>
      <c r="AL1197" s="18"/>
    </row>
    <row r="1198" spans="4:38" x14ac:dyDescent="0.2">
      <c r="D1198" s="19"/>
      <c r="E1198" s="19"/>
      <c r="F1198" s="19"/>
      <c r="G1198" s="18"/>
      <c r="H1198" s="18"/>
      <c r="I1198" s="18"/>
      <c r="J1198" s="18"/>
      <c r="K1198" s="18"/>
      <c r="L1198" s="18"/>
      <c r="M1198" s="18"/>
      <c r="N1198" s="18"/>
      <c r="O1198" s="18"/>
      <c r="P1198" s="18"/>
      <c r="Q1198" s="18"/>
      <c r="R1198" s="18"/>
      <c r="S1198" s="18"/>
      <c r="T1198" s="18"/>
      <c r="U1198" s="18"/>
      <c r="V1198" s="18"/>
      <c r="W1198" s="18"/>
      <c r="X1198" s="18"/>
      <c r="Y1198" s="18"/>
      <c r="Z1198" s="18"/>
      <c r="AA1198" s="18"/>
      <c r="AB1198" s="18"/>
      <c r="AC1198" s="18"/>
      <c r="AD1198" s="19"/>
      <c r="AE1198" s="18"/>
      <c r="AF1198" s="18"/>
      <c r="AG1198" s="18"/>
      <c r="AH1198" s="18"/>
      <c r="AI1198" s="18"/>
      <c r="AJ1198" s="97"/>
      <c r="AK1198" s="18"/>
      <c r="AL1198" s="18"/>
    </row>
    <row r="1199" spans="4:38" x14ac:dyDescent="0.2">
      <c r="D1199" s="19"/>
      <c r="E1199" s="19"/>
      <c r="F1199" s="19"/>
      <c r="G1199" s="18"/>
      <c r="H1199" s="18"/>
      <c r="I1199" s="18"/>
      <c r="J1199" s="18"/>
      <c r="K1199" s="18"/>
      <c r="L1199" s="18"/>
      <c r="M1199" s="18"/>
      <c r="N1199" s="18"/>
      <c r="O1199" s="18"/>
      <c r="P1199" s="18"/>
      <c r="Q1199" s="18"/>
      <c r="R1199" s="18"/>
      <c r="S1199" s="18"/>
      <c r="T1199" s="18"/>
      <c r="U1199" s="18"/>
      <c r="V1199" s="18"/>
      <c r="W1199" s="18"/>
      <c r="X1199" s="18"/>
      <c r="Y1199" s="18"/>
      <c r="Z1199" s="18"/>
      <c r="AA1199" s="18"/>
      <c r="AB1199" s="18"/>
      <c r="AC1199" s="18"/>
      <c r="AD1199" s="19"/>
      <c r="AE1199" s="18"/>
      <c r="AF1199" s="18"/>
      <c r="AG1199" s="18"/>
      <c r="AH1199" s="18"/>
      <c r="AI1199" s="18"/>
      <c r="AJ1199" s="97"/>
      <c r="AK1199" s="18"/>
      <c r="AL1199" s="18"/>
    </row>
    <row r="1200" spans="4:38" x14ac:dyDescent="0.2">
      <c r="D1200" s="19"/>
      <c r="E1200" s="19"/>
      <c r="F1200" s="19"/>
      <c r="G1200" s="18"/>
      <c r="H1200" s="18"/>
      <c r="I1200" s="18"/>
      <c r="J1200" s="18"/>
      <c r="K1200" s="18"/>
      <c r="L1200" s="18"/>
      <c r="M1200" s="18"/>
      <c r="N1200" s="18"/>
      <c r="O1200" s="18"/>
      <c r="P1200" s="18"/>
      <c r="Q1200" s="18"/>
      <c r="R1200" s="18"/>
      <c r="S1200" s="18"/>
      <c r="T1200" s="18"/>
      <c r="U1200" s="18"/>
      <c r="V1200" s="18"/>
      <c r="W1200" s="18"/>
      <c r="X1200" s="18"/>
      <c r="Y1200" s="18"/>
      <c r="Z1200" s="18"/>
      <c r="AA1200" s="18"/>
      <c r="AB1200" s="18"/>
      <c r="AC1200" s="18"/>
      <c r="AD1200" s="19"/>
      <c r="AE1200" s="18"/>
      <c r="AF1200" s="18"/>
      <c r="AG1200" s="18"/>
      <c r="AH1200" s="18"/>
      <c r="AI1200" s="18"/>
      <c r="AJ1200" s="97"/>
      <c r="AK1200" s="18"/>
      <c r="AL1200" s="18"/>
    </row>
    <row r="1201" spans="4:38" x14ac:dyDescent="0.2">
      <c r="D1201" s="19"/>
      <c r="E1201" s="19"/>
      <c r="F1201" s="19"/>
      <c r="G1201" s="18"/>
      <c r="H1201" s="18"/>
      <c r="I1201" s="18"/>
      <c r="J1201" s="18"/>
      <c r="K1201" s="18"/>
      <c r="L1201" s="18"/>
      <c r="M1201" s="18"/>
      <c r="N1201" s="18"/>
      <c r="O1201" s="18"/>
      <c r="P1201" s="18"/>
      <c r="Q1201" s="18"/>
      <c r="R1201" s="18"/>
      <c r="S1201" s="18"/>
      <c r="T1201" s="18"/>
      <c r="U1201" s="18"/>
      <c r="V1201" s="18"/>
      <c r="W1201" s="18"/>
      <c r="X1201" s="18"/>
      <c r="Y1201" s="18"/>
      <c r="Z1201" s="18"/>
      <c r="AA1201" s="18"/>
      <c r="AB1201" s="18"/>
      <c r="AC1201" s="18"/>
      <c r="AD1201" s="19"/>
      <c r="AE1201" s="18"/>
      <c r="AF1201" s="18"/>
      <c r="AG1201" s="18"/>
      <c r="AH1201" s="18"/>
      <c r="AI1201" s="18"/>
      <c r="AJ1201" s="97"/>
      <c r="AK1201" s="18"/>
      <c r="AL1201" s="18"/>
    </row>
    <row r="1202" spans="4:38" x14ac:dyDescent="0.2">
      <c r="D1202" s="19"/>
      <c r="E1202" s="19"/>
      <c r="F1202" s="19"/>
      <c r="G1202" s="18"/>
      <c r="H1202" s="18"/>
      <c r="I1202" s="18"/>
      <c r="J1202" s="18"/>
      <c r="K1202" s="18"/>
      <c r="L1202" s="18"/>
      <c r="M1202" s="18"/>
      <c r="N1202" s="18"/>
      <c r="O1202" s="18"/>
      <c r="P1202" s="18"/>
      <c r="Q1202" s="18"/>
      <c r="R1202" s="18"/>
      <c r="S1202" s="18"/>
      <c r="T1202" s="18"/>
      <c r="U1202" s="18"/>
      <c r="V1202" s="18"/>
      <c r="W1202" s="18"/>
      <c r="X1202" s="18"/>
      <c r="Y1202" s="18"/>
      <c r="Z1202" s="18"/>
      <c r="AA1202" s="18"/>
      <c r="AB1202" s="18"/>
      <c r="AC1202" s="18"/>
      <c r="AD1202" s="19"/>
      <c r="AE1202" s="18"/>
      <c r="AF1202" s="18"/>
      <c r="AG1202" s="18"/>
      <c r="AH1202" s="18"/>
      <c r="AI1202" s="18"/>
      <c r="AJ1202" s="97"/>
      <c r="AK1202" s="18"/>
      <c r="AL1202" s="18"/>
    </row>
    <row r="1203" spans="4:38" x14ac:dyDescent="0.2">
      <c r="D1203" s="19"/>
      <c r="E1203" s="19"/>
      <c r="F1203" s="19"/>
      <c r="G1203" s="18"/>
      <c r="H1203" s="18"/>
      <c r="I1203" s="18"/>
      <c r="J1203" s="18"/>
      <c r="K1203" s="18"/>
      <c r="L1203" s="18"/>
      <c r="M1203" s="18"/>
      <c r="N1203" s="18"/>
      <c r="O1203" s="18"/>
      <c r="P1203" s="18"/>
      <c r="Q1203" s="18"/>
      <c r="R1203" s="18"/>
      <c r="S1203" s="18"/>
      <c r="T1203" s="18"/>
      <c r="U1203" s="18"/>
      <c r="V1203" s="18"/>
      <c r="W1203" s="18"/>
      <c r="X1203" s="18"/>
      <c r="Y1203" s="18"/>
      <c r="Z1203" s="18"/>
      <c r="AA1203" s="18"/>
      <c r="AB1203" s="18"/>
      <c r="AC1203" s="18"/>
      <c r="AD1203" s="19"/>
      <c r="AE1203" s="18"/>
      <c r="AF1203" s="18"/>
      <c r="AG1203" s="18"/>
      <c r="AH1203" s="18"/>
      <c r="AI1203" s="18"/>
      <c r="AJ1203" s="97"/>
      <c r="AK1203" s="18"/>
      <c r="AL1203" s="18"/>
    </row>
    <row r="1204" spans="4:38" x14ac:dyDescent="0.2">
      <c r="D1204" s="19"/>
      <c r="E1204" s="19"/>
      <c r="F1204" s="19"/>
      <c r="G1204" s="18"/>
      <c r="H1204" s="18"/>
      <c r="I1204" s="18"/>
      <c r="J1204" s="18"/>
      <c r="K1204" s="18"/>
      <c r="L1204" s="18"/>
      <c r="M1204" s="18"/>
      <c r="N1204" s="18"/>
      <c r="O1204" s="18"/>
      <c r="P1204" s="18"/>
      <c r="Q1204" s="18"/>
      <c r="R1204" s="18"/>
      <c r="S1204" s="18"/>
      <c r="T1204" s="18"/>
      <c r="U1204" s="18"/>
      <c r="V1204" s="18"/>
      <c r="W1204" s="18"/>
      <c r="X1204" s="18"/>
      <c r="Y1204" s="18"/>
      <c r="Z1204" s="18"/>
      <c r="AA1204" s="18"/>
      <c r="AB1204" s="18"/>
      <c r="AC1204" s="18"/>
      <c r="AD1204" s="19"/>
      <c r="AE1204" s="18"/>
      <c r="AF1204" s="18"/>
      <c r="AG1204" s="18"/>
      <c r="AH1204" s="18"/>
      <c r="AI1204" s="18"/>
      <c r="AJ1204" s="97"/>
      <c r="AK1204" s="18"/>
      <c r="AL1204" s="18"/>
    </row>
    <row r="1205" spans="4:38" x14ac:dyDescent="0.2">
      <c r="D1205" s="19"/>
      <c r="E1205" s="19"/>
      <c r="F1205" s="19"/>
      <c r="G1205" s="18"/>
      <c r="H1205" s="18"/>
      <c r="I1205" s="18"/>
      <c r="J1205" s="18"/>
      <c r="K1205" s="18"/>
      <c r="L1205" s="18"/>
      <c r="M1205" s="18"/>
      <c r="N1205" s="18"/>
      <c r="O1205" s="18"/>
      <c r="P1205" s="18"/>
      <c r="Q1205" s="18"/>
      <c r="R1205" s="18"/>
      <c r="S1205" s="18"/>
      <c r="T1205" s="18"/>
      <c r="U1205" s="18"/>
      <c r="V1205" s="18"/>
      <c r="W1205" s="18"/>
      <c r="X1205" s="18"/>
      <c r="Y1205" s="18"/>
      <c r="Z1205" s="18"/>
      <c r="AA1205" s="18"/>
      <c r="AB1205" s="18"/>
      <c r="AC1205" s="18"/>
      <c r="AD1205" s="19"/>
      <c r="AE1205" s="18"/>
      <c r="AF1205" s="18"/>
      <c r="AG1205" s="18"/>
      <c r="AH1205" s="18"/>
      <c r="AI1205" s="18"/>
      <c r="AJ1205" s="97"/>
      <c r="AK1205" s="18"/>
      <c r="AL1205" s="18"/>
    </row>
    <row r="1206" spans="4:38" x14ac:dyDescent="0.2">
      <c r="D1206" s="19"/>
      <c r="E1206" s="19"/>
      <c r="F1206" s="19"/>
      <c r="G1206" s="18"/>
      <c r="H1206" s="18"/>
      <c r="I1206" s="18"/>
      <c r="J1206" s="18"/>
      <c r="K1206" s="18"/>
      <c r="L1206" s="18"/>
      <c r="M1206" s="18"/>
      <c r="N1206" s="18"/>
      <c r="O1206" s="18"/>
      <c r="P1206" s="18"/>
      <c r="Q1206" s="18"/>
      <c r="R1206" s="18"/>
      <c r="S1206" s="18"/>
      <c r="T1206" s="18"/>
      <c r="U1206" s="18"/>
      <c r="V1206" s="18"/>
      <c r="W1206" s="18"/>
      <c r="X1206" s="18"/>
      <c r="Y1206" s="18"/>
      <c r="Z1206" s="18"/>
      <c r="AA1206" s="18"/>
      <c r="AB1206" s="18"/>
      <c r="AC1206" s="18"/>
      <c r="AD1206" s="19"/>
      <c r="AE1206" s="18"/>
      <c r="AF1206" s="18"/>
      <c r="AG1206" s="18"/>
      <c r="AH1206" s="18"/>
      <c r="AI1206" s="18"/>
      <c r="AJ1206" s="97"/>
      <c r="AK1206" s="18"/>
      <c r="AL1206" s="18"/>
    </row>
    <row r="1207" spans="4:38" x14ac:dyDescent="0.2">
      <c r="D1207" s="19"/>
      <c r="E1207" s="19"/>
      <c r="F1207" s="19"/>
      <c r="G1207" s="18"/>
      <c r="H1207" s="18"/>
      <c r="I1207" s="18"/>
      <c r="J1207" s="18"/>
      <c r="K1207" s="18"/>
      <c r="L1207" s="18"/>
      <c r="M1207" s="18"/>
      <c r="N1207" s="18"/>
      <c r="O1207" s="18"/>
      <c r="P1207" s="18"/>
      <c r="Q1207" s="18"/>
      <c r="R1207" s="18"/>
      <c r="S1207" s="18"/>
      <c r="T1207" s="18"/>
      <c r="U1207" s="18"/>
      <c r="V1207" s="18"/>
      <c r="W1207" s="18"/>
      <c r="X1207" s="18"/>
      <c r="Y1207" s="18"/>
      <c r="Z1207" s="18"/>
      <c r="AA1207" s="18"/>
      <c r="AB1207" s="18"/>
      <c r="AC1207" s="18"/>
      <c r="AD1207" s="19"/>
      <c r="AE1207" s="18"/>
      <c r="AF1207" s="18"/>
      <c r="AG1207" s="18"/>
      <c r="AH1207" s="18"/>
      <c r="AI1207" s="18"/>
      <c r="AJ1207" s="97"/>
      <c r="AK1207" s="18"/>
      <c r="AL1207" s="18"/>
    </row>
    <row r="1208" spans="4:38" x14ac:dyDescent="0.2">
      <c r="D1208" s="19"/>
      <c r="E1208" s="19"/>
      <c r="F1208" s="19"/>
      <c r="G1208" s="18"/>
      <c r="H1208" s="18"/>
      <c r="I1208" s="18"/>
      <c r="J1208" s="18"/>
      <c r="K1208" s="18"/>
      <c r="L1208" s="18"/>
      <c r="M1208" s="18"/>
      <c r="N1208" s="18"/>
      <c r="O1208" s="18"/>
      <c r="P1208" s="18"/>
      <c r="Q1208" s="18"/>
      <c r="R1208" s="18"/>
      <c r="S1208" s="18"/>
      <c r="T1208" s="18"/>
      <c r="U1208" s="18"/>
      <c r="V1208" s="18"/>
      <c r="W1208" s="18"/>
      <c r="X1208" s="18"/>
      <c r="Y1208" s="18"/>
      <c r="Z1208" s="18"/>
      <c r="AA1208" s="18"/>
      <c r="AB1208" s="18"/>
      <c r="AC1208" s="18"/>
      <c r="AD1208" s="19"/>
      <c r="AE1208" s="18"/>
      <c r="AF1208" s="18"/>
      <c r="AG1208" s="18"/>
      <c r="AH1208" s="18"/>
      <c r="AI1208" s="18"/>
      <c r="AJ1208" s="97"/>
      <c r="AK1208" s="18"/>
      <c r="AL1208" s="18"/>
    </row>
    <row r="1209" spans="4:38" x14ac:dyDescent="0.2">
      <c r="D1209" s="19"/>
      <c r="E1209" s="19"/>
      <c r="F1209" s="19"/>
      <c r="G1209" s="18"/>
      <c r="H1209" s="18"/>
      <c r="I1209" s="18"/>
      <c r="J1209" s="18"/>
      <c r="K1209" s="18"/>
      <c r="L1209" s="18"/>
      <c r="M1209" s="18"/>
      <c r="N1209" s="18"/>
      <c r="O1209" s="18"/>
      <c r="P1209" s="18"/>
      <c r="Q1209" s="18"/>
      <c r="R1209" s="18"/>
      <c r="S1209" s="18"/>
      <c r="T1209" s="18"/>
      <c r="U1209" s="18"/>
      <c r="V1209" s="18"/>
      <c r="W1209" s="18"/>
      <c r="X1209" s="18"/>
      <c r="Y1209" s="18"/>
      <c r="Z1209" s="18"/>
      <c r="AA1209" s="18"/>
      <c r="AB1209" s="18"/>
      <c r="AC1209" s="18"/>
      <c r="AD1209" s="19"/>
      <c r="AE1209" s="18"/>
      <c r="AF1209" s="18"/>
      <c r="AG1209" s="18"/>
      <c r="AH1209" s="18"/>
      <c r="AI1209" s="18"/>
      <c r="AJ1209" s="97"/>
      <c r="AK1209" s="18"/>
      <c r="AL1209" s="18"/>
    </row>
    <row r="1210" spans="4:38" x14ac:dyDescent="0.2">
      <c r="D1210" s="19"/>
      <c r="E1210" s="19"/>
      <c r="F1210" s="19"/>
      <c r="G1210" s="18"/>
      <c r="H1210" s="18"/>
      <c r="I1210" s="18"/>
      <c r="J1210" s="18"/>
      <c r="K1210" s="18"/>
      <c r="L1210" s="18"/>
      <c r="M1210" s="18"/>
      <c r="N1210" s="18"/>
      <c r="O1210" s="18"/>
      <c r="P1210" s="18"/>
      <c r="Q1210" s="18"/>
      <c r="R1210" s="18"/>
      <c r="S1210" s="18"/>
      <c r="T1210" s="18"/>
      <c r="U1210" s="18"/>
      <c r="V1210" s="18"/>
      <c r="W1210" s="18"/>
      <c r="X1210" s="18"/>
      <c r="Y1210" s="18"/>
      <c r="Z1210" s="18"/>
      <c r="AA1210" s="18"/>
      <c r="AB1210" s="18"/>
      <c r="AC1210" s="18"/>
      <c r="AD1210" s="19"/>
      <c r="AE1210" s="18"/>
      <c r="AF1210" s="18"/>
      <c r="AG1210" s="18"/>
      <c r="AH1210" s="18"/>
      <c r="AI1210" s="18"/>
      <c r="AJ1210" s="97"/>
      <c r="AK1210" s="18"/>
      <c r="AL1210" s="18"/>
    </row>
    <row r="1211" spans="4:38" x14ac:dyDescent="0.2">
      <c r="D1211" s="19"/>
      <c r="E1211" s="19"/>
      <c r="F1211" s="19"/>
      <c r="G1211" s="18"/>
      <c r="H1211" s="18"/>
      <c r="I1211" s="18"/>
      <c r="J1211" s="18"/>
      <c r="K1211" s="18"/>
      <c r="L1211" s="18"/>
      <c r="M1211" s="18"/>
      <c r="N1211" s="18"/>
      <c r="O1211" s="18"/>
      <c r="P1211" s="18"/>
      <c r="Q1211" s="18"/>
      <c r="R1211" s="18"/>
      <c r="S1211" s="18"/>
      <c r="T1211" s="18"/>
      <c r="U1211" s="18"/>
      <c r="V1211" s="18"/>
      <c r="W1211" s="18"/>
      <c r="X1211" s="18"/>
      <c r="Y1211" s="18"/>
      <c r="Z1211" s="18"/>
      <c r="AA1211" s="18"/>
      <c r="AB1211" s="18"/>
      <c r="AC1211" s="18"/>
      <c r="AD1211" s="19"/>
      <c r="AE1211" s="18"/>
      <c r="AF1211" s="18"/>
      <c r="AG1211" s="18"/>
      <c r="AH1211" s="18"/>
      <c r="AI1211" s="18"/>
      <c r="AJ1211" s="97"/>
      <c r="AK1211" s="18"/>
      <c r="AL1211" s="18"/>
    </row>
    <row r="1212" spans="4:38" x14ac:dyDescent="0.2">
      <c r="D1212" s="19"/>
      <c r="E1212" s="19"/>
      <c r="F1212" s="19"/>
      <c r="G1212" s="18"/>
      <c r="H1212" s="18"/>
      <c r="I1212" s="18"/>
      <c r="J1212" s="18"/>
      <c r="K1212" s="18"/>
      <c r="L1212" s="18"/>
      <c r="M1212" s="18"/>
      <c r="N1212" s="18"/>
      <c r="O1212" s="18"/>
      <c r="P1212" s="18"/>
      <c r="Q1212" s="18"/>
      <c r="R1212" s="18"/>
      <c r="S1212" s="18"/>
      <c r="T1212" s="18"/>
      <c r="U1212" s="18"/>
      <c r="V1212" s="18"/>
      <c r="W1212" s="18"/>
      <c r="X1212" s="18"/>
      <c r="Y1212" s="18"/>
      <c r="Z1212" s="18"/>
      <c r="AA1212" s="18"/>
      <c r="AB1212" s="18"/>
      <c r="AC1212" s="18"/>
      <c r="AD1212" s="19"/>
      <c r="AE1212" s="18"/>
      <c r="AF1212" s="18"/>
      <c r="AG1212" s="18"/>
      <c r="AH1212" s="18"/>
      <c r="AI1212" s="18"/>
      <c r="AJ1212" s="97"/>
      <c r="AK1212" s="18"/>
      <c r="AL1212" s="18"/>
    </row>
    <row r="1213" spans="4:38" x14ac:dyDescent="0.2">
      <c r="D1213" s="19"/>
      <c r="E1213" s="19"/>
      <c r="F1213" s="19"/>
      <c r="G1213" s="18"/>
      <c r="H1213" s="18"/>
      <c r="I1213" s="18"/>
      <c r="J1213" s="18"/>
      <c r="K1213" s="18"/>
      <c r="L1213" s="18"/>
      <c r="M1213" s="18"/>
      <c r="N1213" s="18"/>
      <c r="O1213" s="18"/>
      <c r="P1213" s="18"/>
      <c r="Q1213" s="18"/>
      <c r="R1213" s="18"/>
      <c r="S1213" s="18"/>
      <c r="T1213" s="18"/>
      <c r="U1213" s="18"/>
      <c r="V1213" s="18"/>
      <c r="W1213" s="18"/>
      <c r="X1213" s="18"/>
      <c r="Y1213" s="18"/>
      <c r="Z1213" s="18"/>
      <c r="AA1213" s="18"/>
      <c r="AB1213" s="18"/>
      <c r="AC1213" s="18"/>
      <c r="AD1213" s="19"/>
      <c r="AE1213" s="18"/>
      <c r="AF1213" s="18"/>
      <c r="AG1213" s="18"/>
      <c r="AH1213" s="18"/>
      <c r="AI1213" s="18"/>
      <c r="AJ1213" s="97"/>
      <c r="AK1213" s="18"/>
      <c r="AL1213" s="18"/>
    </row>
    <row r="1214" spans="4:38" x14ac:dyDescent="0.2">
      <c r="D1214" s="19"/>
      <c r="E1214" s="19"/>
      <c r="F1214" s="19"/>
      <c r="G1214" s="18"/>
      <c r="H1214" s="18"/>
      <c r="I1214" s="18"/>
      <c r="J1214" s="18"/>
      <c r="K1214" s="18"/>
      <c r="L1214" s="18"/>
      <c r="M1214" s="18"/>
      <c r="N1214" s="18"/>
      <c r="O1214" s="18"/>
      <c r="P1214" s="18"/>
      <c r="Q1214" s="18"/>
      <c r="R1214" s="18"/>
      <c r="S1214" s="18"/>
      <c r="T1214" s="18"/>
      <c r="U1214" s="18"/>
      <c r="V1214" s="18"/>
      <c r="W1214" s="18"/>
      <c r="X1214" s="18"/>
      <c r="Y1214" s="18"/>
      <c r="Z1214" s="18"/>
      <c r="AA1214" s="18"/>
      <c r="AB1214" s="18"/>
      <c r="AC1214" s="18"/>
      <c r="AD1214" s="19"/>
      <c r="AE1214" s="18"/>
      <c r="AF1214" s="18"/>
      <c r="AG1214" s="18"/>
      <c r="AH1214" s="18"/>
      <c r="AI1214" s="18"/>
      <c r="AJ1214" s="97"/>
      <c r="AK1214" s="18"/>
      <c r="AL1214" s="18"/>
    </row>
    <row r="1215" spans="4:38" x14ac:dyDescent="0.2">
      <c r="D1215" s="19"/>
      <c r="E1215" s="19"/>
      <c r="F1215" s="19"/>
      <c r="G1215" s="18"/>
      <c r="H1215" s="18"/>
      <c r="I1215" s="18"/>
      <c r="J1215" s="18"/>
      <c r="K1215" s="18"/>
      <c r="L1215" s="18"/>
      <c r="M1215" s="18"/>
      <c r="N1215" s="18"/>
      <c r="O1215" s="18"/>
      <c r="P1215" s="18"/>
      <c r="Q1215" s="18"/>
      <c r="R1215" s="18"/>
      <c r="S1215" s="18"/>
      <c r="T1215" s="18"/>
      <c r="U1215" s="18"/>
      <c r="V1215" s="18"/>
      <c r="W1215" s="18"/>
      <c r="X1215" s="18"/>
      <c r="Y1215" s="18"/>
      <c r="Z1215" s="18"/>
      <c r="AA1215" s="18"/>
      <c r="AB1215" s="18"/>
      <c r="AC1215" s="18"/>
      <c r="AD1215" s="19"/>
      <c r="AE1215" s="18"/>
      <c r="AF1215" s="18"/>
      <c r="AG1215" s="18"/>
      <c r="AH1215" s="18"/>
      <c r="AI1215" s="18"/>
      <c r="AJ1215" s="97"/>
      <c r="AK1215" s="18"/>
      <c r="AL1215" s="18"/>
    </row>
    <row r="1216" spans="4:38" x14ac:dyDescent="0.2">
      <c r="D1216" s="19"/>
      <c r="E1216" s="19"/>
      <c r="F1216" s="19"/>
      <c r="G1216" s="18"/>
      <c r="H1216" s="18"/>
      <c r="I1216" s="18"/>
      <c r="J1216" s="18"/>
      <c r="K1216" s="18"/>
      <c r="L1216" s="18"/>
      <c r="M1216" s="18"/>
      <c r="N1216" s="18"/>
      <c r="O1216" s="18"/>
      <c r="P1216" s="18"/>
      <c r="Q1216" s="18"/>
      <c r="R1216" s="18"/>
      <c r="S1216" s="18"/>
      <c r="T1216" s="18"/>
      <c r="U1216" s="18"/>
      <c r="V1216" s="18"/>
      <c r="W1216" s="18"/>
      <c r="X1216" s="18"/>
      <c r="Y1216" s="18"/>
      <c r="Z1216" s="18"/>
      <c r="AA1216" s="18"/>
      <c r="AB1216" s="18"/>
      <c r="AC1216" s="18"/>
      <c r="AD1216" s="19"/>
      <c r="AE1216" s="18"/>
      <c r="AF1216" s="18"/>
      <c r="AG1216" s="18"/>
      <c r="AH1216" s="18"/>
      <c r="AI1216" s="18"/>
      <c r="AJ1216" s="97"/>
      <c r="AK1216" s="18"/>
      <c r="AL1216" s="18"/>
    </row>
    <row r="1217" spans="4:38" x14ac:dyDescent="0.2">
      <c r="D1217" s="19"/>
      <c r="E1217" s="19"/>
      <c r="F1217" s="19"/>
      <c r="G1217" s="18"/>
      <c r="H1217" s="18"/>
      <c r="I1217" s="18"/>
      <c r="J1217" s="18"/>
      <c r="K1217" s="18"/>
      <c r="L1217" s="18"/>
      <c r="M1217" s="18"/>
      <c r="N1217" s="18"/>
      <c r="O1217" s="18"/>
      <c r="P1217" s="18"/>
      <c r="Q1217" s="18"/>
      <c r="R1217" s="18"/>
      <c r="S1217" s="18"/>
      <c r="T1217" s="18"/>
      <c r="U1217" s="18"/>
      <c r="V1217" s="18"/>
      <c r="W1217" s="18"/>
      <c r="X1217" s="18"/>
      <c r="Y1217" s="18"/>
      <c r="Z1217" s="18"/>
      <c r="AA1217" s="18"/>
      <c r="AB1217" s="18"/>
      <c r="AC1217" s="18"/>
      <c r="AD1217" s="19"/>
      <c r="AE1217" s="18"/>
      <c r="AF1217" s="18"/>
      <c r="AG1217" s="18"/>
      <c r="AH1217" s="18"/>
      <c r="AI1217" s="18"/>
      <c r="AJ1217" s="97"/>
      <c r="AK1217" s="18"/>
      <c r="AL1217" s="18"/>
    </row>
    <row r="1218" spans="4:38" x14ac:dyDescent="0.2">
      <c r="D1218" s="19"/>
      <c r="E1218" s="19"/>
      <c r="F1218" s="19"/>
      <c r="G1218" s="18"/>
      <c r="H1218" s="18"/>
      <c r="I1218" s="18"/>
      <c r="J1218" s="18"/>
      <c r="K1218" s="18"/>
      <c r="L1218" s="18"/>
      <c r="M1218" s="18"/>
      <c r="N1218" s="18"/>
      <c r="O1218" s="18"/>
      <c r="P1218" s="18"/>
      <c r="Q1218" s="18"/>
      <c r="R1218" s="18"/>
      <c r="S1218" s="18"/>
      <c r="T1218" s="18"/>
      <c r="U1218" s="18"/>
      <c r="V1218" s="18"/>
      <c r="W1218" s="18"/>
      <c r="X1218" s="18"/>
      <c r="Y1218" s="18"/>
      <c r="Z1218" s="18"/>
      <c r="AA1218" s="18"/>
      <c r="AB1218" s="18"/>
      <c r="AC1218" s="18"/>
      <c r="AD1218" s="19"/>
      <c r="AE1218" s="18"/>
      <c r="AF1218" s="18"/>
      <c r="AG1218" s="18"/>
      <c r="AH1218" s="18"/>
      <c r="AI1218" s="18"/>
      <c r="AJ1218" s="97"/>
      <c r="AK1218" s="18"/>
      <c r="AL1218" s="18"/>
    </row>
    <row r="1219" spans="4:38" x14ac:dyDescent="0.2">
      <c r="D1219" s="19"/>
      <c r="E1219" s="19"/>
      <c r="F1219" s="19"/>
      <c r="G1219" s="18"/>
      <c r="H1219" s="18"/>
      <c r="I1219" s="18"/>
      <c r="J1219" s="18"/>
      <c r="K1219" s="18"/>
      <c r="L1219" s="18"/>
      <c r="M1219" s="18"/>
      <c r="N1219" s="18"/>
      <c r="O1219" s="18"/>
      <c r="P1219" s="18"/>
      <c r="Q1219" s="18"/>
      <c r="R1219" s="18"/>
      <c r="S1219" s="18"/>
      <c r="T1219" s="18"/>
      <c r="U1219" s="18"/>
      <c r="V1219" s="18"/>
      <c r="W1219" s="18"/>
      <c r="X1219" s="18"/>
      <c r="Y1219" s="18"/>
      <c r="Z1219" s="18"/>
      <c r="AA1219" s="18"/>
      <c r="AB1219" s="18"/>
      <c r="AC1219" s="18"/>
      <c r="AD1219" s="19"/>
      <c r="AE1219" s="18"/>
      <c r="AF1219" s="18"/>
      <c r="AG1219" s="18"/>
      <c r="AH1219" s="18"/>
      <c r="AI1219" s="18"/>
      <c r="AJ1219" s="97"/>
      <c r="AK1219" s="18"/>
      <c r="AL1219" s="18"/>
    </row>
    <row r="1220" spans="4:38" x14ac:dyDescent="0.2">
      <c r="D1220" s="19"/>
      <c r="E1220" s="19"/>
      <c r="F1220" s="19"/>
      <c r="G1220" s="18"/>
      <c r="H1220" s="18"/>
      <c r="I1220" s="18"/>
      <c r="J1220" s="18"/>
      <c r="K1220" s="18"/>
      <c r="L1220" s="18"/>
      <c r="M1220" s="18"/>
      <c r="N1220" s="18"/>
      <c r="O1220" s="18"/>
      <c r="P1220" s="18"/>
      <c r="Q1220" s="18"/>
      <c r="R1220" s="18"/>
      <c r="S1220" s="18"/>
      <c r="T1220" s="18"/>
      <c r="U1220" s="18"/>
      <c r="V1220" s="18"/>
      <c r="W1220" s="18"/>
      <c r="X1220" s="18"/>
      <c r="Y1220" s="18"/>
      <c r="Z1220" s="18"/>
      <c r="AA1220" s="18"/>
      <c r="AB1220" s="18"/>
      <c r="AC1220" s="18"/>
      <c r="AD1220" s="19"/>
      <c r="AE1220" s="18"/>
      <c r="AF1220" s="18"/>
      <c r="AG1220" s="18"/>
      <c r="AH1220" s="18"/>
      <c r="AI1220" s="18"/>
      <c r="AJ1220" s="97"/>
      <c r="AK1220" s="18"/>
      <c r="AL1220" s="18"/>
    </row>
    <row r="1221" spans="4:38" x14ac:dyDescent="0.2">
      <c r="D1221" s="19"/>
      <c r="E1221" s="19"/>
      <c r="F1221" s="19"/>
      <c r="G1221" s="18"/>
      <c r="H1221" s="18"/>
      <c r="I1221" s="18"/>
      <c r="J1221" s="18"/>
      <c r="K1221" s="18"/>
      <c r="L1221" s="18"/>
      <c r="M1221" s="18"/>
      <c r="N1221" s="18"/>
      <c r="O1221" s="18"/>
      <c r="P1221" s="18"/>
      <c r="Q1221" s="18"/>
      <c r="R1221" s="18"/>
      <c r="S1221" s="18"/>
      <c r="T1221" s="18"/>
      <c r="U1221" s="18"/>
      <c r="V1221" s="18"/>
      <c r="W1221" s="18"/>
      <c r="X1221" s="18"/>
      <c r="Y1221" s="18"/>
      <c r="Z1221" s="18"/>
      <c r="AA1221" s="18"/>
      <c r="AB1221" s="18"/>
      <c r="AC1221" s="18"/>
      <c r="AD1221" s="19"/>
      <c r="AE1221" s="18"/>
      <c r="AF1221" s="18"/>
      <c r="AG1221" s="18"/>
      <c r="AH1221" s="18"/>
      <c r="AI1221" s="18"/>
      <c r="AJ1221" s="97"/>
      <c r="AK1221" s="18"/>
      <c r="AL1221" s="18"/>
    </row>
    <row r="1222" spans="4:38" x14ac:dyDescent="0.2">
      <c r="D1222" s="19"/>
      <c r="E1222" s="19"/>
      <c r="F1222" s="19"/>
      <c r="G1222" s="18"/>
      <c r="H1222" s="18"/>
      <c r="I1222" s="18"/>
      <c r="J1222" s="18"/>
      <c r="K1222" s="18"/>
      <c r="L1222" s="18"/>
      <c r="M1222" s="18"/>
      <c r="N1222" s="18"/>
      <c r="O1222" s="18"/>
      <c r="P1222" s="18"/>
      <c r="Q1222" s="18"/>
      <c r="R1222" s="18"/>
      <c r="S1222" s="18"/>
      <c r="T1222" s="18"/>
      <c r="U1222" s="18"/>
      <c r="V1222" s="18"/>
      <c r="W1222" s="18"/>
      <c r="X1222" s="18"/>
      <c r="Y1222" s="18"/>
      <c r="Z1222" s="18"/>
      <c r="AA1222" s="18"/>
      <c r="AB1222" s="18"/>
      <c r="AC1222" s="18"/>
      <c r="AD1222" s="19"/>
      <c r="AE1222" s="18"/>
      <c r="AF1222" s="18"/>
      <c r="AG1222" s="18"/>
      <c r="AH1222" s="18"/>
      <c r="AI1222" s="18"/>
      <c r="AJ1222" s="97"/>
      <c r="AK1222" s="18"/>
      <c r="AL1222" s="18"/>
    </row>
    <row r="1223" spans="4:38" x14ac:dyDescent="0.2">
      <c r="D1223" s="19"/>
      <c r="E1223" s="19"/>
      <c r="F1223" s="19"/>
      <c r="G1223" s="18"/>
      <c r="H1223" s="18"/>
      <c r="I1223" s="18"/>
      <c r="J1223" s="18"/>
      <c r="K1223" s="18"/>
      <c r="L1223" s="18"/>
      <c r="M1223" s="18"/>
      <c r="N1223" s="18"/>
      <c r="O1223" s="18"/>
      <c r="P1223" s="18"/>
      <c r="Q1223" s="18"/>
      <c r="R1223" s="18"/>
      <c r="S1223" s="18"/>
      <c r="T1223" s="18"/>
      <c r="U1223" s="18"/>
      <c r="V1223" s="18"/>
      <c r="W1223" s="18"/>
      <c r="X1223" s="18"/>
      <c r="Y1223" s="18"/>
      <c r="Z1223" s="18"/>
      <c r="AA1223" s="18"/>
      <c r="AB1223" s="18"/>
      <c r="AC1223" s="18"/>
      <c r="AD1223" s="19"/>
      <c r="AE1223" s="18"/>
      <c r="AF1223" s="18"/>
      <c r="AG1223" s="18"/>
      <c r="AH1223" s="18"/>
      <c r="AI1223" s="18"/>
      <c r="AJ1223" s="97"/>
      <c r="AK1223" s="18"/>
      <c r="AL1223" s="18"/>
    </row>
    <row r="1224" spans="4:38" x14ac:dyDescent="0.2">
      <c r="D1224" s="19"/>
      <c r="E1224" s="19"/>
      <c r="F1224" s="19"/>
      <c r="G1224" s="18"/>
      <c r="H1224" s="18"/>
      <c r="I1224" s="18"/>
      <c r="J1224" s="18"/>
      <c r="K1224" s="18"/>
      <c r="L1224" s="18"/>
      <c r="M1224" s="18"/>
      <c r="N1224" s="18"/>
      <c r="O1224" s="18"/>
      <c r="P1224" s="18"/>
      <c r="Q1224" s="18"/>
      <c r="R1224" s="18"/>
      <c r="S1224" s="18"/>
      <c r="T1224" s="18"/>
      <c r="U1224" s="18"/>
      <c r="V1224" s="18"/>
      <c r="W1224" s="18"/>
      <c r="X1224" s="18"/>
      <c r="Y1224" s="18"/>
      <c r="Z1224" s="18"/>
      <c r="AA1224" s="18"/>
      <c r="AB1224" s="18"/>
      <c r="AC1224" s="18"/>
      <c r="AD1224" s="19"/>
      <c r="AE1224" s="18"/>
      <c r="AF1224" s="18"/>
      <c r="AG1224" s="18"/>
      <c r="AH1224" s="18"/>
      <c r="AI1224" s="18"/>
      <c r="AJ1224" s="97"/>
      <c r="AK1224" s="18"/>
      <c r="AL1224" s="18"/>
    </row>
    <row r="1225" spans="4:38" x14ac:dyDescent="0.2">
      <c r="D1225" s="19"/>
      <c r="E1225" s="19"/>
      <c r="F1225" s="19"/>
      <c r="G1225" s="18"/>
      <c r="H1225" s="18"/>
      <c r="I1225" s="18"/>
      <c r="J1225" s="18"/>
      <c r="K1225" s="18"/>
      <c r="L1225" s="18"/>
      <c r="M1225" s="18"/>
      <c r="N1225" s="18"/>
      <c r="O1225" s="18"/>
      <c r="P1225" s="18"/>
      <c r="Q1225" s="18"/>
      <c r="R1225" s="18"/>
      <c r="S1225" s="18"/>
      <c r="T1225" s="18"/>
      <c r="U1225" s="18"/>
      <c r="V1225" s="18"/>
      <c r="W1225" s="18"/>
      <c r="X1225" s="18"/>
      <c r="Y1225" s="18"/>
      <c r="Z1225" s="18"/>
      <c r="AA1225" s="18"/>
      <c r="AB1225" s="18"/>
      <c r="AC1225" s="18"/>
      <c r="AD1225" s="19"/>
      <c r="AE1225" s="18"/>
      <c r="AF1225" s="18"/>
      <c r="AG1225" s="18"/>
      <c r="AH1225" s="18"/>
      <c r="AI1225" s="18"/>
      <c r="AJ1225" s="97"/>
      <c r="AK1225" s="18"/>
      <c r="AL1225" s="18"/>
    </row>
    <row r="1226" spans="4:38" x14ac:dyDescent="0.2">
      <c r="D1226" s="19"/>
      <c r="E1226" s="19"/>
      <c r="F1226" s="19"/>
      <c r="G1226" s="18"/>
      <c r="H1226" s="18"/>
      <c r="I1226" s="18"/>
      <c r="J1226" s="18"/>
      <c r="K1226" s="18"/>
      <c r="L1226" s="18"/>
      <c r="M1226" s="18"/>
      <c r="N1226" s="18"/>
      <c r="O1226" s="18"/>
      <c r="P1226" s="18"/>
      <c r="Q1226" s="18"/>
      <c r="R1226" s="18"/>
      <c r="S1226" s="18"/>
      <c r="T1226" s="18"/>
      <c r="U1226" s="18"/>
      <c r="V1226" s="18"/>
      <c r="W1226" s="18"/>
      <c r="X1226" s="18"/>
      <c r="Y1226" s="18"/>
      <c r="Z1226" s="18"/>
      <c r="AA1226" s="18"/>
      <c r="AB1226" s="18"/>
      <c r="AC1226" s="18"/>
      <c r="AD1226" s="19"/>
      <c r="AE1226" s="18"/>
      <c r="AF1226" s="18"/>
      <c r="AG1226" s="18"/>
      <c r="AH1226" s="18"/>
      <c r="AI1226" s="18"/>
      <c r="AJ1226" s="97"/>
      <c r="AK1226" s="18"/>
      <c r="AL1226" s="18"/>
    </row>
    <row r="1227" spans="4:38" x14ac:dyDescent="0.2">
      <c r="D1227" s="19"/>
      <c r="E1227" s="19"/>
      <c r="F1227" s="19"/>
      <c r="G1227" s="18"/>
      <c r="H1227" s="18"/>
      <c r="I1227" s="18"/>
      <c r="J1227" s="18"/>
      <c r="K1227" s="18"/>
      <c r="L1227" s="18"/>
      <c r="M1227" s="18"/>
      <c r="N1227" s="18"/>
      <c r="O1227" s="18"/>
      <c r="P1227" s="18"/>
      <c r="Q1227" s="18"/>
      <c r="R1227" s="18"/>
      <c r="S1227" s="18"/>
      <c r="T1227" s="18"/>
      <c r="U1227" s="18"/>
      <c r="V1227" s="18"/>
      <c r="W1227" s="18"/>
      <c r="X1227" s="18"/>
      <c r="Y1227" s="18"/>
      <c r="Z1227" s="18"/>
      <c r="AA1227" s="18"/>
      <c r="AB1227" s="18"/>
      <c r="AC1227" s="18"/>
      <c r="AD1227" s="19"/>
      <c r="AE1227" s="18"/>
      <c r="AF1227" s="18"/>
      <c r="AG1227" s="18"/>
      <c r="AH1227" s="18"/>
      <c r="AI1227" s="18"/>
      <c r="AJ1227" s="97"/>
      <c r="AK1227" s="18"/>
      <c r="AL1227" s="18"/>
    </row>
    <row r="1228" spans="4:38" x14ac:dyDescent="0.2">
      <c r="D1228" s="19"/>
      <c r="E1228" s="19"/>
      <c r="F1228" s="19"/>
      <c r="G1228" s="18"/>
      <c r="H1228" s="18"/>
      <c r="I1228" s="18"/>
      <c r="J1228" s="18"/>
      <c r="K1228" s="18"/>
      <c r="L1228" s="18"/>
      <c r="M1228" s="18"/>
      <c r="N1228" s="18"/>
      <c r="O1228" s="18"/>
      <c r="P1228" s="18"/>
      <c r="Q1228" s="18"/>
      <c r="R1228" s="18"/>
      <c r="S1228" s="18"/>
      <c r="T1228" s="18"/>
      <c r="U1228" s="18"/>
      <c r="V1228" s="18"/>
      <c r="W1228" s="18"/>
      <c r="X1228" s="18"/>
      <c r="Y1228" s="18"/>
      <c r="Z1228" s="18"/>
      <c r="AA1228" s="18"/>
      <c r="AB1228" s="18"/>
      <c r="AC1228" s="18"/>
      <c r="AD1228" s="19"/>
      <c r="AE1228" s="18"/>
      <c r="AF1228" s="18"/>
      <c r="AG1228" s="18"/>
      <c r="AH1228" s="18"/>
      <c r="AI1228" s="18"/>
      <c r="AJ1228" s="97"/>
      <c r="AK1228" s="18"/>
      <c r="AL1228" s="18"/>
    </row>
    <row r="1229" spans="4:38" x14ac:dyDescent="0.2">
      <c r="D1229" s="19"/>
      <c r="E1229" s="19"/>
      <c r="F1229" s="19"/>
      <c r="G1229" s="18"/>
      <c r="H1229" s="18"/>
      <c r="I1229" s="18"/>
      <c r="J1229" s="18"/>
      <c r="K1229" s="18"/>
      <c r="L1229" s="18"/>
      <c r="M1229" s="18"/>
      <c r="N1229" s="18"/>
      <c r="O1229" s="18"/>
      <c r="P1229" s="18"/>
      <c r="Q1229" s="18"/>
      <c r="R1229" s="18"/>
      <c r="S1229" s="18"/>
      <c r="T1229" s="18"/>
      <c r="U1229" s="18"/>
      <c r="V1229" s="18"/>
      <c r="W1229" s="18"/>
      <c r="X1229" s="18"/>
      <c r="Y1229" s="18"/>
      <c r="Z1229" s="18"/>
      <c r="AA1229" s="18"/>
      <c r="AB1229" s="18"/>
      <c r="AC1229" s="18"/>
      <c r="AD1229" s="19"/>
      <c r="AE1229" s="18"/>
      <c r="AF1229" s="18"/>
      <c r="AG1229" s="18"/>
      <c r="AH1229" s="18"/>
      <c r="AI1229" s="18"/>
      <c r="AJ1229" s="97"/>
      <c r="AK1229" s="18"/>
      <c r="AL1229" s="18"/>
    </row>
    <row r="1230" spans="4:38" x14ac:dyDescent="0.2">
      <c r="D1230" s="19"/>
      <c r="E1230" s="19"/>
      <c r="F1230" s="19"/>
      <c r="G1230" s="18"/>
      <c r="H1230" s="18"/>
      <c r="I1230" s="18"/>
      <c r="J1230" s="18"/>
      <c r="K1230" s="18"/>
      <c r="L1230" s="18"/>
      <c r="M1230" s="18"/>
      <c r="N1230" s="18"/>
      <c r="O1230" s="18"/>
      <c r="P1230" s="18"/>
      <c r="Q1230" s="18"/>
      <c r="R1230" s="18"/>
      <c r="S1230" s="18"/>
      <c r="T1230" s="18"/>
      <c r="U1230" s="18"/>
      <c r="V1230" s="18"/>
      <c r="W1230" s="18"/>
      <c r="X1230" s="18"/>
      <c r="Y1230" s="18"/>
      <c r="Z1230" s="18"/>
      <c r="AA1230" s="18"/>
      <c r="AB1230" s="18"/>
      <c r="AC1230" s="18"/>
      <c r="AD1230" s="19"/>
      <c r="AE1230" s="18"/>
      <c r="AF1230" s="18"/>
      <c r="AG1230" s="18"/>
      <c r="AH1230" s="18"/>
      <c r="AI1230" s="18"/>
      <c r="AJ1230" s="97"/>
      <c r="AK1230" s="18"/>
      <c r="AL1230" s="18"/>
    </row>
    <row r="1231" spans="4:38" x14ac:dyDescent="0.2">
      <c r="D1231" s="19"/>
      <c r="E1231" s="19"/>
      <c r="F1231" s="19"/>
      <c r="G1231" s="18"/>
      <c r="H1231" s="18"/>
      <c r="I1231" s="18"/>
      <c r="J1231" s="18"/>
      <c r="K1231" s="18"/>
      <c r="L1231" s="18"/>
      <c r="M1231" s="18"/>
      <c r="N1231" s="18"/>
      <c r="O1231" s="18"/>
      <c r="P1231" s="18"/>
      <c r="Q1231" s="18"/>
      <c r="R1231" s="18"/>
      <c r="S1231" s="18"/>
      <c r="T1231" s="18"/>
      <c r="U1231" s="18"/>
      <c r="V1231" s="18"/>
      <c r="W1231" s="18"/>
      <c r="X1231" s="18"/>
      <c r="Y1231" s="18"/>
      <c r="Z1231" s="18"/>
      <c r="AA1231" s="18"/>
      <c r="AB1231" s="18"/>
      <c r="AC1231" s="18"/>
      <c r="AD1231" s="19"/>
      <c r="AE1231" s="18"/>
      <c r="AF1231" s="18"/>
      <c r="AG1231" s="18"/>
      <c r="AH1231" s="18"/>
      <c r="AI1231" s="18"/>
      <c r="AJ1231" s="97"/>
      <c r="AK1231" s="18"/>
      <c r="AL1231" s="18"/>
    </row>
    <row r="1232" spans="4:38" x14ac:dyDescent="0.2">
      <c r="D1232" s="19"/>
      <c r="E1232" s="19"/>
      <c r="F1232" s="19"/>
      <c r="G1232" s="18"/>
      <c r="H1232" s="18"/>
      <c r="I1232" s="18"/>
      <c r="J1232" s="18"/>
      <c r="K1232" s="18"/>
      <c r="L1232" s="18"/>
      <c r="M1232" s="18"/>
      <c r="N1232" s="18"/>
      <c r="O1232" s="18"/>
      <c r="P1232" s="18"/>
      <c r="Q1232" s="18"/>
      <c r="R1232" s="18"/>
      <c r="S1232" s="18"/>
      <c r="T1232" s="18"/>
      <c r="U1232" s="18"/>
      <c r="V1232" s="18"/>
      <c r="W1232" s="18"/>
      <c r="X1232" s="18"/>
      <c r="Y1232" s="18"/>
      <c r="Z1232" s="18"/>
      <c r="AA1232" s="18"/>
      <c r="AB1232" s="18"/>
      <c r="AC1232" s="18"/>
      <c r="AD1232" s="19"/>
      <c r="AE1232" s="18"/>
      <c r="AF1232" s="18"/>
      <c r="AG1232" s="18"/>
      <c r="AH1232" s="18"/>
      <c r="AI1232" s="18"/>
      <c r="AJ1232" s="97"/>
      <c r="AK1232" s="18"/>
      <c r="AL1232" s="18"/>
    </row>
    <row r="1233" spans="4:38" x14ac:dyDescent="0.2">
      <c r="D1233" s="19"/>
      <c r="E1233" s="19"/>
      <c r="F1233" s="19"/>
      <c r="G1233" s="18"/>
      <c r="H1233" s="18"/>
      <c r="I1233" s="18"/>
      <c r="J1233" s="18"/>
      <c r="K1233" s="18"/>
      <c r="L1233" s="18"/>
      <c r="M1233" s="18"/>
      <c r="N1233" s="18"/>
      <c r="O1233" s="18"/>
      <c r="P1233" s="18"/>
      <c r="Q1233" s="18"/>
      <c r="R1233" s="18"/>
      <c r="S1233" s="18"/>
      <c r="T1233" s="18"/>
      <c r="U1233" s="18"/>
      <c r="V1233" s="18"/>
      <c r="W1233" s="18"/>
      <c r="X1233" s="18"/>
      <c r="Y1233" s="18"/>
      <c r="Z1233" s="18"/>
      <c r="AA1233" s="18"/>
      <c r="AB1233" s="18"/>
      <c r="AC1233" s="18"/>
      <c r="AD1233" s="19"/>
      <c r="AE1233" s="18"/>
      <c r="AF1233" s="18"/>
      <c r="AG1233" s="18"/>
      <c r="AH1233" s="18"/>
      <c r="AI1233" s="18"/>
      <c r="AJ1233" s="97"/>
      <c r="AK1233" s="18"/>
      <c r="AL1233" s="18"/>
    </row>
    <row r="1234" spans="4:38" x14ac:dyDescent="0.2">
      <c r="D1234" s="19"/>
      <c r="E1234" s="19"/>
      <c r="F1234" s="19"/>
      <c r="G1234" s="18"/>
      <c r="H1234" s="18"/>
      <c r="I1234" s="18"/>
      <c r="J1234" s="18"/>
      <c r="K1234" s="18"/>
      <c r="L1234" s="18"/>
      <c r="M1234" s="18"/>
      <c r="N1234" s="18"/>
      <c r="O1234" s="18"/>
      <c r="P1234" s="18"/>
      <c r="Q1234" s="18"/>
      <c r="R1234" s="18"/>
      <c r="S1234" s="18"/>
      <c r="T1234" s="18"/>
      <c r="U1234" s="18"/>
      <c r="V1234" s="18"/>
      <c r="W1234" s="18"/>
      <c r="X1234" s="18"/>
      <c r="Y1234" s="18"/>
      <c r="Z1234" s="18"/>
      <c r="AA1234" s="18"/>
      <c r="AB1234" s="18"/>
      <c r="AC1234" s="18"/>
      <c r="AD1234" s="19"/>
      <c r="AE1234" s="18"/>
      <c r="AF1234" s="18"/>
      <c r="AG1234" s="18"/>
      <c r="AH1234" s="18"/>
      <c r="AI1234" s="18"/>
      <c r="AJ1234" s="97"/>
      <c r="AK1234" s="18"/>
      <c r="AL1234" s="18"/>
    </row>
    <row r="1235" spans="4:38" x14ac:dyDescent="0.2">
      <c r="D1235" s="19"/>
      <c r="E1235" s="19"/>
      <c r="F1235" s="19"/>
      <c r="G1235" s="18"/>
      <c r="H1235" s="18"/>
      <c r="I1235" s="18"/>
      <c r="J1235" s="18"/>
      <c r="K1235" s="18"/>
      <c r="L1235" s="18"/>
      <c r="M1235" s="18"/>
      <c r="N1235" s="18"/>
      <c r="O1235" s="18"/>
      <c r="P1235" s="18"/>
      <c r="Q1235" s="18"/>
      <c r="R1235" s="18"/>
      <c r="S1235" s="18"/>
      <c r="T1235" s="18"/>
      <c r="U1235" s="18"/>
      <c r="V1235" s="18"/>
      <c r="W1235" s="18"/>
      <c r="X1235" s="18"/>
      <c r="Y1235" s="18"/>
      <c r="Z1235" s="18"/>
      <c r="AA1235" s="18"/>
      <c r="AB1235" s="18"/>
      <c r="AC1235" s="18"/>
      <c r="AD1235" s="19"/>
      <c r="AE1235" s="18"/>
      <c r="AF1235" s="18"/>
      <c r="AG1235" s="18"/>
      <c r="AH1235" s="18"/>
      <c r="AI1235" s="18"/>
      <c r="AJ1235" s="97"/>
      <c r="AK1235" s="18"/>
      <c r="AL1235" s="18"/>
    </row>
    <row r="1236" spans="4:38" x14ac:dyDescent="0.2">
      <c r="D1236" s="19"/>
      <c r="E1236" s="19"/>
      <c r="F1236" s="19"/>
      <c r="G1236" s="18"/>
      <c r="H1236" s="18"/>
      <c r="I1236" s="18"/>
      <c r="J1236" s="18"/>
      <c r="K1236" s="18"/>
      <c r="L1236" s="18"/>
      <c r="M1236" s="18"/>
      <c r="N1236" s="18"/>
      <c r="O1236" s="18"/>
      <c r="P1236" s="18"/>
      <c r="Q1236" s="18"/>
      <c r="R1236" s="18"/>
      <c r="S1236" s="18"/>
      <c r="T1236" s="18"/>
      <c r="U1236" s="18"/>
      <c r="V1236" s="18"/>
      <c r="W1236" s="18"/>
      <c r="X1236" s="18"/>
      <c r="Y1236" s="18"/>
      <c r="Z1236" s="18"/>
      <c r="AA1236" s="18"/>
      <c r="AB1236" s="18"/>
      <c r="AC1236" s="18"/>
      <c r="AD1236" s="19"/>
      <c r="AE1236" s="18"/>
      <c r="AF1236" s="18"/>
      <c r="AG1236" s="18"/>
      <c r="AH1236" s="18"/>
      <c r="AI1236" s="18"/>
      <c r="AJ1236" s="97"/>
      <c r="AK1236" s="18"/>
      <c r="AL1236" s="18"/>
    </row>
    <row r="1237" spans="4:38" x14ac:dyDescent="0.2">
      <c r="D1237" s="19"/>
      <c r="E1237" s="19"/>
      <c r="F1237" s="19"/>
      <c r="G1237" s="18"/>
      <c r="H1237" s="18"/>
      <c r="I1237" s="18"/>
      <c r="J1237" s="18"/>
      <c r="K1237" s="18"/>
      <c r="L1237" s="18"/>
      <c r="M1237" s="18"/>
      <c r="N1237" s="18"/>
      <c r="O1237" s="18"/>
      <c r="P1237" s="18"/>
      <c r="Q1237" s="18"/>
      <c r="R1237" s="18"/>
      <c r="S1237" s="18"/>
      <c r="T1237" s="18"/>
      <c r="U1237" s="18"/>
      <c r="V1237" s="18"/>
      <c r="W1237" s="18"/>
      <c r="X1237" s="18"/>
      <c r="Y1237" s="18"/>
      <c r="Z1237" s="18"/>
      <c r="AA1237" s="18"/>
      <c r="AB1237" s="18"/>
      <c r="AC1237" s="18"/>
      <c r="AD1237" s="19"/>
      <c r="AE1237" s="18"/>
      <c r="AF1237" s="18"/>
      <c r="AG1237" s="18"/>
      <c r="AH1237" s="18"/>
      <c r="AI1237" s="18"/>
      <c r="AJ1237" s="97"/>
      <c r="AK1237" s="18"/>
      <c r="AL1237" s="18"/>
    </row>
    <row r="1238" spans="4:38" x14ac:dyDescent="0.2">
      <c r="D1238" s="19"/>
      <c r="E1238" s="19"/>
      <c r="F1238" s="19"/>
      <c r="G1238" s="18"/>
      <c r="H1238" s="18"/>
      <c r="I1238" s="18"/>
      <c r="J1238" s="18"/>
      <c r="K1238" s="18"/>
      <c r="L1238" s="18"/>
      <c r="M1238" s="18"/>
      <c r="N1238" s="18"/>
      <c r="O1238" s="18"/>
      <c r="P1238" s="18"/>
      <c r="Q1238" s="18"/>
      <c r="R1238" s="18"/>
      <c r="S1238" s="18"/>
      <c r="T1238" s="18"/>
      <c r="U1238" s="18"/>
      <c r="V1238" s="18"/>
      <c r="W1238" s="18"/>
      <c r="X1238" s="18"/>
      <c r="Y1238" s="18"/>
      <c r="Z1238" s="18"/>
      <c r="AA1238" s="18"/>
      <c r="AB1238" s="18"/>
      <c r="AC1238" s="18"/>
      <c r="AD1238" s="19"/>
      <c r="AE1238" s="18"/>
      <c r="AF1238" s="18"/>
      <c r="AG1238" s="18"/>
      <c r="AH1238" s="18"/>
      <c r="AI1238" s="18"/>
      <c r="AJ1238" s="97"/>
      <c r="AK1238" s="18"/>
      <c r="AL1238" s="18"/>
    </row>
    <row r="1239" spans="4:38" x14ac:dyDescent="0.2">
      <c r="D1239" s="19"/>
      <c r="E1239" s="19"/>
      <c r="F1239" s="19"/>
      <c r="G1239" s="18"/>
      <c r="H1239" s="18"/>
      <c r="I1239" s="18"/>
      <c r="J1239" s="18"/>
      <c r="K1239" s="18"/>
      <c r="L1239" s="18"/>
      <c r="M1239" s="18"/>
      <c r="N1239" s="18"/>
      <c r="O1239" s="18"/>
      <c r="P1239" s="18"/>
      <c r="Q1239" s="18"/>
      <c r="R1239" s="18"/>
      <c r="S1239" s="18"/>
      <c r="T1239" s="18"/>
      <c r="U1239" s="18"/>
      <c r="V1239" s="18"/>
      <c r="W1239" s="18"/>
      <c r="X1239" s="18"/>
      <c r="Y1239" s="18"/>
      <c r="Z1239" s="18"/>
      <c r="AA1239" s="18"/>
      <c r="AB1239" s="18"/>
      <c r="AC1239" s="18"/>
      <c r="AD1239" s="19"/>
      <c r="AE1239" s="18"/>
      <c r="AF1239" s="18"/>
      <c r="AG1239" s="18"/>
      <c r="AH1239" s="18"/>
      <c r="AI1239" s="18"/>
      <c r="AJ1239" s="97"/>
      <c r="AK1239" s="18"/>
      <c r="AL1239" s="18"/>
    </row>
    <row r="1240" spans="4:38" x14ac:dyDescent="0.2">
      <c r="D1240" s="19"/>
      <c r="E1240" s="19"/>
      <c r="F1240" s="19"/>
      <c r="G1240" s="18"/>
      <c r="H1240" s="18"/>
      <c r="I1240" s="18"/>
      <c r="J1240" s="18"/>
      <c r="K1240" s="18"/>
      <c r="L1240" s="18"/>
      <c r="M1240" s="18"/>
      <c r="N1240" s="18"/>
      <c r="O1240" s="18"/>
      <c r="P1240" s="18"/>
      <c r="Q1240" s="18"/>
      <c r="R1240" s="18"/>
      <c r="S1240" s="18"/>
      <c r="T1240" s="18"/>
      <c r="U1240" s="18"/>
      <c r="V1240" s="18"/>
      <c r="W1240" s="18"/>
      <c r="X1240" s="18"/>
      <c r="Y1240" s="18"/>
      <c r="Z1240" s="18"/>
      <c r="AA1240" s="18"/>
      <c r="AB1240" s="18"/>
      <c r="AC1240" s="18"/>
      <c r="AD1240" s="19"/>
      <c r="AE1240" s="18"/>
      <c r="AF1240" s="18"/>
      <c r="AG1240" s="18"/>
      <c r="AH1240" s="18"/>
      <c r="AI1240" s="18"/>
      <c r="AJ1240" s="97"/>
      <c r="AK1240" s="18"/>
      <c r="AL1240" s="18"/>
    </row>
    <row r="1241" spans="4:38" x14ac:dyDescent="0.2">
      <c r="D1241" s="19"/>
      <c r="E1241" s="19"/>
      <c r="F1241" s="19"/>
      <c r="G1241" s="18"/>
      <c r="H1241" s="18"/>
      <c r="I1241" s="18"/>
      <c r="J1241" s="18"/>
      <c r="K1241" s="18"/>
      <c r="L1241" s="18"/>
      <c r="M1241" s="18"/>
      <c r="N1241" s="18"/>
      <c r="O1241" s="18"/>
      <c r="P1241" s="18"/>
      <c r="Q1241" s="18"/>
      <c r="R1241" s="18"/>
      <c r="S1241" s="18"/>
      <c r="T1241" s="18"/>
      <c r="U1241" s="18"/>
      <c r="V1241" s="18"/>
      <c r="W1241" s="18"/>
      <c r="X1241" s="18"/>
      <c r="Y1241" s="18"/>
      <c r="Z1241" s="18"/>
      <c r="AA1241" s="18"/>
      <c r="AB1241" s="18"/>
      <c r="AC1241" s="18"/>
      <c r="AD1241" s="19"/>
      <c r="AE1241" s="18"/>
      <c r="AF1241" s="18"/>
      <c r="AG1241" s="18"/>
      <c r="AH1241" s="18"/>
      <c r="AI1241" s="18"/>
      <c r="AJ1241" s="97"/>
      <c r="AK1241" s="18"/>
      <c r="AL1241" s="18"/>
    </row>
    <row r="1242" spans="4:38" x14ac:dyDescent="0.2">
      <c r="D1242" s="19"/>
      <c r="E1242" s="19"/>
      <c r="F1242" s="19"/>
      <c r="G1242" s="18"/>
      <c r="H1242" s="18"/>
      <c r="I1242" s="18"/>
      <c r="J1242" s="18"/>
      <c r="K1242" s="18"/>
      <c r="L1242" s="18"/>
      <c r="M1242" s="18"/>
      <c r="N1242" s="18"/>
      <c r="O1242" s="18"/>
      <c r="P1242" s="18"/>
      <c r="Q1242" s="18"/>
      <c r="R1242" s="18"/>
      <c r="S1242" s="18"/>
      <c r="T1242" s="18"/>
      <c r="U1242" s="18"/>
      <c r="V1242" s="18"/>
      <c r="W1242" s="18"/>
      <c r="X1242" s="18"/>
      <c r="Y1242" s="18"/>
      <c r="Z1242" s="18"/>
      <c r="AA1242" s="18"/>
      <c r="AB1242" s="18"/>
      <c r="AC1242" s="18"/>
      <c r="AD1242" s="19"/>
      <c r="AE1242" s="18"/>
      <c r="AF1242" s="18"/>
      <c r="AG1242" s="18"/>
      <c r="AH1242" s="18"/>
      <c r="AI1242" s="18"/>
      <c r="AJ1242" s="97"/>
      <c r="AK1242" s="18"/>
      <c r="AL1242" s="18"/>
    </row>
    <row r="1243" spans="4:38" x14ac:dyDescent="0.2">
      <c r="D1243" s="19"/>
      <c r="E1243" s="19"/>
      <c r="F1243" s="19"/>
      <c r="G1243" s="18"/>
      <c r="H1243" s="18"/>
      <c r="I1243" s="18"/>
      <c r="J1243" s="18"/>
      <c r="K1243" s="18"/>
      <c r="L1243" s="18"/>
      <c r="M1243" s="18"/>
      <c r="N1243" s="18"/>
      <c r="O1243" s="18"/>
      <c r="P1243" s="18"/>
      <c r="Q1243" s="18"/>
      <c r="R1243" s="18"/>
      <c r="S1243" s="18"/>
      <c r="T1243" s="18"/>
      <c r="U1243" s="18"/>
      <c r="V1243" s="18"/>
      <c r="W1243" s="18"/>
      <c r="X1243" s="18"/>
      <c r="Y1243" s="18"/>
      <c r="Z1243" s="18"/>
      <c r="AA1243" s="18"/>
      <c r="AB1243" s="18"/>
      <c r="AC1243" s="18"/>
      <c r="AD1243" s="19"/>
      <c r="AE1243" s="18"/>
      <c r="AF1243" s="18"/>
      <c r="AG1243" s="18"/>
      <c r="AH1243" s="18"/>
      <c r="AI1243" s="18"/>
      <c r="AJ1243" s="97"/>
      <c r="AK1243" s="18"/>
      <c r="AL1243" s="18"/>
    </row>
    <row r="1244" spans="4:38" x14ac:dyDescent="0.2">
      <c r="D1244" s="19"/>
      <c r="E1244" s="19"/>
      <c r="F1244" s="19"/>
      <c r="G1244" s="18"/>
      <c r="H1244" s="18"/>
      <c r="I1244" s="18"/>
      <c r="J1244" s="18"/>
      <c r="K1244" s="18"/>
      <c r="L1244" s="18"/>
      <c r="M1244" s="18"/>
      <c r="N1244" s="18"/>
      <c r="O1244" s="18"/>
      <c r="P1244" s="18"/>
      <c r="Q1244" s="18"/>
      <c r="R1244" s="18"/>
      <c r="S1244" s="18"/>
      <c r="T1244" s="18"/>
      <c r="U1244" s="18"/>
      <c r="V1244" s="18"/>
      <c r="W1244" s="18"/>
      <c r="X1244" s="18"/>
      <c r="Y1244" s="18"/>
      <c r="Z1244" s="18"/>
      <c r="AA1244" s="18"/>
      <c r="AB1244" s="18"/>
      <c r="AC1244" s="18"/>
      <c r="AD1244" s="19"/>
      <c r="AE1244" s="18"/>
      <c r="AF1244" s="18"/>
      <c r="AG1244" s="18"/>
      <c r="AH1244" s="18"/>
      <c r="AI1244" s="18"/>
      <c r="AJ1244" s="97"/>
      <c r="AK1244" s="18"/>
      <c r="AL1244" s="18"/>
    </row>
    <row r="1245" spans="4:38" x14ac:dyDescent="0.2">
      <c r="D1245" s="19"/>
      <c r="E1245" s="19"/>
      <c r="F1245" s="19"/>
      <c r="G1245" s="18"/>
      <c r="H1245" s="18"/>
      <c r="I1245" s="18"/>
      <c r="J1245" s="18"/>
      <c r="K1245" s="18"/>
      <c r="L1245" s="18"/>
      <c r="M1245" s="18"/>
      <c r="N1245" s="18"/>
      <c r="O1245" s="18"/>
      <c r="P1245" s="18"/>
      <c r="Q1245" s="18"/>
      <c r="R1245" s="18"/>
      <c r="S1245" s="18"/>
      <c r="T1245" s="18"/>
      <c r="U1245" s="18"/>
      <c r="V1245" s="18"/>
      <c r="W1245" s="18"/>
      <c r="X1245" s="18"/>
      <c r="Y1245" s="18"/>
      <c r="Z1245" s="18"/>
      <c r="AA1245" s="18"/>
      <c r="AB1245" s="18"/>
      <c r="AC1245" s="18"/>
      <c r="AD1245" s="19"/>
      <c r="AE1245" s="18"/>
      <c r="AF1245" s="18"/>
      <c r="AG1245" s="18"/>
      <c r="AH1245" s="18"/>
      <c r="AI1245" s="18"/>
      <c r="AJ1245" s="97"/>
      <c r="AK1245" s="18"/>
      <c r="AL1245" s="18"/>
    </row>
    <row r="1246" spans="4:38" x14ac:dyDescent="0.2">
      <c r="D1246" s="19"/>
      <c r="E1246" s="19"/>
      <c r="F1246" s="19"/>
      <c r="G1246" s="18"/>
      <c r="H1246" s="18"/>
      <c r="I1246" s="18"/>
      <c r="J1246" s="18"/>
      <c r="K1246" s="18"/>
      <c r="L1246" s="18"/>
      <c r="M1246" s="18"/>
      <c r="N1246" s="18"/>
      <c r="O1246" s="18"/>
      <c r="P1246" s="18"/>
      <c r="Q1246" s="18"/>
      <c r="R1246" s="18"/>
      <c r="S1246" s="18"/>
      <c r="T1246" s="18"/>
      <c r="U1246" s="18"/>
      <c r="V1246" s="18"/>
      <c r="W1246" s="18"/>
      <c r="X1246" s="18"/>
      <c r="Y1246" s="18"/>
      <c r="Z1246" s="18"/>
      <c r="AA1246" s="18"/>
      <c r="AB1246" s="18"/>
      <c r="AC1246" s="18"/>
      <c r="AD1246" s="19"/>
      <c r="AE1246" s="18"/>
      <c r="AF1246" s="18"/>
      <c r="AG1246" s="18"/>
      <c r="AH1246" s="18"/>
      <c r="AI1246" s="18"/>
      <c r="AJ1246" s="97"/>
      <c r="AK1246" s="18"/>
      <c r="AL1246" s="18"/>
    </row>
    <row r="1247" spans="4:38" x14ac:dyDescent="0.2">
      <c r="D1247" s="19"/>
      <c r="E1247" s="19"/>
      <c r="F1247" s="19"/>
      <c r="G1247" s="18"/>
      <c r="H1247" s="18"/>
      <c r="I1247" s="18"/>
      <c r="J1247" s="18"/>
      <c r="K1247" s="18"/>
      <c r="L1247" s="18"/>
      <c r="M1247" s="18"/>
      <c r="N1247" s="18"/>
      <c r="O1247" s="18"/>
      <c r="P1247" s="18"/>
      <c r="Q1247" s="18"/>
      <c r="R1247" s="18"/>
      <c r="S1247" s="18"/>
      <c r="T1247" s="18"/>
      <c r="U1247" s="18"/>
      <c r="V1247" s="18"/>
      <c r="W1247" s="18"/>
      <c r="X1247" s="18"/>
      <c r="Y1247" s="18"/>
      <c r="Z1247" s="18"/>
      <c r="AA1247" s="18"/>
      <c r="AB1247" s="18"/>
      <c r="AC1247" s="18"/>
      <c r="AD1247" s="19"/>
      <c r="AE1247" s="18"/>
      <c r="AF1247" s="18"/>
      <c r="AG1247" s="18"/>
      <c r="AH1247" s="18"/>
      <c r="AI1247" s="18"/>
      <c r="AJ1247" s="97"/>
      <c r="AK1247" s="18"/>
      <c r="AL1247" s="18"/>
    </row>
    <row r="1248" spans="4:38" x14ac:dyDescent="0.2">
      <c r="D1248" s="19"/>
      <c r="E1248" s="19"/>
      <c r="F1248" s="19"/>
      <c r="G1248" s="18"/>
      <c r="H1248" s="18"/>
      <c r="I1248" s="18"/>
      <c r="J1248" s="18"/>
      <c r="K1248" s="18"/>
      <c r="L1248" s="18"/>
      <c r="M1248" s="18"/>
      <c r="N1248" s="18"/>
      <c r="O1248" s="18"/>
      <c r="P1248" s="18"/>
      <c r="Q1248" s="18"/>
      <c r="R1248" s="18"/>
      <c r="S1248" s="18"/>
      <c r="T1248" s="18"/>
      <c r="U1248" s="18"/>
      <c r="V1248" s="18"/>
      <c r="W1248" s="18"/>
      <c r="X1248" s="18"/>
      <c r="Y1248" s="18"/>
      <c r="Z1248" s="18"/>
      <c r="AA1248" s="18"/>
      <c r="AB1248" s="18"/>
      <c r="AC1248" s="18"/>
      <c r="AD1248" s="19"/>
      <c r="AE1248" s="18"/>
      <c r="AF1248" s="18"/>
      <c r="AG1248" s="18"/>
      <c r="AH1248" s="18"/>
      <c r="AI1248" s="18"/>
      <c r="AJ1248" s="97"/>
      <c r="AK1248" s="18"/>
      <c r="AL1248" s="18"/>
    </row>
    <row r="1249" spans="4:38" x14ac:dyDescent="0.2">
      <c r="D1249" s="19"/>
      <c r="E1249" s="19"/>
      <c r="F1249" s="19"/>
      <c r="G1249" s="18"/>
      <c r="H1249" s="18"/>
      <c r="I1249" s="18"/>
      <c r="J1249" s="18"/>
      <c r="K1249" s="18"/>
      <c r="L1249" s="18"/>
      <c r="M1249" s="18"/>
      <c r="N1249" s="18"/>
      <c r="O1249" s="18"/>
      <c r="P1249" s="18"/>
      <c r="Q1249" s="18"/>
      <c r="R1249" s="18"/>
      <c r="S1249" s="18"/>
      <c r="T1249" s="18"/>
      <c r="U1249" s="18"/>
      <c r="V1249" s="18"/>
      <c r="W1249" s="18"/>
      <c r="X1249" s="18"/>
      <c r="Y1249" s="18"/>
      <c r="Z1249" s="18"/>
      <c r="AA1249" s="18"/>
      <c r="AB1249" s="18"/>
      <c r="AC1249" s="18"/>
      <c r="AD1249" s="19"/>
      <c r="AE1249" s="18"/>
      <c r="AF1249" s="18"/>
      <c r="AG1249" s="18"/>
      <c r="AH1249" s="18"/>
      <c r="AI1249" s="18"/>
      <c r="AJ1249" s="97"/>
      <c r="AK1249" s="18"/>
      <c r="AL1249" s="18"/>
    </row>
    <row r="1250" spans="4:38" x14ac:dyDescent="0.2">
      <c r="D1250" s="19"/>
      <c r="E1250" s="19"/>
      <c r="F1250" s="19"/>
      <c r="G1250" s="18"/>
      <c r="H1250" s="18"/>
      <c r="I1250" s="18"/>
      <c r="J1250" s="18"/>
      <c r="K1250" s="18"/>
      <c r="L1250" s="18"/>
      <c r="M1250" s="18"/>
      <c r="N1250" s="18"/>
      <c r="O1250" s="18"/>
      <c r="P1250" s="18"/>
      <c r="Q1250" s="18"/>
      <c r="R1250" s="18"/>
      <c r="S1250" s="18"/>
      <c r="T1250" s="18"/>
      <c r="U1250" s="18"/>
      <c r="V1250" s="18"/>
      <c r="W1250" s="18"/>
      <c r="X1250" s="18"/>
      <c r="Y1250" s="18"/>
      <c r="Z1250" s="18"/>
      <c r="AA1250" s="18"/>
      <c r="AB1250" s="18"/>
      <c r="AC1250" s="18"/>
      <c r="AD1250" s="19"/>
      <c r="AE1250" s="18"/>
      <c r="AF1250" s="18"/>
      <c r="AG1250" s="18"/>
      <c r="AH1250" s="18"/>
      <c r="AI1250" s="18"/>
      <c r="AJ1250" s="97"/>
      <c r="AK1250" s="18"/>
      <c r="AL1250" s="18"/>
    </row>
    <row r="1251" spans="4:38" x14ac:dyDescent="0.2">
      <c r="D1251" s="19"/>
      <c r="E1251" s="19"/>
      <c r="F1251" s="19"/>
      <c r="G1251" s="18"/>
      <c r="H1251" s="18"/>
      <c r="I1251" s="18"/>
      <c r="J1251" s="18"/>
      <c r="K1251" s="18"/>
      <c r="L1251" s="18"/>
      <c r="M1251" s="18"/>
      <c r="N1251" s="18"/>
      <c r="O1251" s="18"/>
      <c r="P1251" s="18"/>
      <c r="Q1251" s="18"/>
      <c r="R1251" s="18"/>
      <c r="S1251" s="18"/>
      <c r="T1251" s="18"/>
      <c r="U1251" s="18"/>
      <c r="V1251" s="18"/>
      <c r="W1251" s="18"/>
      <c r="X1251" s="18"/>
      <c r="Y1251" s="18"/>
      <c r="Z1251" s="18"/>
      <c r="AA1251" s="18"/>
      <c r="AB1251" s="18"/>
      <c r="AC1251" s="18"/>
      <c r="AD1251" s="19"/>
      <c r="AE1251" s="18"/>
      <c r="AF1251" s="18"/>
      <c r="AG1251" s="18"/>
      <c r="AH1251" s="18"/>
      <c r="AI1251" s="18"/>
      <c r="AJ1251" s="97"/>
      <c r="AK1251" s="18"/>
      <c r="AL1251" s="18"/>
    </row>
    <row r="1252" spans="4:38" x14ac:dyDescent="0.2">
      <c r="D1252" s="19"/>
      <c r="E1252" s="19"/>
      <c r="F1252" s="19"/>
      <c r="G1252" s="18"/>
      <c r="H1252" s="18"/>
      <c r="I1252" s="18"/>
      <c r="J1252" s="18"/>
      <c r="K1252" s="18"/>
      <c r="L1252" s="18"/>
      <c r="M1252" s="18"/>
      <c r="N1252" s="18"/>
      <c r="O1252" s="18"/>
      <c r="P1252" s="18"/>
      <c r="Q1252" s="18"/>
      <c r="R1252" s="18"/>
      <c r="S1252" s="18"/>
      <c r="T1252" s="18"/>
      <c r="U1252" s="18"/>
      <c r="V1252" s="18"/>
      <c r="W1252" s="18"/>
      <c r="X1252" s="18"/>
      <c r="Y1252" s="18"/>
      <c r="Z1252" s="18"/>
      <c r="AA1252" s="18"/>
      <c r="AB1252" s="18"/>
      <c r="AC1252" s="18"/>
      <c r="AD1252" s="19"/>
      <c r="AE1252" s="18"/>
      <c r="AF1252" s="18"/>
      <c r="AG1252" s="18"/>
      <c r="AH1252" s="18"/>
      <c r="AI1252" s="18"/>
      <c r="AJ1252" s="97"/>
      <c r="AK1252" s="18"/>
      <c r="AL1252" s="18"/>
    </row>
    <row r="1253" spans="4:38" x14ac:dyDescent="0.2">
      <c r="D1253" s="19"/>
      <c r="E1253" s="19"/>
      <c r="F1253" s="19"/>
      <c r="G1253" s="18"/>
      <c r="H1253" s="18"/>
      <c r="I1253" s="18"/>
      <c r="J1253" s="18"/>
      <c r="K1253" s="18"/>
      <c r="L1253" s="18"/>
      <c r="M1253" s="18"/>
      <c r="N1253" s="18"/>
      <c r="O1253" s="18"/>
      <c r="P1253" s="18"/>
      <c r="Q1253" s="18"/>
      <c r="R1253" s="18"/>
      <c r="S1253" s="18"/>
      <c r="T1253" s="18"/>
      <c r="U1253" s="18"/>
      <c r="V1253" s="18"/>
      <c r="W1253" s="18"/>
      <c r="X1253" s="18"/>
      <c r="Y1253" s="18"/>
      <c r="Z1253" s="18"/>
      <c r="AA1253" s="18"/>
      <c r="AB1253" s="18"/>
      <c r="AC1253" s="18"/>
      <c r="AD1253" s="19"/>
      <c r="AE1253" s="18"/>
      <c r="AF1253" s="18"/>
      <c r="AG1253" s="18"/>
      <c r="AH1253" s="18"/>
      <c r="AI1253" s="18"/>
      <c r="AJ1253" s="97"/>
      <c r="AK1253" s="18"/>
      <c r="AL1253" s="18"/>
    </row>
    <row r="1254" spans="4:38" x14ac:dyDescent="0.2">
      <c r="D1254" s="19"/>
      <c r="E1254" s="19"/>
      <c r="F1254" s="19"/>
      <c r="G1254" s="18"/>
      <c r="H1254" s="18"/>
      <c r="I1254" s="18"/>
      <c r="J1254" s="18"/>
      <c r="K1254" s="18"/>
      <c r="L1254" s="18"/>
      <c r="M1254" s="18"/>
      <c r="N1254" s="18"/>
      <c r="O1254" s="18"/>
      <c r="P1254" s="18"/>
      <c r="Q1254" s="18"/>
      <c r="R1254" s="18"/>
      <c r="S1254" s="18"/>
      <c r="T1254" s="18"/>
      <c r="U1254" s="18"/>
      <c r="V1254" s="18"/>
      <c r="W1254" s="18"/>
      <c r="X1254" s="18"/>
      <c r="Y1254" s="18"/>
      <c r="Z1254" s="18"/>
      <c r="AA1254" s="18"/>
      <c r="AB1254" s="18"/>
      <c r="AC1254" s="18"/>
      <c r="AD1254" s="19"/>
      <c r="AE1254" s="18"/>
      <c r="AF1254" s="18"/>
      <c r="AG1254" s="18"/>
      <c r="AH1254" s="18"/>
      <c r="AI1254" s="18"/>
      <c r="AJ1254" s="97"/>
      <c r="AK1254" s="18"/>
      <c r="AL1254" s="18"/>
    </row>
    <row r="1255" spans="4:38" x14ac:dyDescent="0.2">
      <c r="D1255" s="19"/>
      <c r="E1255" s="19"/>
      <c r="F1255" s="19"/>
      <c r="G1255" s="18"/>
      <c r="H1255" s="18"/>
      <c r="I1255" s="18"/>
      <c r="J1255" s="18"/>
      <c r="K1255" s="18"/>
      <c r="L1255" s="18"/>
      <c r="M1255" s="18"/>
      <c r="N1255" s="18"/>
      <c r="O1255" s="18"/>
      <c r="P1255" s="18"/>
      <c r="Q1255" s="18"/>
      <c r="R1255" s="18"/>
      <c r="S1255" s="18"/>
      <c r="T1255" s="18"/>
      <c r="U1255" s="18"/>
      <c r="V1255" s="18"/>
      <c r="W1255" s="18"/>
      <c r="X1255" s="18"/>
      <c r="Y1255" s="18"/>
      <c r="Z1255" s="18"/>
      <c r="AA1255" s="18"/>
      <c r="AB1255" s="18"/>
      <c r="AC1255" s="18"/>
      <c r="AD1255" s="19"/>
      <c r="AE1255" s="18"/>
      <c r="AF1255" s="18"/>
      <c r="AG1255" s="18"/>
      <c r="AH1255" s="18"/>
      <c r="AI1255" s="18"/>
      <c r="AJ1255" s="97"/>
      <c r="AK1255" s="18"/>
      <c r="AL1255" s="18"/>
    </row>
    <row r="1256" spans="4:38" x14ac:dyDescent="0.2">
      <c r="D1256" s="19"/>
      <c r="E1256" s="19"/>
      <c r="F1256" s="19"/>
      <c r="G1256" s="18"/>
      <c r="H1256" s="18"/>
      <c r="I1256" s="18"/>
      <c r="J1256" s="18"/>
      <c r="K1256" s="18"/>
      <c r="L1256" s="18"/>
      <c r="M1256" s="18"/>
      <c r="N1256" s="18"/>
      <c r="O1256" s="18"/>
      <c r="P1256" s="18"/>
      <c r="Q1256" s="18"/>
      <c r="R1256" s="18"/>
      <c r="S1256" s="18"/>
      <c r="T1256" s="18"/>
      <c r="U1256" s="18"/>
      <c r="V1256" s="18"/>
      <c r="W1256" s="18"/>
      <c r="X1256" s="18"/>
      <c r="Y1256" s="18"/>
      <c r="Z1256" s="18"/>
      <c r="AA1256" s="18"/>
      <c r="AB1256" s="18"/>
      <c r="AC1256" s="18"/>
      <c r="AD1256" s="19"/>
      <c r="AE1256" s="18"/>
      <c r="AF1256" s="18"/>
      <c r="AG1256" s="18"/>
      <c r="AH1256" s="18"/>
      <c r="AI1256" s="18"/>
      <c r="AJ1256" s="97"/>
      <c r="AK1256" s="18"/>
      <c r="AL1256" s="18"/>
    </row>
    <row r="1257" spans="4:38" x14ac:dyDescent="0.2">
      <c r="D1257" s="19"/>
      <c r="E1257" s="19"/>
      <c r="F1257" s="19"/>
      <c r="G1257" s="18"/>
      <c r="H1257" s="18"/>
      <c r="I1257" s="18"/>
      <c r="J1257" s="18"/>
      <c r="K1257" s="18"/>
      <c r="L1257" s="18"/>
      <c r="M1257" s="18"/>
      <c r="N1257" s="18"/>
      <c r="O1257" s="18"/>
      <c r="P1257" s="18"/>
      <c r="Q1257" s="18"/>
      <c r="R1257" s="18"/>
      <c r="S1257" s="18"/>
      <c r="T1257" s="18"/>
      <c r="U1257" s="18"/>
      <c r="V1257" s="18"/>
      <c r="W1257" s="18"/>
      <c r="X1257" s="18"/>
      <c r="Y1257" s="18"/>
      <c r="Z1257" s="18"/>
      <c r="AA1257" s="18"/>
      <c r="AB1257" s="18"/>
      <c r="AC1257" s="18"/>
      <c r="AD1257" s="19"/>
      <c r="AE1257" s="18"/>
      <c r="AF1257" s="18"/>
      <c r="AG1257" s="18"/>
      <c r="AH1257" s="18"/>
      <c r="AI1257" s="18"/>
      <c r="AJ1257" s="97"/>
      <c r="AK1257" s="18"/>
      <c r="AL1257" s="18"/>
    </row>
    <row r="1258" spans="4:38" x14ac:dyDescent="0.2">
      <c r="D1258" s="19"/>
      <c r="E1258" s="19"/>
      <c r="F1258" s="19"/>
      <c r="G1258" s="18"/>
      <c r="H1258" s="18"/>
      <c r="I1258" s="18"/>
      <c r="J1258" s="18"/>
      <c r="K1258" s="18"/>
      <c r="L1258" s="18"/>
      <c r="M1258" s="18"/>
      <c r="N1258" s="18"/>
      <c r="O1258" s="18"/>
      <c r="P1258" s="18"/>
      <c r="Q1258" s="18"/>
      <c r="R1258" s="18"/>
      <c r="S1258" s="18"/>
      <c r="T1258" s="18"/>
      <c r="U1258" s="18"/>
      <c r="V1258" s="18"/>
      <c r="W1258" s="18"/>
      <c r="X1258" s="18"/>
      <c r="Y1258" s="18"/>
      <c r="Z1258" s="18"/>
      <c r="AA1258" s="18"/>
      <c r="AB1258" s="18"/>
      <c r="AC1258" s="18"/>
      <c r="AD1258" s="19"/>
      <c r="AE1258" s="18"/>
      <c r="AF1258" s="18"/>
      <c r="AG1258" s="18"/>
      <c r="AH1258" s="18"/>
      <c r="AI1258" s="18"/>
      <c r="AJ1258" s="97"/>
      <c r="AK1258" s="18"/>
      <c r="AL1258" s="18"/>
    </row>
    <row r="1259" spans="4:38" x14ac:dyDescent="0.2">
      <c r="D1259" s="19"/>
      <c r="E1259" s="19"/>
      <c r="F1259" s="19"/>
      <c r="G1259" s="18"/>
      <c r="H1259" s="18"/>
      <c r="I1259" s="18"/>
      <c r="J1259" s="18"/>
      <c r="K1259" s="18"/>
      <c r="L1259" s="18"/>
      <c r="M1259" s="18"/>
      <c r="N1259" s="18"/>
      <c r="O1259" s="18"/>
      <c r="P1259" s="18"/>
      <c r="Q1259" s="18"/>
      <c r="R1259" s="18"/>
      <c r="S1259" s="18"/>
      <c r="T1259" s="18"/>
      <c r="U1259" s="18"/>
      <c r="V1259" s="18"/>
      <c r="W1259" s="18"/>
      <c r="X1259" s="18"/>
      <c r="Y1259" s="18"/>
      <c r="Z1259" s="18"/>
      <c r="AA1259" s="18"/>
      <c r="AB1259" s="18"/>
      <c r="AC1259" s="18"/>
      <c r="AD1259" s="19"/>
      <c r="AE1259" s="18"/>
      <c r="AF1259" s="18"/>
      <c r="AG1259" s="18"/>
      <c r="AH1259" s="18"/>
      <c r="AI1259" s="18"/>
      <c r="AJ1259" s="97"/>
      <c r="AK1259" s="18"/>
      <c r="AL1259" s="18"/>
    </row>
    <row r="1260" spans="4:38" x14ac:dyDescent="0.2">
      <c r="D1260" s="19"/>
      <c r="E1260" s="19"/>
      <c r="F1260" s="19"/>
      <c r="G1260" s="18"/>
      <c r="H1260" s="18"/>
      <c r="I1260" s="18"/>
      <c r="J1260" s="18"/>
      <c r="K1260" s="18"/>
      <c r="L1260" s="18"/>
      <c r="M1260" s="18"/>
      <c r="N1260" s="18"/>
      <c r="O1260" s="18"/>
      <c r="P1260" s="18"/>
      <c r="Q1260" s="18"/>
      <c r="R1260" s="18"/>
      <c r="S1260" s="18"/>
      <c r="T1260" s="18"/>
      <c r="U1260" s="18"/>
      <c r="V1260" s="18"/>
      <c r="W1260" s="18"/>
      <c r="X1260" s="18"/>
      <c r="Y1260" s="18"/>
      <c r="Z1260" s="18"/>
      <c r="AA1260" s="18"/>
      <c r="AB1260" s="18"/>
      <c r="AC1260" s="18"/>
      <c r="AD1260" s="19"/>
      <c r="AE1260" s="18"/>
      <c r="AF1260" s="18"/>
      <c r="AG1260" s="18"/>
      <c r="AH1260" s="18"/>
      <c r="AI1260" s="18"/>
      <c r="AJ1260" s="97"/>
      <c r="AK1260" s="18"/>
      <c r="AL1260" s="18"/>
    </row>
    <row r="1261" spans="4:38" x14ac:dyDescent="0.2">
      <c r="D1261" s="19"/>
      <c r="E1261" s="19"/>
      <c r="F1261" s="19"/>
      <c r="G1261" s="18"/>
      <c r="H1261" s="18"/>
      <c r="I1261" s="18"/>
      <c r="J1261" s="18"/>
      <c r="K1261" s="18"/>
      <c r="L1261" s="18"/>
      <c r="M1261" s="18"/>
      <c r="N1261" s="18"/>
      <c r="O1261" s="18"/>
      <c r="P1261" s="18"/>
      <c r="Q1261" s="18"/>
      <c r="R1261" s="18"/>
      <c r="S1261" s="18"/>
      <c r="T1261" s="18"/>
      <c r="U1261" s="18"/>
      <c r="V1261" s="18"/>
      <c r="W1261" s="18"/>
      <c r="X1261" s="18"/>
      <c r="Y1261" s="18"/>
      <c r="Z1261" s="18"/>
      <c r="AA1261" s="18"/>
      <c r="AB1261" s="18"/>
      <c r="AC1261" s="18"/>
      <c r="AD1261" s="19"/>
      <c r="AE1261" s="18"/>
      <c r="AF1261" s="18"/>
      <c r="AG1261" s="18"/>
      <c r="AH1261" s="18"/>
      <c r="AI1261" s="18"/>
      <c r="AJ1261" s="97"/>
      <c r="AK1261" s="18"/>
      <c r="AL1261" s="18"/>
    </row>
    <row r="1262" spans="4:38" x14ac:dyDescent="0.2">
      <c r="D1262" s="19"/>
      <c r="E1262" s="19"/>
      <c r="F1262" s="19"/>
      <c r="G1262" s="18"/>
      <c r="H1262" s="18"/>
      <c r="I1262" s="18"/>
      <c r="J1262" s="18"/>
      <c r="K1262" s="18"/>
      <c r="L1262" s="18"/>
      <c r="M1262" s="18"/>
      <c r="N1262" s="18"/>
      <c r="O1262" s="18"/>
      <c r="P1262" s="18"/>
      <c r="Q1262" s="18"/>
      <c r="R1262" s="18"/>
      <c r="S1262" s="18"/>
      <c r="T1262" s="18"/>
      <c r="U1262" s="18"/>
      <c r="V1262" s="18"/>
      <c r="W1262" s="18"/>
      <c r="X1262" s="18"/>
      <c r="Y1262" s="18"/>
      <c r="Z1262" s="18"/>
      <c r="AA1262" s="18"/>
      <c r="AB1262" s="18"/>
      <c r="AC1262" s="18"/>
      <c r="AD1262" s="19"/>
      <c r="AE1262" s="18"/>
      <c r="AF1262" s="18"/>
      <c r="AG1262" s="18"/>
      <c r="AH1262" s="18"/>
      <c r="AI1262" s="18"/>
      <c r="AJ1262" s="97"/>
      <c r="AK1262" s="18"/>
      <c r="AL1262" s="18"/>
    </row>
    <row r="1263" spans="4:38" x14ac:dyDescent="0.2">
      <c r="D1263" s="19"/>
      <c r="E1263" s="19"/>
      <c r="F1263" s="19"/>
      <c r="G1263" s="18"/>
      <c r="H1263" s="18"/>
      <c r="I1263" s="18"/>
      <c r="J1263" s="18"/>
      <c r="K1263" s="18"/>
      <c r="L1263" s="18"/>
      <c r="M1263" s="18"/>
      <c r="N1263" s="18"/>
      <c r="O1263" s="18"/>
      <c r="P1263" s="18"/>
      <c r="Q1263" s="18"/>
      <c r="R1263" s="18"/>
      <c r="S1263" s="18"/>
      <c r="T1263" s="18"/>
      <c r="U1263" s="18"/>
      <c r="V1263" s="18"/>
      <c r="W1263" s="18"/>
      <c r="X1263" s="18"/>
      <c r="Y1263" s="18"/>
      <c r="Z1263" s="18"/>
      <c r="AA1263" s="18"/>
      <c r="AB1263" s="18"/>
      <c r="AC1263" s="18"/>
      <c r="AD1263" s="19"/>
      <c r="AE1263" s="18"/>
      <c r="AF1263" s="18"/>
      <c r="AG1263" s="18"/>
      <c r="AH1263" s="18"/>
      <c r="AI1263" s="18"/>
      <c r="AJ1263" s="97"/>
      <c r="AK1263" s="18"/>
      <c r="AL1263" s="18"/>
    </row>
    <row r="1264" spans="4:38" x14ac:dyDescent="0.2">
      <c r="D1264" s="19"/>
      <c r="E1264" s="19"/>
      <c r="F1264" s="19"/>
      <c r="G1264" s="18"/>
      <c r="H1264" s="18"/>
      <c r="I1264" s="18"/>
      <c r="J1264" s="18"/>
      <c r="K1264" s="18"/>
      <c r="L1264" s="18"/>
      <c r="M1264" s="18"/>
      <c r="N1264" s="18"/>
      <c r="O1264" s="18"/>
      <c r="P1264" s="18"/>
      <c r="Q1264" s="18"/>
      <c r="R1264" s="18"/>
      <c r="S1264" s="18"/>
      <c r="T1264" s="18"/>
      <c r="U1264" s="18"/>
      <c r="V1264" s="18"/>
      <c r="W1264" s="18"/>
      <c r="X1264" s="18"/>
      <c r="Y1264" s="18"/>
      <c r="Z1264" s="18"/>
      <c r="AA1264" s="18"/>
      <c r="AB1264" s="18"/>
      <c r="AC1264" s="18"/>
      <c r="AD1264" s="19"/>
      <c r="AE1264" s="18"/>
      <c r="AF1264" s="18"/>
      <c r="AG1264" s="18"/>
      <c r="AH1264" s="18"/>
      <c r="AI1264" s="18"/>
      <c r="AJ1264" s="97"/>
      <c r="AK1264" s="18"/>
      <c r="AL1264" s="18"/>
    </row>
    <row r="1265" spans="4:38" x14ac:dyDescent="0.2">
      <c r="D1265" s="19"/>
      <c r="E1265" s="19"/>
      <c r="F1265" s="19"/>
      <c r="G1265" s="18"/>
      <c r="H1265" s="18"/>
      <c r="I1265" s="18"/>
      <c r="J1265" s="18"/>
      <c r="K1265" s="18"/>
      <c r="L1265" s="18"/>
      <c r="M1265" s="18"/>
      <c r="N1265" s="18"/>
      <c r="O1265" s="18"/>
      <c r="P1265" s="18"/>
      <c r="Q1265" s="18"/>
      <c r="R1265" s="18"/>
      <c r="S1265" s="18"/>
      <c r="T1265" s="18"/>
      <c r="U1265" s="18"/>
      <c r="V1265" s="18"/>
      <c r="W1265" s="18"/>
      <c r="X1265" s="18"/>
      <c r="Y1265" s="18"/>
      <c r="Z1265" s="18"/>
      <c r="AA1265" s="18"/>
      <c r="AB1265" s="18"/>
      <c r="AC1265" s="18"/>
      <c r="AD1265" s="19"/>
      <c r="AE1265" s="18"/>
      <c r="AF1265" s="18"/>
      <c r="AG1265" s="18"/>
      <c r="AH1265" s="18"/>
      <c r="AI1265" s="18"/>
      <c r="AJ1265" s="97"/>
      <c r="AK1265" s="18"/>
      <c r="AL1265" s="18"/>
    </row>
    <row r="1266" spans="4:38" x14ac:dyDescent="0.2">
      <c r="D1266" s="19"/>
      <c r="E1266" s="19"/>
      <c r="F1266" s="19"/>
      <c r="G1266" s="18"/>
      <c r="H1266" s="18"/>
      <c r="I1266" s="18"/>
      <c r="J1266" s="18"/>
      <c r="K1266" s="18"/>
      <c r="L1266" s="18"/>
      <c r="M1266" s="18"/>
      <c r="N1266" s="18"/>
      <c r="O1266" s="18"/>
      <c r="P1266" s="18"/>
      <c r="Q1266" s="18"/>
      <c r="R1266" s="18"/>
      <c r="S1266" s="18"/>
      <c r="T1266" s="18"/>
      <c r="U1266" s="18"/>
      <c r="V1266" s="18"/>
      <c r="W1266" s="18"/>
      <c r="X1266" s="18"/>
      <c r="Y1266" s="18"/>
      <c r="Z1266" s="18"/>
      <c r="AA1266" s="18"/>
      <c r="AB1266" s="18"/>
      <c r="AC1266" s="18"/>
      <c r="AD1266" s="19"/>
      <c r="AE1266" s="18"/>
      <c r="AF1266" s="18"/>
      <c r="AG1266" s="18"/>
      <c r="AH1266" s="18"/>
      <c r="AI1266" s="18"/>
      <c r="AJ1266" s="97"/>
      <c r="AK1266" s="18"/>
      <c r="AL1266" s="18"/>
    </row>
    <row r="1267" spans="4:38" x14ac:dyDescent="0.2">
      <c r="D1267" s="19"/>
      <c r="E1267" s="19"/>
      <c r="F1267" s="19"/>
      <c r="G1267" s="18"/>
      <c r="H1267" s="18"/>
      <c r="I1267" s="18"/>
      <c r="J1267" s="18"/>
      <c r="K1267" s="18"/>
      <c r="L1267" s="18"/>
      <c r="M1267" s="18"/>
      <c r="N1267" s="18"/>
      <c r="O1267" s="18"/>
      <c r="P1267" s="18"/>
      <c r="Q1267" s="18"/>
      <c r="R1267" s="18"/>
      <c r="S1267" s="18"/>
      <c r="T1267" s="18"/>
      <c r="U1267" s="18"/>
      <c r="V1267" s="18"/>
      <c r="W1267" s="18"/>
      <c r="X1267" s="18"/>
      <c r="Y1267" s="18"/>
      <c r="Z1267" s="18"/>
      <c r="AA1267" s="18"/>
      <c r="AB1267" s="18"/>
      <c r="AC1267" s="18"/>
      <c r="AD1267" s="19"/>
      <c r="AE1267" s="18"/>
      <c r="AF1267" s="18"/>
      <c r="AG1267" s="18"/>
      <c r="AH1267" s="18"/>
      <c r="AI1267" s="18"/>
      <c r="AJ1267" s="97"/>
      <c r="AK1267" s="18"/>
      <c r="AL1267" s="18"/>
    </row>
    <row r="1268" spans="4:38" x14ac:dyDescent="0.2">
      <c r="D1268" s="19"/>
      <c r="E1268" s="19"/>
      <c r="F1268" s="19"/>
      <c r="G1268" s="18"/>
      <c r="H1268" s="18"/>
      <c r="I1268" s="18"/>
      <c r="J1268" s="18"/>
      <c r="K1268" s="18"/>
      <c r="L1268" s="18"/>
      <c r="M1268" s="18"/>
      <c r="N1268" s="18"/>
      <c r="O1268" s="18"/>
      <c r="P1268" s="18"/>
      <c r="Q1268" s="18"/>
      <c r="R1268" s="18"/>
      <c r="S1268" s="18"/>
      <c r="T1268" s="18"/>
      <c r="U1268" s="18"/>
      <c r="V1268" s="18"/>
      <c r="W1268" s="18"/>
      <c r="X1268" s="18"/>
      <c r="Y1268" s="18"/>
      <c r="Z1268" s="18"/>
      <c r="AA1268" s="18"/>
      <c r="AB1268" s="18"/>
      <c r="AC1268" s="18"/>
      <c r="AD1268" s="19"/>
      <c r="AE1268" s="18"/>
      <c r="AF1268" s="18"/>
      <c r="AG1268" s="18"/>
      <c r="AH1268" s="18"/>
      <c r="AI1268" s="18"/>
      <c r="AJ1268" s="97"/>
      <c r="AK1268" s="18"/>
      <c r="AL1268" s="18"/>
    </row>
    <row r="1269" spans="4:38" x14ac:dyDescent="0.2">
      <c r="D1269" s="19"/>
      <c r="E1269" s="19"/>
      <c r="F1269" s="19"/>
      <c r="G1269" s="18"/>
      <c r="H1269" s="18"/>
      <c r="I1269" s="18"/>
      <c r="J1269" s="18"/>
      <c r="K1269" s="18"/>
      <c r="L1269" s="18"/>
      <c r="M1269" s="18"/>
      <c r="N1269" s="18"/>
      <c r="O1269" s="18"/>
      <c r="P1269" s="18"/>
      <c r="Q1269" s="18"/>
      <c r="R1269" s="18"/>
      <c r="S1269" s="18"/>
      <c r="T1269" s="18"/>
      <c r="U1269" s="18"/>
      <c r="V1269" s="18"/>
      <c r="W1269" s="18"/>
      <c r="X1269" s="18"/>
      <c r="Y1269" s="18"/>
      <c r="Z1269" s="18"/>
      <c r="AA1269" s="18"/>
      <c r="AB1269" s="18"/>
      <c r="AC1269" s="18"/>
      <c r="AD1269" s="19"/>
      <c r="AE1269" s="18"/>
      <c r="AF1269" s="18"/>
      <c r="AG1269" s="18"/>
      <c r="AH1269" s="18"/>
      <c r="AI1269" s="18"/>
      <c r="AJ1269" s="97"/>
      <c r="AK1269" s="18"/>
      <c r="AL1269" s="18"/>
    </row>
    <row r="1270" spans="4:38" x14ac:dyDescent="0.2">
      <c r="D1270" s="19"/>
      <c r="E1270" s="19"/>
      <c r="F1270" s="19"/>
      <c r="G1270" s="18"/>
      <c r="H1270" s="18"/>
      <c r="I1270" s="18"/>
      <c r="J1270" s="18"/>
      <c r="K1270" s="18"/>
      <c r="L1270" s="18"/>
      <c r="M1270" s="18"/>
      <c r="N1270" s="18"/>
      <c r="O1270" s="18"/>
      <c r="P1270" s="18"/>
      <c r="Q1270" s="18"/>
      <c r="R1270" s="18"/>
      <c r="S1270" s="18"/>
      <c r="T1270" s="18"/>
      <c r="U1270" s="18"/>
      <c r="V1270" s="18"/>
      <c r="W1270" s="18"/>
      <c r="X1270" s="18"/>
      <c r="Y1270" s="18"/>
      <c r="Z1270" s="18"/>
      <c r="AA1270" s="18"/>
      <c r="AB1270" s="18"/>
      <c r="AC1270" s="18"/>
      <c r="AD1270" s="19"/>
      <c r="AE1270" s="18"/>
      <c r="AF1270" s="18"/>
      <c r="AG1270" s="18"/>
      <c r="AH1270" s="18"/>
      <c r="AI1270" s="18"/>
      <c r="AJ1270" s="97"/>
      <c r="AK1270" s="18"/>
      <c r="AL1270" s="18"/>
    </row>
    <row r="1271" spans="4:38" x14ac:dyDescent="0.2">
      <c r="D1271" s="19"/>
      <c r="E1271" s="19"/>
      <c r="F1271" s="19"/>
      <c r="G1271" s="18"/>
      <c r="H1271" s="18"/>
      <c r="I1271" s="18"/>
      <c r="J1271" s="18"/>
      <c r="K1271" s="18"/>
      <c r="L1271" s="18"/>
      <c r="M1271" s="18"/>
      <c r="N1271" s="18"/>
      <c r="O1271" s="18"/>
      <c r="P1271" s="18"/>
      <c r="Q1271" s="18"/>
      <c r="R1271" s="18"/>
      <c r="S1271" s="18"/>
      <c r="T1271" s="18"/>
      <c r="U1271" s="18"/>
      <c r="V1271" s="18"/>
      <c r="W1271" s="18"/>
      <c r="X1271" s="18"/>
      <c r="Y1271" s="18"/>
      <c r="Z1271" s="18"/>
      <c r="AA1271" s="18"/>
      <c r="AB1271" s="18"/>
      <c r="AC1271" s="18"/>
      <c r="AD1271" s="19"/>
      <c r="AE1271" s="18"/>
      <c r="AF1271" s="18"/>
      <c r="AG1271" s="18"/>
      <c r="AH1271" s="18"/>
      <c r="AI1271" s="18"/>
      <c r="AJ1271" s="97"/>
      <c r="AK1271" s="18"/>
      <c r="AL1271" s="18"/>
    </row>
    <row r="1272" spans="4:38" x14ac:dyDescent="0.2">
      <c r="D1272" s="19"/>
      <c r="E1272" s="19"/>
      <c r="F1272" s="19"/>
      <c r="G1272" s="18"/>
      <c r="H1272" s="18"/>
      <c r="I1272" s="18"/>
      <c r="J1272" s="18"/>
      <c r="K1272" s="18"/>
      <c r="L1272" s="18"/>
      <c r="M1272" s="18"/>
      <c r="N1272" s="18"/>
      <c r="O1272" s="18"/>
      <c r="P1272" s="18"/>
      <c r="Q1272" s="18"/>
      <c r="R1272" s="18"/>
      <c r="S1272" s="18"/>
      <c r="T1272" s="18"/>
      <c r="U1272" s="18"/>
      <c r="V1272" s="18"/>
      <c r="W1272" s="18"/>
      <c r="X1272" s="18"/>
      <c r="Y1272" s="18"/>
      <c r="Z1272" s="18"/>
      <c r="AA1272" s="18"/>
      <c r="AB1272" s="18"/>
      <c r="AC1272" s="18"/>
      <c r="AD1272" s="19"/>
      <c r="AE1272" s="18"/>
      <c r="AF1272" s="18"/>
      <c r="AG1272" s="18"/>
      <c r="AH1272" s="18"/>
      <c r="AI1272" s="18"/>
      <c r="AJ1272" s="97"/>
      <c r="AK1272" s="18"/>
      <c r="AL1272" s="18"/>
    </row>
    <row r="1273" spans="4:38" x14ac:dyDescent="0.2">
      <c r="D1273" s="19"/>
      <c r="E1273" s="19"/>
      <c r="F1273" s="19"/>
      <c r="G1273" s="18"/>
      <c r="H1273" s="18"/>
      <c r="I1273" s="18"/>
      <c r="J1273" s="18"/>
      <c r="K1273" s="18"/>
      <c r="L1273" s="18"/>
      <c r="M1273" s="18"/>
      <c r="N1273" s="18"/>
      <c r="O1273" s="18"/>
      <c r="P1273" s="18"/>
      <c r="Q1273" s="18"/>
      <c r="R1273" s="18"/>
      <c r="S1273" s="18"/>
      <c r="T1273" s="18"/>
      <c r="U1273" s="18"/>
      <c r="V1273" s="18"/>
      <c r="W1273" s="18"/>
      <c r="X1273" s="18"/>
      <c r="Y1273" s="18"/>
      <c r="Z1273" s="18"/>
      <c r="AA1273" s="18"/>
      <c r="AB1273" s="18"/>
      <c r="AC1273" s="18"/>
      <c r="AD1273" s="19"/>
      <c r="AE1273" s="18"/>
      <c r="AF1273" s="18"/>
      <c r="AG1273" s="18"/>
      <c r="AH1273" s="18"/>
      <c r="AI1273" s="18"/>
      <c r="AJ1273" s="97"/>
      <c r="AK1273" s="18"/>
      <c r="AL1273" s="18"/>
    </row>
    <row r="1274" spans="4:38" x14ac:dyDescent="0.2">
      <c r="D1274" s="19"/>
      <c r="E1274" s="19"/>
      <c r="F1274" s="19"/>
      <c r="G1274" s="18"/>
      <c r="H1274" s="18"/>
      <c r="I1274" s="18"/>
      <c r="J1274" s="18"/>
      <c r="K1274" s="18"/>
      <c r="L1274" s="18"/>
      <c r="M1274" s="18"/>
      <c r="N1274" s="18"/>
      <c r="O1274" s="18"/>
      <c r="P1274" s="18"/>
      <c r="Q1274" s="18"/>
      <c r="R1274" s="18"/>
      <c r="S1274" s="18"/>
      <c r="T1274" s="18"/>
      <c r="U1274" s="18"/>
      <c r="V1274" s="18"/>
      <c r="W1274" s="18"/>
      <c r="X1274" s="18"/>
      <c r="Y1274" s="18"/>
      <c r="Z1274" s="18"/>
      <c r="AA1274" s="18"/>
      <c r="AB1274" s="18"/>
      <c r="AC1274" s="18"/>
      <c r="AD1274" s="19"/>
      <c r="AE1274" s="18"/>
      <c r="AF1274" s="18"/>
      <c r="AG1274" s="18"/>
      <c r="AH1274" s="18"/>
      <c r="AI1274" s="18"/>
      <c r="AJ1274" s="97"/>
      <c r="AK1274" s="18"/>
      <c r="AL1274" s="18"/>
    </row>
    <row r="1275" spans="4:38" x14ac:dyDescent="0.2">
      <c r="D1275" s="19"/>
      <c r="E1275" s="19"/>
      <c r="F1275" s="19"/>
      <c r="G1275" s="18"/>
      <c r="H1275" s="18"/>
      <c r="I1275" s="18"/>
      <c r="J1275" s="18"/>
      <c r="K1275" s="18"/>
      <c r="L1275" s="18"/>
      <c r="M1275" s="18"/>
      <c r="N1275" s="18"/>
      <c r="O1275" s="18"/>
      <c r="P1275" s="18"/>
      <c r="Q1275" s="18"/>
      <c r="R1275" s="18"/>
      <c r="S1275" s="18"/>
      <c r="T1275" s="18"/>
      <c r="U1275" s="18"/>
      <c r="V1275" s="18"/>
      <c r="W1275" s="18"/>
      <c r="X1275" s="18"/>
      <c r="Y1275" s="18"/>
      <c r="Z1275" s="18"/>
      <c r="AA1275" s="18"/>
      <c r="AB1275" s="18"/>
      <c r="AC1275" s="18"/>
      <c r="AD1275" s="19"/>
      <c r="AE1275" s="18"/>
      <c r="AF1275" s="18"/>
      <c r="AG1275" s="18"/>
      <c r="AH1275" s="18"/>
      <c r="AI1275" s="18"/>
      <c r="AJ1275" s="97"/>
      <c r="AK1275" s="18"/>
      <c r="AL1275" s="18"/>
    </row>
    <row r="1276" spans="4:38" x14ac:dyDescent="0.2">
      <c r="D1276" s="19"/>
      <c r="E1276" s="19"/>
      <c r="F1276" s="19"/>
      <c r="G1276" s="18"/>
      <c r="H1276" s="18"/>
      <c r="I1276" s="18"/>
      <c r="J1276" s="18"/>
      <c r="K1276" s="18"/>
      <c r="L1276" s="18"/>
      <c r="M1276" s="18"/>
      <c r="N1276" s="18"/>
      <c r="O1276" s="18"/>
      <c r="P1276" s="18"/>
      <c r="Q1276" s="18"/>
      <c r="R1276" s="18"/>
      <c r="S1276" s="18"/>
      <c r="T1276" s="18"/>
      <c r="U1276" s="18"/>
      <c r="V1276" s="18"/>
      <c r="W1276" s="18"/>
      <c r="X1276" s="18"/>
      <c r="Y1276" s="18"/>
      <c r="Z1276" s="18"/>
      <c r="AA1276" s="18"/>
      <c r="AB1276" s="18"/>
      <c r="AC1276" s="18"/>
      <c r="AD1276" s="19"/>
      <c r="AE1276" s="18"/>
      <c r="AF1276" s="18"/>
      <c r="AG1276" s="18"/>
      <c r="AH1276" s="18"/>
      <c r="AI1276" s="18"/>
      <c r="AJ1276" s="97"/>
      <c r="AK1276" s="18"/>
      <c r="AL1276" s="18"/>
    </row>
    <row r="1277" spans="4:38" x14ac:dyDescent="0.2">
      <c r="D1277" s="19"/>
      <c r="E1277" s="19"/>
      <c r="F1277" s="19"/>
      <c r="G1277" s="18"/>
      <c r="H1277" s="18"/>
      <c r="I1277" s="18"/>
      <c r="J1277" s="18"/>
      <c r="K1277" s="18"/>
      <c r="L1277" s="18"/>
      <c r="M1277" s="18"/>
      <c r="N1277" s="18"/>
      <c r="O1277" s="18"/>
      <c r="P1277" s="18"/>
      <c r="Q1277" s="18"/>
      <c r="R1277" s="18"/>
      <c r="S1277" s="18"/>
      <c r="T1277" s="18"/>
      <c r="U1277" s="18"/>
      <c r="V1277" s="18"/>
      <c r="W1277" s="18"/>
      <c r="X1277" s="18"/>
      <c r="Y1277" s="18"/>
      <c r="Z1277" s="18"/>
      <c r="AA1277" s="18"/>
      <c r="AB1277" s="18"/>
      <c r="AC1277" s="18"/>
      <c r="AD1277" s="19"/>
      <c r="AE1277" s="18"/>
      <c r="AF1277" s="18"/>
      <c r="AG1277" s="18"/>
      <c r="AH1277" s="18"/>
      <c r="AI1277" s="18"/>
      <c r="AJ1277" s="97"/>
      <c r="AK1277" s="18"/>
      <c r="AL1277" s="18"/>
    </row>
    <row r="1278" spans="4:38" x14ac:dyDescent="0.2">
      <c r="D1278" s="19"/>
      <c r="E1278" s="19"/>
      <c r="F1278" s="19"/>
      <c r="G1278" s="18"/>
      <c r="H1278" s="18"/>
      <c r="I1278" s="18"/>
      <c r="J1278" s="18"/>
      <c r="K1278" s="18"/>
      <c r="L1278" s="18"/>
      <c r="M1278" s="18"/>
      <c r="N1278" s="18"/>
      <c r="O1278" s="18"/>
      <c r="P1278" s="18"/>
      <c r="Q1278" s="18"/>
      <c r="R1278" s="18"/>
      <c r="S1278" s="18"/>
      <c r="T1278" s="18"/>
      <c r="U1278" s="18"/>
      <c r="V1278" s="18"/>
      <c r="W1278" s="18"/>
      <c r="X1278" s="18"/>
      <c r="Y1278" s="18"/>
      <c r="Z1278" s="18"/>
      <c r="AA1278" s="18"/>
      <c r="AB1278" s="18"/>
      <c r="AC1278" s="18"/>
      <c r="AD1278" s="19"/>
      <c r="AE1278" s="18"/>
      <c r="AF1278" s="18"/>
      <c r="AG1278" s="18"/>
      <c r="AH1278" s="18"/>
      <c r="AI1278" s="18"/>
      <c r="AJ1278" s="97"/>
      <c r="AK1278" s="18"/>
      <c r="AL1278" s="18"/>
    </row>
    <row r="1279" spans="4:38" x14ac:dyDescent="0.2">
      <c r="D1279" s="19"/>
      <c r="E1279" s="19"/>
      <c r="F1279" s="19"/>
      <c r="G1279" s="18"/>
      <c r="H1279" s="18"/>
      <c r="I1279" s="18"/>
      <c r="J1279" s="18"/>
      <c r="K1279" s="18"/>
      <c r="L1279" s="18"/>
      <c r="M1279" s="18"/>
      <c r="N1279" s="18"/>
      <c r="O1279" s="18"/>
      <c r="P1279" s="18"/>
      <c r="Q1279" s="18"/>
      <c r="R1279" s="18"/>
      <c r="S1279" s="18"/>
      <c r="T1279" s="18"/>
      <c r="U1279" s="18"/>
      <c r="V1279" s="18"/>
      <c r="W1279" s="18"/>
      <c r="X1279" s="18"/>
      <c r="Y1279" s="18"/>
      <c r="Z1279" s="18"/>
      <c r="AA1279" s="18"/>
      <c r="AB1279" s="18"/>
      <c r="AC1279" s="18"/>
      <c r="AD1279" s="19"/>
      <c r="AE1279" s="18"/>
      <c r="AF1279" s="18"/>
      <c r="AG1279" s="18"/>
      <c r="AH1279" s="18"/>
      <c r="AI1279" s="18"/>
      <c r="AJ1279" s="97"/>
      <c r="AK1279" s="18"/>
      <c r="AL1279" s="18"/>
    </row>
    <row r="1280" spans="4:38" x14ac:dyDescent="0.2">
      <c r="D1280" s="19"/>
      <c r="E1280" s="19"/>
      <c r="F1280" s="19"/>
      <c r="G1280" s="18"/>
      <c r="H1280" s="18"/>
      <c r="I1280" s="18"/>
      <c r="J1280" s="18"/>
      <c r="K1280" s="18"/>
      <c r="L1280" s="18"/>
      <c r="M1280" s="18"/>
      <c r="N1280" s="18"/>
      <c r="O1280" s="18"/>
      <c r="P1280" s="18"/>
      <c r="Q1280" s="18"/>
      <c r="R1280" s="18"/>
      <c r="S1280" s="18"/>
      <c r="T1280" s="18"/>
      <c r="U1280" s="18"/>
      <c r="V1280" s="18"/>
      <c r="W1280" s="18"/>
      <c r="X1280" s="18"/>
      <c r="Y1280" s="18"/>
      <c r="Z1280" s="18"/>
      <c r="AA1280" s="18"/>
      <c r="AB1280" s="18"/>
      <c r="AC1280" s="18"/>
      <c r="AD1280" s="19"/>
      <c r="AE1280" s="18"/>
      <c r="AF1280" s="18"/>
      <c r="AG1280" s="18"/>
      <c r="AH1280" s="18"/>
      <c r="AI1280" s="18"/>
      <c r="AJ1280" s="97"/>
      <c r="AK1280" s="18"/>
      <c r="AL1280" s="18"/>
    </row>
    <row r="1281" spans="4:38" x14ac:dyDescent="0.2">
      <c r="D1281" s="19"/>
      <c r="E1281" s="19"/>
      <c r="F1281" s="19"/>
      <c r="G1281" s="18"/>
      <c r="H1281" s="18"/>
      <c r="I1281" s="18"/>
      <c r="J1281" s="18"/>
      <c r="K1281" s="18"/>
      <c r="L1281" s="18"/>
      <c r="M1281" s="18"/>
      <c r="N1281" s="18"/>
      <c r="O1281" s="18"/>
      <c r="P1281" s="18"/>
      <c r="Q1281" s="18"/>
      <c r="R1281" s="18"/>
      <c r="S1281" s="18"/>
      <c r="T1281" s="18"/>
      <c r="U1281" s="18"/>
      <c r="V1281" s="18"/>
      <c r="W1281" s="18"/>
      <c r="X1281" s="18"/>
      <c r="Y1281" s="18"/>
      <c r="Z1281" s="18"/>
      <c r="AA1281" s="18"/>
      <c r="AB1281" s="18"/>
      <c r="AC1281" s="18"/>
      <c r="AD1281" s="19"/>
      <c r="AE1281" s="18"/>
      <c r="AF1281" s="18"/>
      <c r="AG1281" s="18"/>
      <c r="AH1281" s="18"/>
      <c r="AI1281" s="18"/>
      <c r="AJ1281" s="97"/>
      <c r="AK1281" s="18"/>
      <c r="AL1281" s="18"/>
    </row>
    <row r="1282" spans="4:38" x14ac:dyDescent="0.2">
      <c r="D1282" s="19"/>
      <c r="E1282" s="19"/>
      <c r="F1282" s="19"/>
      <c r="G1282" s="18"/>
      <c r="H1282" s="18"/>
      <c r="I1282" s="18"/>
      <c r="J1282" s="18"/>
      <c r="K1282" s="18"/>
      <c r="L1282" s="18"/>
      <c r="M1282" s="18"/>
      <c r="N1282" s="18"/>
      <c r="O1282" s="18"/>
      <c r="P1282" s="18"/>
      <c r="Q1282" s="18"/>
      <c r="R1282" s="18"/>
      <c r="S1282" s="18"/>
      <c r="T1282" s="18"/>
      <c r="U1282" s="18"/>
      <c r="V1282" s="18"/>
      <c r="W1282" s="18"/>
      <c r="X1282" s="18"/>
      <c r="Y1282" s="18"/>
      <c r="Z1282" s="18"/>
      <c r="AA1282" s="18"/>
      <c r="AB1282" s="18"/>
      <c r="AC1282" s="18"/>
      <c r="AD1282" s="19"/>
      <c r="AE1282" s="18"/>
      <c r="AF1282" s="18"/>
      <c r="AG1282" s="18"/>
      <c r="AH1282" s="18"/>
      <c r="AI1282" s="18"/>
      <c r="AJ1282" s="97"/>
      <c r="AK1282" s="18"/>
      <c r="AL1282" s="18"/>
    </row>
    <row r="1283" spans="4:38" x14ac:dyDescent="0.2">
      <c r="D1283" s="19"/>
      <c r="E1283" s="19"/>
      <c r="F1283" s="19"/>
      <c r="G1283" s="18"/>
      <c r="H1283" s="18"/>
      <c r="I1283" s="18"/>
      <c r="J1283" s="18"/>
      <c r="K1283" s="18"/>
      <c r="L1283" s="18"/>
      <c r="M1283" s="18"/>
      <c r="N1283" s="18"/>
      <c r="O1283" s="18"/>
      <c r="P1283" s="18"/>
      <c r="Q1283" s="18"/>
      <c r="R1283" s="18"/>
      <c r="S1283" s="18"/>
      <c r="T1283" s="18"/>
      <c r="U1283" s="18"/>
      <c r="V1283" s="18"/>
      <c r="W1283" s="18"/>
      <c r="X1283" s="18"/>
      <c r="Y1283" s="18"/>
      <c r="Z1283" s="18"/>
      <c r="AA1283" s="18"/>
      <c r="AB1283" s="18"/>
      <c r="AC1283" s="18"/>
      <c r="AD1283" s="19"/>
      <c r="AE1283" s="18"/>
      <c r="AF1283" s="18"/>
      <c r="AG1283" s="18"/>
      <c r="AH1283" s="18"/>
      <c r="AI1283" s="18"/>
      <c r="AJ1283" s="97"/>
      <c r="AK1283" s="18"/>
      <c r="AL1283" s="18"/>
    </row>
    <row r="1284" spans="4:38" x14ac:dyDescent="0.2">
      <c r="D1284" s="19"/>
      <c r="E1284" s="19"/>
      <c r="F1284" s="19"/>
      <c r="G1284" s="18"/>
      <c r="H1284" s="18"/>
      <c r="I1284" s="18"/>
      <c r="J1284" s="18"/>
      <c r="K1284" s="18"/>
      <c r="L1284" s="18"/>
      <c r="M1284" s="18"/>
      <c r="N1284" s="18"/>
      <c r="O1284" s="18"/>
      <c r="P1284" s="18"/>
      <c r="Q1284" s="18"/>
      <c r="R1284" s="18"/>
      <c r="S1284" s="18"/>
      <c r="T1284" s="18"/>
      <c r="U1284" s="18"/>
      <c r="V1284" s="18"/>
      <c r="W1284" s="18"/>
      <c r="X1284" s="18"/>
      <c r="Y1284" s="18"/>
      <c r="Z1284" s="18"/>
      <c r="AA1284" s="18"/>
      <c r="AB1284" s="18"/>
      <c r="AC1284" s="18"/>
      <c r="AD1284" s="19"/>
      <c r="AE1284" s="18"/>
      <c r="AF1284" s="18"/>
      <c r="AG1284" s="18"/>
      <c r="AH1284" s="18"/>
      <c r="AI1284" s="18"/>
      <c r="AJ1284" s="97"/>
      <c r="AK1284" s="18"/>
      <c r="AL1284" s="18"/>
    </row>
    <row r="1285" spans="4:38" x14ac:dyDescent="0.2">
      <c r="D1285" s="19"/>
      <c r="E1285" s="19"/>
      <c r="F1285" s="19"/>
      <c r="G1285" s="18"/>
      <c r="H1285" s="18"/>
      <c r="I1285" s="18"/>
      <c r="J1285" s="18"/>
      <c r="K1285" s="18"/>
      <c r="L1285" s="18"/>
      <c r="M1285" s="18"/>
      <c r="N1285" s="18"/>
      <c r="O1285" s="18"/>
      <c r="P1285" s="18"/>
      <c r="Q1285" s="18"/>
      <c r="R1285" s="18"/>
      <c r="S1285" s="18"/>
      <c r="T1285" s="18"/>
      <c r="U1285" s="18"/>
      <c r="V1285" s="18"/>
      <c r="W1285" s="18"/>
      <c r="X1285" s="18"/>
      <c r="Y1285" s="18"/>
      <c r="Z1285" s="18"/>
      <c r="AA1285" s="18"/>
      <c r="AB1285" s="18"/>
      <c r="AC1285" s="18"/>
      <c r="AD1285" s="19"/>
      <c r="AE1285" s="18"/>
      <c r="AF1285" s="18"/>
      <c r="AG1285" s="18"/>
      <c r="AH1285" s="18"/>
      <c r="AI1285" s="18"/>
      <c r="AJ1285" s="97"/>
      <c r="AK1285" s="18"/>
      <c r="AL1285" s="18"/>
    </row>
    <row r="1286" spans="4:38" x14ac:dyDescent="0.2">
      <c r="D1286" s="19"/>
      <c r="E1286" s="19"/>
      <c r="F1286" s="19"/>
      <c r="G1286" s="18"/>
      <c r="H1286" s="18"/>
      <c r="I1286" s="18"/>
      <c r="J1286" s="18"/>
      <c r="K1286" s="18"/>
      <c r="L1286" s="18"/>
      <c r="M1286" s="18"/>
      <c r="N1286" s="18"/>
      <c r="O1286" s="18"/>
      <c r="P1286" s="18"/>
      <c r="Q1286" s="18"/>
      <c r="R1286" s="18"/>
      <c r="S1286" s="18"/>
      <c r="T1286" s="18"/>
      <c r="U1286" s="18"/>
      <c r="V1286" s="18"/>
      <c r="W1286" s="18"/>
      <c r="X1286" s="18"/>
      <c r="Y1286" s="18"/>
      <c r="Z1286" s="18"/>
      <c r="AA1286" s="18"/>
      <c r="AB1286" s="18"/>
      <c r="AC1286" s="18"/>
      <c r="AD1286" s="19"/>
      <c r="AE1286" s="18"/>
      <c r="AF1286" s="18"/>
      <c r="AG1286" s="18"/>
      <c r="AH1286" s="18"/>
      <c r="AI1286" s="18"/>
      <c r="AJ1286" s="97"/>
      <c r="AK1286" s="18"/>
      <c r="AL1286" s="18"/>
    </row>
    <row r="1287" spans="4:38" x14ac:dyDescent="0.2">
      <c r="D1287" s="19"/>
      <c r="E1287" s="19"/>
      <c r="F1287" s="19"/>
      <c r="G1287" s="18"/>
      <c r="H1287" s="18"/>
      <c r="I1287" s="18"/>
      <c r="J1287" s="18"/>
      <c r="K1287" s="18"/>
      <c r="L1287" s="18"/>
      <c r="M1287" s="18"/>
      <c r="N1287" s="18"/>
      <c r="O1287" s="18"/>
      <c r="P1287" s="18"/>
      <c r="Q1287" s="18"/>
      <c r="R1287" s="18"/>
      <c r="S1287" s="18"/>
      <c r="T1287" s="18"/>
      <c r="U1287" s="18"/>
      <c r="V1287" s="18"/>
      <c r="W1287" s="18"/>
      <c r="X1287" s="18"/>
      <c r="Y1287" s="18"/>
      <c r="Z1287" s="18"/>
      <c r="AA1287" s="18"/>
      <c r="AB1287" s="18"/>
      <c r="AC1287" s="18"/>
      <c r="AD1287" s="19"/>
      <c r="AE1287" s="18"/>
      <c r="AF1287" s="18"/>
      <c r="AG1287" s="18"/>
      <c r="AH1287" s="18"/>
      <c r="AI1287" s="18"/>
      <c r="AJ1287" s="97"/>
      <c r="AK1287" s="18"/>
      <c r="AL1287" s="18"/>
    </row>
    <row r="1288" spans="4:38" x14ac:dyDescent="0.2">
      <c r="D1288" s="19"/>
      <c r="E1288" s="19"/>
      <c r="F1288" s="19"/>
      <c r="G1288" s="18"/>
      <c r="H1288" s="18"/>
      <c r="I1288" s="18"/>
      <c r="J1288" s="18"/>
      <c r="K1288" s="18"/>
      <c r="L1288" s="18"/>
      <c r="M1288" s="18"/>
      <c r="N1288" s="18"/>
      <c r="O1288" s="18"/>
      <c r="P1288" s="18"/>
      <c r="Q1288" s="18"/>
      <c r="R1288" s="18"/>
      <c r="S1288" s="18"/>
      <c r="T1288" s="18"/>
      <c r="U1288" s="18"/>
      <c r="V1288" s="18"/>
      <c r="W1288" s="18"/>
      <c r="X1288" s="18"/>
      <c r="Y1288" s="18"/>
      <c r="Z1288" s="18"/>
      <c r="AA1288" s="18"/>
      <c r="AB1288" s="18"/>
      <c r="AC1288" s="18"/>
      <c r="AD1288" s="19"/>
      <c r="AE1288" s="18"/>
      <c r="AF1288" s="18"/>
      <c r="AG1288" s="18"/>
      <c r="AH1288" s="18"/>
      <c r="AI1288" s="18"/>
      <c r="AJ1288" s="97"/>
      <c r="AK1288" s="18"/>
      <c r="AL1288" s="18"/>
    </row>
    <row r="1289" spans="4:38" x14ac:dyDescent="0.2">
      <c r="D1289" s="19"/>
      <c r="E1289" s="19"/>
      <c r="F1289" s="19"/>
      <c r="G1289" s="18"/>
      <c r="H1289" s="18"/>
      <c r="I1289" s="18"/>
      <c r="J1289" s="18"/>
      <c r="K1289" s="18"/>
      <c r="L1289" s="18"/>
      <c r="M1289" s="18"/>
      <c r="N1289" s="18"/>
      <c r="O1289" s="18"/>
      <c r="P1289" s="18"/>
      <c r="Q1289" s="18"/>
      <c r="R1289" s="18"/>
      <c r="S1289" s="18"/>
      <c r="T1289" s="18"/>
      <c r="U1289" s="18"/>
      <c r="V1289" s="18"/>
      <c r="W1289" s="18"/>
      <c r="X1289" s="18"/>
      <c r="Y1289" s="18"/>
      <c r="Z1289" s="18"/>
      <c r="AA1289" s="18"/>
      <c r="AB1289" s="18"/>
      <c r="AC1289" s="18"/>
      <c r="AD1289" s="19"/>
      <c r="AE1289" s="18"/>
      <c r="AF1289" s="18"/>
      <c r="AG1289" s="18"/>
      <c r="AH1289" s="18"/>
      <c r="AI1289" s="18"/>
      <c r="AJ1289" s="97"/>
      <c r="AK1289" s="18"/>
      <c r="AL1289" s="18"/>
    </row>
    <row r="1290" spans="4:38" x14ac:dyDescent="0.2">
      <c r="D1290" s="19"/>
      <c r="E1290" s="19"/>
      <c r="F1290" s="19"/>
      <c r="G1290" s="18"/>
      <c r="H1290" s="18"/>
      <c r="I1290" s="18"/>
      <c r="J1290" s="18"/>
      <c r="K1290" s="18"/>
      <c r="L1290" s="18"/>
      <c r="M1290" s="18"/>
      <c r="N1290" s="18"/>
      <c r="O1290" s="18"/>
      <c r="P1290" s="18"/>
      <c r="Q1290" s="18"/>
      <c r="R1290" s="18"/>
      <c r="S1290" s="18"/>
      <c r="T1290" s="18"/>
      <c r="U1290" s="18"/>
      <c r="V1290" s="18"/>
      <c r="W1290" s="18"/>
      <c r="X1290" s="18"/>
      <c r="Y1290" s="18"/>
      <c r="Z1290" s="18"/>
      <c r="AA1290" s="18"/>
      <c r="AB1290" s="18"/>
      <c r="AC1290" s="18"/>
      <c r="AD1290" s="19"/>
      <c r="AE1290" s="18"/>
      <c r="AF1290" s="18"/>
      <c r="AG1290" s="18"/>
      <c r="AH1290" s="18"/>
      <c r="AI1290" s="18"/>
      <c r="AJ1290" s="97"/>
      <c r="AK1290" s="18"/>
      <c r="AL1290" s="18"/>
    </row>
    <row r="1291" spans="4:38" x14ac:dyDescent="0.2">
      <c r="D1291" s="19"/>
      <c r="E1291" s="19"/>
      <c r="F1291" s="19"/>
      <c r="G1291" s="18"/>
      <c r="H1291" s="18"/>
      <c r="I1291" s="18"/>
      <c r="J1291" s="18"/>
      <c r="K1291" s="18"/>
      <c r="L1291" s="18"/>
      <c r="M1291" s="18"/>
      <c r="N1291" s="18"/>
      <c r="O1291" s="18"/>
      <c r="P1291" s="18"/>
      <c r="Q1291" s="18"/>
      <c r="R1291" s="18"/>
      <c r="S1291" s="18"/>
      <c r="T1291" s="18"/>
      <c r="U1291" s="18"/>
      <c r="V1291" s="18"/>
      <c r="W1291" s="18"/>
      <c r="X1291" s="18"/>
      <c r="Y1291" s="18"/>
      <c r="Z1291" s="18"/>
      <c r="AA1291" s="18"/>
      <c r="AB1291" s="18"/>
      <c r="AC1291" s="18"/>
      <c r="AD1291" s="19"/>
      <c r="AE1291" s="18"/>
      <c r="AF1291" s="18"/>
      <c r="AG1291" s="18"/>
      <c r="AH1291" s="18"/>
      <c r="AI1291" s="18"/>
      <c r="AJ1291" s="97"/>
      <c r="AK1291" s="18"/>
      <c r="AL1291" s="18"/>
    </row>
    <row r="1292" spans="4:38" x14ac:dyDescent="0.2">
      <c r="D1292" s="19"/>
      <c r="E1292" s="19"/>
      <c r="F1292" s="19"/>
      <c r="G1292" s="18"/>
      <c r="H1292" s="18"/>
      <c r="I1292" s="18"/>
      <c r="J1292" s="18"/>
      <c r="K1292" s="18"/>
      <c r="L1292" s="18"/>
      <c r="M1292" s="18"/>
      <c r="N1292" s="18"/>
      <c r="O1292" s="18"/>
      <c r="P1292" s="18"/>
      <c r="Q1292" s="18"/>
      <c r="R1292" s="18"/>
      <c r="S1292" s="18"/>
      <c r="T1292" s="18"/>
      <c r="U1292" s="18"/>
      <c r="V1292" s="18"/>
      <c r="W1292" s="18"/>
      <c r="X1292" s="18"/>
      <c r="Y1292" s="18"/>
      <c r="Z1292" s="18"/>
      <c r="AA1292" s="18"/>
      <c r="AB1292" s="18"/>
      <c r="AC1292" s="18"/>
      <c r="AD1292" s="19"/>
      <c r="AE1292" s="18"/>
      <c r="AF1292" s="18"/>
      <c r="AG1292" s="18"/>
      <c r="AH1292" s="18"/>
      <c r="AI1292" s="18"/>
      <c r="AJ1292" s="97"/>
      <c r="AK1292" s="18"/>
      <c r="AL1292" s="18"/>
    </row>
    <row r="1293" spans="4:38" x14ac:dyDescent="0.2">
      <c r="D1293" s="19"/>
      <c r="E1293" s="19"/>
      <c r="F1293" s="19"/>
      <c r="G1293" s="18"/>
      <c r="H1293" s="18"/>
      <c r="I1293" s="18"/>
      <c r="J1293" s="18"/>
      <c r="K1293" s="18"/>
      <c r="L1293" s="18"/>
      <c r="M1293" s="18"/>
      <c r="N1293" s="18"/>
      <c r="O1293" s="18"/>
      <c r="P1293" s="18"/>
      <c r="Q1293" s="18"/>
      <c r="R1293" s="18"/>
      <c r="S1293" s="18"/>
      <c r="T1293" s="18"/>
      <c r="U1293" s="18"/>
      <c r="V1293" s="18"/>
      <c r="W1293" s="18"/>
      <c r="X1293" s="18"/>
      <c r="Y1293" s="18"/>
      <c r="Z1293" s="18"/>
      <c r="AA1293" s="18"/>
      <c r="AB1293" s="18"/>
      <c r="AC1293" s="18"/>
      <c r="AD1293" s="19"/>
      <c r="AE1293" s="18"/>
      <c r="AF1293" s="18"/>
      <c r="AG1293" s="18"/>
      <c r="AH1293" s="18"/>
      <c r="AI1293" s="18"/>
      <c r="AJ1293" s="97"/>
      <c r="AK1293" s="18"/>
      <c r="AL1293" s="18"/>
    </row>
    <row r="1294" spans="4:38" x14ac:dyDescent="0.2">
      <c r="D1294" s="19"/>
      <c r="E1294" s="19"/>
      <c r="F1294" s="19"/>
      <c r="G1294" s="18"/>
      <c r="H1294" s="18"/>
      <c r="I1294" s="18"/>
      <c r="J1294" s="18"/>
      <c r="K1294" s="18"/>
      <c r="L1294" s="18"/>
      <c r="M1294" s="18"/>
      <c r="N1294" s="18"/>
      <c r="O1294" s="18"/>
      <c r="P1294" s="18"/>
      <c r="Q1294" s="18"/>
      <c r="R1294" s="18"/>
      <c r="S1294" s="18"/>
      <c r="T1294" s="18"/>
      <c r="U1294" s="18"/>
      <c r="V1294" s="18"/>
      <c r="W1294" s="18"/>
      <c r="X1294" s="18"/>
      <c r="Y1294" s="18"/>
      <c r="Z1294" s="18"/>
      <c r="AA1294" s="18"/>
      <c r="AB1294" s="18"/>
      <c r="AC1294" s="18"/>
      <c r="AD1294" s="19"/>
      <c r="AE1294" s="18"/>
      <c r="AF1294" s="18"/>
      <c r="AG1294" s="18"/>
      <c r="AH1294" s="18"/>
      <c r="AI1294" s="18"/>
      <c r="AJ1294" s="97"/>
      <c r="AK1294" s="18"/>
      <c r="AL1294" s="18"/>
    </row>
    <row r="1295" spans="4:38" x14ac:dyDescent="0.2">
      <c r="D1295" s="19"/>
      <c r="E1295" s="19"/>
      <c r="F1295" s="19"/>
      <c r="G1295" s="18"/>
      <c r="H1295" s="18"/>
      <c r="I1295" s="18"/>
      <c r="J1295" s="18"/>
      <c r="K1295" s="18"/>
      <c r="L1295" s="18"/>
      <c r="M1295" s="18"/>
      <c r="N1295" s="18"/>
      <c r="O1295" s="18"/>
      <c r="P1295" s="18"/>
      <c r="Q1295" s="18"/>
      <c r="R1295" s="18"/>
      <c r="S1295" s="18"/>
      <c r="T1295" s="18"/>
      <c r="U1295" s="18"/>
      <c r="V1295" s="18"/>
      <c r="W1295" s="18"/>
      <c r="X1295" s="18"/>
      <c r="Y1295" s="18"/>
      <c r="Z1295" s="18"/>
      <c r="AA1295" s="18"/>
      <c r="AB1295" s="18"/>
      <c r="AC1295" s="18"/>
      <c r="AD1295" s="19"/>
      <c r="AE1295" s="18"/>
      <c r="AF1295" s="18"/>
      <c r="AG1295" s="18"/>
      <c r="AH1295" s="18"/>
      <c r="AI1295" s="18"/>
      <c r="AJ1295" s="97"/>
      <c r="AK1295" s="18"/>
      <c r="AL1295" s="18"/>
    </row>
    <row r="1296" spans="4:38" x14ac:dyDescent="0.2">
      <c r="D1296" s="19"/>
      <c r="E1296" s="19"/>
      <c r="F1296" s="19"/>
      <c r="G1296" s="18"/>
      <c r="H1296" s="18"/>
      <c r="I1296" s="18"/>
      <c r="J1296" s="18"/>
      <c r="K1296" s="18"/>
      <c r="L1296" s="18"/>
      <c r="M1296" s="18"/>
      <c r="N1296" s="18"/>
      <c r="O1296" s="18"/>
      <c r="P1296" s="18"/>
      <c r="Q1296" s="18"/>
      <c r="R1296" s="18"/>
      <c r="S1296" s="18"/>
      <c r="T1296" s="18"/>
      <c r="U1296" s="18"/>
      <c r="V1296" s="18"/>
      <c r="W1296" s="18"/>
      <c r="X1296" s="18"/>
      <c r="Y1296" s="18"/>
      <c r="Z1296" s="18"/>
      <c r="AA1296" s="18"/>
      <c r="AB1296" s="18"/>
      <c r="AC1296" s="18"/>
      <c r="AD1296" s="19"/>
      <c r="AE1296" s="18"/>
      <c r="AF1296" s="18"/>
      <c r="AG1296" s="18"/>
      <c r="AH1296" s="18"/>
      <c r="AI1296" s="18"/>
      <c r="AJ1296" s="97"/>
      <c r="AK1296" s="18"/>
      <c r="AL1296" s="18"/>
    </row>
    <row r="1297" spans="4:38" x14ac:dyDescent="0.2">
      <c r="D1297" s="19"/>
      <c r="E1297" s="19"/>
      <c r="F1297" s="19"/>
      <c r="G1297" s="18"/>
      <c r="H1297" s="18"/>
      <c r="I1297" s="18"/>
      <c r="J1297" s="18"/>
      <c r="K1297" s="18"/>
      <c r="L1297" s="18"/>
      <c r="M1297" s="18"/>
      <c r="N1297" s="18"/>
      <c r="O1297" s="18"/>
      <c r="P1297" s="18"/>
      <c r="Q1297" s="18"/>
      <c r="R1297" s="18"/>
      <c r="S1297" s="18"/>
      <c r="T1297" s="18"/>
      <c r="U1297" s="18"/>
      <c r="V1297" s="18"/>
      <c r="W1297" s="18"/>
      <c r="X1297" s="18"/>
      <c r="Y1297" s="18"/>
      <c r="Z1297" s="18"/>
      <c r="AA1297" s="18"/>
      <c r="AB1297" s="18"/>
      <c r="AC1297" s="18"/>
      <c r="AD1297" s="19"/>
      <c r="AE1297" s="18"/>
      <c r="AF1297" s="18"/>
      <c r="AG1297" s="18"/>
      <c r="AH1297" s="18"/>
      <c r="AI1297" s="18"/>
      <c r="AJ1297" s="97"/>
      <c r="AK1297" s="18"/>
      <c r="AL1297" s="18"/>
    </row>
    <row r="1298" spans="4:38" x14ac:dyDescent="0.2">
      <c r="D1298" s="19"/>
      <c r="E1298" s="19"/>
      <c r="F1298" s="19"/>
      <c r="G1298" s="18"/>
      <c r="H1298" s="18"/>
      <c r="I1298" s="18"/>
      <c r="J1298" s="18"/>
      <c r="K1298" s="18"/>
      <c r="L1298" s="18"/>
      <c r="M1298" s="18"/>
      <c r="N1298" s="18"/>
      <c r="O1298" s="18"/>
      <c r="P1298" s="18"/>
      <c r="Q1298" s="18"/>
      <c r="R1298" s="18"/>
      <c r="S1298" s="18"/>
      <c r="T1298" s="18"/>
      <c r="U1298" s="18"/>
      <c r="V1298" s="18"/>
      <c r="W1298" s="18"/>
      <c r="X1298" s="18"/>
      <c r="Y1298" s="18"/>
      <c r="Z1298" s="18"/>
      <c r="AA1298" s="18"/>
      <c r="AB1298" s="18"/>
      <c r="AC1298" s="18"/>
      <c r="AD1298" s="19"/>
      <c r="AE1298" s="18"/>
      <c r="AF1298" s="18"/>
      <c r="AG1298" s="18"/>
      <c r="AH1298" s="18"/>
      <c r="AI1298" s="18"/>
      <c r="AJ1298" s="97"/>
      <c r="AK1298" s="18"/>
      <c r="AL1298" s="18"/>
    </row>
    <row r="1299" spans="4:38" x14ac:dyDescent="0.2">
      <c r="D1299" s="19"/>
      <c r="E1299" s="19"/>
      <c r="F1299" s="19"/>
      <c r="G1299" s="18"/>
      <c r="H1299" s="18"/>
      <c r="I1299" s="18"/>
      <c r="J1299" s="18"/>
      <c r="K1299" s="18"/>
      <c r="L1299" s="18"/>
      <c r="M1299" s="18"/>
      <c r="N1299" s="18"/>
      <c r="O1299" s="18"/>
      <c r="P1299" s="18"/>
      <c r="Q1299" s="18"/>
      <c r="R1299" s="18"/>
      <c r="S1299" s="18"/>
      <c r="T1299" s="18"/>
      <c r="U1299" s="18"/>
      <c r="V1299" s="18"/>
      <c r="W1299" s="18"/>
      <c r="X1299" s="18"/>
      <c r="Y1299" s="18"/>
      <c r="Z1299" s="18"/>
      <c r="AA1299" s="18"/>
      <c r="AB1299" s="18"/>
      <c r="AC1299" s="18"/>
      <c r="AD1299" s="19"/>
      <c r="AE1299" s="18"/>
      <c r="AF1299" s="18"/>
      <c r="AG1299" s="18"/>
      <c r="AH1299" s="18"/>
      <c r="AI1299" s="18"/>
      <c r="AJ1299" s="97"/>
      <c r="AK1299" s="18"/>
      <c r="AL1299" s="18"/>
    </row>
    <row r="1300" spans="4:38" x14ac:dyDescent="0.2">
      <c r="D1300" s="19"/>
      <c r="E1300" s="19"/>
      <c r="F1300" s="19"/>
      <c r="G1300" s="18"/>
      <c r="H1300" s="18"/>
      <c r="I1300" s="18"/>
      <c r="J1300" s="18"/>
      <c r="K1300" s="18"/>
      <c r="L1300" s="18"/>
      <c r="M1300" s="18"/>
      <c r="N1300" s="18"/>
      <c r="O1300" s="18"/>
      <c r="P1300" s="18"/>
      <c r="Q1300" s="18"/>
      <c r="R1300" s="18"/>
      <c r="S1300" s="18"/>
      <c r="T1300" s="18"/>
      <c r="U1300" s="18"/>
      <c r="V1300" s="18"/>
      <c r="W1300" s="18"/>
      <c r="X1300" s="18"/>
      <c r="Y1300" s="18"/>
      <c r="Z1300" s="18"/>
      <c r="AA1300" s="18"/>
      <c r="AB1300" s="18"/>
      <c r="AC1300" s="18"/>
      <c r="AD1300" s="19"/>
      <c r="AE1300" s="18"/>
      <c r="AF1300" s="18"/>
      <c r="AG1300" s="18"/>
      <c r="AH1300" s="18"/>
      <c r="AI1300" s="18"/>
      <c r="AJ1300" s="97"/>
      <c r="AK1300" s="18"/>
      <c r="AL1300" s="18"/>
    </row>
    <row r="1301" spans="4:38" x14ac:dyDescent="0.2">
      <c r="D1301" s="19"/>
      <c r="E1301" s="19"/>
      <c r="F1301" s="19"/>
      <c r="G1301" s="18"/>
      <c r="H1301" s="18"/>
      <c r="I1301" s="18"/>
      <c r="J1301" s="18"/>
      <c r="K1301" s="18"/>
      <c r="L1301" s="18"/>
      <c r="M1301" s="18"/>
      <c r="N1301" s="18"/>
      <c r="O1301" s="18"/>
      <c r="P1301" s="18"/>
      <c r="Q1301" s="18"/>
      <c r="R1301" s="18"/>
      <c r="S1301" s="18"/>
      <c r="T1301" s="18"/>
      <c r="U1301" s="18"/>
      <c r="V1301" s="18"/>
      <c r="W1301" s="18"/>
      <c r="X1301" s="18"/>
      <c r="Y1301" s="18"/>
      <c r="Z1301" s="18"/>
      <c r="AA1301" s="18"/>
      <c r="AB1301" s="18"/>
      <c r="AC1301" s="18"/>
      <c r="AD1301" s="19"/>
      <c r="AE1301" s="18"/>
      <c r="AF1301" s="18"/>
      <c r="AG1301" s="18"/>
      <c r="AH1301" s="18"/>
      <c r="AI1301" s="18"/>
      <c r="AJ1301" s="97"/>
      <c r="AK1301" s="18"/>
      <c r="AL1301" s="18"/>
    </row>
    <row r="1302" spans="4:38" x14ac:dyDescent="0.2">
      <c r="D1302" s="19"/>
      <c r="E1302" s="19"/>
      <c r="F1302" s="19"/>
      <c r="G1302" s="18"/>
      <c r="H1302" s="18"/>
      <c r="I1302" s="18"/>
      <c r="J1302" s="18"/>
      <c r="K1302" s="18"/>
      <c r="L1302" s="18"/>
      <c r="M1302" s="18"/>
      <c r="N1302" s="18"/>
      <c r="O1302" s="18"/>
      <c r="P1302" s="18"/>
      <c r="Q1302" s="18"/>
      <c r="R1302" s="18"/>
      <c r="S1302" s="18"/>
      <c r="T1302" s="18"/>
      <c r="U1302" s="18"/>
      <c r="V1302" s="18"/>
      <c r="W1302" s="18"/>
      <c r="X1302" s="18"/>
      <c r="Y1302" s="18"/>
      <c r="Z1302" s="18"/>
      <c r="AA1302" s="18"/>
      <c r="AB1302" s="18"/>
      <c r="AC1302" s="18"/>
      <c r="AD1302" s="19"/>
      <c r="AE1302" s="18"/>
      <c r="AF1302" s="18"/>
      <c r="AG1302" s="18"/>
      <c r="AH1302" s="18"/>
      <c r="AI1302" s="18"/>
      <c r="AJ1302" s="97"/>
      <c r="AK1302" s="18"/>
      <c r="AL1302" s="18"/>
    </row>
    <row r="1303" spans="4:38" x14ac:dyDescent="0.2">
      <c r="D1303" s="19"/>
      <c r="E1303" s="19"/>
      <c r="F1303" s="19"/>
      <c r="G1303" s="18"/>
      <c r="H1303" s="18"/>
      <c r="I1303" s="18"/>
      <c r="J1303" s="18"/>
      <c r="K1303" s="18"/>
      <c r="L1303" s="18"/>
      <c r="M1303" s="18"/>
      <c r="N1303" s="18"/>
      <c r="O1303" s="18"/>
      <c r="P1303" s="18"/>
      <c r="Q1303" s="18"/>
      <c r="R1303" s="18"/>
      <c r="S1303" s="18"/>
      <c r="T1303" s="18"/>
      <c r="U1303" s="18"/>
      <c r="V1303" s="18"/>
      <c r="W1303" s="18"/>
      <c r="X1303" s="18"/>
      <c r="Y1303" s="18"/>
      <c r="Z1303" s="18"/>
      <c r="AA1303" s="18"/>
      <c r="AB1303" s="18"/>
      <c r="AC1303" s="18"/>
      <c r="AD1303" s="19"/>
      <c r="AE1303" s="18"/>
      <c r="AF1303" s="18"/>
      <c r="AG1303" s="18"/>
      <c r="AH1303" s="18"/>
      <c r="AI1303" s="18"/>
      <c r="AJ1303" s="97"/>
      <c r="AK1303" s="18"/>
      <c r="AL1303" s="18"/>
    </row>
    <row r="1304" spans="4:38" x14ac:dyDescent="0.2">
      <c r="D1304" s="19"/>
      <c r="E1304" s="19"/>
      <c r="F1304" s="19"/>
      <c r="G1304" s="18"/>
      <c r="H1304" s="18"/>
      <c r="I1304" s="18"/>
      <c r="J1304" s="18"/>
      <c r="K1304" s="18"/>
      <c r="L1304" s="18"/>
      <c r="M1304" s="18"/>
      <c r="N1304" s="18"/>
      <c r="O1304" s="18"/>
      <c r="P1304" s="18"/>
      <c r="Q1304" s="18"/>
      <c r="R1304" s="18"/>
      <c r="S1304" s="18"/>
      <c r="T1304" s="18"/>
      <c r="U1304" s="18"/>
      <c r="V1304" s="18"/>
      <c r="W1304" s="18"/>
      <c r="X1304" s="18"/>
      <c r="Y1304" s="18"/>
      <c r="Z1304" s="18"/>
      <c r="AA1304" s="18"/>
      <c r="AB1304" s="18"/>
      <c r="AC1304" s="18"/>
      <c r="AD1304" s="19"/>
      <c r="AE1304" s="18"/>
      <c r="AF1304" s="18"/>
      <c r="AG1304" s="18"/>
      <c r="AH1304" s="18"/>
      <c r="AI1304" s="18"/>
      <c r="AJ1304" s="97"/>
      <c r="AK1304" s="18"/>
      <c r="AL1304" s="18"/>
    </row>
    <row r="1305" spans="4:38" x14ac:dyDescent="0.2">
      <c r="D1305" s="19"/>
      <c r="E1305" s="19"/>
      <c r="F1305" s="19"/>
      <c r="G1305" s="18"/>
      <c r="H1305" s="18"/>
      <c r="I1305" s="18"/>
      <c r="J1305" s="18"/>
      <c r="K1305" s="18"/>
      <c r="L1305" s="18"/>
      <c r="M1305" s="18"/>
      <c r="N1305" s="18"/>
      <c r="O1305" s="18"/>
      <c r="P1305" s="18"/>
      <c r="Q1305" s="18"/>
      <c r="R1305" s="18"/>
      <c r="S1305" s="18"/>
      <c r="T1305" s="18"/>
      <c r="U1305" s="18"/>
      <c r="V1305" s="18"/>
      <c r="W1305" s="18"/>
      <c r="X1305" s="18"/>
      <c r="Y1305" s="18"/>
      <c r="Z1305" s="18"/>
      <c r="AA1305" s="18"/>
      <c r="AB1305" s="18"/>
      <c r="AC1305" s="18"/>
      <c r="AD1305" s="19"/>
      <c r="AE1305" s="18"/>
      <c r="AF1305" s="18"/>
      <c r="AG1305" s="18"/>
      <c r="AH1305" s="18"/>
      <c r="AI1305" s="18"/>
      <c r="AJ1305" s="97"/>
      <c r="AK1305" s="18"/>
      <c r="AL1305" s="18"/>
    </row>
    <row r="1306" spans="4:38" x14ac:dyDescent="0.2">
      <c r="D1306" s="19"/>
      <c r="E1306" s="19"/>
      <c r="F1306" s="19"/>
      <c r="G1306" s="18"/>
      <c r="H1306" s="18"/>
      <c r="I1306" s="18"/>
      <c r="J1306" s="18"/>
      <c r="K1306" s="18"/>
      <c r="L1306" s="18"/>
      <c r="M1306" s="18"/>
      <c r="N1306" s="18"/>
      <c r="O1306" s="18"/>
      <c r="P1306" s="18"/>
      <c r="Q1306" s="18"/>
      <c r="R1306" s="18"/>
      <c r="S1306" s="18"/>
      <c r="T1306" s="18"/>
      <c r="U1306" s="18"/>
      <c r="V1306" s="18"/>
      <c r="W1306" s="18"/>
      <c r="X1306" s="18"/>
      <c r="Y1306" s="18"/>
      <c r="Z1306" s="18"/>
      <c r="AA1306" s="18"/>
      <c r="AB1306" s="18"/>
      <c r="AC1306" s="18"/>
      <c r="AD1306" s="19"/>
      <c r="AE1306" s="18"/>
      <c r="AF1306" s="18"/>
      <c r="AG1306" s="18"/>
      <c r="AH1306" s="18"/>
      <c r="AI1306" s="18"/>
      <c r="AJ1306" s="97"/>
      <c r="AK1306" s="18"/>
      <c r="AL1306" s="18"/>
    </row>
    <row r="1307" spans="4:38" x14ac:dyDescent="0.2">
      <c r="D1307" s="19"/>
      <c r="E1307" s="19"/>
      <c r="F1307" s="19"/>
      <c r="G1307" s="18"/>
      <c r="H1307" s="18"/>
      <c r="I1307" s="18"/>
      <c r="J1307" s="18"/>
      <c r="K1307" s="18"/>
      <c r="L1307" s="18"/>
      <c r="M1307" s="18"/>
      <c r="N1307" s="18"/>
      <c r="O1307" s="18"/>
      <c r="P1307" s="18"/>
      <c r="Q1307" s="18"/>
      <c r="R1307" s="18"/>
      <c r="S1307" s="18"/>
      <c r="T1307" s="18"/>
      <c r="U1307" s="18"/>
      <c r="V1307" s="18"/>
      <c r="W1307" s="18"/>
      <c r="X1307" s="18"/>
      <c r="Y1307" s="18"/>
      <c r="Z1307" s="18"/>
      <c r="AA1307" s="18"/>
      <c r="AB1307" s="18"/>
      <c r="AC1307" s="18"/>
      <c r="AD1307" s="19"/>
      <c r="AE1307" s="18"/>
      <c r="AF1307" s="18"/>
      <c r="AG1307" s="18"/>
      <c r="AH1307" s="18"/>
      <c r="AI1307" s="18"/>
      <c r="AJ1307" s="97"/>
      <c r="AK1307" s="18"/>
      <c r="AL1307" s="18"/>
    </row>
    <row r="1308" spans="4:38" x14ac:dyDescent="0.2">
      <c r="D1308" s="19"/>
      <c r="E1308" s="19"/>
      <c r="F1308" s="19"/>
      <c r="G1308" s="18"/>
      <c r="H1308" s="18"/>
      <c r="I1308" s="18"/>
      <c r="J1308" s="18"/>
      <c r="K1308" s="18"/>
      <c r="L1308" s="18"/>
      <c r="M1308" s="18"/>
      <c r="N1308" s="18"/>
      <c r="O1308" s="18"/>
      <c r="P1308" s="18"/>
      <c r="Q1308" s="18"/>
      <c r="R1308" s="18"/>
      <c r="S1308" s="18"/>
      <c r="T1308" s="18"/>
      <c r="U1308" s="18"/>
      <c r="V1308" s="18"/>
      <c r="W1308" s="18"/>
      <c r="X1308" s="18"/>
      <c r="Y1308" s="18"/>
      <c r="Z1308" s="18"/>
      <c r="AA1308" s="18"/>
      <c r="AB1308" s="18"/>
      <c r="AC1308" s="18"/>
      <c r="AD1308" s="19"/>
      <c r="AE1308" s="18"/>
      <c r="AF1308" s="18"/>
      <c r="AG1308" s="18"/>
      <c r="AH1308" s="18"/>
      <c r="AI1308" s="18"/>
      <c r="AJ1308" s="97"/>
      <c r="AK1308" s="18"/>
      <c r="AL1308" s="18"/>
    </row>
    <row r="1309" spans="4:38" x14ac:dyDescent="0.2">
      <c r="D1309" s="19"/>
      <c r="E1309" s="19"/>
      <c r="F1309" s="19"/>
      <c r="G1309" s="18"/>
      <c r="H1309" s="18"/>
      <c r="I1309" s="18"/>
      <c r="J1309" s="18"/>
      <c r="K1309" s="18"/>
      <c r="L1309" s="18"/>
      <c r="M1309" s="18"/>
      <c r="N1309" s="18"/>
      <c r="O1309" s="18"/>
      <c r="P1309" s="18"/>
      <c r="Q1309" s="18"/>
      <c r="R1309" s="18"/>
      <c r="S1309" s="18"/>
      <c r="T1309" s="18"/>
      <c r="U1309" s="18"/>
      <c r="V1309" s="18"/>
      <c r="W1309" s="18"/>
      <c r="X1309" s="18"/>
      <c r="Y1309" s="18"/>
      <c r="Z1309" s="18"/>
      <c r="AA1309" s="18"/>
      <c r="AB1309" s="18"/>
      <c r="AC1309" s="18"/>
      <c r="AD1309" s="19"/>
      <c r="AE1309" s="18"/>
      <c r="AF1309" s="18"/>
      <c r="AG1309" s="18"/>
      <c r="AH1309" s="18"/>
      <c r="AI1309" s="18"/>
      <c r="AJ1309" s="97"/>
      <c r="AK1309" s="18"/>
      <c r="AL1309" s="18"/>
    </row>
    <row r="1310" spans="4:38" x14ac:dyDescent="0.2">
      <c r="D1310" s="19"/>
      <c r="E1310" s="19"/>
      <c r="F1310" s="19"/>
      <c r="G1310" s="18"/>
      <c r="H1310" s="18"/>
      <c r="I1310" s="18"/>
      <c r="J1310" s="18"/>
      <c r="K1310" s="18"/>
      <c r="L1310" s="18"/>
      <c r="M1310" s="18"/>
      <c r="N1310" s="18"/>
      <c r="O1310" s="18"/>
      <c r="P1310" s="18"/>
      <c r="Q1310" s="18"/>
      <c r="R1310" s="18"/>
      <c r="S1310" s="18"/>
      <c r="T1310" s="18"/>
      <c r="U1310" s="18"/>
      <c r="V1310" s="18"/>
      <c r="W1310" s="18"/>
      <c r="X1310" s="18"/>
      <c r="Y1310" s="18"/>
      <c r="Z1310" s="18"/>
      <c r="AA1310" s="18"/>
      <c r="AB1310" s="18"/>
      <c r="AC1310" s="18"/>
      <c r="AD1310" s="19"/>
      <c r="AE1310" s="18"/>
      <c r="AF1310" s="18"/>
      <c r="AG1310" s="18"/>
      <c r="AH1310" s="18"/>
      <c r="AI1310" s="18"/>
      <c r="AJ1310" s="97"/>
      <c r="AK1310" s="18"/>
      <c r="AL1310" s="18"/>
    </row>
    <row r="1311" spans="4:38" x14ac:dyDescent="0.2">
      <c r="D1311" s="19"/>
      <c r="E1311" s="19"/>
      <c r="F1311" s="19"/>
      <c r="G1311" s="18"/>
      <c r="H1311" s="18"/>
      <c r="I1311" s="18"/>
      <c r="J1311" s="18"/>
      <c r="K1311" s="18"/>
      <c r="L1311" s="18"/>
      <c r="M1311" s="18"/>
      <c r="N1311" s="18"/>
      <c r="O1311" s="18"/>
      <c r="P1311" s="18"/>
      <c r="Q1311" s="18"/>
      <c r="R1311" s="18"/>
      <c r="S1311" s="18"/>
      <c r="T1311" s="18"/>
      <c r="U1311" s="18"/>
      <c r="V1311" s="18"/>
      <c r="W1311" s="18"/>
      <c r="X1311" s="18"/>
      <c r="Y1311" s="18"/>
      <c r="Z1311" s="18"/>
      <c r="AA1311" s="18"/>
      <c r="AB1311" s="18"/>
      <c r="AC1311" s="18"/>
      <c r="AD1311" s="19"/>
      <c r="AE1311" s="18"/>
      <c r="AF1311" s="18"/>
      <c r="AG1311" s="18"/>
      <c r="AH1311" s="18"/>
      <c r="AI1311" s="18"/>
      <c r="AJ1311" s="97"/>
      <c r="AK1311" s="18"/>
      <c r="AL1311" s="18"/>
    </row>
    <row r="1312" spans="4:38" x14ac:dyDescent="0.2">
      <c r="D1312" s="19"/>
      <c r="E1312" s="19"/>
      <c r="F1312" s="19"/>
      <c r="G1312" s="18"/>
      <c r="H1312" s="18"/>
      <c r="I1312" s="18"/>
      <c r="J1312" s="18"/>
      <c r="K1312" s="18"/>
      <c r="L1312" s="18"/>
      <c r="M1312" s="18"/>
      <c r="N1312" s="18"/>
      <c r="O1312" s="18"/>
      <c r="P1312" s="18"/>
      <c r="Q1312" s="18"/>
      <c r="R1312" s="18"/>
      <c r="S1312" s="18"/>
      <c r="T1312" s="18"/>
      <c r="U1312" s="18"/>
      <c r="V1312" s="18"/>
      <c r="W1312" s="18"/>
      <c r="X1312" s="18"/>
      <c r="Y1312" s="18"/>
      <c r="Z1312" s="18"/>
      <c r="AA1312" s="18"/>
      <c r="AB1312" s="18"/>
      <c r="AC1312" s="18"/>
      <c r="AD1312" s="19"/>
      <c r="AE1312" s="18"/>
      <c r="AF1312" s="18"/>
      <c r="AG1312" s="18"/>
      <c r="AH1312" s="18"/>
      <c r="AI1312" s="18"/>
      <c r="AJ1312" s="97"/>
      <c r="AK1312" s="18"/>
      <c r="AL1312" s="18"/>
    </row>
    <row r="1313" spans="4:38" x14ac:dyDescent="0.2">
      <c r="D1313" s="19"/>
      <c r="E1313" s="19"/>
      <c r="F1313" s="19"/>
      <c r="G1313" s="18"/>
      <c r="H1313" s="18"/>
      <c r="I1313" s="18"/>
      <c r="J1313" s="18"/>
      <c r="K1313" s="18"/>
      <c r="L1313" s="18"/>
      <c r="M1313" s="18"/>
      <c r="N1313" s="18"/>
      <c r="O1313" s="18"/>
      <c r="P1313" s="18"/>
      <c r="Q1313" s="18"/>
      <c r="R1313" s="18"/>
      <c r="S1313" s="18"/>
      <c r="T1313" s="18"/>
      <c r="U1313" s="18"/>
      <c r="V1313" s="18"/>
      <c r="W1313" s="18"/>
      <c r="X1313" s="18"/>
      <c r="Y1313" s="18"/>
      <c r="Z1313" s="18"/>
      <c r="AA1313" s="18"/>
      <c r="AB1313" s="18"/>
      <c r="AC1313" s="18"/>
      <c r="AD1313" s="19"/>
      <c r="AE1313" s="18"/>
      <c r="AF1313" s="18"/>
      <c r="AG1313" s="18"/>
      <c r="AH1313" s="18"/>
      <c r="AI1313" s="18"/>
      <c r="AJ1313" s="97"/>
      <c r="AK1313" s="18"/>
      <c r="AL1313" s="18"/>
    </row>
    <row r="1314" spans="4:38" x14ac:dyDescent="0.2">
      <c r="D1314" s="19"/>
      <c r="E1314" s="19"/>
      <c r="F1314" s="19"/>
      <c r="G1314" s="18"/>
      <c r="H1314" s="18"/>
      <c r="I1314" s="18"/>
      <c r="J1314" s="18"/>
      <c r="K1314" s="18"/>
      <c r="L1314" s="18"/>
      <c r="M1314" s="18"/>
      <c r="N1314" s="18"/>
      <c r="O1314" s="18"/>
      <c r="P1314" s="18"/>
      <c r="Q1314" s="18"/>
      <c r="R1314" s="18"/>
      <c r="S1314" s="18"/>
      <c r="T1314" s="18"/>
      <c r="U1314" s="18"/>
      <c r="V1314" s="18"/>
      <c r="W1314" s="18"/>
      <c r="X1314" s="18"/>
      <c r="Y1314" s="18"/>
      <c r="Z1314" s="18"/>
      <c r="AA1314" s="18"/>
      <c r="AB1314" s="18"/>
      <c r="AC1314" s="18"/>
      <c r="AD1314" s="19"/>
      <c r="AE1314" s="18"/>
      <c r="AF1314" s="18"/>
      <c r="AG1314" s="18"/>
      <c r="AH1314" s="18"/>
      <c r="AI1314" s="18"/>
      <c r="AJ1314" s="97"/>
      <c r="AK1314" s="18"/>
      <c r="AL1314" s="18"/>
    </row>
    <row r="1315" spans="4:38" x14ac:dyDescent="0.2">
      <c r="D1315" s="19"/>
      <c r="E1315" s="19"/>
      <c r="F1315" s="19"/>
      <c r="G1315" s="18"/>
      <c r="H1315" s="18"/>
      <c r="I1315" s="18"/>
      <c r="J1315" s="18"/>
      <c r="K1315" s="18"/>
      <c r="L1315" s="18"/>
      <c r="M1315" s="18"/>
      <c r="N1315" s="18"/>
      <c r="O1315" s="18"/>
      <c r="P1315" s="18"/>
      <c r="Q1315" s="18"/>
      <c r="R1315" s="18"/>
      <c r="S1315" s="18"/>
      <c r="T1315" s="18"/>
      <c r="U1315" s="18"/>
      <c r="V1315" s="18"/>
      <c r="W1315" s="18"/>
      <c r="X1315" s="18"/>
      <c r="Y1315" s="18"/>
      <c r="Z1315" s="18"/>
      <c r="AA1315" s="18"/>
      <c r="AB1315" s="18"/>
      <c r="AC1315" s="18"/>
      <c r="AD1315" s="19"/>
      <c r="AE1315" s="18"/>
      <c r="AF1315" s="18"/>
      <c r="AG1315" s="18"/>
      <c r="AH1315" s="18"/>
      <c r="AI1315" s="18"/>
      <c r="AJ1315" s="97"/>
      <c r="AK1315" s="18"/>
      <c r="AL1315" s="18"/>
    </row>
    <row r="1316" spans="4:38" x14ac:dyDescent="0.2">
      <c r="D1316" s="19"/>
      <c r="E1316" s="19"/>
      <c r="F1316" s="19"/>
      <c r="G1316" s="18"/>
      <c r="H1316" s="18"/>
      <c r="I1316" s="18"/>
      <c r="J1316" s="18"/>
      <c r="K1316" s="18"/>
      <c r="L1316" s="18"/>
      <c r="M1316" s="18"/>
      <c r="N1316" s="18"/>
      <c r="O1316" s="18"/>
      <c r="P1316" s="18"/>
      <c r="Q1316" s="18"/>
      <c r="R1316" s="18"/>
      <c r="S1316" s="18"/>
      <c r="T1316" s="18"/>
      <c r="U1316" s="18"/>
      <c r="V1316" s="18"/>
      <c r="W1316" s="18"/>
      <c r="X1316" s="18"/>
      <c r="Y1316" s="18"/>
      <c r="Z1316" s="18"/>
      <c r="AA1316" s="18"/>
      <c r="AB1316" s="18"/>
      <c r="AC1316" s="18"/>
      <c r="AD1316" s="19"/>
      <c r="AE1316" s="18"/>
      <c r="AF1316" s="18"/>
      <c r="AG1316" s="18"/>
      <c r="AH1316" s="18"/>
      <c r="AI1316" s="18"/>
      <c r="AJ1316" s="97"/>
      <c r="AK1316" s="18"/>
      <c r="AL1316" s="18"/>
    </row>
    <row r="1317" spans="4:38" x14ac:dyDescent="0.2">
      <c r="D1317" s="19"/>
      <c r="E1317" s="19"/>
      <c r="F1317" s="19"/>
      <c r="G1317" s="18"/>
      <c r="H1317" s="18"/>
      <c r="I1317" s="18"/>
      <c r="J1317" s="18"/>
      <c r="K1317" s="18"/>
      <c r="L1317" s="18"/>
      <c r="M1317" s="18"/>
      <c r="N1317" s="18"/>
      <c r="O1317" s="18"/>
      <c r="P1317" s="18"/>
      <c r="Q1317" s="18"/>
      <c r="R1317" s="18"/>
      <c r="S1317" s="18"/>
      <c r="T1317" s="18"/>
      <c r="U1317" s="18"/>
      <c r="V1317" s="18"/>
      <c r="W1317" s="18"/>
      <c r="X1317" s="18"/>
      <c r="Y1317" s="18"/>
      <c r="Z1317" s="18"/>
      <c r="AA1317" s="18"/>
      <c r="AB1317" s="18"/>
      <c r="AC1317" s="18"/>
      <c r="AD1317" s="19"/>
      <c r="AE1317" s="18"/>
      <c r="AF1317" s="18"/>
      <c r="AG1317" s="18"/>
      <c r="AH1317" s="18"/>
      <c r="AI1317" s="18"/>
      <c r="AJ1317" s="97"/>
      <c r="AK1317" s="18"/>
      <c r="AL1317" s="18"/>
    </row>
    <row r="1318" spans="4:38" x14ac:dyDescent="0.2">
      <c r="D1318" s="19"/>
      <c r="E1318" s="19"/>
      <c r="F1318" s="19"/>
      <c r="G1318" s="18"/>
      <c r="H1318" s="18"/>
      <c r="I1318" s="18"/>
      <c r="J1318" s="18"/>
      <c r="K1318" s="18"/>
      <c r="L1318" s="18"/>
      <c r="M1318" s="18"/>
      <c r="N1318" s="18"/>
      <c r="O1318" s="18"/>
      <c r="P1318" s="18"/>
      <c r="Q1318" s="18"/>
      <c r="R1318" s="18"/>
      <c r="S1318" s="18"/>
      <c r="T1318" s="18"/>
      <c r="U1318" s="18"/>
      <c r="V1318" s="18"/>
      <c r="W1318" s="18"/>
      <c r="X1318" s="18"/>
      <c r="Y1318" s="18"/>
      <c r="Z1318" s="18"/>
      <c r="AA1318" s="18"/>
      <c r="AB1318" s="18"/>
      <c r="AC1318" s="18"/>
      <c r="AD1318" s="19"/>
      <c r="AE1318" s="18"/>
      <c r="AF1318" s="18"/>
      <c r="AG1318" s="18"/>
      <c r="AH1318" s="18"/>
      <c r="AI1318" s="18"/>
      <c r="AJ1318" s="97"/>
      <c r="AK1318" s="18"/>
      <c r="AL1318" s="18"/>
    </row>
    <row r="1319" spans="4:38" x14ac:dyDescent="0.2">
      <c r="D1319" s="19"/>
      <c r="E1319" s="19"/>
      <c r="F1319" s="19"/>
      <c r="G1319" s="18"/>
      <c r="H1319" s="18"/>
      <c r="I1319" s="18"/>
      <c r="J1319" s="18"/>
      <c r="K1319" s="18"/>
      <c r="L1319" s="18"/>
      <c r="M1319" s="18"/>
      <c r="N1319" s="18"/>
      <c r="O1319" s="18"/>
      <c r="P1319" s="18"/>
      <c r="Q1319" s="18"/>
      <c r="R1319" s="18"/>
      <c r="S1319" s="18"/>
      <c r="T1319" s="18"/>
      <c r="U1319" s="18"/>
      <c r="V1319" s="18"/>
      <c r="W1319" s="18"/>
      <c r="X1319" s="18"/>
      <c r="Y1319" s="18"/>
      <c r="Z1319" s="18"/>
      <c r="AA1319" s="18"/>
      <c r="AB1319" s="18"/>
      <c r="AC1319" s="18"/>
      <c r="AD1319" s="19"/>
      <c r="AE1319" s="18"/>
      <c r="AF1319" s="18"/>
      <c r="AG1319" s="18"/>
      <c r="AH1319" s="18"/>
      <c r="AI1319" s="18"/>
      <c r="AJ1319" s="97"/>
      <c r="AK1319" s="18"/>
      <c r="AL1319" s="18"/>
    </row>
    <row r="1320" spans="4:38" x14ac:dyDescent="0.2">
      <c r="D1320" s="19"/>
      <c r="E1320" s="19"/>
      <c r="F1320" s="19"/>
      <c r="G1320" s="18"/>
      <c r="H1320" s="18"/>
      <c r="I1320" s="18"/>
      <c r="J1320" s="18"/>
      <c r="K1320" s="18"/>
      <c r="L1320" s="18"/>
      <c r="M1320" s="18"/>
      <c r="N1320" s="18"/>
      <c r="O1320" s="18"/>
      <c r="P1320" s="18"/>
      <c r="Q1320" s="18"/>
      <c r="R1320" s="18"/>
      <c r="S1320" s="18"/>
      <c r="T1320" s="18"/>
      <c r="U1320" s="18"/>
      <c r="V1320" s="18"/>
      <c r="W1320" s="18"/>
      <c r="X1320" s="18"/>
      <c r="Y1320" s="18"/>
      <c r="Z1320" s="18"/>
      <c r="AA1320" s="18"/>
      <c r="AB1320" s="18"/>
      <c r="AC1320" s="18"/>
      <c r="AD1320" s="19"/>
      <c r="AE1320" s="18"/>
      <c r="AF1320" s="18"/>
      <c r="AG1320" s="18"/>
      <c r="AH1320" s="18"/>
      <c r="AI1320" s="18"/>
      <c r="AJ1320" s="97"/>
      <c r="AK1320" s="18"/>
      <c r="AL1320" s="18"/>
    </row>
    <row r="1321" spans="4:38" x14ac:dyDescent="0.2">
      <c r="D1321" s="19"/>
      <c r="E1321" s="19"/>
      <c r="F1321" s="19"/>
      <c r="G1321" s="18"/>
      <c r="H1321" s="18"/>
      <c r="I1321" s="18"/>
      <c r="J1321" s="18"/>
      <c r="K1321" s="18"/>
      <c r="L1321" s="18"/>
      <c r="M1321" s="18"/>
      <c r="N1321" s="18"/>
      <c r="O1321" s="18"/>
      <c r="P1321" s="18"/>
      <c r="Q1321" s="18"/>
      <c r="R1321" s="18"/>
      <c r="S1321" s="18"/>
      <c r="T1321" s="18"/>
      <c r="U1321" s="18"/>
      <c r="V1321" s="18"/>
      <c r="W1321" s="18"/>
      <c r="X1321" s="18"/>
      <c r="Y1321" s="18"/>
      <c r="Z1321" s="18"/>
      <c r="AA1321" s="18"/>
      <c r="AB1321" s="18"/>
      <c r="AC1321" s="18"/>
      <c r="AD1321" s="19"/>
      <c r="AE1321" s="18"/>
      <c r="AF1321" s="18"/>
      <c r="AG1321" s="18"/>
      <c r="AH1321" s="18"/>
      <c r="AI1321" s="18"/>
      <c r="AJ1321" s="97"/>
      <c r="AK1321" s="18"/>
      <c r="AL1321" s="18"/>
    </row>
    <row r="1322" spans="4:38" x14ac:dyDescent="0.2">
      <c r="D1322" s="19"/>
      <c r="E1322" s="19"/>
      <c r="F1322" s="19"/>
      <c r="G1322" s="18"/>
      <c r="H1322" s="18"/>
      <c r="I1322" s="18"/>
      <c r="J1322" s="18"/>
      <c r="K1322" s="18"/>
      <c r="L1322" s="18"/>
      <c r="M1322" s="18"/>
      <c r="N1322" s="18"/>
      <c r="O1322" s="18"/>
      <c r="P1322" s="18"/>
      <c r="Q1322" s="18"/>
      <c r="R1322" s="18"/>
      <c r="S1322" s="18"/>
      <c r="T1322" s="18"/>
      <c r="U1322" s="18"/>
      <c r="V1322" s="18"/>
      <c r="W1322" s="18"/>
      <c r="X1322" s="18"/>
      <c r="Y1322" s="18"/>
      <c r="Z1322" s="18"/>
      <c r="AA1322" s="18"/>
      <c r="AB1322" s="18"/>
      <c r="AC1322" s="18"/>
      <c r="AD1322" s="19"/>
      <c r="AE1322" s="18"/>
      <c r="AF1322" s="18"/>
      <c r="AG1322" s="18"/>
      <c r="AH1322" s="18"/>
      <c r="AI1322" s="18"/>
      <c r="AJ1322" s="97"/>
      <c r="AK1322" s="18"/>
      <c r="AL1322" s="18"/>
    </row>
    <row r="1323" spans="4:38" x14ac:dyDescent="0.2">
      <c r="D1323" s="19"/>
      <c r="E1323" s="19"/>
      <c r="F1323" s="19"/>
      <c r="G1323" s="18"/>
      <c r="H1323" s="18"/>
      <c r="I1323" s="18"/>
      <c r="J1323" s="18"/>
      <c r="K1323" s="18"/>
      <c r="L1323" s="18"/>
      <c r="M1323" s="18"/>
      <c r="N1323" s="18"/>
      <c r="O1323" s="18"/>
      <c r="P1323" s="18"/>
      <c r="Q1323" s="18"/>
      <c r="R1323" s="18"/>
      <c r="S1323" s="18"/>
      <c r="T1323" s="18"/>
      <c r="U1323" s="18"/>
      <c r="V1323" s="18"/>
      <c r="W1323" s="18"/>
      <c r="X1323" s="18"/>
      <c r="Y1323" s="18"/>
      <c r="Z1323" s="18"/>
      <c r="AA1323" s="18"/>
      <c r="AB1323" s="18"/>
      <c r="AC1323" s="18"/>
      <c r="AD1323" s="19"/>
      <c r="AE1323" s="18"/>
      <c r="AF1323" s="18"/>
      <c r="AG1323" s="18"/>
      <c r="AH1323" s="18"/>
      <c r="AI1323" s="18"/>
      <c r="AJ1323" s="97"/>
      <c r="AK1323" s="18"/>
      <c r="AL1323" s="18"/>
    </row>
    <row r="1324" spans="4:38" x14ac:dyDescent="0.2">
      <c r="D1324" s="19"/>
      <c r="E1324" s="19"/>
      <c r="F1324" s="19"/>
      <c r="G1324" s="18"/>
      <c r="H1324" s="18"/>
      <c r="I1324" s="18"/>
      <c r="J1324" s="18"/>
      <c r="K1324" s="18"/>
      <c r="L1324" s="18"/>
      <c r="M1324" s="18"/>
      <c r="N1324" s="18"/>
      <c r="O1324" s="18"/>
      <c r="P1324" s="18"/>
      <c r="Q1324" s="18"/>
      <c r="R1324" s="18"/>
      <c r="S1324" s="18"/>
      <c r="T1324" s="18"/>
      <c r="U1324" s="18"/>
      <c r="V1324" s="18"/>
      <c r="W1324" s="18"/>
      <c r="X1324" s="18"/>
      <c r="Y1324" s="18"/>
      <c r="Z1324" s="18"/>
      <c r="AA1324" s="18"/>
      <c r="AB1324" s="18"/>
      <c r="AC1324" s="18"/>
      <c r="AD1324" s="19"/>
      <c r="AE1324" s="18"/>
      <c r="AF1324" s="18"/>
      <c r="AG1324" s="18"/>
      <c r="AH1324" s="18"/>
      <c r="AI1324" s="18"/>
      <c r="AJ1324" s="97"/>
      <c r="AK1324" s="18"/>
      <c r="AL1324" s="18"/>
    </row>
    <row r="1325" spans="4:38" x14ac:dyDescent="0.2">
      <c r="D1325" s="19"/>
      <c r="E1325" s="19"/>
      <c r="F1325" s="19"/>
      <c r="G1325" s="18"/>
      <c r="H1325" s="18"/>
      <c r="I1325" s="18"/>
      <c r="J1325" s="18"/>
      <c r="K1325" s="18"/>
      <c r="L1325" s="18"/>
      <c r="M1325" s="18"/>
      <c r="N1325" s="18"/>
      <c r="O1325" s="18"/>
      <c r="P1325" s="18"/>
      <c r="Q1325" s="18"/>
      <c r="R1325" s="18"/>
      <c r="S1325" s="18"/>
      <c r="T1325" s="18"/>
      <c r="U1325" s="18"/>
      <c r="V1325" s="18"/>
      <c r="W1325" s="18"/>
      <c r="X1325" s="18"/>
      <c r="Y1325" s="18"/>
      <c r="Z1325" s="18"/>
      <c r="AA1325" s="18"/>
      <c r="AB1325" s="18"/>
      <c r="AC1325" s="18"/>
      <c r="AD1325" s="19"/>
      <c r="AE1325" s="18"/>
      <c r="AF1325" s="18"/>
      <c r="AG1325" s="18"/>
      <c r="AH1325" s="18"/>
      <c r="AI1325" s="18"/>
      <c r="AJ1325" s="97"/>
      <c r="AK1325" s="18"/>
      <c r="AL1325" s="18"/>
    </row>
    <row r="1326" spans="4:38" x14ac:dyDescent="0.2">
      <c r="D1326" s="19"/>
      <c r="E1326" s="19"/>
      <c r="F1326" s="19"/>
      <c r="G1326" s="18"/>
      <c r="H1326" s="18"/>
      <c r="I1326" s="18"/>
      <c r="J1326" s="18"/>
      <c r="K1326" s="18"/>
      <c r="L1326" s="18"/>
      <c r="M1326" s="18"/>
      <c r="N1326" s="18"/>
      <c r="O1326" s="18"/>
      <c r="P1326" s="18"/>
      <c r="Q1326" s="18"/>
      <c r="R1326" s="18"/>
      <c r="S1326" s="18"/>
      <c r="T1326" s="18"/>
      <c r="U1326" s="18"/>
      <c r="V1326" s="18"/>
      <c r="W1326" s="18"/>
      <c r="X1326" s="18"/>
      <c r="Y1326" s="18"/>
      <c r="Z1326" s="18"/>
      <c r="AA1326" s="18"/>
      <c r="AB1326" s="18"/>
      <c r="AC1326" s="18"/>
      <c r="AD1326" s="19"/>
      <c r="AE1326" s="18"/>
      <c r="AF1326" s="18"/>
      <c r="AG1326" s="18"/>
      <c r="AH1326" s="18"/>
      <c r="AI1326" s="18"/>
      <c r="AJ1326" s="97"/>
      <c r="AK1326" s="18"/>
      <c r="AL1326" s="18"/>
    </row>
    <row r="1327" spans="4:38" x14ac:dyDescent="0.2">
      <c r="D1327" s="19"/>
      <c r="E1327" s="19"/>
      <c r="F1327" s="19"/>
      <c r="G1327" s="18"/>
      <c r="H1327" s="18"/>
      <c r="I1327" s="18"/>
      <c r="J1327" s="18"/>
      <c r="K1327" s="18"/>
      <c r="L1327" s="18"/>
      <c r="M1327" s="18"/>
      <c r="N1327" s="18"/>
      <c r="O1327" s="18"/>
      <c r="P1327" s="18"/>
      <c r="Q1327" s="18"/>
      <c r="R1327" s="18"/>
      <c r="S1327" s="18"/>
      <c r="T1327" s="18"/>
      <c r="U1327" s="18"/>
      <c r="V1327" s="18"/>
      <c r="W1327" s="18"/>
      <c r="X1327" s="18"/>
      <c r="Y1327" s="18"/>
      <c r="Z1327" s="18"/>
      <c r="AA1327" s="18"/>
      <c r="AB1327" s="18"/>
      <c r="AC1327" s="18"/>
      <c r="AD1327" s="19"/>
      <c r="AE1327" s="18"/>
      <c r="AF1327" s="18"/>
      <c r="AG1327" s="18"/>
      <c r="AH1327" s="18"/>
      <c r="AI1327" s="18"/>
      <c r="AJ1327" s="97"/>
      <c r="AK1327" s="18"/>
      <c r="AL1327" s="18"/>
    </row>
    <row r="1328" spans="4:38" x14ac:dyDescent="0.2">
      <c r="D1328" s="19"/>
      <c r="E1328" s="19"/>
      <c r="F1328" s="19"/>
      <c r="G1328" s="18"/>
      <c r="H1328" s="18"/>
      <c r="I1328" s="18"/>
      <c r="J1328" s="18"/>
      <c r="K1328" s="18"/>
      <c r="L1328" s="18"/>
      <c r="M1328" s="18"/>
      <c r="N1328" s="18"/>
      <c r="O1328" s="18"/>
      <c r="P1328" s="18"/>
      <c r="Q1328" s="18"/>
      <c r="R1328" s="18"/>
      <c r="S1328" s="18"/>
      <c r="T1328" s="18"/>
      <c r="U1328" s="18"/>
      <c r="V1328" s="18"/>
      <c r="W1328" s="18"/>
      <c r="X1328" s="18"/>
      <c r="Y1328" s="18"/>
      <c r="Z1328" s="18"/>
      <c r="AA1328" s="18"/>
      <c r="AB1328" s="18"/>
      <c r="AC1328" s="18"/>
      <c r="AD1328" s="19"/>
      <c r="AE1328" s="18"/>
      <c r="AF1328" s="18"/>
      <c r="AG1328" s="18"/>
      <c r="AH1328" s="18"/>
      <c r="AI1328" s="18"/>
      <c r="AJ1328" s="97"/>
      <c r="AK1328" s="18"/>
      <c r="AL1328" s="18"/>
    </row>
    <row r="1329" spans="4:38" x14ac:dyDescent="0.2">
      <c r="D1329" s="19"/>
      <c r="E1329" s="19"/>
      <c r="F1329" s="19"/>
      <c r="G1329" s="18"/>
      <c r="H1329" s="18"/>
      <c r="I1329" s="18"/>
      <c r="J1329" s="18"/>
      <c r="K1329" s="18"/>
      <c r="L1329" s="18"/>
      <c r="M1329" s="18"/>
      <c r="N1329" s="18"/>
      <c r="O1329" s="18"/>
      <c r="P1329" s="18"/>
      <c r="Q1329" s="18"/>
      <c r="R1329" s="18"/>
      <c r="S1329" s="18"/>
      <c r="T1329" s="18"/>
      <c r="U1329" s="18"/>
      <c r="V1329" s="18"/>
      <c r="W1329" s="18"/>
      <c r="X1329" s="18"/>
      <c r="Y1329" s="18"/>
      <c r="Z1329" s="18"/>
      <c r="AA1329" s="18"/>
      <c r="AB1329" s="18"/>
      <c r="AC1329" s="18"/>
      <c r="AD1329" s="19"/>
      <c r="AE1329" s="18"/>
      <c r="AF1329" s="18"/>
      <c r="AG1329" s="18"/>
      <c r="AH1329" s="18"/>
      <c r="AI1329" s="18"/>
      <c r="AJ1329" s="97"/>
      <c r="AK1329" s="18"/>
      <c r="AL1329" s="18"/>
    </row>
    <row r="1330" spans="4:38" x14ac:dyDescent="0.2">
      <c r="D1330" s="19"/>
      <c r="E1330" s="19"/>
      <c r="F1330" s="19"/>
      <c r="G1330" s="18"/>
      <c r="H1330" s="18"/>
      <c r="I1330" s="18"/>
      <c r="J1330" s="18"/>
      <c r="K1330" s="18"/>
      <c r="L1330" s="18"/>
      <c r="M1330" s="18"/>
      <c r="N1330" s="18"/>
      <c r="O1330" s="18"/>
      <c r="P1330" s="18"/>
      <c r="Q1330" s="18"/>
      <c r="R1330" s="18"/>
      <c r="S1330" s="18"/>
      <c r="T1330" s="18"/>
      <c r="U1330" s="18"/>
      <c r="V1330" s="18"/>
      <c r="W1330" s="18"/>
      <c r="X1330" s="18"/>
      <c r="Y1330" s="18"/>
      <c r="Z1330" s="18"/>
      <c r="AA1330" s="18"/>
      <c r="AB1330" s="18"/>
      <c r="AC1330" s="18"/>
      <c r="AD1330" s="19"/>
      <c r="AE1330" s="18"/>
      <c r="AF1330" s="18"/>
      <c r="AG1330" s="18"/>
      <c r="AH1330" s="18"/>
      <c r="AI1330" s="18"/>
      <c r="AJ1330" s="97"/>
      <c r="AK1330" s="18"/>
      <c r="AL1330" s="18"/>
    </row>
    <row r="1331" spans="4:38" x14ac:dyDescent="0.2">
      <c r="D1331" s="19"/>
      <c r="E1331" s="19"/>
      <c r="F1331" s="19"/>
      <c r="G1331" s="18"/>
      <c r="H1331" s="18"/>
      <c r="I1331" s="18"/>
      <c r="J1331" s="18"/>
      <c r="K1331" s="18"/>
      <c r="L1331" s="18"/>
      <c r="M1331" s="18"/>
      <c r="N1331" s="18"/>
      <c r="O1331" s="18"/>
      <c r="P1331" s="18"/>
      <c r="Q1331" s="18"/>
      <c r="R1331" s="18"/>
      <c r="S1331" s="18"/>
      <c r="T1331" s="18"/>
      <c r="U1331" s="18"/>
      <c r="V1331" s="18"/>
      <c r="W1331" s="18"/>
      <c r="X1331" s="18"/>
      <c r="Y1331" s="18"/>
      <c r="Z1331" s="18"/>
      <c r="AA1331" s="18"/>
      <c r="AB1331" s="18"/>
      <c r="AC1331" s="18"/>
      <c r="AD1331" s="19"/>
      <c r="AE1331" s="18"/>
      <c r="AF1331" s="18"/>
      <c r="AG1331" s="18"/>
      <c r="AH1331" s="18"/>
      <c r="AI1331" s="18"/>
      <c r="AJ1331" s="97"/>
      <c r="AK1331" s="18"/>
      <c r="AL1331" s="18"/>
    </row>
    <row r="1332" spans="4:38" x14ac:dyDescent="0.2">
      <c r="D1332" s="19"/>
      <c r="E1332" s="19"/>
      <c r="F1332" s="19"/>
      <c r="G1332" s="18"/>
      <c r="H1332" s="18"/>
      <c r="I1332" s="18"/>
      <c r="J1332" s="18"/>
      <c r="K1332" s="18"/>
      <c r="L1332" s="18"/>
      <c r="M1332" s="18"/>
      <c r="N1332" s="18"/>
      <c r="O1332" s="18"/>
      <c r="P1332" s="18"/>
      <c r="Q1332" s="18"/>
      <c r="R1332" s="18"/>
      <c r="S1332" s="18"/>
      <c r="T1332" s="18"/>
      <c r="U1332" s="18"/>
      <c r="V1332" s="18"/>
      <c r="W1332" s="18"/>
      <c r="X1332" s="18"/>
      <c r="Y1332" s="18"/>
      <c r="Z1332" s="18"/>
      <c r="AA1332" s="18"/>
      <c r="AB1332" s="18"/>
      <c r="AC1332" s="18"/>
      <c r="AD1332" s="19"/>
      <c r="AE1332" s="18"/>
      <c r="AF1332" s="18"/>
      <c r="AG1332" s="18"/>
      <c r="AH1332" s="18"/>
      <c r="AI1332" s="18"/>
      <c r="AJ1332" s="97"/>
      <c r="AK1332" s="18"/>
      <c r="AL1332" s="18"/>
    </row>
    <row r="1333" spans="4:38" x14ac:dyDescent="0.2">
      <c r="D1333" s="19"/>
      <c r="E1333" s="19"/>
      <c r="F1333" s="19"/>
      <c r="G1333" s="18"/>
      <c r="H1333" s="18"/>
      <c r="I1333" s="18"/>
      <c r="J1333" s="18"/>
      <c r="K1333" s="18"/>
      <c r="L1333" s="18"/>
      <c r="M1333" s="18"/>
      <c r="N1333" s="18"/>
      <c r="O1333" s="18"/>
      <c r="P1333" s="18"/>
      <c r="Q1333" s="18"/>
      <c r="R1333" s="18"/>
      <c r="S1333" s="18"/>
      <c r="T1333" s="18"/>
      <c r="U1333" s="18"/>
      <c r="V1333" s="18"/>
      <c r="W1333" s="18"/>
      <c r="X1333" s="18"/>
      <c r="Y1333" s="18"/>
      <c r="Z1333" s="18"/>
      <c r="AA1333" s="18"/>
      <c r="AB1333" s="18"/>
      <c r="AC1333" s="18"/>
      <c r="AD1333" s="19"/>
      <c r="AE1333" s="18"/>
      <c r="AF1333" s="18"/>
      <c r="AG1333" s="18"/>
      <c r="AH1333" s="18"/>
      <c r="AI1333" s="18"/>
      <c r="AJ1333" s="97"/>
      <c r="AK1333" s="18"/>
      <c r="AL1333" s="18"/>
    </row>
    <row r="1334" spans="4:38" x14ac:dyDescent="0.2">
      <c r="D1334" s="19"/>
      <c r="E1334" s="19"/>
      <c r="F1334" s="19"/>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c r="AC1334" s="18"/>
      <c r="AD1334" s="19"/>
      <c r="AE1334" s="18"/>
      <c r="AF1334" s="18"/>
      <c r="AG1334" s="18"/>
      <c r="AH1334" s="18"/>
      <c r="AI1334" s="18"/>
      <c r="AJ1334" s="97"/>
      <c r="AK1334" s="18"/>
      <c r="AL1334" s="18"/>
    </row>
    <row r="1335" spans="4:38" x14ac:dyDescent="0.2">
      <c r="D1335" s="19"/>
      <c r="E1335" s="19"/>
      <c r="F1335" s="19"/>
      <c r="G1335" s="18"/>
      <c r="H1335" s="18"/>
      <c r="I1335" s="18"/>
      <c r="J1335" s="18"/>
      <c r="K1335" s="18"/>
      <c r="L1335" s="18"/>
      <c r="M1335" s="18"/>
      <c r="N1335" s="18"/>
      <c r="O1335" s="18"/>
      <c r="P1335" s="18"/>
      <c r="Q1335" s="18"/>
      <c r="R1335" s="18"/>
      <c r="S1335" s="18"/>
      <c r="T1335" s="18"/>
      <c r="U1335" s="18"/>
      <c r="V1335" s="18"/>
      <c r="W1335" s="18"/>
      <c r="X1335" s="18"/>
      <c r="Y1335" s="18"/>
      <c r="Z1335" s="18"/>
      <c r="AA1335" s="18"/>
      <c r="AB1335" s="18"/>
      <c r="AC1335" s="18"/>
      <c r="AD1335" s="19"/>
      <c r="AE1335" s="18"/>
      <c r="AF1335" s="18"/>
      <c r="AG1335" s="18"/>
      <c r="AH1335" s="18"/>
      <c r="AI1335" s="18"/>
      <c r="AJ1335" s="97"/>
      <c r="AK1335" s="18"/>
      <c r="AL1335" s="18"/>
    </row>
    <row r="1336" spans="4:38" x14ac:dyDescent="0.2">
      <c r="D1336" s="19"/>
      <c r="E1336" s="19"/>
      <c r="F1336" s="19"/>
      <c r="G1336" s="18"/>
      <c r="H1336" s="18"/>
      <c r="I1336" s="18"/>
      <c r="J1336" s="18"/>
      <c r="K1336" s="18"/>
      <c r="L1336" s="18"/>
      <c r="M1336" s="18"/>
      <c r="N1336" s="18"/>
      <c r="O1336" s="18"/>
      <c r="P1336" s="18"/>
      <c r="Q1336" s="18"/>
      <c r="R1336" s="18"/>
      <c r="S1336" s="18"/>
      <c r="T1336" s="18"/>
      <c r="U1336" s="18"/>
      <c r="V1336" s="18"/>
      <c r="W1336" s="18"/>
      <c r="X1336" s="18"/>
      <c r="Y1336" s="18"/>
      <c r="Z1336" s="18"/>
      <c r="AA1336" s="18"/>
      <c r="AB1336" s="18"/>
      <c r="AC1336" s="18"/>
      <c r="AD1336" s="19"/>
      <c r="AE1336" s="18"/>
      <c r="AF1336" s="18"/>
      <c r="AG1336" s="18"/>
      <c r="AH1336" s="18"/>
      <c r="AI1336" s="18"/>
      <c r="AJ1336" s="97"/>
      <c r="AK1336" s="18"/>
      <c r="AL1336" s="18"/>
    </row>
    <row r="1337" spans="4:38" x14ac:dyDescent="0.2">
      <c r="D1337" s="19"/>
      <c r="E1337" s="19"/>
      <c r="F1337" s="19"/>
      <c r="G1337" s="18"/>
      <c r="H1337" s="18"/>
      <c r="I1337" s="18"/>
      <c r="J1337" s="18"/>
      <c r="K1337" s="18"/>
      <c r="L1337" s="18"/>
      <c r="M1337" s="18"/>
      <c r="N1337" s="18"/>
      <c r="O1337" s="18"/>
      <c r="P1337" s="18"/>
      <c r="Q1337" s="18"/>
      <c r="R1337" s="18"/>
      <c r="S1337" s="18"/>
      <c r="T1337" s="18"/>
      <c r="U1337" s="18"/>
      <c r="V1337" s="18"/>
      <c r="W1337" s="18"/>
      <c r="X1337" s="18"/>
      <c r="Y1337" s="18"/>
      <c r="Z1337" s="18"/>
      <c r="AA1337" s="18"/>
      <c r="AB1337" s="18"/>
      <c r="AC1337" s="18"/>
      <c r="AD1337" s="19"/>
      <c r="AE1337" s="18"/>
      <c r="AF1337" s="18"/>
      <c r="AG1337" s="18"/>
      <c r="AH1337" s="18"/>
      <c r="AI1337" s="18"/>
      <c r="AJ1337" s="97"/>
      <c r="AK1337" s="18"/>
      <c r="AL1337" s="18"/>
    </row>
    <row r="1338" spans="4:38" x14ac:dyDescent="0.2">
      <c r="D1338" s="19"/>
      <c r="E1338" s="19"/>
      <c r="F1338" s="19"/>
      <c r="G1338" s="18"/>
      <c r="H1338" s="18"/>
      <c r="I1338" s="18"/>
      <c r="J1338" s="18"/>
      <c r="K1338" s="18"/>
      <c r="L1338" s="18"/>
      <c r="M1338" s="18"/>
      <c r="N1338" s="18"/>
      <c r="O1338" s="18"/>
      <c r="P1338" s="18"/>
      <c r="Q1338" s="18"/>
      <c r="R1338" s="18"/>
      <c r="S1338" s="18"/>
      <c r="T1338" s="18"/>
      <c r="U1338" s="18"/>
      <c r="V1338" s="18"/>
      <c r="W1338" s="18"/>
      <c r="X1338" s="18"/>
      <c r="Y1338" s="18"/>
      <c r="Z1338" s="18"/>
      <c r="AA1338" s="18"/>
      <c r="AB1338" s="18"/>
      <c r="AC1338" s="18"/>
      <c r="AD1338" s="19"/>
      <c r="AE1338" s="18"/>
      <c r="AF1338" s="18"/>
      <c r="AG1338" s="18"/>
      <c r="AH1338" s="18"/>
      <c r="AI1338" s="18"/>
      <c r="AJ1338" s="97"/>
      <c r="AK1338" s="18"/>
      <c r="AL1338" s="18"/>
    </row>
    <row r="1339" spans="4:38" x14ac:dyDescent="0.2">
      <c r="D1339" s="19"/>
      <c r="E1339" s="19"/>
      <c r="F1339" s="19"/>
      <c r="G1339" s="18"/>
      <c r="H1339" s="18"/>
      <c r="I1339" s="18"/>
      <c r="J1339" s="18"/>
      <c r="K1339" s="18"/>
      <c r="L1339" s="18"/>
      <c r="M1339" s="18"/>
      <c r="N1339" s="18"/>
      <c r="O1339" s="18"/>
      <c r="P1339" s="18"/>
      <c r="Q1339" s="18"/>
      <c r="R1339" s="18"/>
      <c r="S1339" s="18"/>
      <c r="T1339" s="18"/>
      <c r="U1339" s="18"/>
      <c r="V1339" s="18"/>
      <c r="W1339" s="18"/>
      <c r="X1339" s="18"/>
      <c r="Y1339" s="18"/>
      <c r="Z1339" s="18"/>
      <c r="AA1339" s="18"/>
      <c r="AB1339" s="18"/>
      <c r="AC1339" s="18"/>
      <c r="AD1339" s="19"/>
      <c r="AE1339" s="18"/>
      <c r="AF1339" s="18"/>
      <c r="AG1339" s="18"/>
      <c r="AH1339" s="18"/>
      <c r="AI1339" s="18"/>
      <c r="AJ1339" s="97"/>
      <c r="AK1339" s="18"/>
      <c r="AL1339" s="18"/>
    </row>
    <row r="1340" spans="4:38" x14ac:dyDescent="0.2">
      <c r="D1340" s="19"/>
      <c r="E1340" s="19"/>
      <c r="F1340" s="19"/>
      <c r="G1340" s="18"/>
      <c r="H1340" s="18"/>
      <c r="I1340" s="18"/>
      <c r="J1340" s="18"/>
      <c r="K1340" s="18"/>
      <c r="L1340" s="18"/>
      <c r="M1340" s="18"/>
      <c r="N1340" s="18"/>
      <c r="O1340" s="18"/>
      <c r="P1340" s="18"/>
      <c r="Q1340" s="18"/>
      <c r="R1340" s="18"/>
      <c r="S1340" s="18"/>
      <c r="T1340" s="18"/>
      <c r="U1340" s="18"/>
      <c r="V1340" s="18"/>
      <c r="W1340" s="18"/>
      <c r="X1340" s="18"/>
      <c r="Y1340" s="18"/>
      <c r="Z1340" s="18"/>
      <c r="AA1340" s="18"/>
      <c r="AB1340" s="18"/>
      <c r="AC1340" s="18"/>
      <c r="AD1340" s="19"/>
      <c r="AE1340" s="18"/>
      <c r="AF1340" s="18"/>
      <c r="AG1340" s="18"/>
      <c r="AH1340" s="18"/>
      <c r="AI1340" s="18"/>
      <c r="AJ1340" s="97"/>
      <c r="AK1340" s="18"/>
      <c r="AL1340" s="18"/>
    </row>
    <row r="1341" spans="4:38" x14ac:dyDescent="0.2">
      <c r="D1341" s="19"/>
      <c r="E1341" s="19"/>
      <c r="F1341" s="19"/>
      <c r="G1341" s="18"/>
      <c r="H1341" s="18"/>
      <c r="I1341" s="18"/>
      <c r="J1341" s="18"/>
      <c r="K1341" s="18"/>
      <c r="L1341" s="18"/>
      <c r="M1341" s="18"/>
      <c r="N1341" s="18"/>
      <c r="O1341" s="18"/>
      <c r="P1341" s="18"/>
      <c r="Q1341" s="18"/>
      <c r="R1341" s="18"/>
      <c r="S1341" s="18"/>
      <c r="T1341" s="18"/>
      <c r="U1341" s="18"/>
      <c r="V1341" s="18"/>
      <c r="W1341" s="18"/>
      <c r="X1341" s="18"/>
      <c r="Y1341" s="18"/>
      <c r="Z1341" s="18"/>
      <c r="AA1341" s="18"/>
      <c r="AB1341" s="18"/>
      <c r="AC1341" s="18"/>
      <c r="AD1341" s="19"/>
      <c r="AE1341" s="18"/>
      <c r="AF1341" s="18"/>
      <c r="AG1341" s="18"/>
      <c r="AH1341" s="18"/>
      <c r="AI1341" s="18"/>
      <c r="AJ1341" s="97"/>
      <c r="AK1341" s="18"/>
      <c r="AL1341" s="18"/>
    </row>
    <row r="1342" spans="4:38" x14ac:dyDescent="0.2">
      <c r="D1342" s="19"/>
      <c r="E1342" s="19"/>
      <c r="F1342" s="19"/>
      <c r="G1342" s="18"/>
      <c r="H1342" s="18"/>
      <c r="I1342" s="18"/>
      <c r="J1342" s="18"/>
      <c r="K1342" s="18"/>
      <c r="L1342" s="18"/>
      <c r="M1342" s="18"/>
      <c r="N1342" s="18"/>
      <c r="O1342" s="18"/>
      <c r="P1342" s="18"/>
      <c r="Q1342" s="18"/>
      <c r="R1342" s="18"/>
      <c r="S1342" s="18"/>
      <c r="T1342" s="18"/>
      <c r="U1342" s="18"/>
      <c r="V1342" s="18"/>
      <c r="W1342" s="18"/>
      <c r="X1342" s="18"/>
      <c r="Y1342" s="18"/>
      <c r="Z1342" s="18"/>
      <c r="AA1342" s="18"/>
      <c r="AB1342" s="18"/>
      <c r="AC1342" s="18"/>
      <c r="AD1342" s="19"/>
      <c r="AE1342" s="18"/>
      <c r="AF1342" s="18"/>
      <c r="AG1342" s="18"/>
      <c r="AH1342" s="18"/>
      <c r="AI1342" s="18"/>
      <c r="AJ1342" s="97"/>
      <c r="AK1342" s="18"/>
      <c r="AL1342" s="18"/>
    </row>
    <row r="1343" spans="4:38" x14ac:dyDescent="0.2">
      <c r="D1343" s="19"/>
      <c r="E1343" s="19"/>
      <c r="F1343" s="19"/>
      <c r="G1343" s="18"/>
      <c r="H1343" s="18"/>
      <c r="I1343" s="18"/>
      <c r="J1343" s="18"/>
      <c r="K1343" s="18"/>
      <c r="L1343" s="18"/>
      <c r="M1343" s="18"/>
      <c r="N1343" s="18"/>
      <c r="O1343" s="18"/>
      <c r="P1343" s="18"/>
      <c r="Q1343" s="18"/>
      <c r="R1343" s="18"/>
      <c r="S1343" s="18"/>
      <c r="T1343" s="18"/>
      <c r="U1343" s="18"/>
      <c r="V1343" s="18"/>
      <c r="W1343" s="18"/>
      <c r="X1343" s="18"/>
      <c r="Y1343" s="18"/>
      <c r="Z1343" s="18"/>
      <c r="AA1343" s="18"/>
      <c r="AB1343" s="18"/>
      <c r="AC1343" s="18"/>
      <c r="AD1343" s="19"/>
      <c r="AE1343" s="18"/>
      <c r="AF1343" s="18"/>
      <c r="AG1343" s="18"/>
      <c r="AH1343" s="18"/>
      <c r="AI1343" s="18"/>
      <c r="AJ1343" s="97"/>
      <c r="AK1343" s="18"/>
      <c r="AL1343" s="18"/>
    </row>
    <row r="1344" spans="4:38" x14ac:dyDescent="0.2">
      <c r="D1344" s="19"/>
      <c r="E1344" s="19"/>
      <c r="F1344" s="19"/>
      <c r="G1344" s="18"/>
      <c r="H1344" s="18"/>
      <c r="I1344" s="18"/>
      <c r="J1344" s="18"/>
      <c r="K1344" s="18"/>
      <c r="L1344" s="18"/>
      <c r="M1344" s="18"/>
      <c r="N1344" s="18"/>
      <c r="O1344" s="18"/>
      <c r="P1344" s="18"/>
      <c r="Q1344" s="18"/>
      <c r="R1344" s="18"/>
      <c r="S1344" s="18"/>
      <c r="T1344" s="18"/>
      <c r="U1344" s="18"/>
      <c r="V1344" s="18"/>
      <c r="W1344" s="18"/>
      <c r="X1344" s="18"/>
      <c r="Y1344" s="18"/>
      <c r="Z1344" s="18"/>
      <c r="AA1344" s="18"/>
      <c r="AB1344" s="18"/>
      <c r="AC1344" s="18"/>
      <c r="AD1344" s="19"/>
      <c r="AE1344" s="18"/>
      <c r="AF1344" s="18"/>
      <c r="AG1344" s="18"/>
      <c r="AH1344" s="18"/>
      <c r="AI1344" s="18"/>
      <c r="AJ1344" s="97"/>
      <c r="AK1344" s="18"/>
      <c r="AL1344" s="18"/>
    </row>
    <row r="1345" spans="4:38" x14ac:dyDescent="0.2">
      <c r="D1345" s="19"/>
      <c r="E1345" s="19"/>
      <c r="F1345" s="19"/>
      <c r="G1345" s="18"/>
      <c r="H1345" s="18"/>
      <c r="I1345" s="18"/>
      <c r="J1345" s="18"/>
      <c r="K1345" s="18"/>
      <c r="L1345" s="18"/>
      <c r="M1345" s="18"/>
      <c r="N1345" s="18"/>
      <c r="O1345" s="18"/>
      <c r="P1345" s="18"/>
      <c r="Q1345" s="18"/>
      <c r="R1345" s="18"/>
      <c r="S1345" s="18"/>
      <c r="T1345" s="18"/>
      <c r="U1345" s="18"/>
      <c r="V1345" s="18"/>
      <c r="W1345" s="18"/>
      <c r="X1345" s="18"/>
      <c r="Y1345" s="18"/>
      <c r="Z1345" s="18"/>
      <c r="AA1345" s="18"/>
      <c r="AB1345" s="18"/>
      <c r="AC1345" s="18"/>
      <c r="AD1345" s="19"/>
      <c r="AE1345" s="18"/>
      <c r="AF1345" s="18"/>
      <c r="AG1345" s="18"/>
      <c r="AH1345" s="18"/>
      <c r="AI1345" s="18"/>
      <c r="AJ1345" s="97"/>
      <c r="AK1345" s="18"/>
      <c r="AL1345" s="18"/>
    </row>
    <row r="1346" spans="4:38" x14ac:dyDescent="0.2">
      <c r="D1346" s="19"/>
      <c r="E1346" s="19"/>
      <c r="F1346" s="19"/>
      <c r="G1346" s="18"/>
      <c r="H1346" s="18"/>
      <c r="I1346" s="18"/>
      <c r="J1346" s="18"/>
      <c r="K1346" s="18"/>
      <c r="L1346" s="18"/>
      <c r="M1346" s="18"/>
      <c r="N1346" s="18"/>
      <c r="O1346" s="18"/>
      <c r="P1346" s="18"/>
      <c r="Q1346" s="18"/>
      <c r="R1346" s="18"/>
      <c r="S1346" s="18"/>
      <c r="T1346" s="18"/>
      <c r="U1346" s="18"/>
      <c r="V1346" s="18"/>
      <c r="W1346" s="18"/>
      <c r="X1346" s="18"/>
      <c r="Y1346" s="18"/>
      <c r="Z1346" s="18"/>
      <c r="AA1346" s="18"/>
      <c r="AB1346" s="18"/>
      <c r="AC1346" s="18"/>
      <c r="AD1346" s="19"/>
      <c r="AE1346" s="18"/>
      <c r="AF1346" s="18"/>
      <c r="AG1346" s="18"/>
      <c r="AH1346" s="18"/>
      <c r="AI1346" s="18"/>
      <c r="AJ1346" s="97"/>
      <c r="AK1346" s="18"/>
      <c r="AL1346" s="18"/>
    </row>
    <row r="1347" spans="4:38" x14ac:dyDescent="0.2">
      <c r="D1347" s="19"/>
      <c r="E1347" s="19"/>
      <c r="F1347" s="19"/>
      <c r="G1347" s="18"/>
      <c r="H1347" s="18"/>
      <c r="I1347" s="18"/>
      <c r="J1347" s="18"/>
      <c r="K1347" s="18"/>
      <c r="L1347" s="18"/>
      <c r="M1347" s="18"/>
      <c r="N1347" s="18"/>
      <c r="O1347" s="18"/>
      <c r="P1347" s="18"/>
      <c r="Q1347" s="18"/>
      <c r="R1347" s="18"/>
      <c r="S1347" s="18"/>
      <c r="T1347" s="18"/>
      <c r="U1347" s="18"/>
      <c r="V1347" s="18"/>
      <c r="W1347" s="18"/>
      <c r="X1347" s="18"/>
      <c r="Y1347" s="18"/>
      <c r="Z1347" s="18"/>
      <c r="AA1347" s="18"/>
      <c r="AB1347" s="18"/>
      <c r="AC1347" s="18"/>
      <c r="AD1347" s="19"/>
      <c r="AE1347" s="18"/>
      <c r="AF1347" s="18"/>
      <c r="AG1347" s="18"/>
      <c r="AH1347" s="18"/>
      <c r="AI1347" s="18"/>
      <c r="AJ1347" s="97"/>
      <c r="AK1347" s="18"/>
      <c r="AL1347" s="18"/>
    </row>
    <row r="1348" spans="4:38" x14ac:dyDescent="0.2">
      <c r="D1348" s="19"/>
      <c r="E1348" s="19"/>
      <c r="F1348" s="19"/>
      <c r="G1348" s="18"/>
      <c r="H1348" s="18"/>
      <c r="I1348" s="18"/>
      <c r="J1348" s="18"/>
      <c r="K1348" s="18"/>
      <c r="L1348" s="18"/>
      <c r="M1348" s="18"/>
      <c r="N1348" s="18"/>
      <c r="O1348" s="18"/>
      <c r="P1348" s="18"/>
      <c r="Q1348" s="18"/>
      <c r="R1348" s="18"/>
      <c r="S1348" s="18"/>
      <c r="T1348" s="18"/>
      <c r="U1348" s="18"/>
      <c r="V1348" s="18"/>
      <c r="W1348" s="18"/>
      <c r="X1348" s="18"/>
      <c r="Y1348" s="18"/>
      <c r="Z1348" s="18"/>
      <c r="AA1348" s="18"/>
      <c r="AB1348" s="18"/>
      <c r="AC1348" s="18"/>
      <c r="AD1348" s="19"/>
      <c r="AE1348" s="18"/>
      <c r="AF1348" s="18"/>
      <c r="AG1348" s="18"/>
      <c r="AH1348" s="18"/>
      <c r="AI1348" s="18"/>
      <c r="AJ1348" s="97"/>
      <c r="AK1348" s="18"/>
      <c r="AL1348" s="18"/>
    </row>
    <row r="1349" spans="4:38" x14ac:dyDescent="0.2">
      <c r="D1349" s="19"/>
      <c r="E1349" s="19"/>
      <c r="F1349" s="19"/>
      <c r="G1349" s="18"/>
      <c r="H1349" s="18"/>
      <c r="I1349" s="18"/>
      <c r="J1349" s="18"/>
      <c r="K1349" s="18"/>
      <c r="L1349" s="18"/>
      <c r="M1349" s="18"/>
      <c r="N1349" s="18"/>
      <c r="O1349" s="18"/>
      <c r="P1349" s="18"/>
      <c r="Q1349" s="18"/>
      <c r="R1349" s="18"/>
      <c r="S1349" s="18"/>
      <c r="T1349" s="18"/>
      <c r="U1349" s="18"/>
      <c r="V1349" s="18"/>
      <c r="W1349" s="18"/>
      <c r="X1349" s="18"/>
      <c r="Y1349" s="18"/>
      <c r="Z1349" s="18"/>
      <c r="AA1349" s="18"/>
      <c r="AB1349" s="18"/>
      <c r="AC1349" s="18"/>
      <c r="AD1349" s="19"/>
      <c r="AE1349" s="18"/>
      <c r="AF1349" s="18"/>
      <c r="AG1349" s="18"/>
      <c r="AH1349" s="18"/>
      <c r="AI1349" s="18"/>
      <c r="AJ1349" s="97"/>
      <c r="AK1349" s="18"/>
      <c r="AL1349" s="18"/>
    </row>
    <row r="1350" spans="4:38" x14ac:dyDescent="0.2">
      <c r="D1350" s="19"/>
      <c r="E1350" s="19"/>
      <c r="F1350" s="19"/>
      <c r="G1350" s="18"/>
      <c r="H1350" s="18"/>
      <c r="I1350" s="18"/>
      <c r="J1350" s="18"/>
      <c r="K1350" s="18"/>
      <c r="L1350" s="18"/>
      <c r="M1350" s="18"/>
      <c r="N1350" s="18"/>
      <c r="O1350" s="18"/>
      <c r="P1350" s="18"/>
      <c r="Q1350" s="18"/>
      <c r="R1350" s="18"/>
      <c r="S1350" s="18"/>
      <c r="T1350" s="18"/>
      <c r="U1350" s="18"/>
      <c r="V1350" s="18"/>
      <c r="W1350" s="18"/>
      <c r="X1350" s="18"/>
      <c r="Y1350" s="18"/>
      <c r="Z1350" s="18"/>
      <c r="AA1350" s="18"/>
      <c r="AB1350" s="18"/>
      <c r="AC1350" s="18"/>
      <c r="AD1350" s="19"/>
      <c r="AE1350" s="18"/>
      <c r="AF1350" s="18"/>
      <c r="AG1350" s="18"/>
      <c r="AH1350" s="18"/>
      <c r="AI1350" s="18"/>
      <c r="AJ1350" s="97"/>
      <c r="AK1350" s="18"/>
      <c r="AL1350" s="18"/>
    </row>
    <row r="1351" spans="4:38" x14ac:dyDescent="0.2">
      <c r="D1351" s="19"/>
      <c r="E1351" s="19"/>
      <c r="F1351" s="19"/>
      <c r="G1351" s="18"/>
      <c r="H1351" s="18"/>
      <c r="I1351" s="18"/>
      <c r="J1351" s="18"/>
      <c r="K1351" s="18"/>
      <c r="L1351" s="18"/>
      <c r="M1351" s="18"/>
      <c r="N1351" s="18"/>
      <c r="O1351" s="18"/>
      <c r="P1351" s="18"/>
      <c r="Q1351" s="18"/>
      <c r="R1351" s="18"/>
      <c r="S1351" s="18"/>
      <c r="T1351" s="18"/>
      <c r="U1351" s="18"/>
      <c r="V1351" s="18"/>
      <c r="W1351" s="18"/>
      <c r="X1351" s="18"/>
      <c r="Y1351" s="18"/>
      <c r="Z1351" s="18"/>
      <c r="AA1351" s="18"/>
      <c r="AB1351" s="18"/>
      <c r="AC1351" s="18"/>
      <c r="AD1351" s="19"/>
      <c r="AE1351" s="18"/>
      <c r="AF1351" s="18"/>
      <c r="AG1351" s="18"/>
      <c r="AH1351" s="18"/>
      <c r="AI1351" s="18"/>
      <c r="AJ1351" s="97"/>
      <c r="AK1351" s="18"/>
      <c r="AL1351" s="18"/>
    </row>
    <row r="1352" spans="4:38" x14ac:dyDescent="0.2">
      <c r="D1352" s="19"/>
      <c r="E1352" s="19"/>
      <c r="F1352" s="19"/>
      <c r="G1352" s="18"/>
      <c r="H1352" s="18"/>
      <c r="I1352" s="18"/>
      <c r="J1352" s="18"/>
      <c r="K1352" s="18"/>
      <c r="L1352" s="18"/>
      <c r="M1352" s="18"/>
      <c r="N1352" s="18"/>
      <c r="O1352" s="18"/>
      <c r="P1352" s="18"/>
      <c r="Q1352" s="18"/>
      <c r="R1352" s="18"/>
      <c r="S1352" s="18"/>
      <c r="T1352" s="18"/>
      <c r="U1352" s="18"/>
      <c r="V1352" s="18"/>
      <c r="W1352" s="18"/>
      <c r="X1352" s="18"/>
      <c r="Y1352" s="18"/>
      <c r="Z1352" s="18"/>
      <c r="AA1352" s="18"/>
      <c r="AB1352" s="18"/>
      <c r="AC1352" s="18"/>
      <c r="AD1352" s="19"/>
      <c r="AE1352" s="18"/>
      <c r="AF1352" s="18"/>
      <c r="AG1352" s="18"/>
      <c r="AH1352" s="18"/>
      <c r="AI1352" s="18"/>
      <c r="AJ1352" s="97"/>
      <c r="AK1352" s="18"/>
      <c r="AL1352" s="18"/>
    </row>
    <row r="1353" spans="4:38" x14ac:dyDescent="0.2">
      <c r="D1353" s="19"/>
      <c r="E1353" s="19"/>
      <c r="F1353" s="19"/>
      <c r="G1353" s="18"/>
      <c r="H1353" s="18"/>
      <c r="I1353" s="18"/>
      <c r="J1353" s="18"/>
      <c r="K1353" s="18"/>
      <c r="L1353" s="18"/>
      <c r="M1353" s="18"/>
      <c r="N1353" s="18"/>
      <c r="O1353" s="18"/>
      <c r="P1353" s="18"/>
      <c r="Q1353" s="18"/>
      <c r="R1353" s="18"/>
      <c r="S1353" s="18"/>
      <c r="T1353" s="18"/>
      <c r="U1353" s="18"/>
      <c r="V1353" s="18"/>
      <c r="W1353" s="18"/>
      <c r="X1353" s="18"/>
      <c r="Y1353" s="18"/>
      <c r="Z1353" s="18"/>
      <c r="AA1353" s="18"/>
      <c r="AB1353" s="18"/>
      <c r="AC1353" s="18"/>
      <c r="AD1353" s="19"/>
      <c r="AE1353" s="18"/>
      <c r="AF1353" s="18"/>
      <c r="AG1353" s="18"/>
      <c r="AH1353" s="18"/>
      <c r="AI1353" s="18"/>
      <c r="AJ1353" s="97"/>
      <c r="AK1353" s="18"/>
      <c r="AL1353" s="18"/>
    </row>
    <row r="1354" spans="4:38" x14ac:dyDescent="0.2">
      <c r="D1354" s="19"/>
      <c r="E1354" s="19"/>
      <c r="F1354" s="19"/>
      <c r="G1354" s="18"/>
      <c r="H1354" s="18"/>
      <c r="I1354" s="18"/>
      <c r="J1354" s="18"/>
      <c r="K1354" s="18"/>
      <c r="L1354" s="18"/>
      <c r="M1354" s="18"/>
      <c r="N1354" s="18"/>
      <c r="O1354" s="18"/>
      <c r="P1354" s="18"/>
      <c r="Q1354" s="18"/>
      <c r="R1354" s="18"/>
      <c r="S1354" s="18"/>
      <c r="T1354" s="18"/>
      <c r="U1354" s="18"/>
      <c r="V1354" s="18"/>
      <c r="W1354" s="18"/>
      <c r="X1354" s="18"/>
      <c r="Y1354" s="18"/>
      <c r="Z1354" s="18"/>
      <c r="AA1354" s="18"/>
      <c r="AB1354" s="18"/>
      <c r="AC1354" s="18"/>
      <c r="AD1354" s="19"/>
      <c r="AE1354" s="18"/>
      <c r="AF1354" s="18"/>
      <c r="AG1354" s="18"/>
      <c r="AH1354" s="18"/>
      <c r="AI1354" s="18"/>
      <c r="AJ1354" s="97"/>
      <c r="AK1354" s="18"/>
      <c r="AL1354" s="18"/>
    </row>
    <row r="1355" spans="4:38" x14ac:dyDescent="0.2">
      <c r="D1355" s="19"/>
      <c r="E1355" s="19"/>
      <c r="F1355" s="19"/>
      <c r="G1355" s="18"/>
      <c r="H1355" s="18"/>
      <c r="I1355" s="18"/>
      <c r="J1355" s="18"/>
      <c r="K1355" s="18"/>
      <c r="L1355" s="18"/>
      <c r="M1355" s="18"/>
      <c r="N1355" s="18"/>
      <c r="O1355" s="18"/>
      <c r="P1355" s="18"/>
      <c r="Q1355" s="18"/>
      <c r="R1355" s="18"/>
      <c r="S1355" s="18"/>
      <c r="T1355" s="18"/>
      <c r="U1355" s="18"/>
      <c r="V1355" s="18"/>
      <c r="W1355" s="18"/>
      <c r="X1355" s="18"/>
      <c r="Y1355" s="18"/>
      <c r="Z1355" s="18"/>
      <c r="AA1355" s="18"/>
      <c r="AB1355" s="18"/>
      <c r="AC1355" s="18"/>
      <c r="AD1355" s="19"/>
      <c r="AE1355" s="18"/>
      <c r="AF1355" s="18"/>
      <c r="AG1355" s="18"/>
      <c r="AH1355" s="18"/>
      <c r="AI1355" s="18"/>
      <c r="AJ1355" s="97"/>
      <c r="AK1355" s="18"/>
      <c r="AL1355" s="18"/>
    </row>
    <row r="1356" spans="4:38" x14ac:dyDescent="0.2">
      <c r="D1356" s="19"/>
      <c r="E1356" s="19"/>
      <c r="F1356" s="19"/>
      <c r="G1356" s="18"/>
      <c r="H1356" s="18"/>
      <c r="I1356" s="18"/>
      <c r="J1356" s="18"/>
      <c r="K1356" s="18"/>
      <c r="L1356" s="18"/>
      <c r="M1356" s="18"/>
      <c r="N1356" s="18"/>
      <c r="O1356" s="18"/>
      <c r="P1356" s="18"/>
      <c r="Q1356" s="18"/>
      <c r="R1356" s="18"/>
      <c r="S1356" s="18"/>
      <c r="T1356" s="18"/>
      <c r="U1356" s="18"/>
      <c r="V1356" s="18"/>
      <c r="W1356" s="18"/>
      <c r="X1356" s="18"/>
      <c r="Y1356" s="18"/>
      <c r="Z1356" s="18"/>
      <c r="AA1356" s="18"/>
      <c r="AB1356" s="18"/>
      <c r="AC1356" s="18"/>
      <c r="AD1356" s="19"/>
      <c r="AE1356" s="18"/>
      <c r="AF1356" s="18"/>
      <c r="AG1356" s="18"/>
      <c r="AH1356" s="18"/>
      <c r="AI1356" s="18"/>
      <c r="AJ1356" s="97"/>
      <c r="AK1356" s="18"/>
      <c r="AL1356" s="18"/>
    </row>
    <row r="1357" spans="4:38" x14ac:dyDescent="0.2">
      <c r="D1357" s="19"/>
      <c r="E1357" s="19"/>
      <c r="F1357" s="19"/>
      <c r="G1357" s="18"/>
      <c r="H1357" s="18"/>
      <c r="I1357" s="18"/>
      <c r="J1357" s="18"/>
      <c r="K1357" s="18"/>
      <c r="L1357" s="18"/>
      <c r="M1357" s="18"/>
      <c r="N1357" s="18"/>
      <c r="O1357" s="18"/>
      <c r="P1357" s="18"/>
      <c r="Q1357" s="18"/>
      <c r="R1357" s="18"/>
      <c r="S1357" s="18"/>
      <c r="T1357" s="18"/>
      <c r="U1357" s="18"/>
      <c r="V1357" s="18"/>
      <c r="W1357" s="18"/>
      <c r="X1357" s="18"/>
      <c r="Y1357" s="18"/>
      <c r="Z1357" s="18"/>
      <c r="AA1357" s="18"/>
      <c r="AB1357" s="18"/>
      <c r="AC1357" s="18"/>
      <c r="AD1357" s="19"/>
      <c r="AE1357" s="18"/>
      <c r="AF1357" s="18"/>
      <c r="AG1357" s="18"/>
      <c r="AH1357" s="18"/>
      <c r="AI1357" s="18"/>
      <c r="AJ1357" s="97"/>
      <c r="AK1357" s="18"/>
      <c r="AL1357" s="18"/>
    </row>
    <row r="1358" spans="4:38" x14ac:dyDescent="0.2">
      <c r="D1358" s="19"/>
      <c r="E1358" s="19"/>
      <c r="F1358" s="19"/>
      <c r="G1358" s="18"/>
      <c r="H1358" s="18"/>
      <c r="I1358" s="18"/>
      <c r="J1358" s="18"/>
      <c r="K1358" s="18"/>
      <c r="L1358" s="18"/>
      <c r="M1358" s="18"/>
      <c r="N1358" s="18"/>
      <c r="O1358" s="18"/>
      <c r="P1358" s="18"/>
      <c r="Q1358" s="18"/>
      <c r="R1358" s="18"/>
      <c r="S1358" s="18"/>
      <c r="T1358" s="18"/>
      <c r="U1358" s="18"/>
      <c r="V1358" s="18"/>
      <c r="W1358" s="18"/>
      <c r="X1358" s="18"/>
      <c r="Y1358" s="18"/>
      <c r="Z1358" s="18"/>
      <c r="AA1358" s="18"/>
      <c r="AB1358" s="18"/>
      <c r="AC1358" s="18"/>
      <c r="AD1358" s="19"/>
      <c r="AE1358" s="18"/>
      <c r="AF1358" s="18"/>
      <c r="AG1358" s="18"/>
      <c r="AH1358" s="18"/>
      <c r="AI1358" s="18"/>
      <c r="AJ1358" s="97"/>
      <c r="AK1358" s="18"/>
      <c r="AL1358" s="18"/>
    </row>
    <row r="1359" spans="4:38" x14ac:dyDescent="0.2">
      <c r="D1359" s="19"/>
      <c r="E1359" s="19"/>
      <c r="F1359" s="19"/>
      <c r="G1359" s="18"/>
      <c r="H1359" s="18"/>
      <c r="I1359" s="18"/>
      <c r="J1359" s="18"/>
      <c r="K1359" s="18"/>
      <c r="L1359" s="18"/>
      <c r="M1359" s="18"/>
      <c r="N1359" s="18"/>
      <c r="O1359" s="18"/>
      <c r="P1359" s="18"/>
      <c r="Q1359" s="18"/>
      <c r="R1359" s="18"/>
      <c r="S1359" s="18"/>
      <c r="T1359" s="18"/>
      <c r="U1359" s="18"/>
      <c r="V1359" s="18"/>
      <c r="W1359" s="18"/>
      <c r="X1359" s="18"/>
      <c r="Y1359" s="18"/>
      <c r="Z1359" s="18"/>
      <c r="AA1359" s="18"/>
      <c r="AB1359" s="18"/>
      <c r="AC1359" s="18"/>
      <c r="AD1359" s="19"/>
      <c r="AE1359" s="18"/>
      <c r="AF1359" s="18"/>
      <c r="AG1359" s="18"/>
      <c r="AH1359" s="18"/>
      <c r="AI1359" s="18"/>
      <c r="AJ1359" s="97"/>
      <c r="AK1359" s="18"/>
      <c r="AL1359" s="18"/>
    </row>
    <row r="1360" spans="4:38" x14ac:dyDescent="0.2">
      <c r="D1360" s="19"/>
      <c r="E1360" s="19"/>
      <c r="F1360" s="19"/>
      <c r="G1360" s="18"/>
      <c r="H1360" s="18"/>
      <c r="I1360" s="18"/>
      <c r="J1360" s="18"/>
      <c r="K1360" s="18"/>
      <c r="L1360" s="18"/>
      <c r="M1360" s="18"/>
      <c r="N1360" s="18"/>
      <c r="O1360" s="18"/>
      <c r="P1360" s="18"/>
      <c r="Q1360" s="18"/>
      <c r="R1360" s="18"/>
      <c r="S1360" s="18"/>
      <c r="T1360" s="18"/>
      <c r="U1360" s="18"/>
      <c r="V1360" s="18"/>
      <c r="W1360" s="18"/>
      <c r="X1360" s="18"/>
      <c r="Y1360" s="18"/>
      <c r="Z1360" s="18"/>
      <c r="AA1360" s="18"/>
      <c r="AB1360" s="18"/>
      <c r="AC1360" s="18"/>
      <c r="AD1360" s="19"/>
      <c r="AE1360" s="18"/>
      <c r="AF1360" s="18"/>
      <c r="AG1360" s="18"/>
      <c r="AH1360" s="18"/>
      <c r="AI1360" s="18"/>
      <c r="AJ1360" s="97"/>
      <c r="AK1360" s="18"/>
      <c r="AL1360" s="18"/>
    </row>
    <row r="1361" spans="4:38" x14ac:dyDescent="0.2">
      <c r="D1361" s="19"/>
      <c r="E1361" s="19"/>
      <c r="F1361" s="19"/>
      <c r="G1361" s="18"/>
      <c r="H1361" s="18"/>
      <c r="I1361" s="18"/>
      <c r="J1361" s="18"/>
      <c r="K1361" s="18"/>
      <c r="L1361" s="18"/>
      <c r="M1361" s="18"/>
      <c r="N1361" s="18"/>
      <c r="O1361" s="18"/>
      <c r="P1361" s="18"/>
      <c r="Q1361" s="18"/>
      <c r="R1361" s="18"/>
      <c r="S1361" s="18"/>
      <c r="T1361" s="18"/>
      <c r="U1361" s="18"/>
      <c r="V1361" s="18"/>
      <c r="W1361" s="18"/>
      <c r="X1361" s="18"/>
      <c r="Y1361" s="18"/>
      <c r="Z1361" s="18"/>
      <c r="AA1361" s="18"/>
      <c r="AB1361" s="18"/>
      <c r="AC1361" s="18"/>
      <c r="AD1361" s="19"/>
      <c r="AE1361" s="18"/>
      <c r="AF1361" s="18"/>
      <c r="AG1361" s="18"/>
      <c r="AH1361" s="18"/>
      <c r="AI1361" s="18"/>
      <c r="AJ1361" s="97"/>
      <c r="AK1361" s="18"/>
      <c r="AL1361" s="18"/>
    </row>
    <row r="1362" spans="4:38" x14ac:dyDescent="0.2">
      <c r="D1362" s="19"/>
      <c r="E1362" s="19"/>
      <c r="F1362" s="19"/>
      <c r="G1362" s="18"/>
      <c r="H1362" s="18"/>
      <c r="I1362" s="18"/>
      <c r="J1362" s="18"/>
      <c r="K1362" s="18"/>
      <c r="L1362" s="18"/>
      <c r="M1362" s="18"/>
      <c r="N1362" s="18"/>
      <c r="O1362" s="18"/>
      <c r="P1362" s="18"/>
      <c r="Q1362" s="18"/>
      <c r="R1362" s="18"/>
      <c r="S1362" s="18"/>
      <c r="T1362" s="18"/>
      <c r="U1362" s="18"/>
      <c r="V1362" s="18"/>
      <c r="W1362" s="18"/>
      <c r="X1362" s="18"/>
      <c r="Y1362" s="18"/>
      <c r="Z1362" s="18"/>
      <c r="AA1362" s="18"/>
      <c r="AB1362" s="18"/>
      <c r="AC1362" s="18"/>
      <c r="AD1362" s="19"/>
      <c r="AE1362" s="18"/>
      <c r="AF1362" s="18"/>
      <c r="AG1362" s="18"/>
      <c r="AH1362" s="18"/>
      <c r="AI1362" s="18"/>
      <c r="AJ1362" s="97"/>
      <c r="AK1362" s="18"/>
      <c r="AL1362" s="18"/>
    </row>
    <row r="1363" spans="4:38" x14ac:dyDescent="0.2">
      <c r="D1363" s="19"/>
      <c r="E1363" s="19"/>
      <c r="F1363" s="19"/>
      <c r="G1363" s="18"/>
      <c r="H1363" s="18"/>
      <c r="I1363" s="18"/>
      <c r="J1363" s="18"/>
      <c r="K1363" s="18"/>
      <c r="L1363" s="18"/>
      <c r="M1363" s="18"/>
      <c r="N1363" s="18"/>
      <c r="O1363" s="18"/>
      <c r="P1363" s="18"/>
      <c r="Q1363" s="18"/>
      <c r="R1363" s="18"/>
      <c r="S1363" s="18"/>
      <c r="T1363" s="18"/>
      <c r="U1363" s="18"/>
      <c r="V1363" s="18"/>
      <c r="W1363" s="18"/>
      <c r="X1363" s="18"/>
      <c r="Y1363" s="18"/>
      <c r="Z1363" s="18"/>
      <c r="AA1363" s="18"/>
      <c r="AB1363" s="18"/>
      <c r="AC1363" s="18"/>
      <c r="AD1363" s="19"/>
      <c r="AE1363" s="18"/>
      <c r="AF1363" s="18"/>
      <c r="AG1363" s="18"/>
      <c r="AH1363" s="18"/>
      <c r="AI1363" s="18"/>
      <c r="AJ1363" s="97"/>
      <c r="AK1363" s="18"/>
      <c r="AL1363" s="18"/>
    </row>
    <row r="1364" spans="4:38" x14ac:dyDescent="0.2">
      <c r="D1364" s="19"/>
      <c r="E1364" s="19"/>
      <c r="F1364" s="19"/>
      <c r="G1364" s="18"/>
      <c r="H1364" s="18"/>
      <c r="I1364" s="18"/>
      <c r="J1364" s="18"/>
      <c r="K1364" s="18"/>
      <c r="L1364" s="18"/>
      <c r="M1364" s="18"/>
      <c r="N1364" s="18"/>
      <c r="O1364" s="18"/>
      <c r="P1364" s="18"/>
      <c r="Q1364" s="18"/>
      <c r="R1364" s="18"/>
      <c r="S1364" s="18"/>
      <c r="T1364" s="18"/>
      <c r="U1364" s="18"/>
      <c r="V1364" s="18"/>
      <c r="W1364" s="18"/>
      <c r="X1364" s="18"/>
      <c r="Y1364" s="18"/>
      <c r="Z1364" s="18"/>
      <c r="AA1364" s="18"/>
      <c r="AB1364" s="18"/>
      <c r="AC1364" s="18"/>
      <c r="AD1364" s="19"/>
      <c r="AE1364" s="18"/>
      <c r="AF1364" s="18"/>
      <c r="AG1364" s="18"/>
      <c r="AH1364" s="18"/>
      <c r="AI1364" s="18"/>
      <c r="AJ1364" s="97"/>
      <c r="AK1364" s="18"/>
      <c r="AL1364" s="18"/>
    </row>
    <row r="1365" spans="4:38" x14ac:dyDescent="0.2">
      <c r="D1365" s="19"/>
      <c r="E1365" s="19"/>
      <c r="F1365" s="19"/>
      <c r="G1365" s="18"/>
      <c r="H1365" s="18"/>
      <c r="I1365" s="18"/>
      <c r="J1365" s="18"/>
      <c r="K1365" s="18"/>
      <c r="L1365" s="18"/>
      <c r="M1365" s="18"/>
      <c r="N1365" s="18"/>
      <c r="O1365" s="18"/>
      <c r="P1365" s="18"/>
      <c r="Q1365" s="18"/>
      <c r="R1365" s="18"/>
      <c r="S1365" s="18"/>
      <c r="T1365" s="18"/>
      <c r="U1365" s="18"/>
      <c r="V1365" s="18"/>
      <c r="W1365" s="18"/>
      <c r="X1365" s="18"/>
      <c r="Y1365" s="18"/>
      <c r="Z1365" s="18"/>
      <c r="AA1365" s="18"/>
      <c r="AB1365" s="18"/>
      <c r="AC1365" s="18"/>
      <c r="AD1365" s="19"/>
      <c r="AE1365" s="18"/>
      <c r="AF1365" s="18"/>
      <c r="AG1365" s="18"/>
      <c r="AH1365" s="18"/>
      <c r="AI1365" s="18"/>
      <c r="AJ1365" s="97"/>
      <c r="AK1365" s="18"/>
      <c r="AL1365" s="18"/>
    </row>
    <row r="1366" spans="4:38" x14ac:dyDescent="0.2">
      <c r="D1366" s="19"/>
      <c r="E1366" s="19"/>
      <c r="F1366" s="19"/>
      <c r="G1366" s="18"/>
      <c r="H1366" s="18"/>
      <c r="I1366" s="18"/>
      <c r="J1366" s="18"/>
      <c r="K1366" s="18"/>
      <c r="L1366" s="18"/>
      <c r="M1366" s="18"/>
      <c r="N1366" s="18"/>
      <c r="O1366" s="18"/>
      <c r="P1366" s="18"/>
      <c r="Q1366" s="18"/>
      <c r="R1366" s="18"/>
      <c r="S1366" s="18"/>
      <c r="T1366" s="18"/>
      <c r="U1366" s="18"/>
      <c r="V1366" s="18"/>
      <c r="W1366" s="18"/>
      <c r="X1366" s="18"/>
      <c r="Y1366" s="18"/>
      <c r="Z1366" s="18"/>
      <c r="AA1366" s="18"/>
      <c r="AB1366" s="18"/>
      <c r="AC1366" s="18"/>
      <c r="AD1366" s="19"/>
      <c r="AE1366" s="18"/>
      <c r="AF1366" s="18"/>
      <c r="AG1366" s="18"/>
      <c r="AH1366" s="18"/>
      <c r="AI1366" s="18"/>
      <c r="AJ1366" s="97"/>
      <c r="AK1366" s="18"/>
      <c r="AL1366" s="18"/>
    </row>
    <row r="1367" spans="4:38" x14ac:dyDescent="0.2">
      <c r="D1367" s="19"/>
      <c r="E1367" s="19"/>
      <c r="F1367" s="19"/>
      <c r="G1367" s="18"/>
      <c r="H1367" s="18"/>
      <c r="I1367" s="18"/>
      <c r="J1367" s="18"/>
      <c r="K1367" s="18"/>
      <c r="L1367" s="18"/>
      <c r="M1367" s="18"/>
      <c r="N1367" s="18"/>
      <c r="O1367" s="18"/>
      <c r="P1367" s="18"/>
      <c r="Q1367" s="18"/>
      <c r="R1367" s="18"/>
      <c r="S1367" s="18"/>
      <c r="T1367" s="18"/>
      <c r="U1367" s="18"/>
      <c r="V1367" s="18"/>
      <c r="W1367" s="18"/>
      <c r="X1367" s="18"/>
      <c r="Y1367" s="18"/>
      <c r="Z1367" s="18"/>
      <c r="AA1367" s="18"/>
      <c r="AB1367" s="18"/>
      <c r="AC1367" s="18"/>
      <c r="AD1367" s="19"/>
      <c r="AE1367" s="18"/>
      <c r="AF1367" s="18"/>
      <c r="AG1367" s="18"/>
      <c r="AH1367" s="18"/>
      <c r="AI1367" s="18"/>
      <c r="AJ1367" s="97"/>
      <c r="AK1367" s="18"/>
      <c r="AL1367" s="18"/>
    </row>
    <row r="1368" spans="4:38" x14ac:dyDescent="0.2">
      <c r="D1368" s="19"/>
      <c r="E1368" s="19"/>
      <c r="F1368" s="19"/>
      <c r="G1368" s="18"/>
      <c r="H1368" s="18"/>
      <c r="I1368" s="18"/>
      <c r="J1368" s="18"/>
      <c r="K1368" s="18"/>
      <c r="L1368" s="18"/>
      <c r="M1368" s="18"/>
      <c r="N1368" s="18"/>
      <c r="O1368" s="18"/>
      <c r="P1368" s="18"/>
      <c r="Q1368" s="18"/>
      <c r="R1368" s="18"/>
      <c r="S1368" s="18"/>
      <c r="T1368" s="18"/>
      <c r="U1368" s="18"/>
      <c r="V1368" s="18"/>
      <c r="W1368" s="18"/>
      <c r="X1368" s="18"/>
      <c r="Y1368" s="18"/>
      <c r="Z1368" s="18"/>
      <c r="AA1368" s="18"/>
      <c r="AB1368" s="18"/>
      <c r="AC1368" s="18"/>
      <c r="AD1368" s="19"/>
      <c r="AE1368" s="18"/>
      <c r="AF1368" s="18"/>
      <c r="AG1368" s="18"/>
      <c r="AH1368" s="18"/>
      <c r="AI1368" s="18"/>
      <c r="AJ1368" s="97"/>
      <c r="AK1368" s="18"/>
      <c r="AL1368" s="18"/>
    </row>
    <row r="1369" spans="4:38" x14ac:dyDescent="0.2">
      <c r="D1369" s="19"/>
      <c r="E1369" s="19"/>
      <c r="F1369" s="19"/>
      <c r="G1369" s="18"/>
      <c r="H1369" s="18"/>
      <c r="I1369" s="18"/>
      <c r="J1369" s="18"/>
      <c r="K1369" s="18"/>
      <c r="L1369" s="18"/>
      <c r="M1369" s="18"/>
      <c r="N1369" s="18"/>
      <c r="O1369" s="18"/>
      <c r="P1369" s="18"/>
      <c r="Q1369" s="18"/>
      <c r="R1369" s="18"/>
      <c r="S1369" s="18"/>
      <c r="T1369" s="18"/>
      <c r="U1369" s="18"/>
      <c r="V1369" s="18"/>
      <c r="W1369" s="18"/>
      <c r="X1369" s="18"/>
      <c r="Y1369" s="18"/>
      <c r="Z1369" s="18"/>
      <c r="AA1369" s="18"/>
      <c r="AB1369" s="18"/>
      <c r="AC1369" s="18"/>
      <c r="AD1369" s="19"/>
      <c r="AE1369" s="18"/>
      <c r="AF1369" s="18"/>
      <c r="AG1369" s="18"/>
      <c r="AH1369" s="18"/>
      <c r="AI1369" s="18"/>
      <c r="AJ1369" s="97"/>
      <c r="AK1369" s="18"/>
      <c r="AL1369" s="18"/>
    </row>
    <row r="1370" spans="4:38" x14ac:dyDescent="0.2">
      <c r="D1370" s="19"/>
      <c r="E1370" s="19"/>
      <c r="F1370" s="19"/>
      <c r="G1370" s="18"/>
      <c r="H1370" s="18"/>
      <c r="I1370" s="18"/>
      <c r="J1370" s="18"/>
      <c r="K1370" s="18"/>
      <c r="L1370" s="18"/>
      <c r="M1370" s="18"/>
      <c r="N1370" s="18"/>
      <c r="O1370" s="18"/>
      <c r="P1370" s="18"/>
      <c r="Q1370" s="18"/>
      <c r="R1370" s="18"/>
      <c r="S1370" s="18"/>
      <c r="T1370" s="18"/>
      <c r="U1370" s="18"/>
      <c r="V1370" s="18"/>
      <c r="W1370" s="18"/>
      <c r="X1370" s="18"/>
      <c r="Y1370" s="18"/>
      <c r="Z1370" s="18"/>
      <c r="AA1370" s="18"/>
      <c r="AB1370" s="18"/>
      <c r="AC1370" s="18"/>
      <c r="AD1370" s="19"/>
      <c r="AE1370" s="18"/>
      <c r="AF1370" s="18"/>
      <c r="AG1370" s="18"/>
      <c r="AH1370" s="18"/>
      <c r="AI1370" s="18"/>
      <c r="AJ1370" s="97"/>
      <c r="AK1370" s="18"/>
      <c r="AL1370" s="18"/>
    </row>
    <row r="1371" spans="4:38" x14ac:dyDescent="0.2">
      <c r="D1371" s="19"/>
      <c r="E1371" s="19"/>
      <c r="F1371" s="19"/>
      <c r="G1371" s="18"/>
      <c r="H1371" s="18"/>
      <c r="I1371" s="18"/>
      <c r="J1371" s="18"/>
      <c r="K1371" s="18"/>
      <c r="L1371" s="18"/>
      <c r="M1371" s="18"/>
      <c r="N1371" s="18"/>
      <c r="O1371" s="18"/>
      <c r="P1371" s="18"/>
      <c r="Q1371" s="18"/>
      <c r="R1371" s="18"/>
      <c r="S1371" s="18"/>
      <c r="T1371" s="18"/>
      <c r="U1371" s="18"/>
      <c r="V1371" s="18"/>
      <c r="W1371" s="18"/>
      <c r="X1371" s="18"/>
      <c r="Y1371" s="18"/>
      <c r="Z1371" s="18"/>
      <c r="AA1371" s="18"/>
      <c r="AB1371" s="18"/>
      <c r="AC1371" s="18"/>
      <c r="AD1371" s="19"/>
      <c r="AE1371" s="18"/>
      <c r="AF1371" s="18"/>
      <c r="AG1371" s="18"/>
      <c r="AH1371" s="18"/>
      <c r="AI1371" s="18"/>
      <c r="AJ1371" s="97"/>
      <c r="AK1371" s="18"/>
      <c r="AL1371" s="18"/>
    </row>
    <row r="1372" spans="4:38" x14ac:dyDescent="0.2">
      <c r="D1372" s="19"/>
      <c r="E1372" s="19"/>
      <c r="F1372" s="19"/>
      <c r="G1372" s="18"/>
      <c r="H1372" s="18"/>
      <c r="I1372" s="18"/>
      <c r="J1372" s="18"/>
      <c r="K1372" s="18"/>
      <c r="L1372" s="18"/>
      <c r="M1372" s="18"/>
      <c r="N1372" s="18"/>
      <c r="O1372" s="18"/>
      <c r="P1372" s="18"/>
      <c r="Q1372" s="18"/>
      <c r="R1372" s="18"/>
      <c r="S1372" s="18"/>
      <c r="T1372" s="18"/>
      <c r="U1372" s="18"/>
      <c r="V1372" s="18"/>
      <c r="W1372" s="18"/>
      <c r="X1372" s="18"/>
      <c r="Y1372" s="18"/>
      <c r="Z1372" s="18"/>
      <c r="AA1372" s="18"/>
      <c r="AB1372" s="18"/>
      <c r="AC1372" s="18"/>
      <c r="AD1372" s="19"/>
      <c r="AE1372" s="18"/>
      <c r="AF1372" s="18"/>
      <c r="AG1372" s="18"/>
      <c r="AH1372" s="18"/>
      <c r="AI1372" s="18"/>
      <c r="AJ1372" s="97"/>
      <c r="AK1372" s="18"/>
      <c r="AL1372" s="18"/>
    </row>
    <row r="1373" spans="4:38" x14ac:dyDescent="0.2">
      <c r="D1373" s="19"/>
      <c r="E1373" s="19"/>
      <c r="F1373" s="19"/>
      <c r="G1373" s="18"/>
      <c r="H1373" s="18"/>
      <c r="I1373" s="18"/>
      <c r="J1373" s="18"/>
      <c r="K1373" s="18"/>
      <c r="L1373" s="18"/>
      <c r="M1373" s="18"/>
      <c r="N1373" s="18"/>
      <c r="O1373" s="18"/>
      <c r="P1373" s="18"/>
      <c r="Q1373" s="18"/>
      <c r="R1373" s="18"/>
      <c r="S1373" s="18"/>
      <c r="T1373" s="18"/>
      <c r="U1373" s="18"/>
      <c r="V1373" s="18"/>
      <c r="W1373" s="18"/>
      <c r="X1373" s="18"/>
      <c r="Y1373" s="18"/>
      <c r="Z1373" s="18"/>
      <c r="AA1373" s="18"/>
      <c r="AB1373" s="18"/>
      <c r="AC1373" s="18"/>
      <c r="AD1373" s="19"/>
      <c r="AE1373" s="18"/>
      <c r="AF1373" s="18"/>
      <c r="AG1373" s="18"/>
      <c r="AH1373" s="18"/>
      <c r="AI1373" s="18"/>
      <c r="AJ1373" s="97"/>
      <c r="AK1373" s="18"/>
      <c r="AL1373" s="18"/>
    </row>
    <row r="1374" spans="4:38" x14ac:dyDescent="0.2">
      <c r="D1374" s="19"/>
      <c r="E1374" s="19"/>
      <c r="F1374" s="19"/>
      <c r="G1374" s="18"/>
      <c r="H1374" s="18"/>
      <c r="I1374" s="18"/>
      <c r="J1374" s="18"/>
      <c r="K1374" s="18"/>
      <c r="L1374" s="18"/>
      <c r="M1374" s="18"/>
      <c r="N1374" s="18"/>
      <c r="O1374" s="18"/>
      <c r="P1374" s="18"/>
      <c r="Q1374" s="18"/>
      <c r="R1374" s="18"/>
      <c r="S1374" s="18"/>
      <c r="T1374" s="18"/>
      <c r="U1374" s="18"/>
      <c r="V1374" s="18"/>
      <c r="W1374" s="18"/>
      <c r="X1374" s="18"/>
      <c r="Y1374" s="18"/>
      <c r="Z1374" s="18"/>
      <c r="AA1374" s="18"/>
      <c r="AB1374" s="18"/>
      <c r="AC1374" s="18"/>
      <c r="AD1374" s="19"/>
      <c r="AE1374" s="18"/>
      <c r="AF1374" s="18"/>
      <c r="AG1374" s="18"/>
      <c r="AH1374" s="18"/>
      <c r="AI1374" s="18"/>
      <c r="AJ1374" s="97"/>
      <c r="AK1374" s="18"/>
      <c r="AL1374" s="18"/>
    </row>
    <row r="1375" spans="4:38" x14ac:dyDescent="0.2">
      <c r="D1375" s="19"/>
      <c r="E1375" s="19"/>
      <c r="F1375" s="19"/>
      <c r="G1375" s="18"/>
      <c r="H1375" s="18"/>
      <c r="I1375" s="18"/>
      <c r="J1375" s="18"/>
      <c r="K1375" s="18"/>
      <c r="L1375" s="18"/>
      <c r="M1375" s="18"/>
      <c r="N1375" s="18"/>
      <c r="O1375" s="18"/>
      <c r="P1375" s="18"/>
      <c r="Q1375" s="18"/>
      <c r="R1375" s="18"/>
      <c r="S1375" s="18"/>
      <c r="T1375" s="18"/>
      <c r="U1375" s="18"/>
      <c r="V1375" s="18"/>
      <c r="W1375" s="18"/>
      <c r="X1375" s="18"/>
      <c r="Y1375" s="18"/>
      <c r="Z1375" s="18"/>
      <c r="AA1375" s="18"/>
      <c r="AB1375" s="18"/>
      <c r="AC1375" s="18"/>
      <c r="AD1375" s="19"/>
      <c r="AE1375" s="18"/>
      <c r="AF1375" s="18"/>
      <c r="AG1375" s="18"/>
      <c r="AH1375" s="18"/>
      <c r="AI1375" s="18"/>
      <c r="AJ1375" s="97"/>
      <c r="AK1375" s="18"/>
      <c r="AL1375" s="18"/>
    </row>
    <row r="1376" spans="4:38" x14ac:dyDescent="0.2">
      <c r="D1376" s="19"/>
      <c r="E1376" s="19"/>
      <c r="F1376" s="19"/>
      <c r="G1376" s="18"/>
      <c r="H1376" s="18"/>
      <c r="I1376" s="18"/>
      <c r="J1376" s="18"/>
      <c r="K1376" s="18"/>
      <c r="L1376" s="18"/>
      <c r="M1376" s="18"/>
      <c r="N1376" s="18"/>
      <c r="O1376" s="18"/>
      <c r="P1376" s="18"/>
      <c r="Q1376" s="18"/>
      <c r="R1376" s="18"/>
      <c r="S1376" s="18"/>
      <c r="T1376" s="18"/>
      <c r="U1376" s="18"/>
      <c r="V1376" s="18"/>
      <c r="W1376" s="18"/>
      <c r="X1376" s="18"/>
      <c r="Y1376" s="18"/>
      <c r="Z1376" s="18"/>
      <c r="AA1376" s="18"/>
      <c r="AB1376" s="18"/>
      <c r="AC1376" s="18"/>
      <c r="AD1376" s="19"/>
      <c r="AE1376" s="18"/>
      <c r="AF1376" s="18"/>
      <c r="AG1376" s="18"/>
      <c r="AH1376" s="18"/>
      <c r="AI1376" s="18"/>
      <c r="AJ1376" s="97"/>
      <c r="AK1376" s="18"/>
      <c r="AL1376" s="18"/>
    </row>
    <row r="1377" spans="4:38" x14ac:dyDescent="0.2">
      <c r="D1377" s="19"/>
      <c r="E1377" s="19"/>
      <c r="F1377" s="19"/>
      <c r="G1377" s="18"/>
      <c r="H1377" s="18"/>
      <c r="I1377" s="18"/>
      <c r="J1377" s="18"/>
      <c r="K1377" s="18"/>
      <c r="L1377" s="18"/>
      <c r="M1377" s="18"/>
      <c r="N1377" s="18"/>
      <c r="O1377" s="18"/>
      <c r="P1377" s="18"/>
      <c r="Q1377" s="18"/>
      <c r="R1377" s="18"/>
      <c r="S1377" s="18"/>
      <c r="T1377" s="18"/>
      <c r="U1377" s="18"/>
      <c r="V1377" s="18"/>
      <c r="W1377" s="18"/>
      <c r="X1377" s="18"/>
      <c r="Y1377" s="18"/>
      <c r="Z1377" s="18"/>
      <c r="AA1377" s="18"/>
      <c r="AB1377" s="18"/>
      <c r="AC1377" s="18"/>
      <c r="AD1377" s="19"/>
      <c r="AE1377" s="18"/>
      <c r="AF1377" s="18"/>
      <c r="AG1377" s="18"/>
      <c r="AH1377" s="18"/>
      <c r="AI1377" s="18"/>
      <c r="AJ1377" s="97"/>
      <c r="AK1377" s="18"/>
      <c r="AL1377" s="18"/>
    </row>
    <row r="1378" spans="4:38" x14ac:dyDescent="0.2">
      <c r="D1378" s="19"/>
      <c r="E1378" s="19"/>
      <c r="F1378" s="19"/>
      <c r="G1378" s="18"/>
      <c r="H1378" s="18"/>
      <c r="I1378" s="18"/>
      <c r="J1378" s="18"/>
      <c r="K1378" s="18"/>
      <c r="L1378" s="18"/>
      <c r="M1378" s="18"/>
      <c r="N1378" s="18"/>
      <c r="O1378" s="18"/>
      <c r="P1378" s="18"/>
      <c r="Q1378" s="18"/>
      <c r="R1378" s="18"/>
      <c r="S1378" s="18"/>
      <c r="T1378" s="18"/>
      <c r="U1378" s="18"/>
      <c r="V1378" s="18"/>
      <c r="W1378" s="18"/>
      <c r="X1378" s="18"/>
      <c r="Y1378" s="18"/>
      <c r="Z1378" s="18"/>
      <c r="AA1378" s="18"/>
      <c r="AB1378" s="18"/>
      <c r="AC1378" s="18"/>
      <c r="AD1378" s="19"/>
      <c r="AE1378" s="18"/>
      <c r="AF1378" s="18"/>
      <c r="AG1378" s="18"/>
      <c r="AH1378" s="18"/>
      <c r="AI1378" s="18"/>
      <c r="AJ1378" s="97"/>
      <c r="AK1378" s="18"/>
      <c r="AL1378" s="18"/>
    </row>
    <row r="1379" spans="4:38" x14ac:dyDescent="0.2">
      <c r="D1379" s="19"/>
      <c r="E1379" s="19"/>
      <c r="F1379" s="19"/>
      <c r="G1379" s="18"/>
      <c r="H1379" s="18"/>
      <c r="I1379" s="18"/>
      <c r="J1379" s="18"/>
      <c r="K1379" s="18"/>
      <c r="L1379" s="18"/>
      <c r="M1379" s="18"/>
      <c r="N1379" s="18"/>
      <c r="O1379" s="18"/>
      <c r="P1379" s="18"/>
      <c r="Q1379" s="18"/>
      <c r="R1379" s="18"/>
      <c r="S1379" s="18"/>
      <c r="T1379" s="18"/>
      <c r="U1379" s="18"/>
      <c r="V1379" s="18"/>
      <c r="W1379" s="18"/>
      <c r="X1379" s="18"/>
      <c r="Y1379" s="18"/>
      <c r="Z1379" s="18"/>
      <c r="AA1379" s="18"/>
      <c r="AB1379" s="18"/>
      <c r="AC1379" s="18"/>
      <c r="AD1379" s="19"/>
      <c r="AE1379" s="18"/>
      <c r="AF1379" s="18"/>
      <c r="AG1379" s="18"/>
      <c r="AH1379" s="18"/>
      <c r="AI1379" s="18"/>
      <c r="AJ1379" s="97"/>
      <c r="AK1379" s="18"/>
      <c r="AL1379" s="18"/>
    </row>
    <row r="1380" spans="4:38" x14ac:dyDescent="0.2">
      <c r="D1380" s="19"/>
      <c r="E1380" s="19"/>
      <c r="F1380" s="19"/>
      <c r="G1380" s="18"/>
      <c r="H1380" s="18"/>
      <c r="I1380" s="18"/>
      <c r="J1380" s="18"/>
      <c r="K1380" s="18"/>
      <c r="L1380" s="18"/>
      <c r="M1380" s="18"/>
      <c r="N1380" s="18"/>
      <c r="O1380" s="18"/>
      <c r="P1380" s="18"/>
      <c r="Q1380" s="18"/>
      <c r="R1380" s="18"/>
      <c r="S1380" s="18"/>
      <c r="T1380" s="18"/>
      <c r="U1380" s="18"/>
      <c r="V1380" s="18"/>
      <c r="W1380" s="18"/>
      <c r="X1380" s="18"/>
      <c r="Y1380" s="18"/>
      <c r="Z1380" s="18"/>
      <c r="AA1380" s="18"/>
      <c r="AB1380" s="18"/>
      <c r="AC1380" s="18"/>
      <c r="AD1380" s="19"/>
      <c r="AE1380" s="18"/>
      <c r="AF1380" s="18"/>
      <c r="AG1380" s="18"/>
      <c r="AH1380" s="18"/>
      <c r="AI1380" s="18"/>
      <c r="AJ1380" s="97"/>
      <c r="AK1380" s="18"/>
      <c r="AL1380" s="18"/>
    </row>
    <row r="1381" spans="4:38" x14ac:dyDescent="0.2">
      <c r="D1381" s="19"/>
      <c r="E1381" s="19"/>
      <c r="F1381" s="19"/>
      <c r="G1381" s="18"/>
      <c r="H1381" s="18"/>
      <c r="I1381" s="18"/>
      <c r="J1381" s="18"/>
      <c r="K1381" s="18"/>
      <c r="L1381" s="18"/>
      <c r="M1381" s="18"/>
      <c r="N1381" s="18"/>
      <c r="O1381" s="18"/>
      <c r="P1381" s="18"/>
      <c r="Q1381" s="18"/>
      <c r="R1381" s="18"/>
      <c r="S1381" s="18"/>
      <c r="T1381" s="18"/>
      <c r="U1381" s="18"/>
      <c r="V1381" s="18"/>
      <c r="W1381" s="18"/>
      <c r="X1381" s="18"/>
      <c r="Y1381" s="18"/>
      <c r="Z1381" s="18"/>
      <c r="AA1381" s="18"/>
      <c r="AB1381" s="18"/>
      <c r="AC1381" s="18"/>
      <c r="AD1381" s="19"/>
      <c r="AE1381" s="18"/>
      <c r="AF1381" s="18"/>
      <c r="AG1381" s="18"/>
      <c r="AH1381" s="18"/>
      <c r="AI1381" s="18"/>
      <c r="AJ1381" s="97"/>
      <c r="AK1381" s="18"/>
      <c r="AL1381" s="18"/>
    </row>
    <row r="1382" spans="4:38" x14ac:dyDescent="0.2">
      <c r="D1382" s="19"/>
      <c r="E1382" s="19"/>
      <c r="F1382" s="19"/>
      <c r="G1382" s="18"/>
      <c r="H1382" s="18"/>
      <c r="I1382" s="18"/>
      <c r="J1382" s="18"/>
      <c r="K1382" s="18"/>
      <c r="L1382" s="18"/>
      <c r="M1382" s="18"/>
      <c r="N1382" s="18"/>
      <c r="O1382" s="18"/>
      <c r="P1382" s="18"/>
      <c r="Q1382" s="18"/>
      <c r="R1382" s="18"/>
      <c r="S1382" s="18"/>
      <c r="T1382" s="18"/>
      <c r="U1382" s="18"/>
      <c r="V1382" s="18"/>
      <c r="W1382" s="18"/>
      <c r="X1382" s="18"/>
      <c r="Y1382" s="18"/>
      <c r="Z1382" s="18"/>
      <c r="AA1382" s="18"/>
      <c r="AB1382" s="18"/>
      <c r="AC1382" s="18"/>
      <c r="AD1382" s="19"/>
      <c r="AE1382" s="18"/>
      <c r="AF1382" s="18"/>
      <c r="AG1382" s="18"/>
      <c r="AH1382" s="18"/>
      <c r="AI1382" s="18"/>
      <c r="AJ1382" s="97"/>
      <c r="AK1382" s="18"/>
      <c r="AL1382" s="18"/>
    </row>
    <row r="1383" spans="4:38" x14ac:dyDescent="0.2">
      <c r="D1383" s="19"/>
      <c r="E1383" s="19"/>
      <c r="F1383" s="19"/>
      <c r="G1383" s="18"/>
      <c r="H1383" s="18"/>
      <c r="I1383" s="18"/>
      <c r="J1383" s="18"/>
      <c r="K1383" s="18"/>
      <c r="L1383" s="18"/>
      <c r="M1383" s="18"/>
      <c r="N1383" s="18"/>
      <c r="O1383" s="18"/>
      <c r="P1383" s="18"/>
      <c r="Q1383" s="18"/>
      <c r="R1383" s="18"/>
      <c r="S1383" s="18"/>
      <c r="T1383" s="18"/>
      <c r="U1383" s="18"/>
      <c r="V1383" s="18"/>
      <c r="W1383" s="18"/>
      <c r="X1383" s="18"/>
      <c r="Y1383" s="18"/>
      <c r="Z1383" s="18"/>
      <c r="AA1383" s="18"/>
      <c r="AB1383" s="18"/>
      <c r="AC1383" s="18"/>
      <c r="AD1383" s="19"/>
      <c r="AE1383" s="18"/>
      <c r="AF1383" s="18"/>
      <c r="AG1383" s="18"/>
      <c r="AH1383" s="18"/>
      <c r="AI1383" s="18"/>
      <c r="AJ1383" s="97"/>
      <c r="AK1383" s="18"/>
      <c r="AL1383" s="18"/>
    </row>
    <row r="1384" spans="4:38" x14ac:dyDescent="0.2">
      <c r="D1384" s="19"/>
      <c r="E1384" s="19"/>
      <c r="F1384" s="19"/>
      <c r="G1384" s="18"/>
      <c r="H1384" s="18"/>
      <c r="I1384" s="18"/>
      <c r="J1384" s="18"/>
      <c r="K1384" s="18"/>
      <c r="L1384" s="18"/>
      <c r="M1384" s="18"/>
      <c r="N1384" s="18"/>
      <c r="O1384" s="18"/>
      <c r="P1384" s="18"/>
      <c r="Q1384" s="18"/>
      <c r="R1384" s="18"/>
      <c r="S1384" s="18"/>
      <c r="T1384" s="18"/>
      <c r="U1384" s="18"/>
      <c r="V1384" s="18"/>
      <c r="W1384" s="18"/>
      <c r="X1384" s="18"/>
      <c r="Y1384" s="18"/>
      <c r="Z1384" s="18"/>
      <c r="AA1384" s="18"/>
      <c r="AB1384" s="18"/>
      <c r="AC1384" s="18"/>
      <c r="AD1384" s="19"/>
      <c r="AE1384" s="18"/>
      <c r="AF1384" s="18"/>
      <c r="AG1384" s="18"/>
      <c r="AH1384" s="18"/>
      <c r="AI1384" s="18"/>
      <c r="AJ1384" s="97"/>
      <c r="AK1384" s="18"/>
      <c r="AL1384" s="18"/>
    </row>
    <row r="1385" spans="4:38" x14ac:dyDescent="0.2">
      <c r="D1385" s="19"/>
      <c r="E1385" s="19"/>
      <c r="F1385" s="19"/>
      <c r="G1385" s="18"/>
      <c r="H1385" s="18"/>
      <c r="I1385" s="18"/>
      <c r="J1385" s="18"/>
      <c r="K1385" s="18"/>
      <c r="L1385" s="18"/>
      <c r="M1385" s="18"/>
      <c r="N1385" s="18"/>
      <c r="O1385" s="18"/>
      <c r="P1385" s="18"/>
      <c r="Q1385" s="18"/>
      <c r="R1385" s="18"/>
      <c r="S1385" s="18"/>
      <c r="T1385" s="18"/>
      <c r="U1385" s="18"/>
      <c r="V1385" s="18"/>
      <c r="W1385" s="18"/>
      <c r="X1385" s="18"/>
      <c r="Y1385" s="18"/>
      <c r="Z1385" s="18"/>
      <c r="AA1385" s="18"/>
      <c r="AB1385" s="18"/>
      <c r="AC1385" s="18"/>
      <c r="AD1385" s="19"/>
      <c r="AE1385" s="18"/>
      <c r="AF1385" s="18"/>
      <c r="AG1385" s="18"/>
      <c r="AH1385" s="18"/>
      <c r="AI1385" s="18"/>
      <c r="AJ1385" s="97"/>
      <c r="AK1385" s="18"/>
      <c r="AL1385" s="18"/>
    </row>
    <row r="1386" spans="4:38" x14ac:dyDescent="0.2">
      <c r="D1386" s="19"/>
      <c r="E1386" s="19"/>
      <c r="F1386" s="19"/>
      <c r="G1386" s="18"/>
      <c r="H1386" s="18"/>
      <c r="I1386" s="18"/>
      <c r="J1386" s="18"/>
      <c r="K1386" s="18"/>
      <c r="L1386" s="18"/>
      <c r="M1386" s="18"/>
      <c r="N1386" s="18"/>
      <c r="O1386" s="18"/>
      <c r="P1386" s="18"/>
      <c r="Q1386" s="18"/>
      <c r="R1386" s="18"/>
      <c r="S1386" s="18"/>
      <c r="T1386" s="18"/>
      <c r="U1386" s="18"/>
      <c r="V1386" s="18"/>
      <c r="W1386" s="18"/>
      <c r="X1386" s="18"/>
      <c r="Y1386" s="18"/>
      <c r="Z1386" s="18"/>
      <c r="AA1386" s="18"/>
      <c r="AB1386" s="18"/>
      <c r="AC1386" s="18"/>
      <c r="AD1386" s="19"/>
      <c r="AE1386" s="18"/>
      <c r="AF1386" s="18"/>
      <c r="AG1386" s="18"/>
      <c r="AH1386" s="18"/>
      <c r="AI1386" s="18"/>
      <c r="AJ1386" s="97"/>
      <c r="AK1386" s="18"/>
      <c r="AL1386" s="18"/>
    </row>
    <row r="1387" spans="4:38" x14ac:dyDescent="0.2">
      <c r="D1387" s="19"/>
      <c r="E1387" s="19"/>
      <c r="F1387" s="19"/>
      <c r="G1387" s="18"/>
      <c r="H1387" s="18"/>
      <c r="I1387" s="18"/>
      <c r="J1387" s="18"/>
      <c r="K1387" s="18"/>
      <c r="L1387" s="18"/>
      <c r="M1387" s="18"/>
      <c r="N1387" s="18"/>
      <c r="O1387" s="18"/>
      <c r="P1387" s="18"/>
      <c r="Q1387" s="18"/>
      <c r="R1387" s="18"/>
      <c r="S1387" s="18"/>
      <c r="T1387" s="18"/>
      <c r="U1387" s="18"/>
      <c r="V1387" s="18"/>
      <c r="W1387" s="18"/>
      <c r="X1387" s="18"/>
      <c r="Y1387" s="18"/>
      <c r="Z1387" s="18"/>
      <c r="AA1387" s="18"/>
      <c r="AB1387" s="18"/>
      <c r="AC1387" s="18"/>
      <c r="AD1387" s="19"/>
      <c r="AE1387" s="18"/>
      <c r="AF1387" s="18"/>
      <c r="AG1387" s="18"/>
      <c r="AH1387" s="18"/>
      <c r="AI1387" s="18"/>
      <c r="AJ1387" s="97"/>
      <c r="AK1387" s="18"/>
      <c r="AL1387" s="18"/>
    </row>
    <row r="1388" spans="4:38" x14ac:dyDescent="0.2">
      <c r="D1388" s="19"/>
      <c r="E1388" s="19"/>
      <c r="F1388" s="19"/>
      <c r="G1388" s="18"/>
      <c r="H1388" s="18"/>
      <c r="I1388" s="18"/>
      <c r="J1388" s="18"/>
      <c r="K1388" s="18"/>
      <c r="L1388" s="18"/>
      <c r="M1388" s="18"/>
      <c r="N1388" s="18"/>
      <c r="O1388" s="18"/>
      <c r="P1388" s="18"/>
      <c r="Q1388" s="18"/>
      <c r="R1388" s="18"/>
      <c r="S1388" s="18"/>
      <c r="T1388" s="18"/>
      <c r="U1388" s="18"/>
      <c r="V1388" s="18"/>
      <c r="W1388" s="18"/>
      <c r="X1388" s="18"/>
      <c r="Y1388" s="18"/>
      <c r="Z1388" s="18"/>
      <c r="AA1388" s="18"/>
      <c r="AB1388" s="18"/>
      <c r="AC1388" s="18"/>
      <c r="AD1388" s="19"/>
      <c r="AE1388" s="18"/>
      <c r="AF1388" s="18"/>
      <c r="AG1388" s="18"/>
      <c r="AH1388" s="18"/>
      <c r="AI1388" s="18"/>
      <c r="AJ1388" s="97"/>
      <c r="AK1388" s="18"/>
      <c r="AL1388" s="18"/>
    </row>
    <row r="1389" spans="4:38" x14ac:dyDescent="0.2">
      <c r="D1389" s="19"/>
      <c r="E1389" s="19"/>
      <c r="F1389" s="19"/>
      <c r="G1389" s="18"/>
      <c r="H1389" s="18"/>
      <c r="I1389" s="18"/>
      <c r="J1389" s="18"/>
      <c r="K1389" s="18"/>
      <c r="L1389" s="18"/>
      <c r="M1389" s="18"/>
      <c r="N1389" s="18"/>
      <c r="O1389" s="18"/>
      <c r="P1389" s="18"/>
      <c r="Q1389" s="18"/>
      <c r="R1389" s="18"/>
      <c r="S1389" s="18"/>
      <c r="T1389" s="18"/>
      <c r="U1389" s="18"/>
      <c r="V1389" s="18"/>
      <c r="W1389" s="18"/>
      <c r="X1389" s="18"/>
      <c r="Y1389" s="18"/>
      <c r="Z1389" s="18"/>
      <c r="AA1389" s="18"/>
      <c r="AB1389" s="18"/>
      <c r="AC1389" s="18"/>
      <c r="AD1389" s="19"/>
      <c r="AE1389" s="18"/>
      <c r="AF1389" s="18"/>
      <c r="AG1389" s="18"/>
      <c r="AH1389" s="18"/>
      <c r="AI1389" s="18"/>
      <c r="AJ1389" s="97"/>
      <c r="AK1389" s="18"/>
      <c r="AL1389" s="18"/>
    </row>
    <row r="1390" spans="4:38" x14ac:dyDescent="0.2">
      <c r="D1390" s="19"/>
      <c r="E1390" s="19"/>
      <c r="F1390" s="19"/>
      <c r="G1390" s="18"/>
      <c r="H1390" s="18"/>
      <c r="I1390" s="18"/>
      <c r="J1390" s="18"/>
      <c r="K1390" s="18"/>
      <c r="L1390" s="18"/>
      <c r="M1390" s="18"/>
      <c r="N1390" s="18"/>
      <c r="O1390" s="18"/>
      <c r="P1390" s="18"/>
      <c r="Q1390" s="18"/>
      <c r="R1390" s="18"/>
      <c r="S1390" s="18"/>
      <c r="T1390" s="18"/>
      <c r="U1390" s="18"/>
      <c r="V1390" s="18"/>
      <c r="W1390" s="18"/>
      <c r="X1390" s="18"/>
      <c r="Y1390" s="18"/>
      <c r="Z1390" s="18"/>
      <c r="AA1390" s="18"/>
      <c r="AB1390" s="18"/>
      <c r="AC1390" s="18"/>
      <c r="AD1390" s="19"/>
      <c r="AE1390" s="18"/>
      <c r="AF1390" s="18"/>
      <c r="AG1390" s="18"/>
      <c r="AH1390" s="18"/>
      <c r="AI1390" s="18"/>
      <c r="AJ1390" s="97"/>
      <c r="AK1390" s="18"/>
      <c r="AL1390" s="18"/>
    </row>
    <row r="1391" spans="4:38" x14ac:dyDescent="0.2">
      <c r="D1391" s="19"/>
      <c r="E1391" s="19"/>
      <c r="F1391" s="19"/>
      <c r="G1391" s="18"/>
      <c r="H1391" s="18"/>
      <c r="I1391" s="18"/>
      <c r="J1391" s="18"/>
      <c r="K1391" s="18"/>
      <c r="L1391" s="18"/>
      <c r="M1391" s="18"/>
      <c r="N1391" s="18"/>
      <c r="O1391" s="18"/>
      <c r="P1391" s="18"/>
      <c r="Q1391" s="18"/>
      <c r="R1391" s="18"/>
      <c r="S1391" s="18"/>
      <c r="T1391" s="18"/>
      <c r="U1391" s="18"/>
      <c r="V1391" s="18"/>
      <c r="W1391" s="18"/>
      <c r="X1391" s="18"/>
      <c r="Y1391" s="18"/>
      <c r="Z1391" s="18"/>
      <c r="AA1391" s="18"/>
      <c r="AB1391" s="18"/>
      <c r="AC1391" s="18"/>
      <c r="AD1391" s="19"/>
      <c r="AE1391" s="18"/>
      <c r="AF1391" s="18"/>
      <c r="AG1391" s="18"/>
      <c r="AH1391" s="18"/>
      <c r="AI1391" s="18"/>
      <c r="AJ1391" s="97"/>
      <c r="AK1391" s="18"/>
      <c r="AL1391" s="18"/>
    </row>
    <row r="1392" spans="4:38" x14ac:dyDescent="0.2">
      <c r="D1392" s="19"/>
      <c r="E1392" s="19"/>
      <c r="F1392" s="19"/>
      <c r="G1392" s="18"/>
      <c r="H1392" s="18"/>
      <c r="I1392" s="18"/>
      <c r="J1392" s="18"/>
      <c r="K1392" s="18"/>
      <c r="L1392" s="18"/>
      <c r="M1392" s="18"/>
      <c r="N1392" s="18"/>
      <c r="O1392" s="18"/>
      <c r="P1392" s="18"/>
      <c r="Q1392" s="18"/>
      <c r="R1392" s="18"/>
      <c r="S1392" s="18"/>
      <c r="T1392" s="18"/>
      <c r="U1392" s="18"/>
      <c r="V1392" s="18"/>
      <c r="W1392" s="18"/>
      <c r="X1392" s="18"/>
      <c r="Y1392" s="18"/>
      <c r="Z1392" s="18"/>
      <c r="AA1392" s="18"/>
      <c r="AB1392" s="18"/>
      <c r="AC1392" s="18"/>
      <c r="AD1392" s="19"/>
      <c r="AE1392" s="18"/>
      <c r="AF1392" s="18"/>
      <c r="AG1392" s="18"/>
      <c r="AH1392" s="18"/>
      <c r="AI1392" s="18"/>
      <c r="AJ1392" s="97"/>
      <c r="AK1392" s="18"/>
      <c r="AL1392" s="18"/>
    </row>
    <row r="1393" spans="4:38" x14ac:dyDescent="0.2">
      <c r="D1393" s="19"/>
      <c r="E1393" s="19"/>
      <c r="F1393" s="19"/>
      <c r="G1393" s="18"/>
      <c r="H1393" s="18"/>
      <c r="I1393" s="18"/>
      <c r="J1393" s="18"/>
      <c r="K1393" s="18"/>
      <c r="L1393" s="18"/>
      <c r="M1393" s="18"/>
      <c r="N1393" s="18"/>
      <c r="O1393" s="18"/>
      <c r="P1393" s="18"/>
      <c r="Q1393" s="18"/>
      <c r="R1393" s="18"/>
      <c r="S1393" s="18"/>
      <c r="T1393" s="18"/>
      <c r="U1393" s="18"/>
      <c r="V1393" s="18"/>
      <c r="W1393" s="18"/>
      <c r="X1393" s="18"/>
      <c r="Y1393" s="18"/>
      <c r="Z1393" s="18"/>
      <c r="AA1393" s="18"/>
      <c r="AB1393" s="18"/>
      <c r="AC1393" s="18"/>
      <c r="AD1393" s="19"/>
      <c r="AE1393" s="18"/>
      <c r="AF1393" s="18"/>
      <c r="AG1393" s="18"/>
      <c r="AH1393" s="18"/>
      <c r="AI1393" s="18"/>
      <c r="AJ1393" s="97"/>
      <c r="AK1393" s="18"/>
      <c r="AL1393" s="18"/>
    </row>
    <row r="1394" spans="4:38" x14ac:dyDescent="0.2">
      <c r="D1394" s="19"/>
      <c r="E1394" s="19"/>
      <c r="F1394" s="19"/>
      <c r="G1394" s="18"/>
      <c r="H1394" s="18"/>
      <c r="I1394" s="18"/>
      <c r="J1394" s="18"/>
      <c r="K1394" s="18"/>
      <c r="L1394" s="18"/>
      <c r="M1394" s="18"/>
      <c r="N1394" s="18"/>
      <c r="O1394" s="18"/>
      <c r="P1394" s="18"/>
      <c r="Q1394" s="18"/>
      <c r="R1394" s="18"/>
      <c r="S1394" s="18"/>
      <c r="T1394" s="18"/>
      <c r="U1394" s="18"/>
      <c r="V1394" s="18"/>
      <c r="W1394" s="18"/>
      <c r="X1394" s="18"/>
      <c r="Y1394" s="18"/>
      <c r="Z1394" s="18"/>
      <c r="AA1394" s="18"/>
      <c r="AB1394" s="18"/>
      <c r="AC1394" s="18"/>
      <c r="AD1394" s="19"/>
      <c r="AE1394" s="18"/>
      <c r="AF1394" s="18"/>
      <c r="AG1394" s="18"/>
      <c r="AH1394" s="18"/>
      <c r="AI1394" s="18"/>
      <c r="AJ1394" s="97"/>
      <c r="AK1394" s="18"/>
      <c r="AL1394" s="18"/>
    </row>
    <row r="1395" spans="4:38" x14ac:dyDescent="0.2">
      <c r="D1395" s="19"/>
      <c r="E1395" s="19"/>
      <c r="F1395" s="19"/>
      <c r="G1395" s="18"/>
      <c r="H1395" s="18"/>
      <c r="I1395" s="18"/>
      <c r="J1395" s="18"/>
      <c r="K1395" s="18"/>
      <c r="L1395" s="18"/>
      <c r="M1395" s="18"/>
      <c r="N1395" s="18"/>
      <c r="O1395" s="18"/>
      <c r="P1395" s="18"/>
      <c r="Q1395" s="18"/>
      <c r="R1395" s="18"/>
      <c r="S1395" s="18"/>
      <c r="T1395" s="18"/>
      <c r="U1395" s="18"/>
      <c r="V1395" s="18"/>
      <c r="W1395" s="18"/>
      <c r="X1395" s="18"/>
      <c r="Y1395" s="18"/>
      <c r="Z1395" s="18"/>
      <c r="AA1395" s="18"/>
      <c r="AB1395" s="18"/>
      <c r="AC1395" s="18"/>
      <c r="AD1395" s="19"/>
      <c r="AE1395" s="18"/>
      <c r="AF1395" s="18"/>
      <c r="AG1395" s="18"/>
      <c r="AH1395" s="18"/>
      <c r="AI1395" s="18"/>
      <c r="AJ1395" s="97"/>
      <c r="AK1395" s="18"/>
      <c r="AL1395" s="18"/>
    </row>
    <row r="1396" spans="4:38" x14ac:dyDescent="0.2">
      <c r="D1396" s="19"/>
      <c r="E1396" s="19"/>
      <c r="F1396" s="19"/>
      <c r="G1396" s="18"/>
      <c r="H1396" s="18"/>
      <c r="I1396" s="18"/>
      <c r="J1396" s="18"/>
      <c r="K1396" s="18"/>
      <c r="L1396" s="18"/>
      <c r="M1396" s="18"/>
      <c r="N1396" s="18"/>
      <c r="O1396" s="18"/>
      <c r="P1396" s="18"/>
      <c r="Q1396" s="18"/>
      <c r="R1396" s="18"/>
      <c r="S1396" s="18"/>
      <c r="T1396" s="18"/>
      <c r="U1396" s="18"/>
      <c r="V1396" s="18"/>
      <c r="W1396" s="18"/>
      <c r="X1396" s="18"/>
      <c r="Y1396" s="18"/>
      <c r="Z1396" s="18"/>
      <c r="AA1396" s="18"/>
      <c r="AB1396" s="18"/>
      <c r="AC1396" s="18"/>
      <c r="AD1396" s="19"/>
      <c r="AE1396" s="18"/>
      <c r="AF1396" s="18"/>
      <c r="AG1396" s="18"/>
      <c r="AH1396" s="18"/>
      <c r="AI1396" s="18"/>
      <c r="AJ1396" s="97"/>
      <c r="AK1396" s="18"/>
      <c r="AL1396" s="18"/>
    </row>
    <row r="1397" spans="4:38" x14ac:dyDescent="0.2">
      <c r="D1397" s="19"/>
      <c r="E1397" s="19"/>
      <c r="F1397" s="19"/>
      <c r="G1397" s="18"/>
      <c r="H1397" s="18"/>
      <c r="I1397" s="18"/>
      <c r="J1397" s="18"/>
      <c r="K1397" s="18"/>
      <c r="L1397" s="18"/>
      <c r="M1397" s="18"/>
      <c r="N1397" s="18"/>
      <c r="O1397" s="18"/>
      <c r="P1397" s="18"/>
      <c r="Q1397" s="18"/>
      <c r="R1397" s="18"/>
      <c r="S1397" s="18"/>
      <c r="T1397" s="18"/>
      <c r="U1397" s="18"/>
      <c r="V1397" s="18"/>
      <c r="W1397" s="18"/>
      <c r="X1397" s="18"/>
      <c r="Y1397" s="18"/>
      <c r="Z1397" s="18"/>
      <c r="AA1397" s="18"/>
      <c r="AB1397" s="18"/>
      <c r="AC1397" s="18"/>
      <c r="AD1397" s="19"/>
      <c r="AE1397" s="18"/>
      <c r="AF1397" s="18"/>
      <c r="AG1397" s="18"/>
      <c r="AH1397" s="18"/>
      <c r="AI1397" s="18"/>
      <c r="AJ1397" s="97"/>
      <c r="AK1397" s="18"/>
      <c r="AL1397" s="18"/>
    </row>
    <row r="1398" spans="4:38" x14ac:dyDescent="0.2">
      <c r="D1398" s="19"/>
      <c r="E1398" s="19"/>
      <c r="F1398" s="19"/>
      <c r="G1398" s="18"/>
      <c r="H1398" s="18"/>
      <c r="I1398" s="18"/>
      <c r="J1398" s="18"/>
      <c r="K1398" s="18"/>
      <c r="L1398" s="18"/>
      <c r="M1398" s="18"/>
      <c r="N1398" s="18"/>
      <c r="O1398" s="18"/>
      <c r="P1398" s="18"/>
      <c r="Q1398" s="18"/>
      <c r="R1398" s="18"/>
      <c r="S1398" s="18"/>
      <c r="T1398" s="18"/>
      <c r="U1398" s="18"/>
      <c r="V1398" s="18"/>
      <c r="W1398" s="18"/>
      <c r="X1398" s="18"/>
      <c r="Y1398" s="18"/>
      <c r="Z1398" s="18"/>
      <c r="AA1398" s="18"/>
      <c r="AB1398" s="18"/>
      <c r="AC1398" s="18"/>
      <c r="AD1398" s="19"/>
      <c r="AE1398" s="18"/>
      <c r="AF1398" s="18"/>
      <c r="AG1398" s="18"/>
      <c r="AH1398" s="18"/>
      <c r="AI1398" s="18"/>
      <c r="AJ1398" s="97"/>
      <c r="AK1398" s="18"/>
      <c r="AL1398" s="18"/>
    </row>
    <row r="1399" spans="4:38" x14ac:dyDescent="0.2">
      <c r="D1399" s="19"/>
      <c r="E1399" s="19"/>
      <c r="F1399" s="19"/>
      <c r="G1399" s="18"/>
      <c r="H1399" s="18"/>
      <c r="I1399" s="18"/>
      <c r="J1399" s="18"/>
      <c r="K1399" s="18"/>
      <c r="L1399" s="18"/>
      <c r="M1399" s="18"/>
      <c r="N1399" s="18"/>
      <c r="O1399" s="18"/>
      <c r="P1399" s="18"/>
      <c r="Q1399" s="18"/>
      <c r="R1399" s="18"/>
      <c r="S1399" s="18"/>
      <c r="T1399" s="18"/>
      <c r="U1399" s="18"/>
      <c r="V1399" s="18"/>
      <c r="W1399" s="18"/>
      <c r="X1399" s="18"/>
      <c r="Y1399" s="18"/>
      <c r="Z1399" s="18"/>
      <c r="AA1399" s="18"/>
      <c r="AB1399" s="18"/>
      <c r="AC1399" s="18"/>
      <c r="AD1399" s="19"/>
      <c r="AE1399" s="18"/>
      <c r="AF1399" s="18"/>
      <c r="AG1399" s="18"/>
      <c r="AH1399" s="18"/>
      <c r="AI1399" s="18"/>
      <c r="AJ1399" s="97"/>
      <c r="AK1399" s="18"/>
      <c r="AL1399" s="18"/>
    </row>
    <row r="1400" spans="4:38" x14ac:dyDescent="0.2">
      <c r="D1400" s="19"/>
      <c r="E1400" s="19"/>
      <c r="F1400" s="19"/>
      <c r="G1400" s="18"/>
      <c r="H1400" s="18"/>
      <c r="I1400" s="18"/>
      <c r="J1400" s="18"/>
      <c r="K1400" s="18"/>
      <c r="L1400" s="18"/>
      <c r="M1400" s="18"/>
      <c r="N1400" s="18"/>
      <c r="O1400" s="18"/>
      <c r="P1400" s="18"/>
      <c r="Q1400" s="18"/>
      <c r="R1400" s="18"/>
      <c r="S1400" s="18"/>
      <c r="T1400" s="18"/>
      <c r="U1400" s="18"/>
      <c r="V1400" s="18"/>
      <c r="W1400" s="18"/>
      <c r="X1400" s="18"/>
      <c r="Y1400" s="18"/>
      <c r="Z1400" s="18"/>
      <c r="AA1400" s="18"/>
      <c r="AB1400" s="18"/>
      <c r="AC1400" s="18"/>
      <c r="AD1400" s="19"/>
      <c r="AE1400" s="18"/>
      <c r="AF1400" s="18"/>
      <c r="AG1400" s="18"/>
      <c r="AH1400" s="18"/>
      <c r="AI1400" s="18"/>
      <c r="AJ1400" s="97"/>
      <c r="AK1400" s="18"/>
      <c r="AL1400" s="18"/>
    </row>
    <row r="1401" spans="4:38" x14ac:dyDescent="0.2">
      <c r="D1401" s="19"/>
      <c r="E1401" s="19"/>
      <c r="F1401" s="19"/>
      <c r="G1401" s="18"/>
      <c r="H1401" s="18"/>
      <c r="I1401" s="18"/>
      <c r="J1401" s="18"/>
      <c r="K1401" s="18"/>
      <c r="L1401" s="18"/>
      <c r="M1401" s="18"/>
      <c r="N1401" s="18"/>
      <c r="O1401" s="18"/>
      <c r="P1401" s="18"/>
      <c r="Q1401" s="18"/>
      <c r="R1401" s="18"/>
      <c r="S1401" s="18"/>
      <c r="T1401" s="18"/>
      <c r="U1401" s="18"/>
      <c r="V1401" s="18"/>
      <c r="W1401" s="18"/>
      <c r="X1401" s="18"/>
      <c r="Y1401" s="18"/>
      <c r="Z1401" s="18"/>
      <c r="AA1401" s="18"/>
      <c r="AB1401" s="18"/>
      <c r="AC1401" s="18"/>
      <c r="AD1401" s="19"/>
      <c r="AE1401" s="18"/>
      <c r="AF1401" s="18"/>
      <c r="AG1401" s="18"/>
      <c r="AH1401" s="18"/>
      <c r="AI1401" s="18"/>
      <c r="AJ1401" s="97"/>
      <c r="AK1401" s="18"/>
      <c r="AL1401" s="18"/>
    </row>
    <row r="1402" spans="4:38" x14ac:dyDescent="0.2">
      <c r="D1402" s="19"/>
      <c r="E1402" s="19"/>
      <c r="F1402" s="19"/>
      <c r="G1402" s="18"/>
      <c r="H1402" s="18"/>
      <c r="I1402" s="18"/>
      <c r="J1402" s="18"/>
      <c r="K1402" s="18"/>
      <c r="L1402" s="18"/>
      <c r="M1402" s="18"/>
      <c r="N1402" s="18"/>
      <c r="O1402" s="18"/>
      <c r="P1402" s="18"/>
      <c r="Q1402" s="18"/>
      <c r="R1402" s="18"/>
      <c r="S1402" s="18"/>
      <c r="T1402" s="18"/>
      <c r="U1402" s="18"/>
      <c r="V1402" s="18"/>
      <c r="W1402" s="18"/>
      <c r="X1402" s="18"/>
      <c r="Y1402" s="18"/>
      <c r="Z1402" s="18"/>
      <c r="AA1402" s="18"/>
      <c r="AB1402" s="18"/>
      <c r="AC1402" s="18"/>
      <c r="AD1402" s="19"/>
      <c r="AE1402" s="18"/>
      <c r="AF1402" s="18"/>
      <c r="AG1402" s="18"/>
      <c r="AH1402" s="18"/>
      <c r="AI1402" s="18"/>
      <c r="AJ1402" s="97"/>
      <c r="AK1402" s="18"/>
      <c r="AL1402" s="18"/>
    </row>
    <row r="1403" spans="4:38" x14ac:dyDescent="0.2">
      <c r="D1403" s="19"/>
      <c r="E1403" s="19"/>
      <c r="F1403" s="19"/>
      <c r="G1403" s="18"/>
      <c r="H1403" s="18"/>
      <c r="I1403" s="18"/>
      <c r="J1403" s="18"/>
      <c r="K1403" s="18"/>
      <c r="L1403" s="18"/>
      <c r="M1403" s="18"/>
      <c r="N1403" s="18"/>
      <c r="O1403" s="18"/>
      <c r="P1403" s="18"/>
      <c r="Q1403" s="18"/>
      <c r="R1403" s="18"/>
      <c r="S1403" s="18"/>
      <c r="T1403" s="18"/>
      <c r="U1403" s="18"/>
      <c r="V1403" s="18"/>
      <c r="W1403" s="18"/>
      <c r="X1403" s="18"/>
      <c r="Y1403" s="18"/>
      <c r="Z1403" s="18"/>
      <c r="AA1403" s="18"/>
      <c r="AB1403" s="18"/>
      <c r="AC1403" s="18"/>
      <c r="AD1403" s="19"/>
      <c r="AE1403" s="18"/>
      <c r="AF1403" s="18"/>
      <c r="AG1403" s="18"/>
      <c r="AH1403" s="18"/>
      <c r="AI1403" s="18"/>
      <c r="AJ1403" s="97"/>
      <c r="AK1403" s="18"/>
      <c r="AL1403" s="18"/>
    </row>
    <row r="1404" spans="4:38" x14ac:dyDescent="0.2">
      <c r="D1404" s="19"/>
      <c r="E1404" s="19"/>
      <c r="F1404" s="19"/>
      <c r="G1404" s="18"/>
      <c r="H1404" s="18"/>
      <c r="I1404" s="18"/>
      <c r="J1404" s="18"/>
      <c r="K1404" s="18"/>
      <c r="L1404" s="18"/>
      <c r="M1404" s="18"/>
      <c r="N1404" s="18"/>
      <c r="O1404" s="18"/>
      <c r="P1404" s="18"/>
      <c r="Q1404" s="18"/>
      <c r="R1404" s="18"/>
      <c r="S1404" s="18"/>
      <c r="T1404" s="18"/>
      <c r="U1404" s="18"/>
      <c r="V1404" s="18"/>
      <c r="W1404" s="18"/>
      <c r="X1404" s="18"/>
      <c r="Y1404" s="18"/>
      <c r="Z1404" s="18"/>
      <c r="AA1404" s="18"/>
      <c r="AB1404" s="18"/>
      <c r="AC1404" s="18"/>
      <c r="AD1404" s="19"/>
      <c r="AE1404" s="18"/>
      <c r="AF1404" s="18"/>
      <c r="AG1404" s="18"/>
      <c r="AH1404" s="18"/>
      <c r="AI1404" s="18"/>
      <c r="AJ1404" s="97"/>
      <c r="AK1404" s="18"/>
      <c r="AL1404" s="18"/>
    </row>
    <row r="1405" spans="4:38" x14ac:dyDescent="0.2">
      <c r="D1405" s="19"/>
      <c r="E1405" s="19"/>
      <c r="F1405" s="19"/>
      <c r="G1405" s="18"/>
      <c r="H1405" s="18"/>
      <c r="I1405" s="18"/>
      <c r="J1405" s="18"/>
      <c r="K1405" s="18"/>
      <c r="L1405" s="18"/>
      <c r="M1405" s="18"/>
      <c r="N1405" s="18"/>
      <c r="O1405" s="18"/>
      <c r="P1405" s="18"/>
      <c r="Q1405" s="18"/>
      <c r="R1405" s="18"/>
      <c r="S1405" s="18"/>
      <c r="T1405" s="18"/>
      <c r="U1405" s="18"/>
      <c r="V1405" s="18"/>
      <c r="W1405" s="18"/>
      <c r="X1405" s="18"/>
      <c r="Y1405" s="18"/>
      <c r="Z1405" s="18"/>
      <c r="AA1405" s="18"/>
      <c r="AB1405" s="18"/>
      <c r="AC1405" s="18"/>
      <c r="AD1405" s="19"/>
      <c r="AE1405" s="18"/>
      <c r="AF1405" s="18"/>
      <c r="AG1405" s="18"/>
      <c r="AH1405" s="18"/>
      <c r="AI1405" s="18"/>
      <c r="AJ1405" s="97"/>
      <c r="AK1405" s="18"/>
      <c r="AL1405" s="18"/>
    </row>
    <row r="1406" spans="4:38" x14ac:dyDescent="0.2">
      <c r="D1406" s="19"/>
      <c r="E1406" s="19"/>
      <c r="F1406" s="19"/>
      <c r="G1406" s="18"/>
      <c r="H1406" s="18"/>
      <c r="I1406" s="18"/>
      <c r="J1406" s="18"/>
      <c r="K1406" s="18"/>
      <c r="L1406" s="18"/>
      <c r="M1406" s="18"/>
      <c r="N1406" s="18"/>
      <c r="O1406" s="18"/>
      <c r="P1406" s="18"/>
      <c r="Q1406" s="18"/>
      <c r="R1406" s="18"/>
      <c r="S1406" s="18"/>
      <c r="T1406" s="18"/>
      <c r="U1406" s="18"/>
      <c r="V1406" s="18"/>
      <c r="W1406" s="18"/>
      <c r="X1406" s="18"/>
      <c r="Y1406" s="18"/>
      <c r="Z1406" s="18"/>
      <c r="AA1406" s="18"/>
      <c r="AB1406" s="18"/>
      <c r="AC1406" s="18"/>
      <c r="AD1406" s="19"/>
      <c r="AE1406" s="18"/>
      <c r="AF1406" s="18"/>
      <c r="AG1406" s="18"/>
      <c r="AH1406" s="18"/>
      <c r="AI1406" s="18"/>
      <c r="AJ1406" s="97"/>
      <c r="AK1406" s="18"/>
      <c r="AL1406" s="18"/>
    </row>
    <row r="1407" spans="4:38" x14ac:dyDescent="0.2">
      <c r="D1407" s="19"/>
      <c r="E1407" s="19"/>
      <c r="F1407" s="19"/>
      <c r="G1407" s="18"/>
      <c r="H1407" s="18"/>
      <c r="I1407" s="18"/>
      <c r="J1407" s="18"/>
      <c r="K1407" s="18"/>
      <c r="L1407" s="18"/>
      <c r="M1407" s="18"/>
      <c r="N1407" s="18"/>
      <c r="O1407" s="18"/>
      <c r="P1407" s="18"/>
      <c r="Q1407" s="18"/>
      <c r="R1407" s="18"/>
      <c r="S1407" s="18"/>
      <c r="T1407" s="18"/>
      <c r="U1407" s="18"/>
      <c r="V1407" s="18"/>
      <c r="W1407" s="18"/>
      <c r="X1407" s="18"/>
      <c r="Y1407" s="18"/>
      <c r="Z1407" s="18"/>
      <c r="AA1407" s="18"/>
      <c r="AB1407" s="18"/>
      <c r="AC1407" s="18"/>
      <c r="AD1407" s="19"/>
      <c r="AE1407" s="18"/>
      <c r="AF1407" s="18"/>
      <c r="AG1407" s="18"/>
      <c r="AH1407" s="18"/>
      <c r="AI1407" s="18"/>
      <c r="AJ1407" s="97"/>
      <c r="AK1407" s="18"/>
      <c r="AL1407" s="18"/>
    </row>
    <row r="1408" spans="4:38" x14ac:dyDescent="0.2">
      <c r="D1408" s="19"/>
      <c r="E1408" s="19"/>
      <c r="F1408" s="19"/>
      <c r="G1408" s="18"/>
      <c r="H1408" s="18"/>
      <c r="I1408" s="18"/>
      <c r="J1408" s="18"/>
      <c r="K1408" s="18"/>
      <c r="L1408" s="18"/>
      <c r="M1408" s="18"/>
      <c r="N1408" s="18"/>
      <c r="O1408" s="18"/>
      <c r="P1408" s="18"/>
      <c r="Q1408" s="18"/>
      <c r="R1408" s="18"/>
      <c r="S1408" s="18"/>
      <c r="T1408" s="18"/>
      <c r="U1408" s="18"/>
      <c r="V1408" s="18"/>
      <c r="W1408" s="18"/>
      <c r="X1408" s="18"/>
      <c r="Y1408" s="18"/>
      <c r="Z1408" s="18"/>
      <c r="AA1408" s="18"/>
      <c r="AB1408" s="18"/>
      <c r="AC1408" s="18"/>
      <c r="AD1408" s="19"/>
      <c r="AE1408" s="18"/>
      <c r="AF1408" s="18"/>
      <c r="AG1408" s="18"/>
      <c r="AH1408" s="18"/>
      <c r="AI1408" s="18"/>
      <c r="AJ1408" s="97"/>
      <c r="AK1408" s="18"/>
      <c r="AL1408" s="18"/>
    </row>
    <row r="1409" spans="4:38" x14ac:dyDescent="0.2">
      <c r="D1409" s="19"/>
      <c r="E1409" s="19"/>
      <c r="F1409" s="19"/>
      <c r="G1409" s="18"/>
      <c r="H1409" s="18"/>
      <c r="I1409" s="18"/>
      <c r="J1409" s="18"/>
      <c r="K1409" s="18"/>
      <c r="L1409" s="18"/>
      <c r="M1409" s="18"/>
      <c r="N1409" s="18"/>
      <c r="O1409" s="18"/>
      <c r="P1409" s="18"/>
      <c r="Q1409" s="18"/>
      <c r="R1409" s="18"/>
      <c r="S1409" s="18"/>
      <c r="T1409" s="18"/>
      <c r="U1409" s="18"/>
      <c r="V1409" s="18"/>
      <c r="W1409" s="18"/>
      <c r="X1409" s="18"/>
      <c r="Y1409" s="18"/>
      <c r="Z1409" s="18"/>
      <c r="AA1409" s="18"/>
      <c r="AB1409" s="18"/>
      <c r="AC1409" s="18"/>
      <c r="AD1409" s="19"/>
      <c r="AE1409" s="18"/>
      <c r="AF1409" s="18"/>
      <c r="AG1409" s="18"/>
      <c r="AH1409" s="18"/>
      <c r="AI1409" s="18"/>
      <c r="AJ1409" s="97"/>
      <c r="AK1409" s="18"/>
      <c r="AL1409" s="18"/>
    </row>
    <row r="1410" spans="4:38" x14ac:dyDescent="0.2">
      <c r="D1410" s="19"/>
      <c r="E1410" s="19"/>
      <c r="F1410" s="19"/>
      <c r="G1410" s="18"/>
      <c r="H1410" s="18"/>
      <c r="I1410" s="18"/>
      <c r="J1410" s="18"/>
      <c r="K1410" s="18"/>
      <c r="L1410" s="18"/>
      <c r="M1410" s="18"/>
      <c r="N1410" s="18"/>
      <c r="O1410" s="18"/>
      <c r="P1410" s="18"/>
      <c r="Q1410" s="18"/>
      <c r="R1410" s="18"/>
      <c r="S1410" s="18"/>
      <c r="T1410" s="18"/>
      <c r="U1410" s="18"/>
      <c r="V1410" s="18"/>
      <c r="W1410" s="18"/>
      <c r="X1410" s="18"/>
      <c r="Y1410" s="18"/>
      <c r="Z1410" s="18"/>
      <c r="AA1410" s="18"/>
      <c r="AB1410" s="18"/>
      <c r="AC1410" s="18"/>
      <c r="AD1410" s="19"/>
      <c r="AE1410" s="18"/>
      <c r="AF1410" s="18"/>
      <c r="AG1410" s="18"/>
      <c r="AH1410" s="18"/>
      <c r="AI1410" s="18"/>
      <c r="AJ1410" s="97"/>
      <c r="AK1410" s="18"/>
      <c r="AL1410" s="18"/>
    </row>
    <row r="1411" spans="4:38" x14ac:dyDescent="0.2">
      <c r="D1411" s="19"/>
      <c r="E1411" s="19"/>
      <c r="F1411" s="19"/>
      <c r="G1411" s="18"/>
      <c r="H1411" s="18"/>
      <c r="I1411" s="18"/>
      <c r="J1411" s="18"/>
      <c r="K1411" s="18"/>
      <c r="L1411" s="18"/>
      <c r="M1411" s="18"/>
      <c r="N1411" s="18"/>
      <c r="O1411" s="18"/>
      <c r="P1411" s="18"/>
      <c r="Q1411" s="18"/>
      <c r="R1411" s="18"/>
      <c r="S1411" s="18"/>
      <c r="T1411" s="18"/>
      <c r="U1411" s="18"/>
      <c r="V1411" s="18"/>
      <c r="W1411" s="18"/>
      <c r="X1411" s="18"/>
      <c r="Y1411" s="18"/>
      <c r="Z1411" s="18"/>
      <c r="AA1411" s="18"/>
      <c r="AB1411" s="18"/>
      <c r="AC1411" s="18"/>
      <c r="AD1411" s="19"/>
      <c r="AE1411" s="18"/>
      <c r="AF1411" s="18"/>
      <c r="AG1411" s="18"/>
      <c r="AH1411" s="18"/>
      <c r="AI1411" s="18"/>
      <c r="AJ1411" s="97"/>
      <c r="AK1411" s="18"/>
      <c r="AL1411" s="18"/>
    </row>
    <row r="1412" spans="4:38" x14ac:dyDescent="0.2">
      <c r="D1412" s="19"/>
      <c r="E1412" s="19"/>
      <c r="F1412" s="19"/>
      <c r="G1412" s="18"/>
      <c r="H1412" s="18"/>
      <c r="I1412" s="18"/>
      <c r="J1412" s="18"/>
      <c r="K1412" s="18"/>
      <c r="L1412" s="18"/>
      <c r="M1412" s="18"/>
      <c r="N1412" s="18"/>
      <c r="O1412" s="18"/>
      <c r="P1412" s="18"/>
      <c r="Q1412" s="18"/>
      <c r="R1412" s="18"/>
      <c r="S1412" s="18"/>
      <c r="T1412" s="18"/>
      <c r="U1412" s="18"/>
      <c r="V1412" s="18"/>
      <c r="W1412" s="18"/>
      <c r="X1412" s="18"/>
      <c r="Y1412" s="18"/>
      <c r="Z1412" s="18"/>
      <c r="AA1412" s="18"/>
      <c r="AB1412" s="18"/>
      <c r="AC1412" s="18"/>
      <c r="AD1412" s="19"/>
      <c r="AE1412" s="18"/>
      <c r="AF1412" s="18"/>
      <c r="AG1412" s="18"/>
      <c r="AH1412" s="18"/>
      <c r="AI1412" s="18"/>
      <c r="AJ1412" s="97"/>
      <c r="AK1412" s="18"/>
      <c r="AL1412" s="18"/>
    </row>
    <row r="1413" spans="4:38" x14ac:dyDescent="0.2">
      <c r="D1413" s="19"/>
      <c r="E1413" s="19"/>
      <c r="F1413" s="19"/>
      <c r="G1413" s="18"/>
      <c r="H1413" s="18"/>
      <c r="I1413" s="18"/>
      <c r="J1413" s="18"/>
      <c r="K1413" s="18"/>
      <c r="L1413" s="18"/>
      <c r="M1413" s="18"/>
      <c r="N1413" s="18"/>
      <c r="O1413" s="18"/>
      <c r="P1413" s="18"/>
      <c r="Q1413" s="18"/>
      <c r="R1413" s="18"/>
      <c r="S1413" s="18"/>
      <c r="T1413" s="18"/>
      <c r="U1413" s="18"/>
      <c r="V1413" s="18"/>
      <c r="W1413" s="18"/>
      <c r="X1413" s="18"/>
      <c r="Y1413" s="18"/>
      <c r="Z1413" s="18"/>
      <c r="AA1413" s="18"/>
      <c r="AB1413" s="18"/>
      <c r="AC1413" s="18"/>
      <c r="AD1413" s="19"/>
      <c r="AE1413" s="18"/>
      <c r="AF1413" s="18"/>
      <c r="AG1413" s="18"/>
      <c r="AH1413" s="18"/>
      <c r="AI1413" s="18"/>
      <c r="AJ1413" s="97"/>
      <c r="AK1413" s="18"/>
      <c r="AL1413" s="18"/>
    </row>
    <row r="1414" spans="4:38" x14ac:dyDescent="0.2">
      <c r="D1414" s="19"/>
      <c r="E1414" s="19"/>
      <c r="F1414" s="19"/>
      <c r="G1414" s="18"/>
      <c r="H1414" s="18"/>
      <c r="I1414" s="18"/>
      <c r="J1414" s="18"/>
      <c r="K1414" s="18"/>
      <c r="L1414" s="18"/>
      <c r="M1414" s="18"/>
      <c r="N1414" s="18"/>
      <c r="O1414" s="18"/>
      <c r="P1414" s="18"/>
      <c r="Q1414" s="18"/>
      <c r="R1414" s="18"/>
      <c r="S1414" s="18"/>
      <c r="T1414" s="18"/>
      <c r="U1414" s="18"/>
      <c r="V1414" s="18"/>
      <c r="W1414" s="18"/>
      <c r="X1414" s="18"/>
      <c r="Y1414" s="18"/>
      <c r="Z1414" s="18"/>
      <c r="AA1414" s="18"/>
      <c r="AB1414" s="18"/>
      <c r="AC1414" s="18"/>
      <c r="AD1414" s="19"/>
      <c r="AE1414" s="18"/>
      <c r="AF1414" s="18"/>
      <c r="AG1414" s="18"/>
      <c r="AH1414" s="18"/>
      <c r="AI1414" s="18"/>
      <c r="AJ1414" s="97"/>
      <c r="AK1414" s="18"/>
      <c r="AL1414" s="18"/>
    </row>
    <row r="1415" spans="4:38" x14ac:dyDescent="0.2">
      <c r="D1415" s="19"/>
      <c r="E1415" s="19"/>
      <c r="F1415" s="19"/>
      <c r="G1415" s="18"/>
      <c r="H1415" s="18"/>
      <c r="I1415" s="18"/>
      <c r="J1415" s="18"/>
      <c r="K1415" s="18"/>
      <c r="L1415" s="18"/>
      <c r="M1415" s="18"/>
      <c r="N1415" s="18"/>
      <c r="O1415" s="18"/>
      <c r="P1415" s="18"/>
      <c r="Q1415" s="18"/>
      <c r="R1415" s="18"/>
      <c r="S1415" s="18"/>
      <c r="T1415" s="18"/>
      <c r="U1415" s="18"/>
      <c r="V1415" s="18"/>
      <c r="W1415" s="18"/>
      <c r="X1415" s="18"/>
      <c r="Y1415" s="18"/>
      <c r="Z1415" s="18"/>
      <c r="AA1415" s="18"/>
      <c r="AB1415" s="18"/>
      <c r="AC1415" s="18"/>
      <c r="AD1415" s="19"/>
      <c r="AE1415" s="18"/>
      <c r="AF1415" s="18"/>
      <c r="AG1415" s="18"/>
      <c r="AH1415" s="18"/>
      <c r="AI1415" s="18"/>
      <c r="AJ1415" s="97"/>
      <c r="AK1415" s="18"/>
      <c r="AL1415" s="18"/>
    </row>
    <row r="1416" spans="4:38" x14ac:dyDescent="0.2">
      <c r="D1416" s="19"/>
      <c r="E1416" s="19"/>
      <c r="F1416" s="19"/>
      <c r="G1416" s="18"/>
      <c r="H1416" s="18"/>
      <c r="I1416" s="18"/>
      <c r="J1416" s="18"/>
      <c r="K1416" s="18"/>
      <c r="L1416" s="18"/>
      <c r="M1416" s="18"/>
      <c r="N1416" s="18"/>
      <c r="O1416" s="18"/>
      <c r="P1416" s="18"/>
      <c r="Q1416" s="18"/>
      <c r="R1416" s="18"/>
      <c r="S1416" s="18"/>
      <c r="T1416" s="18"/>
      <c r="U1416" s="18"/>
      <c r="V1416" s="18"/>
      <c r="W1416" s="18"/>
      <c r="X1416" s="18"/>
      <c r="Y1416" s="18"/>
      <c r="Z1416" s="18"/>
      <c r="AA1416" s="18"/>
      <c r="AB1416" s="18"/>
      <c r="AC1416" s="18"/>
      <c r="AD1416" s="19"/>
      <c r="AE1416" s="18"/>
      <c r="AF1416" s="18"/>
      <c r="AG1416" s="18"/>
      <c r="AH1416" s="18"/>
      <c r="AI1416" s="18"/>
      <c r="AJ1416" s="97"/>
      <c r="AK1416" s="18"/>
      <c r="AL1416" s="18"/>
    </row>
    <row r="1417" spans="4:38" x14ac:dyDescent="0.2">
      <c r="D1417" s="19"/>
      <c r="E1417" s="19"/>
      <c r="F1417" s="19"/>
      <c r="G1417" s="18"/>
      <c r="H1417" s="18"/>
      <c r="I1417" s="18"/>
      <c r="J1417" s="18"/>
      <c r="K1417" s="18"/>
      <c r="L1417" s="18"/>
      <c r="M1417" s="18"/>
      <c r="N1417" s="18"/>
      <c r="O1417" s="18"/>
      <c r="P1417" s="18"/>
      <c r="Q1417" s="18"/>
      <c r="R1417" s="18"/>
      <c r="S1417" s="18"/>
      <c r="T1417" s="18"/>
      <c r="U1417" s="18"/>
      <c r="V1417" s="18"/>
      <c r="W1417" s="18"/>
      <c r="X1417" s="18"/>
      <c r="Y1417" s="18"/>
      <c r="Z1417" s="18"/>
      <c r="AA1417" s="18"/>
      <c r="AB1417" s="18"/>
      <c r="AC1417" s="18"/>
      <c r="AD1417" s="19"/>
      <c r="AE1417" s="18"/>
      <c r="AF1417" s="18"/>
      <c r="AG1417" s="18"/>
      <c r="AH1417" s="18"/>
      <c r="AI1417" s="18"/>
      <c r="AJ1417" s="97"/>
      <c r="AK1417" s="18"/>
      <c r="AL1417" s="18"/>
    </row>
    <row r="1418" spans="4:38" x14ac:dyDescent="0.2">
      <c r="D1418" s="19"/>
      <c r="E1418" s="19"/>
      <c r="F1418" s="19"/>
      <c r="G1418" s="18"/>
      <c r="H1418" s="18"/>
      <c r="I1418" s="18"/>
      <c r="J1418" s="18"/>
      <c r="K1418" s="18"/>
      <c r="L1418" s="18"/>
      <c r="M1418" s="18"/>
      <c r="N1418" s="18"/>
      <c r="O1418" s="18"/>
      <c r="P1418" s="18"/>
      <c r="Q1418" s="18"/>
      <c r="R1418" s="18"/>
      <c r="S1418" s="18"/>
      <c r="T1418" s="18"/>
      <c r="U1418" s="18"/>
      <c r="V1418" s="18"/>
      <c r="W1418" s="18"/>
      <c r="X1418" s="18"/>
      <c r="Y1418" s="18"/>
      <c r="Z1418" s="18"/>
      <c r="AA1418" s="18"/>
      <c r="AB1418" s="18"/>
      <c r="AC1418" s="18"/>
      <c r="AD1418" s="19"/>
      <c r="AE1418" s="18"/>
      <c r="AF1418" s="18"/>
      <c r="AG1418" s="18"/>
      <c r="AH1418" s="18"/>
      <c r="AI1418" s="18"/>
      <c r="AJ1418" s="97"/>
      <c r="AK1418" s="18"/>
      <c r="AL1418" s="18"/>
    </row>
    <row r="1419" spans="4:38" x14ac:dyDescent="0.2">
      <c r="D1419" s="19"/>
      <c r="E1419" s="19"/>
      <c r="F1419" s="19"/>
      <c r="G1419" s="18"/>
      <c r="H1419" s="18"/>
      <c r="I1419" s="18"/>
      <c r="J1419" s="18"/>
      <c r="K1419" s="18"/>
      <c r="L1419" s="18"/>
      <c r="M1419" s="18"/>
      <c r="N1419" s="18"/>
      <c r="O1419" s="18"/>
      <c r="P1419" s="18"/>
      <c r="Q1419" s="18"/>
      <c r="R1419" s="18"/>
      <c r="S1419" s="18"/>
      <c r="T1419" s="18"/>
      <c r="U1419" s="18"/>
      <c r="V1419" s="18"/>
      <c r="W1419" s="18"/>
      <c r="X1419" s="18"/>
      <c r="Y1419" s="18"/>
      <c r="Z1419" s="18"/>
      <c r="AA1419" s="18"/>
      <c r="AB1419" s="18"/>
      <c r="AC1419" s="18"/>
      <c r="AD1419" s="19"/>
      <c r="AE1419" s="18"/>
      <c r="AF1419" s="18"/>
      <c r="AG1419" s="18"/>
      <c r="AH1419" s="18"/>
      <c r="AI1419" s="18"/>
      <c r="AJ1419" s="97"/>
      <c r="AK1419" s="18"/>
      <c r="AL1419" s="18"/>
    </row>
    <row r="1420" spans="4:38" x14ac:dyDescent="0.2">
      <c r="D1420" s="19"/>
      <c r="E1420" s="19"/>
      <c r="F1420" s="19"/>
      <c r="G1420" s="18"/>
      <c r="H1420" s="18"/>
      <c r="I1420" s="18"/>
      <c r="J1420" s="18"/>
      <c r="K1420" s="18"/>
      <c r="L1420" s="18"/>
      <c r="M1420" s="18"/>
      <c r="N1420" s="18"/>
      <c r="O1420" s="18"/>
      <c r="P1420" s="18"/>
      <c r="Q1420" s="18"/>
      <c r="R1420" s="18"/>
      <c r="S1420" s="18"/>
      <c r="T1420" s="18"/>
      <c r="U1420" s="18"/>
      <c r="V1420" s="18"/>
      <c r="W1420" s="18"/>
      <c r="X1420" s="18"/>
      <c r="Y1420" s="18"/>
      <c r="Z1420" s="18"/>
      <c r="AA1420" s="18"/>
      <c r="AB1420" s="18"/>
      <c r="AC1420" s="18"/>
      <c r="AD1420" s="19"/>
      <c r="AE1420" s="18"/>
      <c r="AF1420" s="18"/>
      <c r="AG1420" s="18"/>
      <c r="AH1420" s="18"/>
      <c r="AI1420" s="18"/>
      <c r="AJ1420" s="97"/>
      <c r="AK1420" s="18"/>
      <c r="AL1420" s="18"/>
    </row>
    <row r="1421" spans="4:38" x14ac:dyDescent="0.2">
      <c r="D1421" s="19"/>
      <c r="E1421" s="19"/>
      <c r="F1421" s="19"/>
      <c r="G1421" s="18"/>
      <c r="H1421" s="18"/>
      <c r="I1421" s="18"/>
      <c r="J1421" s="18"/>
      <c r="K1421" s="18"/>
      <c r="L1421" s="18"/>
      <c r="M1421" s="18"/>
      <c r="N1421" s="18"/>
      <c r="O1421" s="18"/>
      <c r="P1421" s="18"/>
      <c r="Q1421" s="18"/>
      <c r="R1421" s="18"/>
      <c r="S1421" s="18"/>
      <c r="T1421" s="18"/>
      <c r="U1421" s="18"/>
      <c r="V1421" s="18"/>
      <c r="W1421" s="18"/>
      <c r="X1421" s="18"/>
      <c r="Y1421" s="18"/>
      <c r="Z1421" s="18"/>
      <c r="AA1421" s="18"/>
      <c r="AB1421" s="18"/>
      <c r="AC1421" s="18"/>
      <c r="AD1421" s="19"/>
      <c r="AE1421" s="18"/>
      <c r="AF1421" s="18"/>
      <c r="AG1421" s="18"/>
      <c r="AH1421" s="18"/>
      <c r="AI1421" s="18"/>
      <c r="AJ1421" s="97"/>
      <c r="AK1421" s="18"/>
      <c r="AL1421" s="18"/>
    </row>
    <row r="1422" spans="4:38" x14ac:dyDescent="0.2">
      <c r="D1422" s="19"/>
      <c r="E1422" s="19"/>
      <c r="F1422" s="19"/>
      <c r="G1422" s="18"/>
      <c r="H1422" s="18"/>
      <c r="I1422" s="18"/>
      <c r="J1422" s="18"/>
      <c r="K1422" s="18"/>
      <c r="L1422" s="18"/>
      <c r="M1422" s="18"/>
      <c r="N1422" s="18"/>
      <c r="O1422" s="18"/>
      <c r="P1422" s="18"/>
      <c r="Q1422" s="18"/>
      <c r="R1422" s="18"/>
      <c r="S1422" s="18"/>
      <c r="T1422" s="18"/>
      <c r="U1422" s="18"/>
      <c r="V1422" s="18"/>
      <c r="W1422" s="18"/>
      <c r="X1422" s="18"/>
      <c r="Y1422" s="18"/>
      <c r="Z1422" s="18"/>
      <c r="AA1422" s="18"/>
      <c r="AB1422" s="18"/>
      <c r="AC1422" s="18"/>
      <c r="AD1422" s="19"/>
      <c r="AE1422" s="18"/>
      <c r="AF1422" s="18"/>
      <c r="AG1422" s="18"/>
      <c r="AH1422" s="18"/>
      <c r="AI1422" s="18"/>
      <c r="AJ1422" s="97"/>
      <c r="AK1422" s="18"/>
      <c r="AL1422" s="18"/>
    </row>
    <row r="1423" spans="4:38" x14ac:dyDescent="0.2">
      <c r="D1423" s="19"/>
      <c r="E1423" s="19"/>
      <c r="F1423" s="19"/>
      <c r="G1423" s="18"/>
      <c r="H1423" s="18"/>
      <c r="I1423" s="18"/>
      <c r="J1423" s="18"/>
      <c r="K1423" s="18"/>
      <c r="L1423" s="18"/>
      <c r="M1423" s="18"/>
      <c r="N1423" s="18"/>
      <c r="O1423" s="18"/>
      <c r="P1423" s="18"/>
      <c r="Q1423" s="18"/>
      <c r="R1423" s="18"/>
      <c r="S1423" s="18"/>
      <c r="T1423" s="18"/>
      <c r="U1423" s="18"/>
      <c r="V1423" s="18"/>
      <c r="W1423" s="18"/>
      <c r="X1423" s="18"/>
      <c r="Y1423" s="18"/>
      <c r="Z1423" s="18"/>
      <c r="AA1423" s="18"/>
      <c r="AB1423" s="18"/>
      <c r="AC1423" s="18"/>
      <c r="AD1423" s="19"/>
      <c r="AE1423" s="18"/>
      <c r="AF1423" s="18"/>
      <c r="AG1423" s="18"/>
      <c r="AH1423" s="18"/>
      <c r="AI1423" s="18"/>
      <c r="AJ1423" s="97"/>
      <c r="AK1423" s="18"/>
      <c r="AL1423" s="18"/>
    </row>
    <row r="1424" spans="4:38" x14ac:dyDescent="0.2">
      <c r="D1424" s="19"/>
      <c r="E1424" s="19"/>
      <c r="F1424" s="19"/>
      <c r="G1424" s="18"/>
      <c r="H1424" s="18"/>
      <c r="I1424" s="18"/>
      <c r="J1424" s="18"/>
      <c r="K1424" s="18"/>
      <c r="L1424" s="18"/>
      <c r="M1424" s="18"/>
      <c r="N1424" s="18"/>
      <c r="O1424" s="18"/>
      <c r="P1424" s="18"/>
      <c r="Q1424" s="18"/>
      <c r="R1424" s="18"/>
      <c r="S1424" s="18"/>
      <c r="T1424" s="18"/>
      <c r="U1424" s="18"/>
      <c r="V1424" s="18"/>
      <c r="W1424" s="18"/>
      <c r="X1424" s="18"/>
      <c r="Y1424" s="18"/>
      <c r="Z1424" s="18"/>
      <c r="AA1424" s="18"/>
      <c r="AB1424" s="18"/>
      <c r="AC1424" s="18"/>
      <c r="AD1424" s="19"/>
      <c r="AE1424" s="18"/>
      <c r="AF1424" s="18"/>
      <c r="AG1424" s="18"/>
      <c r="AH1424" s="18"/>
      <c r="AI1424" s="18"/>
      <c r="AJ1424" s="97"/>
      <c r="AK1424" s="18"/>
      <c r="AL1424" s="18"/>
    </row>
    <row r="1425" spans="4:38" x14ac:dyDescent="0.2">
      <c r="D1425" s="19"/>
      <c r="E1425" s="19"/>
      <c r="F1425" s="19"/>
      <c r="G1425" s="18"/>
      <c r="H1425" s="18"/>
      <c r="I1425" s="18"/>
      <c r="J1425" s="18"/>
      <c r="K1425" s="18"/>
      <c r="L1425" s="18"/>
      <c r="M1425" s="18"/>
      <c r="N1425" s="18"/>
      <c r="O1425" s="18"/>
      <c r="P1425" s="18"/>
      <c r="Q1425" s="18"/>
      <c r="R1425" s="18"/>
      <c r="S1425" s="18"/>
      <c r="T1425" s="18"/>
      <c r="U1425" s="18"/>
      <c r="V1425" s="18"/>
      <c r="W1425" s="18"/>
      <c r="X1425" s="18"/>
      <c r="Y1425" s="18"/>
      <c r="Z1425" s="18"/>
      <c r="AA1425" s="18"/>
      <c r="AB1425" s="18"/>
      <c r="AC1425" s="18"/>
      <c r="AD1425" s="19"/>
      <c r="AE1425" s="18"/>
      <c r="AF1425" s="18"/>
      <c r="AG1425" s="18"/>
      <c r="AH1425" s="18"/>
      <c r="AI1425" s="18"/>
      <c r="AJ1425" s="97"/>
      <c r="AK1425" s="18"/>
      <c r="AL1425" s="18"/>
    </row>
    <row r="1426" spans="4:38" x14ac:dyDescent="0.2">
      <c r="D1426" s="19"/>
      <c r="E1426" s="19"/>
      <c r="F1426" s="19"/>
      <c r="G1426" s="18"/>
      <c r="H1426" s="18"/>
      <c r="I1426" s="18"/>
      <c r="J1426" s="18"/>
      <c r="K1426" s="18"/>
      <c r="L1426" s="18"/>
      <c r="M1426" s="18"/>
      <c r="N1426" s="18"/>
      <c r="O1426" s="18"/>
      <c r="P1426" s="18"/>
      <c r="Q1426" s="18"/>
      <c r="R1426" s="18"/>
      <c r="S1426" s="18"/>
      <c r="T1426" s="18"/>
      <c r="U1426" s="18"/>
      <c r="V1426" s="18"/>
      <c r="W1426" s="18"/>
      <c r="X1426" s="18"/>
      <c r="Y1426" s="18"/>
      <c r="Z1426" s="18"/>
      <c r="AA1426" s="18"/>
      <c r="AB1426" s="18"/>
      <c r="AC1426" s="18"/>
      <c r="AD1426" s="19"/>
      <c r="AE1426" s="18"/>
      <c r="AF1426" s="18"/>
      <c r="AG1426" s="18"/>
      <c r="AH1426" s="18"/>
      <c r="AI1426" s="18"/>
      <c r="AJ1426" s="97"/>
      <c r="AK1426" s="18"/>
      <c r="AL1426" s="18"/>
    </row>
    <row r="1427" spans="4:38" x14ac:dyDescent="0.2">
      <c r="D1427" s="19"/>
      <c r="E1427" s="19"/>
      <c r="F1427" s="19"/>
      <c r="G1427" s="18"/>
      <c r="H1427" s="18"/>
      <c r="I1427" s="18"/>
      <c r="J1427" s="18"/>
      <c r="K1427" s="18"/>
      <c r="L1427" s="18"/>
      <c r="M1427" s="18"/>
      <c r="N1427" s="18"/>
      <c r="O1427" s="18"/>
      <c r="P1427" s="18"/>
      <c r="Q1427" s="18"/>
      <c r="R1427" s="18"/>
      <c r="S1427" s="18"/>
      <c r="T1427" s="18"/>
      <c r="U1427" s="18"/>
      <c r="V1427" s="18"/>
      <c r="W1427" s="18"/>
      <c r="X1427" s="18"/>
      <c r="Y1427" s="18"/>
      <c r="Z1427" s="18"/>
      <c r="AA1427" s="18"/>
      <c r="AB1427" s="18"/>
      <c r="AC1427" s="18"/>
      <c r="AD1427" s="19"/>
      <c r="AE1427" s="18"/>
      <c r="AF1427" s="18"/>
      <c r="AG1427" s="18"/>
      <c r="AH1427" s="18"/>
      <c r="AI1427" s="18"/>
      <c r="AJ1427" s="97"/>
      <c r="AK1427" s="18"/>
      <c r="AL1427" s="18"/>
    </row>
    <row r="1428" spans="4:38" x14ac:dyDescent="0.2">
      <c r="D1428" s="19"/>
      <c r="E1428" s="19"/>
      <c r="F1428" s="19"/>
      <c r="G1428" s="18"/>
      <c r="H1428" s="18"/>
      <c r="I1428" s="18"/>
      <c r="J1428" s="18"/>
      <c r="K1428" s="18"/>
      <c r="L1428" s="18"/>
      <c r="M1428" s="18"/>
      <c r="N1428" s="18"/>
      <c r="O1428" s="18"/>
      <c r="P1428" s="18"/>
      <c r="Q1428" s="18"/>
      <c r="R1428" s="18"/>
      <c r="S1428" s="18"/>
      <c r="T1428" s="18"/>
      <c r="U1428" s="18"/>
      <c r="V1428" s="18"/>
      <c r="W1428" s="18"/>
      <c r="X1428" s="18"/>
      <c r="Y1428" s="18"/>
      <c r="Z1428" s="18"/>
      <c r="AA1428" s="18"/>
      <c r="AB1428" s="18"/>
      <c r="AC1428" s="18"/>
      <c r="AD1428" s="19"/>
      <c r="AE1428" s="18"/>
      <c r="AF1428" s="18"/>
      <c r="AG1428" s="18"/>
      <c r="AH1428" s="18"/>
      <c r="AI1428" s="18"/>
      <c r="AJ1428" s="97"/>
      <c r="AK1428" s="18"/>
      <c r="AL1428" s="18"/>
    </row>
    <row r="1429" spans="4:38" x14ac:dyDescent="0.2">
      <c r="D1429" s="19"/>
      <c r="E1429" s="19"/>
      <c r="F1429" s="19"/>
      <c r="G1429" s="18"/>
      <c r="H1429" s="18"/>
      <c r="I1429" s="18"/>
      <c r="J1429" s="18"/>
      <c r="K1429" s="18"/>
      <c r="L1429" s="18"/>
      <c r="M1429" s="18"/>
      <c r="N1429" s="18"/>
      <c r="O1429" s="18"/>
      <c r="P1429" s="18"/>
      <c r="Q1429" s="18"/>
      <c r="R1429" s="18"/>
      <c r="S1429" s="18"/>
      <c r="T1429" s="18"/>
      <c r="U1429" s="18"/>
      <c r="V1429" s="18"/>
      <c r="W1429" s="18"/>
      <c r="X1429" s="18"/>
      <c r="Y1429" s="18"/>
      <c r="Z1429" s="18"/>
      <c r="AA1429" s="18"/>
      <c r="AB1429" s="18"/>
      <c r="AC1429" s="18"/>
      <c r="AD1429" s="19"/>
      <c r="AE1429" s="18"/>
      <c r="AF1429" s="18"/>
      <c r="AG1429" s="18"/>
      <c r="AH1429" s="18"/>
      <c r="AI1429" s="18"/>
      <c r="AJ1429" s="97"/>
      <c r="AK1429" s="18"/>
      <c r="AL1429" s="18"/>
    </row>
    <row r="1430" spans="4:38" x14ac:dyDescent="0.2">
      <c r="D1430" s="19"/>
      <c r="E1430" s="19"/>
      <c r="F1430" s="19"/>
      <c r="G1430" s="18"/>
      <c r="H1430" s="18"/>
      <c r="I1430" s="18"/>
      <c r="J1430" s="18"/>
      <c r="K1430" s="18"/>
      <c r="L1430" s="18"/>
      <c r="M1430" s="18"/>
      <c r="N1430" s="18"/>
      <c r="O1430" s="18"/>
      <c r="P1430" s="18"/>
      <c r="Q1430" s="18"/>
      <c r="R1430" s="18"/>
      <c r="S1430" s="18"/>
      <c r="T1430" s="18"/>
      <c r="U1430" s="18"/>
      <c r="V1430" s="18"/>
      <c r="W1430" s="18"/>
      <c r="X1430" s="18"/>
      <c r="Y1430" s="18"/>
      <c r="Z1430" s="18"/>
      <c r="AA1430" s="18"/>
      <c r="AB1430" s="18"/>
      <c r="AC1430" s="18"/>
      <c r="AD1430" s="19"/>
      <c r="AE1430" s="18"/>
      <c r="AF1430" s="18"/>
      <c r="AG1430" s="18"/>
      <c r="AH1430" s="18"/>
      <c r="AI1430" s="18"/>
      <c r="AJ1430" s="97"/>
      <c r="AK1430" s="18"/>
      <c r="AL1430" s="18"/>
    </row>
    <row r="1431" spans="4:38" x14ac:dyDescent="0.2">
      <c r="D1431" s="19"/>
      <c r="E1431" s="19"/>
      <c r="F1431" s="19"/>
      <c r="G1431" s="18"/>
      <c r="H1431" s="18"/>
      <c r="I1431" s="18"/>
      <c r="J1431" s="18"/>
      <c r="K1431" s="18"/>
      <c r="L1431" s="18"/>
      <c r="M1431" s="18"/>
      <c r="N1431" s="18"/>
      <c r="O1431" s="18"/>
      <c r="P1431" s="18"/>
      <c r="Q1431" s="18"/>
      <c r="R1431" s="18"/>
      <c r="S1431" s="18"/>
      <c r="T1431" s="18"/>
      <c r="U1431" s="18"/>
      <c r="V1431" s="18"/>
      <c r="W1431" s="18"/>
      <c r="X1431" s="18"/>
      <c r="Y1431" s="18"/>
      <c r="Z1431" s="18"/>
      <c r="AA1431" s="18"/>
      <c r="AB1431" s="18"/>
      <c r="AC1431" s="18"/>
      <c r="AD1431" s="19"/>
      <c r="AE1431" s="18"/>
      <c r="AF1431" s="18"/>
      <c r="AG1431" s="18"/>
      <c r="AH1431" s="18"/>
      <c r="AI1431" s="18"/>
      <c r="AJ1431" s="97"/>
      <c r="AK1431" s="18"/>
      <c r="AL1431" s="18"/>
    </row>
    <row r="1432" spans="4:38" x14ac:dyDescent="0.2">
      <c r="D1432" s="19"/>
      <c r="E1432" s="19"/>
      <c r="F1432" s="19"/>
      <c r="G1432" s="18"/>
      <c r="H1432" s="18"/>
      <c r="I1432" s="18"/>
      <c r="J1432" s="18"/>
      <c r="K1432" s="18"/>
      <c r="L1432" s="18"/>
      <c r="M1432" s="18"/>
      <c r="N1432" s="18"/>
      <c r="O1432" s="18"/>
      <c r="P1432" s="18"/>
      <c r="Q1432" s="18"/>
      <c r="R1432" s="18"/>
      <c r="S1432" s="18"/>
      <c r="T1432" s="18"/>
      <c r="U1432" s="18"/>
      <c r="V1432" s="18"/>
      <c r="W1432" s="18"/>
      <c r="X1432" s="18"/>
      <c r="Y1432" s="18"/>
      <c r="Z1432" s="18"/>
      <c r="AA1432" s="18"/>
      <c r="AB1432" s="18"/>
      <c r="AC1432" s="18"/>
      <c r="AD1432" s="19"/>
      <c r="AE1432" s="18"/>
      <c r="AF1432" s="18"/>
      <c r="AG1432" s="18"/>
      <c r="AH1432" s="18"/>
      <c r="AI1432" s="18"/>
      <c r="AJ1432" s="97"/>
      <c r="AK1432" s="18"/>
      <c r="AL1432" s="18"/>
    </row>
    <row r="1433" spans="4:38" x14ac:dyDescent="0.2">
      <c r="D1433" s="19"/>
      <c r="E1433" s="19"/>
      <c r="F1433" s="19"/>
      <c r="G1433" s="18"/>
      <c r="H1433" s="18"/>
      <c r="I1433" s="18"/>
      <c r="J1433" s="18"/>
      <c r="K1433" s="18"/>
      <c r="L1433" s="18"/>
      <c r="M1433" s="18"/>
      <c r="N1433" s="18"/>
      <c r="O1433" s="18"/>
      <c r="P1433" s="18"/>
      <c r="Q1433" s="18"/>
      <c r="R1433" s="18"/>
      <c r="S1433" s="18"/>
      <c r="T1433" s="18"/>
      <c r="U1433" s="18"/>
      <c r="V1433" s="18"/>
      <c r="W1433" s="18"/>
      <c r="X1433" s="18"/>
      <c r="Y1433" s="18"/>
      <c r="Z1433" s="18"/>
      <c r="AA1433" s="18"/>
      <c r="AB1433" s="18"/>
      <c r="AC1433" s="18"/>
      <c r="AD1433" s="19"/>
      <c r="AE1433" s="18"/>
      <c r="AF1433" s="18"/>
      <c r="AG1433" s="18"/>
      <c r="AH1433" s="18"/>
      <c r="AI1433" s="18"/>
      <c r="AJ1433" s="97"/>
      <c r="AK1433" s="18"/>
      <c r="AL1433" s="18"/>
    </row>
    <row r="1434" spans="4:38" x14ac:dyDescent="0.2">
      <c r="D1434" s="19"/>
      <c r="E1434" s="19"/>
      <c r="F1434" s="19"/>
      <c r="G1434" s="18"/>
      <c r="H1434" s="18"/>
      <c r="I1434" s="18"/>
      <c r="J1434" s="18"/>
      <c r="K1434" s="18"/>
      <c r="L1434" s="18"/>
      <c r="M1434" s="18"/>
      <c r="N1434" s="18"/>
      <c r="O1434" s="18"/>
      <c r="P1434" s="18"/>
      <c r="Q1434" s="18"/>
      <c r="R1434" s="18"/>
      <c r="S1434" s="18"/>
      <c r="T1434" s="18"/>
      <c r="U1434" s="18"/>
      <c r="V1434" s="18"/>
      <c r="W1434" s="18"/>
      <c r="X1434" s="18"/>
      <c r="Y1434" s="18"/>
      <c r="Z1434" s="18"/>
      <c r="AA1434" s="18"/>
      <c r="AB1434" s="18"/>
      <c r="AC1434" s="18"/>
      <c r="AD1434" s="19"/>
      <c r="AE1434" s="18"/>
      <c r="AF1434" s="18"/>
      <c r="AG1434" s="18"/>
      <c r="AH1434" s="18"/>
      <c r="AI1434" s="18"/>
      <c r="AJ1434" s="97"/>
      <c r="AK1434" s="18"/>
      <c r="AL1434" s="18"/>
    </row>
    <row r="1435" spans="4:38" x14ac:dyDescent="0.2">
      <c r="D1435" s="19"/>
      <c r="E1435" s="19"/>
      <c r="F1435" s="19"/>
      <c r="G1435" s="18"/>
      <c r="H1435" s="18"/>
      <c r="I1435" s="18"/>
      <c r="J1435" s="18"/>
      <c r="K1435" s="18"/>
      <c r="L1435" s="18"/>
      <c r="M1435" s="18"/>
      <c r="N1435" s="18"/>
      <c r="O1435" s="18"/>
      <c r="P1435" s="18"/>
      <c r="Q1435" s="18"/>
      <c r="R1435" s="18"/>
      <c r="S1435" s="18"/>
      <c r="T1435" s="18"/>
      <c r="U1435" s="18"/>
      <c r="V1435" s="18"/>
      <c r="W1435" s="18"/>
      <c r="X1435" s="18"/>
      <c r="Y1435" s="18"/>
      <c r="Z1435" s="18"/>
      <c r="AA1435" s="18"/>
      <c r="AB1435" s="18"/>
      <c r="AC1435" s="18"/>
      <c r="AD1435" s="19"/>
      <c r="AE1435" s="18"/>
      <c r="AF1435" s="18"/>
      <c r="AG1435" s="18"/>
      <c r="AH1435" s="18"/>
      <c r="AI1435" s="18"/>
      <c r="AJ1435" s="97"/>
      <c r="AK1435" s="18"/>
      <c r="AL1435" s="18"/>
    </row>
    <row r="1436" spans="4:38" x14ac:dyDescent="0.2">
      <c r="D1436" s="19"/>
      <c r="E1436" s="19"/>
      <c r="F1436" s="19"/>
      <c r="G1436" s="18"/>
      <c r="H1436" s="18"/>
      <c r="I1436" s="18"/>
      <c r="J1436" s="18"/>
      <c r="K1436" s="18"/>
      <c r="L1436" s="18"/>
      <c r="M1436" s="18"/>
      <c r="N1436" s="18"/>
      <c r="O1436" s="18"/>
      <c r="P1436" s="18"/>
      <c r="Q1436" s="18"/>
      <c r="R1436" s="18"/>
      <c r="S1436" s="18"/>
      <c r="T1436" s="18"/>
      <c r="U1436" s="18"/>
      <c r="V1436" s="18"/>
      <c r="W1436" s="18"/>
      <c r="X1436" s="18"/>
      <c r="Y1436" s="18"/>
      <c r="Z1436" s="18"/>
      <c r="AA1436" s="18"/>
      <c r="AB1436" s="18"/>
      <c r="AC1436" s="18"/>
      <c r="AD1436" s="19"/>
      <c r="AE1436" s="18"/>
      <c r="AF1436" s="18"/>
      <c r="AG1436" s="18"/>
      <c r="AH1436" s="18"/>
      <c r="AI1436" s="18"/>
      <c r="AJ1436" s="97"/>
      <c r="AK1436" s="18"/>
      <c r="AL1436" s="18"/>
    </row>
    <row r="1437" spans="4:38" x14ac:dyDescent="0.2">
      <c r="D1437" s="19"/>
      <c r="E1437" s="19"/>
      <c r="F1437" s="19"/>
      <c r="G1437" s="18"/>
      <c r="H1437" s="18"/>
      <c r="I1437" s="18"/>
      <c r="J1437" s="18"/>
      <c r="K1437" s="18"/>
      <c r="L1437" s="18"/>
      <c r="M1437" s="18"/>
      <c r="N1437" s="18"/>
      <c r="O1437" s="18"/>
      <c r="P1437" s="18"/>
      <c r="Q1437" s="18"/>
      <c r="R1437" s="18"/>
      <c r="S1437" s="18"/>
      <c r="T1437" s="18"/>
      <c r="U1437" s="18"/>
      <c r="V1437" s="18"/>
      <c r="W1437" s="18"/>
      <c r="X1437" s="18"/>
      <c r="Y1437" s="18"/>
      <c r="Z1437" s="18"/>
      <c r="AA1437" s="18"/>
      <c r="AB1437" s="18"/>
      <c r="AC1437" s="18"/>
      <c r="AD1437" s="19"/>
      <c r="AE1437" s="18"/>
      <c r="AF1437" s="18"/>
      <c r="AG1437" s="18"/>
      <c r="AH1437" s="18"/>
      <c r="AI1437" s="18"/>
      <c r="AJ1437" s="97"/>
      <c r="AK1437" s="18"/>
      <c r="AL1437" s="18"/>
    </row>
    <row r="1438" spans="4:38" x14ac:dyDescent="0.2">
      <c r="D1438" s="19"/>
      <c r="E1438" s="19"/>
      <c r="F1438" s="19"/>
      <c r="G1438" s="18"/>
      <c r="H1438" s="18"/>
      <c r="I1438" s="18"/>
      <c r="J1438" s="18"/>
      <c r="K1438" s="18"/>
      <c r="L1438" s="18"/>
      <c r="M1438" s="18"/>
      <c r="N1438" s="18"/>
      <c r="O1438" s="18"/>
      <c r="P1438" s="18"/>
      <c r="Q1438" s="18"/>
      <c r="R1438" s="18"/>
      <c r="S1438" s="18"/>
      <c r="T1438" s="18"/>
      <c r="U1438" s="18"/>
      <c r="V1438" s="18"/>
      <c r="W1438" s="18"/>
      <c r="X1438" s="18"/>
      <c r="Y1438" s="18"/>
      <c r="Z1438" s="18"/>
      <c r="AA1438" s="18"/>
      <c r="AB1438" s="18"/>
      <c r="AC1438" s="18"/>
      <c r="AD1438" s="19"/>
      <c r="AE1438" s="18"/>
      <c r="AF1438" s="18"/>
      <c r="AG1438" s="18"/>
      <c r="AH1438" s="18"/>
      <c r="AI1438" s="18"/>
      <c r="AJ1438" s="97"/>
      <c r="AK1438" s="18"/>
      <c r="AL1438" s="18"/>
    </row>
    <row r="1439" spans="4:38" x14ac:dyDescent="0.2">
      <c r="D1439" s="19"/>
      <c r="E1439" s="19"/>
      <c r="F1439" s="19"/>
      <c r="G1439" s="18"/>
      <c r="H1439" s="18"/>
      <c r="I1439" s="18"/>
      <c r="J1439" s="18"/>
      <c r="K1439" s="18"/>
      <c r="L1439" s="18"/>
      <c r="M1439" s="18"/>
      <c r="N1439" s="18"/>
      <c r="O1439" s="18"/>
      <c r="P1439" s="18"/>
      <c r="Q1439" s="18"/>
      <c r="R1439" s="18"/>
      <c r="S1439" s="18"/>
      <c r="T1439" s="18"/>
      <c r="U1439" s="18"/>
      <c r="V1439" s="18"/>
      <c r="W1439" s="18"/>
      <c r="X1439" s="18"/>
      <c r="Y1439" s="18"/>
      <c r="Z1439" s="18"/>
      <c r="AA1439" s="18"/>
      <c r="AB1439" s="18"/>
      <c r="AC1439" s="18"/>
      <c r="AD1439" s="19"/>
      <c r="AE1439" s="18"/>
      <c r="AF1439" s="18"/>
      <c r="AG1439" s="18"/>
      <c r="AH1439" s="18"/>
      <c r="AI1439" s="18"/>
      <c r="AJ1439" s="97"/>
      <c r="AK1439" s="18"/>
      <c r="AL1439" s="18"/>
    </row>
    <row r="1440" spans="4:38" x14ac:dyDescent="0.2">
      <c r="D1440" s="19"/>
      <c r="E1440" s="19"/>
      <c r="F1440" s="19"/>
      <c r="G1440" s="18"/>
      <c r="H1440" s="18"/>
      <c r="I1440" s="18"/>
      <c r="J1440" s="18"/>
      <c r="K1440" s="18"/>
      <c r="L1440" s="18"/>
      <c r="M1440" s="18"/>
      <c r="N1440" s="18"/>
      <c r="O1440" s="18"/>
      <c r="P1440" s="18"/>
      <c r="Q1440" s="18"/>
      <c r="R1440" s="18"/>
      <c r="S1440" s="18"/>
      <c r="T1440" s="18"/>
      <c r="U1440" s="18"/>
      <c r="V1440" s="18"/>
      <c r="W1440" s="18"/>
      <c r="X1440" s="18"/>
      <c r="Y1440" s="18"/>
      <c r="Z1440" s="18"/>
      <c r="AA1440" s="18"/>
      <c r="AB1440" s="18"/>
      <c r="AC1440" s="18"/>
      <c r="AD1440" s="19"/>
      <c r="AE1440" s="18"/>
      <c r="AF1440" s="18"/>
      <c r="AG1440" s="18"/>
      <c r="AH1440" s="18"/>
      <c r="AI1440" s="18"/>
      <c r="AJ1440" s="97"/>
      <c r="AK1440" s="18"/>
      <c r="AL1440" s="18"/>
    </row>
    <row r="1441" spans="4:38" x14ac:dyDescent="0.2">
      <c r="D1441" s="19"/>
      <c r="E1441" s="19"/>
      <c r="F1441" s="19"/>
      <c r="G1441" s="18"/>
      <c r="H1441" s="18"/>
      <c r="I1441" s="18"/>
      <c r="J1441" s="18"/>
      <c r="K1441" s="18"/>
      <c r="L1441" s="18"/>
      <c r="M1441" s="18"/>
      <c r="N1441" s="18"/>
      <c r="O1441" s="18"/>
      <c r="P1441" s="18"/>
      <c r="Q1441" s="18"/>
      <c r="R1441" s="18"/>
      <c r="S1441" s="18"/>
      <c r="T1441" s="18"/>
      <c r="U1441" s="18"/>
      <c r="V1441" s="18"/>
      <c r="W1441" s="18"/>
      <c r="X1441" s="18"/>
      <c r="Y1441" s="18"/>
      <c r="Z1441" s="18"/>
      <c r="AA1441" s="18"/>
      <c r="AB1441" s="18"/>
      <c r="AC1441" s="18"/>
      <c r="AD1441" s="19"/>
      <c r="AE1441" s="18"/>
      <c r="AF1441" s="18"/>
      <c r="AG1441" s="18"/>
      <c r="AH1441" s="18"/>
      <c r="AI1441" s="18"/>
      <c r="AJ1441" s="97"/>
      <c r="AK1441" s="18"/>
      <c r="AL1441" s="18"/>
    </row>
    <row r="1442" spans="4:38" x14ac:dyDescent="0.2">
      <c r="D1442" s="19"/>
      <c r="E1442" s="19"/>
      <c r="F1442" s="19"/>
      <c r="G1442" s="18"/>
      <c r="H1442" s="18"/>
      <c r="I1442" s="18"/>
      <c r="J1442" s="18"/>
      <c r="K1442" s="18"/>
      <c r="L1442" s="18"/>
      <c r="M1442" s="18"/>
      <c r="N1442" s="18"/>
      <c r="O1442" s="18"/>
      <c r="P1442" s="18"/>
      <c r="Q1442" s="18"/>
      <c r="R1442" s="18"/>
      <c r="S1442" s="18"/>
      <c r="T1442" s="18"/>
      <c r="U1442" s="18"/>
      <c r="V1442" s="18"/>
      <c r="W1442" s="18"/>
      <c r="X1442" s="18"/>
      <c r="Y1442" s="18"/>
      <c r="Z1442" s="18"/>
      <c r="AA1442" s="18"/>
      <c r="AB1442" s="18"/>
      <c r="AC1442" s="18"/>
      <c r="AD1442" s="19"/>
      <c r="AE1442" s="18"/>
      <c r="AF1442" s="18"/>
      <c r="AG1442" s="18"/>
      <c r="AH1442" s="18"/>
      <c r="AI1442" s="18"/>
      <c r="AJ1442" s="97"/>
      <c r="AK1442" s="18"/>
      <c r="AL1442" s="18"/>
    </row>
    <row r="1443" spans="4:38" x14ac:dyDescent="0.2">
      <c r="D1443" s="19"/>
      <c r="E1443" s="19"/>
      <c r="F1443" s="19"/>
      <c r="G1443" s="18"/>
      <c r="H1443" s="18"/>
      <c r="I1443" s="18"/>
      <c r="J1443" s="18"/>
      <c r="K1443" s="18"/>
      <c r="L1443" s="18"/>
      <c r="M1443" s="18"/>
      <c r="N1443" s="18"/>
      <c r="O1443" s="18"/>
      <c r="P1443" s="18"/>
      <c r="Q1443" s="18"/>
      <c r="R1443" s="18"/>
      <c r="S1443" s="18"/>
      <c r="T1443" s="18"/>
      <c r="U1443" s="18"/>
      <c r="V1443" s="18"/>
      <c r="W1443" s="18"/>
      <c r="X1443" s="18"/>
      <c r="Y1443" s="18"/>
      <c r="Z1443" s="18"/>
      <c r="AA1443" s="18"/>
      <c r="AB1443" s="18"/>
      <c r="AC1443" s="18"/>
      <c r="AD1443" s="19"/>
      <c r="AE1443" s="18"/>
      <c r="AF1443" s="18"/>
      <c r="AG1443" s="18"/>
      <c r="AH1443" s="18"/>
      <c r="AI1443" s="18"/>
      <c r="AJ1443" s="97"/>
      <c r="AK1443" s="18"/>
      <c r="AL1443" s="18"/>
    </row>
    <row r="1444" spans="4:38" x14ac:dyDescent="0.2">
      <c r="D1444" s="19"/>
      <c r="E1444" s="19"/>
      <c r="F1444" s="19"/>
      <c r="G1444" s="18"/>
      <c r="H1444" s="18"/>
      <c r="I1444" s="18"/>
      <c r="J1444" s="18"/>
      <c r="K1444" s="18"/>
      <c r="L1444" s="18"/>
      <c r="M1444" s="18"/>
      <c r="N1444" s="18"/>
      <c r="O1444" s="18"/>
      <c r="P1444" s="18"/>
      <c r="Q1444" s="18"/>
      <c r="R1444" s="18"/>
      <c r="S1444" s="18"/>
      <c r="T1444" s="18"/>
      <c r="U1444" s="18"/>
      <c r="V1444" s="18"/>
      <c r="W1444" s="18"/>
      <c r="X1444" s="18"/>
      <c r="Y1444" s="18"/>
      <c r="Z1444" s="18"/>
      <c r="AA1444" s="18"/>
      <c r="AB1444" s="18"/>
      <c r="AC1444" s="18"/>
      <c r="AD1444" s="19"/>
      <c r="AE1444" s="18"/>
      <c r="AF1444" s="18"/>
      <c r="AG1444" s="18"/>
      <c r="AH1444" s="18"/>
      <c r="AI1444" s="18"/>
      <c r="AJ1444" s="97"/>
      <c r="AK1444" s="18"/>
      <c r="AL1444" s="18"/>
    </row>
    <row r="1445" spans="4:38" x14ac:dyDescent="0.2">
      <c r="D1445" s="19"/>
      <c r="E1445" s="19"/>
      <c r="F1445" s="19"/>
      <c r="G1445" s="18"/>
      <c r="H1445" s="18"/>
      <c r="I1445" s="18"/>
      <c r="J1445" s="18"/>
      <c r="K1445" s="18"/>
      <c r="L1445" s="18"/>
      <c r="M1445" s="18"/>
      <c r="N1445" s="18"/>
      <c r="O1445" s="18"/>
      <c r="P1445" s="18"/>
      <c r="Q1445" s="18"/>
      <c r="R1445" s="18"/>
      <c r="S1445" s="18"/>
      <c r="T1445" s="18"/>
      <c r="U1445" s="18"/>
      <c r="V1445" s="18"/>
      <c r="W1445" s="18"/>
      <c r="X1445" s="18"/>
      <c r="Y1445" s="18"/>
      <c r="Z1445" s="18"/>
      <c r="AA1445" s="18"/>
      <c r="AB1445" s="18"/>
      <c r="AC1445" s="18"/>
      <c r="AD1445" s="19"/>
      <c r="AE1445" s="18"/>
      <c r="AF1445" s="18"/>
      <c r="AG1445" s="18"/>
      <c r="AH1445" s="18"/>
      <c r="AI1445" s="18"/>
      <c r="AJ1445" s="97"/>
      <c r="AK1445" s="18"/>
      <c r="AL1445" s="18"/>
    </row>
    <row r="1446" spans="4:38" x14ac:dyDescent="0.2">
      <c r="D1446" s="19"/>
      <c r="E1446" s="19"/>
      <c r="F1446" s="19"/>
      <c r="G1446" s="18"/>
      <c r="H1446" s="18"/>
      <c r="I1446" s="18"/>
      <c r="J1446" s="18"/>
      <c r="K1446" s="18"/>
      <c r="L1446" s="18"/>
      <c r="M1446" s="18"/>
      <c r="N1446" s="18"/>
      <c r="O1446" s="18"/>
      <c r="P1446" s="18"/>
      <c r="Q1446" s="18"/>
      <c r="R1446" s="18"/>
      <c r="S1446" s="18"/>
      <c r="T1446" s="18"/>
      <c r="U1446" s="18"/>
      <c r="V1446" s="18"/>
      <c r="W1446" s="18"/>
      <c r="X1446" s="18"/>
      <c r="Y1446" s="18"/>
      <c r="Z1446" s="18"/>
      <c r="AA1446" s="18"/>
      <c r="AB1446" s="18"/>
      <c r="AC1446" s="18"/>
      <c r="AD1446" s="19"/>
      <c r="AE1446" s="18"/>
      <c r="AF1446" s="18"/>
      <c r="AG1446" s="18"/>
      <c r="AH1446" s="18"/>
      <c r="AI1446" s="18"/>
      <c r="AJ1446" s="97"/>
      <c r="AK1446" s="18"/>
      <c r="AL1446" s="18"/>
    </row>
    <row r="1447" spans="4:38" x14ac:dyDescent="0.2">
      <c r="D1447" s="19"/>
      <c r="E1447" s="19"/>
      <c r="F1447" s="19"/>
      <c r="G1447" s="18"/>
      <c r="H1447" s="18"/>
      <c r="I1447" s="18"/>
      <c r="J1447" s="18"/>
      <c r="K1447" s="18"/>
      <c r="L1447" s="18"/>
      <c r="M1447" s="18"/>
      <c r="N1447" s="18"/>
      <c r="O1447" s="18"/>
      <c r="P1447" s="18"/>
      <c r="Q1447" s="18"/>
      <c r="R1447" s="18"/>
      <c r="S1447" s="18"/>
      <c r="T1447" s="18"/>
      <c r="U1447" s="18"/>
      <c r="V1447" s="18"/>
      <c r="W1447" s="18"/>
      <c r="X1447" s="18"/>
      <c r="Y1447" s="18"/>
      <c r="Z1447" s="18"/>
      <c r="AA1447" s="18"/>
      <c r="AB1447" s="18"/>
      <c r="AC1447" s="18"/>
      <c r="AD1447" s="19"/>
      <c r="AE1447" s="18"/>
      <c r="AF1447" s="18"/>
      <c r="AG1447" s="18"/>
      <c r="AH1447" s="18"/>
      <c r="AI1447" s="18"/>
      <c r="AJ1447" s="97"/>
      <c r="AK1447" s="18"/>
      <c r="AL1447" s="18"/>
    </row>
    <row r="1448" spans="4:38" x14ac:dyDescent="0.2">
      <c r="D1448" s="19"/>
      <c r="E1448" s="19"/>
      <c r="F1448" s="19"/>
      <c r="G1448" s="18"/>
      <c r="H1448" s="18"/>
      <c r="I1448" s="18"/>
      <c r="J1448" s="18"/>
      <c r="K1448" s="18"/>
      <c r="L1448" s="18"/>
      <c r="M1448" s="18"/>
      <c r="N1448" s="18"/>
      <c r="O1448" s="18"/>
      <c r="P1448" s="18"/>
      <c r="Q1448" s="18"/>
      <c r="R1448" s="18"/>
      <c r="S1448" s="18"/>
      <c r="T1448" s="18"/>
      <c r="U1448" s="18"/>
      <c r="V1448" s="18"/>
      <c r="W1448" s="18"/>
      <c r="X1448" s="18"/>
      <c r="Y1448" s="18"/>
      <c r="Z1448" s="18"/>
      <c r="AA1448" s="18"/>
      <c r="AB1448" s="18"/>
      <c r="AC1448" s="18"/>
      <c r="AD1448" s="19"/>
      <c r="AE1448" s="18"/>
      <c r="AF1448" s="18"/>
      <c r="AG1448" s="18"/>
      <c r="AH1448" s="18"/>
      <c r="AI1448" s="18"/>
      <c r="AJ1448" s="97"/>
      <c r="AK1448" s="18"/>
      <c r="AL1448" s="18"/>
    </row>
    <row r="1449" spans="4:38" x14ac:dyDescent="0.2">
      <c r="D1449" s="19"/>
      <c r="E1449" s="19"/>
      <c r="F1449" s="19"/>
      <c r="G1449" s="18"/>
      <c r="H1449" s="18"/>
      <c r="I1449" s="18"/>
      <c r="J1449" s="18"/>
      <c r="K1449" s="18"/>
      <c r="L1449" s="18"/>
      <c r="M1449" s="18"/>
      <c r="N1449" s="18"/>
      <c r="O1449" s="18"/>
      <c r="P1449" s="18"/>
      <c r="Q1449" s="18"/>
      <c r="R1449" s="18"/>
      <c r="S1449" s="18"/>
      <c r="T1449" s="18"/>
      <c r="U1449" s="18"/>
      <c r="V1449" s="18"/>
      <c r="W1449" s="18"/>
      <c r="X1449" s="18"/>
      <c r="Y1449" s="18"/>
      <c r="Z1449" s="18"/>
      <c r="AA1449" s="18"/>
      <c r="AB1449" s="18"/>
      <c r="AC1449" s="18"/>
      <c r="AD1449" s="19"/>
      <c r="AE1449" s="18"/>
      <c r="AF1449" s="18"/>
      <c r="AG1449" s="18"/>
      <c r="AH1449" s="18"/>
      <c r="AI1449" s="18"/>
      <c r="AJ1449" s="97"/>
      <c r="AK1449" s="18"/>
      <c r="AL1449" s="18"/>
    </row>
    <row r="1450" spans="4:38" x14ac:dyDescent="0.2">
      <c r="D1450" s="19"/>
      <c r="E1450" s="19"/>
      <c r="F1450" s="19"/>
      <c r="G1450" s="18"/>
      <c r="H1450" s="18"/>
      <c r="I1450" s="18"/>
      <c r="J1450" s="18"/>
      <c r="K1450" s="18"/>
      <c r="L1450" s="18"/>
      <c r="M1450" s="18"/>
      <c r="N1450" s="18"/>
      <c r="O1450" s="18"/>
      <c r="P1450" s="18"/>
      <c r="Q1450" s="18"/>
      <c r="R1450" s="18"/>
      <c r="S1450" s="18"/>
      <c r="T1450" s="18"/>
      <c r="U1450" s="18"/>
      <c r="V1450" s="18"/>
      <c r="W1450" s="18"/>
      <c r="X1450" s="18"/>
      <c r="Y1450" s="18"/>
      <c r="Z1450" s="18"/>
      <c r="AA1450" s="18"/>
      <c r="AB1450" s="18"/>
      <c r="AC1450" s="18"/>
      <c r="AD1450" s="19"/>
      <c r="AE1450" s="18"/>
      <c r="AF1450" s="18"/>
      <c r="AG1450" s="18"/>
      <c r="AH1450" s="18"/>
      <c r="AI1450" s="18"/>
      <c r="AJ1450" s="97"/>
      <c r="AK1450" s="18"/>
      <c r="AL1450" s="18"/>
    </row>
    <row r="1451" spans="4:38" x14ac:dyDescent="0.2">
      <c r="D1451" s="19"/>
      <c r="E1451" s="19"/>
      <c r="F1451" s="19"/>
      <c r="G1451" s="18"/>
      <c r="H1451" s="18"/>
      <c r="I1451" s="18"/>
      <c r="J1451" s="18"/>
      <c r="K1451" s="18"/>
      <c r="L1451" s="18"/>
      <c r="M1451" s="18"/>
      <c r="N1451" s="18"/>
      <c r="O1451" s="18"/>
      <c r="P1451" s="18"/>
      <c r="Q1451" s="18"/>
      <c r="R1451" s="18"/>
      <c r="S1451" s="18"/>
      <c r="T1451" s="18"/>
      <c r="U1451" s="18"/>
      <c r="V1451" s="18"/>
      <c r="W1451" s="18"/>
      <c r="X1451" s="18"/>
      <c r="Y1451" s="18"/>
      <c r="Z1451" s="18"/>
      <c r="AA1451" s="18"/>
      <c r="AB1451" s="18"/>
      <c r="AC1451" s="18"/>
      <c r="AD1451" s="19"/>
      <c r="AE1451" s="18"/>
      <c r="AF1451" s="18"/>
      <c r="AG1451" s="18"/>
      <c r="AH1451" s="18"/>
      <c r="AI1451" s="18"/>
      <c r="AJ1451" s="97"/>
      <c r="AK1451" s="18"/>
      <c r="AL1451" s="18"/>
    </row>
    <row r="1452" spans="4:38" x14ac:dyDescent="0.2">
      <c r="D1452" s="19"/>
      <c r="E1452" s="19"/>
      <c r="F1452" s="19"/>
      <c r="G1452" s="18"/>
      <c r="H1452" s="18"/>
      <c r="I1452" s="18"/>
      <c r="J1452" s="18"/>
      <c r="K1452" s="18"/>
      <c r="L1452" s="18"/>
      <c r="M1452" s="18"/>
      <c r="N1452" s="18"/>
      <c r="O1452" s="18"/>
      <c r="P1452" s="18"/>
      <c r="Q1452" s="18"/>
      <c r="R1452" s="18"/>
      <c r="S1452" s="18"/>
      <c r="T1452" s="18"/>
      <c r="U1452" s="18"/>
      <c r="V1452" s="18"/>
      <c r="W1452" s="18"/>
      <c r="X1452" s="18"/>
      <c r="Y1452" s="18"/>
      <c r="Z1452" s="18"/>
      <c r="AA1452" s="18"/>
      <c r="AB1452" s="18"/>
      <c r="AC1452" s="18"/>
      <c r="AD1452" s="19"/>
      <c r="AE1452" s="18"/>
      <c r="AF1452" s="18"/>
      <c r="AG1452" s="18"/>
      <c r="AH1452" s="18"/>
      <c r="AI1452" s="18"/>
      <c r="AJ1452" s="97"/>
      <c r="AK1452" s="18"/>
      <c r="AL1452" s="18"/>
    </row>
    <row r="1453" spans="4:38" x14ac:dyDescent="0.2">
      <c r="D1453" s="19"/>
      <c r="E1453" s="19"/>
      <c r="F1453" s="19"/>
      <c r="G1453" s="18"/>
      <c r="H1453" s="18"/>
      <c r="I1453" s="18"/>
      <c r="J1453" s="18"/>
      <c r="K1453" s="18"/>
      <c r="L1453" s="18"/>
      <c r="M1453" s="18"/>
      <c r="N1453" s="18"/>
      <c r="O1453" s="18"/>
      <c r="P1453" s="18"/>
      <c r="Q1453" s="18"/>
      <c r="R1453" s="18"/>
      <c r="S1453" s="18"/>
      <c r="T1453" s="18"/>
      <c r="U1453" s="18"/>
      <c r="V1453" s="18"/>
      <c r="W1453" s="18"/>
      <c r="X1453" s="18"/>
      <c r="Y1453" s="18"/>
      <c r="Z1453" s="18"/>
      <c r="AA1453" s="18"/>
      <c r="AB1453" s="18"/>
      <c r="AC1453" s="18"/>
      <c r="AD1453" s="19"/>
      <c r="AE1453" s="18"/>
      <c r="AF1453" s="18"/>
      <c r="AG1453" s="18"/>
      <c r="AH1453" s="18"/>
      <c r="AI1453" s="18"/>
      <c r="AJ1453" s="97"/>
      <c r="AK1453" s="18"/>
      <c r="AL1453" s="18"/>
    </row>
    <row r="1454" spans="4:38" x14ac:dyDescent="0.2">
      <c r="D1454" s="19"/>
      <c r="E1454" s="19"/>
      <c r="F1454" s="19"/>
      <c r="G1454" s="18"/>
      <c r="H1454" s="18"/>
      <c r="I1454" s="18"/>
      <c r="J1454" s="18"/>
      <c r="K1454" s="18"/>
      <c r="L1454" s="18"/>
      <c r="M1454" s="18"/>
      <c r="N1454" s="18"/>
      <c r="O1454" s="18"/>
      <c r="P1454" s="18"/>
      <c r="Q1454" s="18"/>
      <c r="R1454" s="18"/>
      <c r="S1454" s="18"/>
      <c r="T1454" s="18"/>
      <c r="U1454" s="18"/>
      <c r="V1454" s="18"/>
      <c r="W1454" s="18"/>
      <c r="X1454" s="18"/>
      <c r="Y1454" s="18"/>
      <c r="Z1454" s="18"/>
      <c r="AA1454" s="18"/>
      <c r="AB1454" s="18"/>
      <c r="AC1454" s="18"/>
      <c r="AD1454" s="19"/>
      <c r="AE1454" s="18"/>
      <c r="AF1454" s="18"/>
      <c r="AG1454" s="18"/>
      <c r="AH1454" s="18"/>
      <c r="AI1454" s="18"/>
      <c r="AJ1454" s="97"/>
      <c r="AK1454" s="18"/>
      <c r="AL1454" s="18"/>
    </row>
    <row r="1455" spans="4:38" x14ac:dyDescent="0.2">
      <c r="D1455" s="19"/>
      <c r="E1455" s="19"/>
      <c r="F1455" s="19"/>
      <c r="G1455" s="18"/>
      <c r="H1455" s="18"/>
      <c r="I1455" s="18"/>
      <c r="J1455" s="18"/>
      <c r="K1455" s="18"/>
      <c r="L1455" s="18"/>
      <c r="M1455" s="18"/>
      <c r="N1455" s="18"/>
      <c r="O1455" s="18"/>
      <c r="P1455" s="18"/>
      <c r="Q1455" s="18"/>
      <c r="R1455" s="18"/>
      <c r="S1455" s="18"/>
      <c r="T1455" s="18"/>
      <c r="U1455" s="18"/>
      <c r="V1455" s="18"/>
      <c r="W1455" s="18"/>
      <c r="X1455" s="18"/>
      <c r="Y1455" s="18"/>
      <c r="Z1455" s="18"/>
      <c r="AA1455" s="18"/>
      <c r="AB1455" s="18"/>
      <c r="AC1455" s="18"/>
      <c r="AD1455" s="19"/>
      <c r="AE1455" s="18"/>
      <c r="AF1455" s="18"/>
      <c r="AG1455" s="18"/>
      <c r="AH1455" s="18"/>
      <c r="AI1455" s="18"/>
      <c r="AJ1455" s="97"/>
      <c r="AK1455" s="18"/>
      <c r="AL1455" s="18"/>
    </row>
    <row r="1456" spans="4:38" x14ac:dyDescent="0.2">
      <c r="D1456" s="19"/>
      <c r="E1456" s="19"/>
      <c r="F1456" s="19"/>
      <c r="G1456" s="18"/>
      <c r="H1456" s="18"/>
      <c r="I1456" s="18"/>
      <c r="J1456" s="18"/>
      <c r="K1456" s="18"/>
      <c r="L1456" s="18"/>
      <c r="M1456" s="18"/>
      <c r="N1456" s="18"/>
      <c r="O1456" s="18"/>
      <c r="P1456" s="18"/>
      <c r="Q1456" s="18"/>
      <c r="R1456" s="18"/>
      <c r="S1456" s="18"/>
      <c r="T1456" s="18"/>
      <c r="U1456" s="18"/>
      <c r="V1456" s="18"/>
      <c r="W1456" s="18"/>
      <c r="X1456" s="18"/>
      <c r="Y1456" s="18"/>
      <c r="Z1456" s="18"/>
      <c r="AA1456" s="18"/>
      <c r="AB1456" s="18"/>
      <c r="AC1456" s="18"/>
      <c r="AD1456" s="19"/>
      <c r="AE1456" s="18"/>
      <c r="AF1456" s="18"/>
      <c r="AG1456" s="18"/>
      <c r="AH1456" s="18"/>
      <c r="AI1456" s="18"/>
      <c r="AJ1456" s="97"/>
      <c r="AK1456" s="18"/>
      <c r="AL1456" s="18"/>
    </row>
    <row r="1457" spans="4:38" x14ac:dyDescent="0.2">
      <c r="D1457" s="19"/>
      <c r="E1457" s="19"/>
      <c r="F1457" s="19"/>
      <c r="G1457" s="18"/>
      <c r="H1457" s="18"/>
      <c r="I1457" s="18"/>
      <c r="J1457" s="18"/>
      <c r="K1457" s="18"/>
      <c r="L1457" s="18"/>
      <c r="M1457" s="18"/>
      <c r="N1457" s="18"/>
      <c r="O1457" s="18"/>
      <c r="P1457" s="18"/>
      <c r="Q1457" s="18"/>
      <c r="R1457" s="18"/>
      <c r="S1457" s="18"/>
      <c r="T1457" s="18"/>
      <c r="U1457" s="18"/>
      <c r="V1457" s="18"/>
      <c r="W1457" s="18"/>
      <c r="X1457" s="18"/>
      <c r="Y1457" s="18"/>
      <c r="Z1457" s="18"/>
      <c r="AA1457" s="18"/>
      <c r="AB1457" s="18"/>
      <c r="AC1457" s="18"/>
      <c r="AD1457" s="19"/>
      <c r="AE1457" s="18"/>
      <c r="AF1457" s="18"/>
      <c r="AG1457" s="18"/>
      <c r="AH1457" s="18"/>
      <c r="AI1457" s="18"/>
      <c r="AJ1457" s="97"/>
      <c r="AK1457" s="18"/>
      <c r="AL1457" s="18"/>
    </row>
    <row r="1458" spans="4:38" x14ac:dyDescent="0.2">
      <c r="D1458" s="19"/>
      <c r="E1458" s="19"/>
      <c r="F1458" s="19"/>
      <c r="G1458" s="18"/>
      <c r="H1458" s="18"/>
      <c r="I1458" s="18"/>
      <c r="J1458" s="18"/>
      <c r="K1458" s="18"/>
      <c r="L1458" s="18"/>
      <c r="M1458" s="18"/>
      <c r="N1458" s="18"/>
      <c r="O1458" s="18"/>
      <c r="P1458" s="18"/>
      <c r="Q1458" s="18"/>
      <c r="R1458" s="18"/>
      <c r="S1458" s="18"/>
      <c r="T1458" s="18"/>
      <c r="U1458" s="18"/>
      <c r="V1458" s="18"/>
      <c r="W1458" s="18"/>
      <c r="X1458" s="18"/>
      <c r="Y1458" s="18"/>
      <c r="Z1458" s="18"/>
      <c r="AA1458" s="18"/>
      <c r="AB1458" s="18"/>
      <c r="AC1458" s="18"/>
      <c r="AD1458" s="19"/>
      <c r="AE1458" s="18"/>
      <c r="AF1458" s="18"/>
      <c r="AG1458" s="18"/>
      <c r="AH1458" s="18"/>
      <c r="AI1458" s="18"/>
      <c r="AJ1458" s="97"/>
      <c r="AK1458" s="18"/>
      <c r="AL1458" s="18"/>
    </row>
    <row r="1459" spans="4:38" x14ac:dyDescent="0.2">
      <c r="D1459" s="19"/>
      <c r="E1459" s="19"/>
      <c r="F1459" s="19"/>
      <c r="G1459" s="18"/>
      <c r="H1459" s="18"/>
      <c r="I1459" s="18"/>
      <c r="J1459" s="18"/>
      <c r="K1459" s="18"/>
      <c r="L1459" s="18"/>
      <c r="M1459" s="18"/>
      <c r="N1459" s="18"/>
      <c r="O1459" s="18"/>
      <c r="P1459" s="18"/>
      <c r="Q1459" s="18"/>
      <c r="R1459" s="18"/>
      <c r="S1459" s="18"/>
      <c r="T1459" s="18"/>
      <c r="U1459" s="18"/>
      <c r="V1459" s="18"/>
      <c r="W1459" s="18"/>
      <c r="X1459" s="18"/>
      <c r="Y1459" s="18"/>
      <c r="Z1459" s="18"/>
      <c r="AA1459" s="18"/>
      <c r="AB1459" s="18"/>
      <c r="AC1459" s="18"/>
      <c r="AD1459" s="19"/>
      <c r="AE1459" s="18"/>
      <c r="AF1459" s="18"/>
      <c r="AG1459" s="18"/>
      <c r="AH1459" s="18"/>
      <c r="AI1459" s="18"/>
      <c r="AJ1459" s="97"/>
      <c r="AK1459" s="18"/>
      <c r="AL1459" s="18"/>
    </row>
    <row r="1460" spans="4:38" x14ac:dyDescent="0.2">
      <c r="D1460" s="19"/>
      <c r="E1460" s="19"/>
      <c r="F1460" s="19"/>
      <c r="G1460" s="18"/>
      <c r="H1460" s="18"/>
      <c r="I1460" s="18"/>
      <c r="J1460" s="18"/>
      <c r="K1460" s="18"/>
      <c r="L1460" s="18"/>
      <c r="M1460" s="18"/>
      <c r="N1460" s="18"/>
      <c r="O1460" s="18"/>
      <c r="P1460" s="18"/>
      <c r="Q1460" s="18"/>
      <c r="R1460" s="18"/>
      <c r="S1460" s="18"/>
      <c r="T1460" s="18"/>
      <c r="U1460" s="18"/>
      <c r="V1460" s="18"/>
      <c r="W1460" s="18"/>
      <c r="X1460" s="18"/>
      <c r="Y1460" s="18"/>
      <c r="Z1460" s="18"/>
      <c r="AA1460" s="18"/>
      <c r="AB1460" s="18"/>
      <c r="AC1460" s="18"/>
      <c r="AD1460" s="19"/>
      <c r="AE1460" s="18"/>
      <c r="AF1460" s="18"/>
      <c r="AG1460" s="18"/>
      <c r="AH1460" s="18"/>
      <c r="AI1460" s="18"/>
      <c r="AJ1460" s="97"/>
      <c r="AK1460" s="18"/>
      <c r="AL1460" s="18"/>
    </row>
    <row r="1461" spans="4:38" x14ac:dyDescent="0.2">
      <c r="D1461" s="19"/>
      <c r="E1461" s="19"/>
      <c r="F1461" s="19"/>
      <c r="G1461" s="18"/>
      <c r="H1461" s="18"/>
      <c r="I1461" s="18"/>
      <c r="J1461" s="18"/>
      <c r="K1461" s="18"/>
      <c r="L1461" s="18"/>
      <c r="M1461" s="18"/>
      <c r="N1461" s="18"/>
      <c r="O1461" s="18"/>
      <c r="P1461" s="18"/>
      <c r="Q1461" s="18"/>
      <c r="R1461" s="18"/>
      <c r="S1461" s="18"/>
      <c r="T1461" s="18"/>
      <c r="U1461" s="18"/>
      <c r="V1461" s="18"/>
      <c r="W1461" s="18"/>
      <c r="X1461" s="18"/>
      <c r="Y1461" s="18"/>
      <c r="Z1461" s="18"/>
      <c r="AA1461" s="18"/>
      <c r="AB1461" s="18"/>
      <c r="AC1461" s="18"/>
      <c r="AD1461" s="19"/>
      <c r="AE1461" s="18"/>
      <c r="AF1461" s="18"/>
      <c r="AG1461" s="18"/>
      <c r="AH1461" s="18"/>
      <c r="AI1461" s="18"/>
      <c r="AJ1461" s="97"/>
      <c r="AK1461" s="18"/>
      <c r="AL1461" s="18"/>
    </row>
    <row r="1462" spans="4:38" x14ac:dyDescent="0.2">
      <c r="D1462" s="19"/>
      <c r="E1462" s="19"/>
      <c r="F1462" s="19"/>
      <c r="G1462" s="18"/>
      <c r="H1462" s="18"/>
      <c r="I1462" s="18"/>
      <c r="J1462" s="18"/>
      <c r="K1462" s="18"/>
      <c r="L1462" s="18"/>
      <c r="M1462" s="18"/>
      <c r="N1462" s="18"/>
      <c r="O1462" s="18"/>
      <c r="P1462" s="18"/>
      <c r="Q1462" s="18"/>
      <c r="R1462" s="18"/>
      <c r="S1462" s="18"/>
      <c r="T1462" s="18"/>
      <c r="U1462" s="18"/>
      <c r="V1462" s="18"/>
      <c r="W1462" s="18"/>
      <c r="X1462" s="18"/>
      <c r="Y1462" s="18"/>
      <c r="Z1462" s="18"/>
      <c r="AA1462" s="18"/>
      <c r="AB1462" s="18"/>
      <c r="AC1462" s="18"/>
      <c r="AD1462" s="19"/>
      <c r="AE1462" s="18"/>
      <c r="AF1462" s="18"/>
      <c r="AG1462" s="18"/>
      <c r="AH1462" s="18"/>
      <c r="AI1462" s="18"/>
      <c r="AJ1462" s="97"/>
      <c r="AK1462" s="18"/>
      <c r="AL1462" s="18"/>
    </row>
    <row r="1463" spans="4:38" x14ac:dyDescent="0.2">
      <c r="D1463" s="19"/>
      <c r="E1463" s="19"/>
      <c r="F1463" s="19"/>
      <c r="G1463" s="18"/>
      <c r="H1463" s="18"/>
      <c r="I1463" s="18"/>
      <c r="J1463" s="18"/>
      <c r="K1463" s="18"/>
      <c r="L1463" s="18"/>
      <c r="M1463" s="18"/>
      <c r="N1463" s="18"/>
      <c r="O1463" s="18"/>
      <c r="P1463" s="18"/>
      <c r="Q1463" s="18"/>
      <c r="R1463" s="18"/>
      <c r="S1463" s="18"/>
      <c r="T1463" s="18"/>
      <c r="U1463" s="18"/>
      <c r="V1463" s="18"/>
      <c r="W1463" s="18"/>
      <c r="X1463" s="18"/>
      <c r="Y1463" s="18"/>
      <c r="Z1463" s="18"/>
      <c r="AA1463" s="18"/>
      <c r="AB1463" s="18"/>
      <c r="AC1463" s="18"/>
      <c r="AD1463" s="19"/>
      <c r="AE1463" s="18"/>
      <c r="AF1463" s="18"/>
      <c r="AG1463" s="18"/>
      <c r="AH1463" s="18"/>
      <c r="AI1463" s="18"/>
      <c r="AJ1463" s="97"/>
      <c r="AK1463" s="18"/>
      <c r="AL1463" s="18"/>
    </row>
    <row r="1464" spans="4:38" x14ac:dyDescent="0.2">
      <c r="D1464" s="19"/>
      <c r="E1464" s="19"/>
      <c r="F1464" s="19"/>
      <c r="G1464" s="18"/>
      <c r="H1464" s="18"/>
      <c r="I1464" s="18"/>
      <c r="J1464" s="18"/>
      <c r="K1464" s="18"/>
      <c r="L1464" s="18"/>
      <c r="M1464" s="18"/>
      <c r="N1464" s="18"/>
      <c r="O1464" s="18"/>
      <c r="P1464" s="18"/>
      <c r="Q1464" s="18"/>
      <c r="R1464" s="18"/>
      <c r="S1464" s="18"/>
      <c r="T1464" s="18"/>
      <c r="U1464" s="18"/>
      <c r="V1464" s="18"/>
      <c r="W1464" s="18"/>
      <c r="X1464" s="18"/>
      <c r="Y1464" s="18"/>
      <c r="Z1464" s="18"/>
      <c r="AA1464" s="18"/>
      <c r="AB1464" s="18"/>
      <c r="AC1464" s="18"/>
      <c r="AD1464" s="19"/>
      <c r="AE1464" s="18"/>
      <c r="AF1464" s="18"/>
      <c r="AG1464" s="18"/>
      <c r="AH1464" s="18"/>
      <c r="AI1464" s="18"/>
      <c r="AJ1464" s="97"/>
      <c r="AK1464" s="18"/>
      <c r="AL1464" s="18"/>
    </row>
    <row r="1465" spans="4:38" x14ac:dyDescent="0.2">
      <c r="D1465" s="19"/>
      <c r="E1465" s="19"/>
      <c r="F1465" s="19"/>
      <c r="G1465" s="18"/>
      <c r="H1465" s="18"/>
      <c r="I1465" s="18"/>
      <c r="J1465" s="18"/>
      <c r="K1465" s="18"/>
      <c r="L1465" s="18"/>
      <c r="M1465" s="18"/>
      <c r="N1465" s="18"/>
      <c r="O1465" s="18"/>
      <c r="P1465" s="18"/>
      <c r="Q1465" s="18"/>
      <c r="R1465" s="18"/>
      <c r="S1465" s="18"/>
      <c r="T1465" s="18"/>
      <c r="U1465" s="18"/>
      <c r="V1465" s="18"/>
      <c r="W1465" s="18"/>
      <c r="X1465" s="18"/>
      <c r="Y1465" s="18"/>
      <c r="Z1465" s="18"/>
      <c r="AA1465" s="18"/>
      <c r="AB1465" s="18"/>
      <c r="AC1465" s="18"/>
      <c r="AD1465" s="19"/>
      <c r="AE1465" s="18"/>
      <c r="AF1465" s="18"/>
      <c r="AG1465" s="18"/>
      <c r="AH1465" s="18"/>
      <c r="AI1465" s="18"/>
      <c r="AJ1465" s="97"/>
      <c r="AK1465" s="18"/>
      <c r="AL1465" s="18"/>
    </row>
    <row r="1466" spans="4:38" x14ac:dyDescent="0.2">
      <c r="D1466" s="19"/>
      <c r="E1466" s="19"/>
      <c r="F1466" s="19"/>
      <c r="G1466" s="18"/>
      <c r="H1466" s="18"/>
      <c r="I1466" s="18"/>
      <c r="J1466" s="18"/>
      <c r="K1466" s="18"/>
      <c r="L1466" s="18"/>
      <c r="M1466" s="18"/>
      <c r="N1466" s="18"/>
      <c r="O1466" s="18"/>
      <c r="P1466" s="18"/>
      <c r="Q1466" s="18"/>
      <c r="R1466" s="18"/>
      <c r="S1466" s="18"/>
      <c r="T1466" s="18"/>
      <c r="U1466" s="18"/>
      <c r="V1466" s="18"/>
      <c r="W1466" s="18"/>
      <c r="X1466" s="18"/>
      <c r="Y1466" s="18"/>
      <c r="Z1466" s="18"/>
      <c r="AA1466" s="18"/>
      <c r="AB1466" s="18"/>
      <c r="AC1466" s="18"/>
      <c r="AD1466" s="19"/>
      <c r="AE1466" s="18"/>
      <c r="AF1466" s="18"/>
      <c r="AG1466" s="18"/>
      <c r="AH1466" s="18"/>
      <c r="AI1466" s="18"/>
      <c r="AJ1466" s="97"/>
      <c r="AK1466" s="18"/>
      <c r="AL1466" s="18"/>
    </row>
    <row r="1467" spans="4:38" x14ac:dyDescent="0.2">
      <c r="D1467" s="19"/>
      <c r="E1467" s="19"/>
      <c r="F1467" s="19"/>
      <c r="G1467" s="18"/>
      <c r="H1467" s="18"/>
      <c r="I1467" s="18"/>
      <c r="J1467" s="18"/>
      <c r="K1467" s="18"/>
      <c r="L1467" s="18"/>
      <c r="M1467" s="18"/>
      <c r="N1467" s="18"/>
      <c r="O1467" s="18"/>
      <c r="P1467" s="18"/>
      <c r="Q1467" s="18"/>
      <c r="R1467" s="18"/>
      <c r="S1467" s="18"/>
      <c r="T1467" s="18"/>
      <c r="U1467" s="18"/>
      <c r="V1467" s="18"/>
      <c r="W1467" s="18"/>
      <c r="X1467" s="18"/>
      <c r="Y1467" s="18"/>
      <c r="Z1467" s="18"/>
      <c r="AA1467" s="18"/>
      <c r="AB1467" s="18"/>
      <c r="AC1467" s="18"/>
      <c r="AD1467" s="19"/>
      <c r="AE1467" s="18"/>
      <c r="AF1467" s="18"/>
      <c r="AG1467" s="18"/>
      <c r="AH1467" s="18"/>
      <c r="AI1467" s="18"/>
      <c r="AJ1467" s="97"/>
      <c r="AK1467" s="18"/>
      <c r="AL1467" s="18"/>
    </row>
    <row r="1468" spans="4:38" x14ac:dyDescent="0.2">
      <c r="D1468" s="19"/>
      <c r="E1468" s="19"/>
      <c r="F1468" s="19"/>
      <c r="G1468" s="18"/>
      <c r="H1468" s="18"/>
      <c r="I1468" s="18"/>
      <c r="J1468" s="18"/>
      <c r="K1468" s="18"/>
      <c r="L1468" s="18"/>
      <c r="M1468" s="18"/>
      <c r="N1468" s="18"/>
      <c r="O1468" s="18"/>
      <c r="P1468" s="18"/>
      <c r="Q1468" s="18"/>
      <c r="R1468" s="18"/>
      <c r="S1468" s="18"/>
      <c r="T1468" s="18"/>
      <c r="U1468" s="18"/>
      <c r="V1468" s="18"/>
      <c r="W1468" s="18"/>
      <c r="X1468" s="18"/>
      <c r="Y1468" s="18"/>
      <c r="Z1468" s="18"/>
      <c r="AA1468" s="18"/>
      <c r="AB1468" s="18"/>
      <c r="AC1468" s="18"/>
      <c r="AD1468" s="19"/>
      <c r="AE1468" s="18"/>
      <c r="AF1468" s="18"/>
      <c r="AG1468" s="18"/>
      <c r="AH1468" s="18"/>
      <c r="AI1468" s="18"/>
      <c r="AJ1468" s="97"/>
      <c r="AK1468" s="18"/>
      <c r="AL1468" s="18"/>
    </row>
    <row r="1469" spans="4:38" x14ac:dyDescent="0.2">
      <c r="D1469" s="19"/>
      <c r="E1469" s="19"/>
      <c r="F1469" s="19"/>
      <c r="G1469" s="18"/>
      <c r="H1469" s="18"/>
      <c r="I1469" s="18"/>
      <c r="J1469" s="18"/>
      <c r="K1469" s="18"/>
      <c r="L1469" s="18"/>
      <c r="M1469" s="18"/>
      <c r="N1469" s="18"/>
      <c r="O1469" s="18"/>
      <c r="P1469" s="18"/>
      <c r="Q1469" s="18"/>
      <c r="R1469" s="18"/>
      <c r="S1469" s="18"/>
      <c r="T1469" s="18"/>
      <c r="U1469" s="18"/>
      <c r="V1469" s="18"/>
      <c r="W1469" s="18"/>
      <c r="X1469" s="18"/>
      <c r="Y1469" s="18"/>
      <c r="Z1469" s="18"/>
      <c r="AA1469" s="18"/>
      <c r="AB1469" s="18"/>
      <c r="AC1469" s="18"/>
      <c r="AD1469" s="19"/>
      <c r="AE1469" s="18"/>
      <c r="AF1469" s="18"/>
      <c r="AG1469" s="18"/>
      <c r="AH1469" s="18"/>
      <c r="AI1469" s="18"/>
      <c r="AJ1469" s="97"/>
      <c r="AK1469" s="18"/>
      <c r="AL1469" s="18"/>
    </row>
    <row r="1470" spans="4:38" x14ac:dyDescent="0.2">
      <c r="D1470" s="19"/>
      <c r="E1470" s="19"/>
      <c r="F1470" s="19"/>
      <c r="G1470" s="18"/>
      <c r="H1470" s="18"/>
      <c r="I1470" s="18"/>
      <c r="J1470" s="18"/>
      <c r="K1470" s="18"/>
      <c r="L1470" s="18"/>
      <c r="M1470" s="18"/>
      <c r="N1470" s="18"/>
      <c r="O1470" s="18"/>
      <c r="P1470" s="18"/>
      <c r="Q1470" s="18"/>
      <c r="R1470" s="18"/>
      <c r="S1470" s="18"/>
      <c r="T1470" s="18"/>
      <c r="U1470" s="18"/>
      <c r="V1470" s="18"/>
      <c r="W1470" s="18"/>
      <c r="X1470" s="18"/>
      <c r="Y1470" s="18"/>
      <c r="Z1470" s="18"/>
      <c r="AA1470" s="18"/>
      <c r="AB1470" s="18"/>
      <c r="AC1470" s="18"/>
      <c r="AD1470" s="19"/>
      <c r="AE1470" s="18"/>
      <c r="AF1470" s="18"/>
      <c r="AG1470" s="18"/>
      <c r="AH1470" s="18"/>
      <c r="AI1470" s="18"/>
      <c r="AJ1470" s="97"/>
      <c r="AK1470" s="18"/>
      <c r="AL1470" s="18"/>
    </row>
    <row r="1471" spans="4:38" x14ac:dyDescent="0.2">
      <c r="D1471" s="19"/>
      <c r="E1471" s="19"/>
      <c r="F1471" s="19"/>
      <c r="G1471" s="18"/>
      <c r="H1471" s="18"/>
      <c r="I1471" s="18"/>
      <c r="J1471" s="18"/>
      <c r="K1471" s="18"/>
      <c r="L1471" s="18"/>
      <c r="M1471" s="18"/>
      <c r="N1471" s="18"/>
      <c r="O1471" s="18"/>
      <c r="P1471" s="18"/>
      <c r="Q1471" s="18"/>
      <c r="R1471" s="18"/>
      <c r="S1471" s="18"/>
      <c r="T1471" s="18"/>
      <c r="U1471" s="18"/>
      <c r="V1471" s="18"/>
      <c r="W1471" s="18"/>
      <c r="X1471" s="18"/>
      <c r="Y1471" s="18"/>
      <c r="Z1471" s="18"/>
      <c r="AA1471" s="18"/>
      <c r="AB1471" s="18"/>
      <c r="AC1471" s="18"/>
      <c r="AD1471" s="19"/>
      <c r="AE1471" s="18"/>
      <c r="AF1471" s="18"/>
      <c r="AG1471" s="18"/>
      <c r="AH1471" s="18"/>
      <c r="AI1471" s="18"/>
      <c r="AJ1471" s="97"/>
      <c r="AK1471" s="18"/>
      <c r="AL1471" s="18"/>
    </row>
    <row r="1472" spans="4:38" x14ac:dyDescent="0.2">
      <c r="D1472" s="19"/>
      <c r="E1472" s="19"/>
      <c r="F1472" s="19"/>
      <c r="G1472" s="18"/>
      <c r="H1472" s="18"/>
      <c r="I1472" s="18"/>
      <c r="J1472" s="18"/>
      <c r="K1472" s="18"/>
      <c r="L1472" s="18"/>
      <c r="M1472" s="18"/>
      <c r="N1472" s="18"/>
      <c r="O1472" s="18"/>
      <c r="P1472" s="18"/>
      <c r="Q1472" s="18"/>
      <c r="R1472" s="18"/>
      <c r="S1472" s="18"/>
      <c r="T1472" s="18"/>
      <c r="U1472" s="18"/>
      <c r="V1472" s="18"/>
      <c r="W1472" s="18"/>
      <c r="X1472" s="18"/>
      <c r="Y1472" s="18"/>
      <c r="Z1472" s="18"/>
      <c r="AA1472" s="18"/>
      <c r="AB1472" s="18"/>
      <c r="AC1472" s="18"/>
      <c r="AD1472" s="19"/>
      <c r="AE1472" s="18"/>
      <c r="AF1472" s="18"/>
      <c r="AG1472" s="18"/>
      <c r="AH1472" s="18"/>
      <c r="AI1472" s="18"/>
      <c r="AJ1472" s="97"/>
      <c r="AK1472" s="18"/>
      <c r="AL1472" s="18"/>
    </row>
    <row r="1473" spans="4:38" x14ac:dyDescent="0.2">
      <c r="D1473" s="19"/>
      <c r="E1473" s="19"/>
      <c r="F1473" s="19"/>
      <c r="G1473" s="18"/>
      <c r="H1473" s="18"/>
      <c r="I1473" s="18"/>
      <c r="J1473" s="18"/>
      <c r="K1473" s="18"/>
      <c r="L1473" s="18"/>
      <c r="M1473" s="18"/>
      <c r="N1473" s="18"/>
      <c r="O1473" s="18"/>
      <c r="P1473" s="18"/>
      <c r="Q1473" s="18"/>
      <c r="R1473" s="18"/>
      <c r="S1473" s="18"/>
      <c r="T1473" s="18"/>
      <c r="U1473" s="18"/>
      <c r="V1473" s="18"/>
      <c r="W1473" s="18"/>
      <c r="X1473" s="18"/>
      <c r="Y1473" s="18"/>
      <c r="Z1473" s="18"/>
      <c r="AA1473" s="18"/>
      <c r="AB1473" s="18"/>
      <c r="AC1473" s="18"/>
      <c r="AD1473" s="19"/>
      <c r="AE1473" s="18"/>
      <c r="AF1473" s="18"/>
      <c r="AG1473" s="18"/>
      <c r="AH1473" s="18"/>
      <c r="AI1473" s="18"/>
      <c r="AJ1473" s="97"/>
      <c r="AK1473" s="18"/>
      <c r="AL1473" s="18"/>
    </row>
    <row r="1474" spans="4:38" x14ac:dyDescent="0.2">
      <c r="D1474" s="19"/>
      <c r="E1474" s="19"/>
      <c r="F1474" s="19"/>
      <c r="G1474" s="18"/>
      <c r="H1474" s="18"/>
      <c r="I1474" s="18"/>
      <c r="J1474" s="18"/>
      <c r="K1474" s="18"/>
      <c r="L1474" s="18"/>
      <c r="M1474" s="18"/>
      <c r="N1474" s="18"/>
      <c r="O1474" s="18"/>
      <c r="P1474" s="18"/>
      <c r="Q1474" s="18"/>
      <c r="R1474" s="18"/>
      <c r="S1474" s="18"/>
      <c r="T1474" s="18"/>
      <c r="U1474" s="18"/>
      <c r="V1474" s="18"/>
      <c r="W1474" s="18"/>
      <c r="X1474" s="18"/>
      <c r="Y1474" s="18"/>
      <c r="Z1474" s="18"/>
      <c r="AA1474" s="18"/>
      <c r="AB1474" s="18"/>
      <c r="AC1474" s="18"/>
      <c r="AD1474" s="19"/>
      <c r="AE1474" s="18"/>
      <c r="AF1474" s="18"/>
      <c r="AG1474" s="18"/>
      <c r="AH1474" s="18"/>
      <c r="AI1474" s="18"/>
      <c r="AJ1474" s="97"/>
      <c r="AK1474" s="18"/>
      <c r="AL1474" s="18"/>
    </row>
    <row r="1475" spans="4:38" x14ac:dyDescent="0.2">
      <c r="D1475" s="19"/>
      <c r="E1475" s="19"/>
      <c r="F1475" s="19"/>
      <c r="G1475" s="18"/>
      <c r="H1475" s="18"/>
      <c r="I1475" s="18"/>
      <c r="J1475" s="18"/>
      <c r="K1475" s="18"/>
      <c r="L1475" s="18"/>
      <c r="M1475" s="18"/>
      <c r="N1475" s="18"/>
      <c r="O1475" s="18"/>
      <c r="P1475" s="18"/>
      <c r="Q1475" s="18"/>
      <c r="R1475" s="18"/>
      <c r="S1475" s="18"/>
      <c r="T1475" s="18"/>
      <c r="U1475" s="18"/>
      <c r="V1475" s="18"/>
      <c r="W1475" s="18"/>
      <c r="X1475" s="18"/>
      <c r="Y1475" s="18"/>
      <c r="Z1475" s="18"/>
      <c r="AA1475" s="18"/>
      <c r="AB1475" s="18"/>
      <c r="AC1475" s="18"/>
      <c r="AD1475" s="19"/>
      <c r="AE1475" s="18"/>
      <c r="AF1475" s="18"/>
      <c r="AG1475" s="18"/>
      <c r="AH1475" s="18"/>
      <c r="AI1475" s="18"/>
      <c r="AJ1475" s="97"/>
      <c r="AK1475" s="18"/>
      <c r="AL1475" s="18"/>
    </row>
    <row r="1476" spans="4:38" x14ac:dyDescent="0.2">
      <c r="D1476" s="19"/>
      <c r="E1476" s="19"/>
      <c r="F1476" s="19"/>
      <c r="G1476" s="18"/>
      <c r="H1476" s="18"/>
      <c r="I1476" s="18"/>
      <c r="J1476" s="18"/>
      <c r="K1476" s="18"/>
      <c r="L1476" s="18"/>
      <c r="M1476" s="18"/>
      <c r="N1476" s="18"/>
      <c r="O1476" s="18"/>
      <c r="P1476" s="18"/>
      <c r="Q1476" s="18"/>
      <c r="R1476" s="18"/>
      <c r="S1476" s="18"/>
      <c r="T1476" s="18"/>
      <c r="U1476" s="18"/>
      <c r="V1476" s="18"/>
      <c r="W1476" s="18"/>
      <c r="X1476" s="18"/>
      <c r="Y1476" s="18"/>
      <c r="Z1476" s="18"/>
      <c r="AA1476" s="18"/>
      <c r="AB1476" s="18"/>
      <c r="AC1476" s="18"/>
      <c r="AD1476" s="19"/>
      <c r="AE1476" s="18"/>
      <c r="AF1476" s="18"/>
      <c r="AG1476" s="18"/>
      <c r="AH1476" s="18"/>
      <c r="AI1476" s="18"/>
      <c r="AJ1476" s="97"/>
      <c r="AK1476" s="18"/>
      <c r="AL1476" s="18"/>
    </row>
    <row r="1477" spans="4:38" x14ac:dyDescent="0.2">
      <c r="D1477" s="19"/>
      <c r="E1477" s="19"/>
      <c r="F1477" s="19"/>
      <c r="G1477" s="18"/>
      <c r="H1477" s="18"/>
      <c r="I1477" s="18"/>
      <c r="J1477" s="18"/>
      <c r="K1477" s="18"/>
      <c r="L1477" s="18"/>
      <c r="M1477" s="18"/>
      <c r="N1477" s="18"/>
      <c r="O1477" s="18"/>
      <c r="P1477" s="18"/>
      <c r="Q1477" s="18"/>
      <c r="R1477" s="18"/>
      <c r="S1477" s="18"/>
      <c r="T1477" s="18"/>
      <c r="U1477" s="18"/>
      <c r="V1477" s="18"/>
      <c r="W1477" s="18"/>
      <c r="X1477" s="18"/>
      <c r="Y1477" s="18"/>
      <c r="Z1477" s="18"/>
      <c r="AA1477" s="18"/>
      <c r="AB1477" s="18"/>
      <c r="AC1477" s="18"/>
      <c r="AD1477" s="19"/>
      <c r="AE1477" s="18"/>
      <c r="AF1477" s="18"/>
      <c r="AG1477" s="18"/>
      <c r="AH1477" s="18"/>
      <c r="AI1477" s="18"/>
      <c r="AJ1477" s="97"/>
      <c r="AK1477" s="18"/>
      <c r="AL1477" s="18"/>
    </row>
    <row r="1478" spans="4:38" x14ac:dyDescent="0.2">
      <c r="D1478" s="19"/>
      <c r="E1478" s="19"/>
      <c r="F1478" s="19"/>
      <c r="G1478" s="18"/>
      <c r="H1478" s="18"/>
      <c r="I1478" s="18"/>
      <c r="J1478" s="18"/>
      <c r="K1478" s="18"/>
      <c r="L1478" s="18"/>
      <c r="M1478" s="18"/>
      <c r="N1478" s="18"/>
      <c r="O1478" s="18"/>
      <c r="P1478" s="18"/>
      <c r="Q1478" s="18"/>
      <c r="R1478" s="18"/>
      <c r="S1478" s="18"/>
      <c r="T1478" s="18"/>
      <c r="U1478" s="18"/>
      <c r="V1478" s="18"/>
      <c r="W1478" s="18"/>
      <c r="X1478" s="18"/>
      <c r="Y1478" s="18"/>
      <c r="Z1478" s="18"/>
      <c r="AA1478" s="18"/>
      <c r="AB1478" s="18"/>
      <c r="AC1478" s="18"/>
      <c r="AD1478" s="19"/>
      <c r="AE1478" s="18"/>
      <c r="AF1478" s="18"/>
      <c r="AG1478" s="18"/>
      <c r="AH1478" s="18"/>
      <c r="AI1478" s="18"/>
      <c r="AJ1478" s="97"/>
      <c r="AK1478" s="18"/>
      <c r="AL1478" s="18"/>
    </row>
    <row r="1479" spans="4:38" x14ac:dyDescent="0.2">
      <c r="D1479" s="19"/>
      <c r="E1479" s="19"/>
      <c r="F1479" s="19"/>
      <c r="G1479" s="18"/>
      <c r="H1479" s="18"/>
      <c r="I1479" s="18"/>
      <c r="J1479" s="18"/>
      <c r="K1479" s="18"/>
      <c r="L1479" s="18"/>
      <c r="M1479" s="18"/>
      <c r="N1479" s="18"/>
      <c r="O1479" s="18"/>
      <c r="P1479" s="18"/>
      <c r="Q1479" s="18"/>
      <c r="R1479" s="18"/>
      <c r="S1479" s="18"/>
      <c r="T1479" s="18"/>
      <c r="U1479" s="18"/>
      <c r="V1479" s="18"/>
      <c r="W1479" s="18"/>
      <c r="X1479" s="18"/>
      <c r="Y1479" s="18"/>
      <c r="Z1479" s="18"/>
      <c r="AA1479" s="18"/>
      <c r="AB1479" s="18"/>
      <c r="AC1479" s="18"/>
      <c r="AD1479" s="19"/>
      <c r="AE1479" s="18"/>
      <c r="AF1479" s="18"/>
      <c r="AG1479" s="18"/>
      <c r="AH1479" s="18"/>
      <c r="AI1479" s="18"/>
      <c r="AJ1479" s="97"/>
      <c r="AK1479" s="18"/>
      <c r="AL1479" s="18"/>
    </row>
    <row r="1480" spans="4:38" x14ac:dyDescent="0.2">
      <c r="D1480" s="19"/>
      <c r="E1480" s="19"/>
      <c r="F1480" s="19"/>
      <c r="G1480" s="18"/>
      <c r="H1480" s="18"/>
      <c r="I1480" s="18"/>
      <c r="J1480" s="18"/>
      <c r="K1480" s="18"/>
      <c r="L1480" s="18"/>
      <c r="M1480" s="18"/>
      <c r="N1480" s="18"/>
      <c r="O1480" s="18"/>
      <c r="P1480" s="18"/>
      <c r="Q1480" s="18"/>
      <c r="R1480" s="18"/>
      <c r="S1480" s="18"/>
      <c r="T1480" s="18"/>
      <c r="U1480" s="18"/>
      <c r="V1480" s="18"/>
      <c r="W1480" s="18"/>
      <c r="X1480" s="18"/>
      <c r="Y1480" s="18"/>
      <c r="Z1480" s="18"/>
      <c r="AA1480" s="18"/>
      <c r="AB1480" s="18"/>
      <c r="AC1480" s="18"/>
      <c r="AD1480" s="19"/>
      <c r="AE1480" s="18"/>
      <c r="AF1480" s="18"/>
      <c r="AG1480" s="18"/>
      <c r="AH1480" s="18"/>
      <c r="AI1480" s="18"/>
      <c r="AJ1480" s="97"/>
      <c r="AK1480" s="18"/>
      <c r="AL1480" s="18"/>
    </row>
    <row r="1481" spans="4:38" x14ac:dyDescent="0.2">
      <c r="D1481" s="19"/>
      <c r="E1481" s="19"/>
      <c r="F1481" s="19"/>
      <c r="G1481" s="18"/>
      <c r="H1481" s="18"/>
      <c r="I1481" s="18"/>
      <c r="J1481" s="18"/>
      <c r="K1481" s="18"/>
      <c r="L1481" s="18"/>
      <c r="M1481" s="18"/>
      <c r="N1481" s="18"/>
      <c r="O1481" s="18"/>
      <c r="P1481" s="18"/>
      <c r="Q1481" s="18"/>
      <c r="R1481" s="18"/>
      <c r="S1481" s="18"/>
      <c r="T1481" s="18"/>
      <c r="U1481" s="18"/>
      <c r="V1481" s="18"/>
      <c r="W1481" s="18"/>
      <c r="X1481" s="18"/>
      <c r="Y1481" s="18"/>
      <c r="Z1481" s="18"/>
      <c r="AA1481" s="18"/>
      <c r="AB1481" s="18"/>
      <c r="AC1481" s="18"/>
      <c r="AD1481" s="19"/>
      <c r="AE1481" s="18"/>
      <c r="AF1481" s="18"/>
      <c r="AG1481" s="18"/>
      <c r="AH1481" s="18"/>
      <c r="AI1481" s="18"/>
      <c r="AJ1481" s="97"/>
      <c r="AK1481" s="18"/>
      <c r="AL1481" s="18"/>
    </row>
    <row r="1482" spans="4:38" x14ac:dyDescent="0.2">
      <c r="D1482" s="19"/>
      <c r="E1482" s="19"/>
      <c r="F1482" s="19"/>
      <c r="G1482" s="18"/>
      <c r="H1482" s="18"/>
      <c r="I1482" s="18"/>
      <c r="J1482" s="18"/>
      <c r="K1482" s="18"/>
      <c r="L1482" s="18"/>
      <c r="M1482" s="18"/>
      <c r="N1482" s="18"/>
      <c r="O1482" s="18"/>
      <c r="P1482" s="18"/>
      <c r="Q1482" s="18"/>
      <c r="R1482" s="18"/>
      <c r="S1482" s="18"/>
      <c r="T1482" s="18"/>
      <c r="U1482" s="18"/>
      <c r="V1482" s="18"/>
      <c r="W1482" s="18"/>
      <c r="X1482" s="18"/>
      <c r="Y1482" s="18"/>
      <c r="Z1482" s="18"/>
      <c r="AA1482" s="18"/>
      <c r="AB1482" s="18"/>
      <c r="AC1482" s="18"/>
      <c r="AD1482" s="19"/>
      <c r="AE1482" s="18"/>
      <c r="AF1482" s="18"/>
      <c r="AG1482" s="18"/>
      <c r="AH1482" s="18"/>
      <c r="AI1482" s="18"/>
      <c r="AJ1482" s="97"/>
      <c r="AK1482" s="18"/>
      <c r="AL1482" s="18"/>
    </row>
    <row r="1483" spans="4:38" x14ac:dyDescent="0.2">
      <c r="D1483" s="19"/>
      <c r="E1483" s="19"/>
      <c r="F1483" s="19"/>
      <c r="G1483" s="18"/>
      <c r="H1483" s="18"/>
      <c r="I1483" s="18"/>
      <c r="J1483" s="18"/>
      <c r="K1483" s="18"/>
      <c r="L1483" s="18"/>
      <c r="M1483" s="18"/>
      <c r="N1483" s="18"/>
      <c r="O1483" s="18"/>
      <c r="P1483" s="18"/>
      <c r="Q1483" s="18"/>
      <c r="R1483" s="18"/>
      <c r="S1483" s="18"/>
      <c r="T1483" s="18"/>
      <c r="U1483" s="18"/>
      <c r="V1483" s="18"/>
      <c r="W1483" s="18"/>
      <c r="X1483" s="18"/>
      <c r="Y1483" s="18"/>
      <c r="Z1483" s="18"/>
      <c r="AA1483" s="18"/>
      <c r="AB1483" s="18"/>
      <c r="AC1483" s="18"/>
      <c r="AD1483" s="19"/>
      <c r="AE1483" s="18"/>
      <c r="AF1483" s="18"/>
      <c r="AG1483" s="18"/>
      <c r="AH1483" s="18"/>
      <c r="AI1483" s="18"/>
      <c r="AJ1483" s="97"/>
      <c r="AK1483" s="18"/>
      <c r="AL1483" s="18"/>
    </row>
    <row r="1484" spans="4:38" x14ac:dyDescent="0.2">
      <c r="D1484" s="19"/>
      <c r="E1484" s="19"/>
      <c r="F1484" s="19"/>
      <c r="G1484" s="18"/>
      <c r="H1484" s="18"/>
      <c r="I1484" s="18"/>
      <c r="J1484" s="18"/>
      <c r="K1484" s="18"/>
      <c r="L1484" s="18"/>
      <c r="M1484" s="18"/>
      <c r="N1484" s="18"/>
      <c r="O1484" s="18"/>
      <c r="P1484" s="18"/>
      <c r="Q1484" s="18"/>
      <c r="R1484" s="18"/>
      <c r="S1484" s="18"/>
      <c r="T1484" s="18"/>
      <c r="U1484" s="18"/>
      <c r="V1484" s="18"/>
      <c r="W1484" s="18"/>
      <c r="X1484" s="18"/>
      <c r="Y1484" s="18"/>
      <c r="Z1484" s="18"/>
      <c r="AA1484" s="18"/>
      <c r="AB1484" s="18"/>
      <c r="AC1484" s="18"/>
      <c r="AD1484" s="19"/>
      <c r="AE1484" s="18"/>
      <c r="AF1484" s="18"/>
      <c r="AG1484" s="18"/>
      <c r="AH1484" s="18"/>
      <c r="AI1484" s="18"/>
      <c r="AJ1484" s="97"/>
      <c r="AK1484" s="18"/>
      <c r="AL1484" s="18"/>
    </row>
    <row r="1485" spans="4:38" x14ac:dyDescent="0.2">
      <c r="D1485" s="19"/>
      <c r="E1485" s="19"/>
      <c r="F1485" s="19"/>
      <c r="G1485" s="18"/>
      <c r="H1485" s="18"/>
      <c r="I1485" s="18"/>
      <c r="J1485" s="18"/>
      <c r="K1485" s="18"/>
      <c r="L1485" s="18"/>
      <c r="M1485" s="18"/>
      <c r="N1485" s="18"/>
      <c r="O1485" s="18"/>
      <c r="P1485" s="18"/>
      <c r="Q1485" s="18"/>
      <c r="R1485" s="18"/>
      <c r="S1485" s="18"/>
      <c r="T1485" s="18"/>
      <c r="U1485" s="18"/>
      <c r="V1485" s="18"/>
      <c r="W1485" s="18"/>
      <c r="X1485" s="18"/>
      <c r="Y1485" s="18"/>
      <c r="Z1485" s="18"/>
      <c r="AA1485" s="18"/>
      <c r="AB1485" s="18"/>
      <c r="AC1485" s="18"/>
      <c r="AD1485" s="19"/>
      <c r="AE1485" s="18"/>
      <c r="AF1485" s="18"/>
      <c r="AG1485" s="18"/>
      <c r="AH1485" s="18"/>
      <c r="AI1485" s="18"/>
      <c r="AJ1485" s="97"/>
      <c r="AK1485" s="18"/>
      <c r="AL1485" s="18"/>
    </row>
    <row r="1486" spans="4:38" x14ac:dyDescent="0.2">
      <c r="D1486" s="19"/>
      <c r="E1486" s="19"/>
      <c r="F1486" s="19"/>
      <c r="G1486" s="18"/>
      <c r="H1486" s="18"/>
      <c r="I1486" s="18"/>
      <c r="J1486" s="18"/>
      <c r="K1486" s="18"/>
      <c r="L1486" s="18"/>
      <c r="M1486" s="18"/>
      <c r="N1486" s="18"/>
      <c r="O1486" s="18"/>
      <c r="P1486" s="18"/>
      <c r="Q1486" s="18"/>
      <c r="R1486" s="18"/>
      <c r="S1486" s="18"/>
      <c r="T1486" s="18"/>
      <c r="U1486" s="18"/>
      <c r="V1486" s="18"/>
      <c r="W1486" s="18"/>
      <c r="X1486" s="18"/>
      <c r="Y1486" s="18"/>
      <c r="Z1486" s="18"/>
      <c r="AA1486" s="18"/>
      <c r="AB1486" s="18"/>
      <c r="AC1486" s="18"/>
      <c r="AD1486" s="19"/>
      <c r="AE1486" s="18"/>
      <c r="AF1486" s="18"/>
      <c r="AG1486" s="18"/>
      <c r="AH1486" s="18"/>
      <c r="AI1486" s="18"/>
      <c r="AJ1486" s="97"/>
      <c r="AK1486" s="18"/>
      <c r="AL1486" s="18"/>
    </row>
    <row r="1487" spans="4:38" x14ac:dyDescent="0.2">
      <c r="D1487" s="19"/>
      <c r="E1487" s="19"/>
      <c r="F1487" s="19"/>
      <c r="G1487" s="18"/>
      <c r="H1487" s="18"/>
      <c r="I1487" s="18"/>
      <c r="J1487" s="18"/>
      <c r="K1487" s="18"/>
      <c r="L1487" s="18"/>
      <c r="M1487" s="18"/>
      <c r="N1487" s="18"/>
      <c r="O1487" s="18"/>
      <c r="P1487" s="18"/>
      <c r="Q1487" s="18"/>
      <c r="R1487" s="18"/>
      <c r="S1487" s="18"/>
      <c r="T1487" s="18"/>
      <c r="U1487" s="18"/>
      <c r="V1487" s="18"/>
      <c r="W1487" s="18"/>
      <c r="X1487" s="18"/>
      <c r="Y1487" s="18"/>
      <c r="Z1487" s="18"/>
      <c r="AA1487" s="18"/>
      <c r="AB1487" s="18"/>
      <c r="AC1487" s="18"/>
      <c r="AD1487" s="19"/>
      <c r="AE1487" s="18"/>
      <c r="AF1487" s="18"/>
      <c r="AG1487" s="18"/>
      <c r="AH1487" s="18"/>
      <c r="AI1487" s="18"/>
      <c r="AJ1487" s="97"/>
      <c r="AK1487" s="18"/>
      <c r="AL1487" s="18"/>
    </row>
    <row r="1488" spans="4:38" x14ac:dyDescent="0.2">
      <c r="D1488" s="19"/>
      <c r="E1488" s="19"/>
      <c r="F1488" s="19"/>
      <c r="G1488" s="18"/>
      <c r="H1488" s="18"/>
      <c r="I1488" s="18"/>
      <c r="J1488" s="18"/>
      <c r="K1488" s="18"/>
      <c r="L1488" s="18"/>
      <c r="M1488" s="18"/>
      <c r="N1488" s="18"/>
      <c r="O1488" s="18"/>
      <c r="P1488" s="18"/>
      <c r="Q1488" s="18"/>
      <c r="R1488" s="18"/>
      <c r="S1488" s="18"/>
      <c r="T1488" s="18"/>
      <c r="U1488" s="18"/>
      <c r="V1488" s="18"/>
      <c r="W1488" s="18"/>
      <c r="X1488" s="18"/>
      <c r="Y1488" s="18"/>
      <c r="Z1488" s="18"/>
      <c r="AA1488" s="18"/>
      <c r="AB1488" s="18"/>
      <c r="AC1488" s="18"/>
      <c r="AD1488" s="19"/>
      <c r="AE1488" s="18"/>
      <c r="AF1488" s="18"/>
      <c r="AG1488" s="18"/>
      <c r="AH1488" s="18"/>
      <c r="AI1488" s="18"/>
      <c r="AJ1488" s="97"/>
      <c r="AK1488" s="18"/>
      <c r="AL1488" s="18"/>
    </row>
    <row r="1489" spans="4:38" x14ac:dyDescent="0.2">
      <c r="D1489" s="19"/>
      <c r="E1489" s="19"/>
      <c r="F1489" s="19"/>
      <c r="G1489" s="18"/>
      <c r="H1489" s="18"/>
      <c r="I1489" s="18"/>
      <c r="J1489" s="18"/>
      <c r="K1489" s="18"/>
      <c r="L1489" s="18"/>
      <c r="M1489" s="18"/>
      <c r="N1489" s="18"/>
      <c r="O1489" s="18"/>
      <c r="P1489" s="18"/>
      <c r="Q1489" s="18"/>
      <c r="R1489" s="18"/>
      <c r="S1489" s="18"/>
      <c r="T1489" s="18"/>
      <c r="U1489" s="18"/>
      <c r="V1489" s="18"/>
      <c r="W1489" s="18"/>
      <c r="X1489" s="18"/>
      <c r="Y1489" s="18"/>
      <c r="Z1489" s="18"/>
      <c r="AA1489" s="18"/>
      <c r="AB1489" s="18"/>
      <c r="AC1489" s="18"/>
      <c r="AD1489" s="19"/>
      <c r="AE1489" s="18"/>
      <c r="AF1489" s="18"/>
      <c r="AG1489" s="18"/>
      <c r="AH1489" s="18"/>
      <c r="AI1489" s="18"/>
      <c r="AJ1489" s="97"/>
      <c r="AK1489" s="18"/>
      <c r="AL1489" s="18"/>
    </row>
    <row r="1490" spans="4:38" x14ac:dyDescent="0.2">
      <c r="D1490" s="19"/>
      <c r="E1490" s="19"/>
      <c r="F1490" s="19"/>
      <c r="G1490" s="18"/>
      <c r="H1490" s="18"/>
      <c r="I1490" s="18"/>
      <c r="J1490" s="18"/>
      <c r="K1490" s="18"/>
      <c r="L1490" s="18"/>
      <c r="M1490" s="18"/>
      <c r="N1490" s="18"/>
      <c r="O1490" s="18"/>
      <c r="P1490" s="18"/>
      <c r="Q1490" s="18"/>
      <c r="R1490" s="18"/>
      <c r="S1490" s="18"/>
      <c r="T1490" s="18"/>
      <c r="U1490" s="18"/>
      <c r="V1490" s="18"/>
      <c r="W1490" s="18"/>
      <c r="X1490" s="18"/>
      <c r="Y1490" s="18"/>
      <c r="Z1490" s="18"/>
      <c r="AA1490" s="18"/>
      <c r="AB1490" s="18"/>
      <c r="AC1490" s="18"/>
      <c r="AD1490" s="19"/>
      <c r="AE1490" s="18"/>
      <c r="AF1490" s="18"/>
      <c r="AG1490" s="18"/>
      <c r="AH1490" s="18"/>
      <c r="AI1490" s="18"/>
      <c r="AJ1490" s="97"/>
      <c r="AK1490" s="18"/>
      <c r="AL1490" s="18"/>
    </row>
    <row r="1491" spans="4:38" x14ac:dyDescent="0.2">
      <c r="D1491" s="19"/>
      <c r="E1491" s="19"/>
      <c r="F1491" s="19"/>
      <c r="G1491" s="18"/>
      <c r="H1491" s="18"/>
      <c r="I1491" s="18"/>
      <c r="J1491" s="18"/>
      <c r="K1491" s="18"/>
      <c r="L1491" s="18"/>
      <c r="M1491" s="18"/>
      <c r="N1491" s="18"/>
      <c r="O1491" s="18"/>
      <c r="P1491" s="18"/>
      <c r="Q1491" s="18"/>
      <c r="R1491" s="18"/>
      <c r="S1491" s="18"/>
      <c r="T1491" s="18"/>
      <c r="U1491" s="18"/>
      <c r="V1491" s="18"/>
      <c r="W1491" s="18"/>
      <c r="X1491" s="18"/>
      <c r="Y1491" s="18"/>
      <c r="Z1491" s="18"/>
      <c r="AA1491" s="18"/>
      <c r="AB1491" s="18"/>
      <c r="AC1491" s="18"/>
      <c r="AD1491" s="19"/>
      <c r="AE1491" s="18"/>
      <c r="AF1491" s="18"/>
      <c r="AG1491" s="18"/>
      <c r="AH1491" s="18"/>
      <c r="AI1491" s="18"/>
      <c r="AJ1491" s="97"/>
      <c r="AK1491" s="18"/>
      <c r="AL1491" s="18"/>
    </row>
    <row r="1492" spans="4:38" x14ac:dyDescent="0.2">
      <c r="D1492" s="19"/>
      <c r="E1492" s="19"/>
      <c r="F1492" s="19"/>
      <c r="G1492" s="18"/>
      <c r="H1492" s="18"/>
      <c r="I1492" s="18"/>
      <c r="J1492" s="18"/>
      <c r="K1492" s="18"/>
      <c r="L1492" s="18"/>
      <c r="M1492" s="18"/>
      <c r="N1492" s="18"/>
      <c r="O1492" s="18"/>
      <c r="P1492" s="18"/>
      <c r="Q1492" s="18"/>
      <c r="R1492" s="18"/>
      <c r="S1492" s="18"/>
      <c r="T1492" s="18"/>
      <c r="U1492" s="18"/>
      <c r="V1492" s="18"/>
      <c r="W1492" s="18"/>
      <c r="X1492" s="18"/>
      <c r="Y1492" s="18"/>
      <c r="Z1492" s="18"/>
      <c r="AA1492" s="18"/>
      <c r="AB1492" s="18"/>
      <c r="AC1492" s="18"/>
      <c r="AD1492" s="19"/>
      <c r="AE1492" s="18"/>
      <c r="AF1492" s="18"/>
      <c r="AG1492" s="18"/>
      <c r="AH1492" s="18"/>
      <c r="AI1492" s="18"/>
      <c r="AJ1492" s="97"/>
      <c r="AK1492" s="18"/>
      <c r="AL1492" s="18"/>
    </row>
    <row r="1493" spans="4:38" x14ac:dyDescent="0.2">
      <c r="D1493" s="19"/>
      <c r="E1493" s="19"/>
      <c r="F1493" s="19"/>
      <c r="G1493" s="18"/>
      <c r="H1493" s="18"/>
      <c r="I1493" s="18"/>
      <c r="J1493" s="18"/>
      <c r="K1493" s="18"/>
      <c r="L1493" s="18"/>
      <c r="M1493" s="18"/>
      <c r="N1493" s="18"/>
      <c r="O1493" s="18"/>
      <c r="P1493" s="18"/>
      <c r="Q1493" s="18"/>
      <c r="R1493" s="18"/>
      <c r="S1493" s="18"/>
      <c r="T1493" s="18"/>
      <c r="U1493" s="18"/>
      <c r="V1493" s="18"/>
      <c r="W1493" s="18"/>
      <c r="X1493" s="18"/>
      <c r="Y1493" s="18"/>
      <c r="Z1493" s="18"/>
      <c r="AA1493" s="18"/>
      <c r="AB1493" s="18"/>
      <c r="AC1493" s="18"/>
      <c r="AD1493" s="19"/>
      <c r="AE1493" s="18"/>
      <c r="AF1493" s="18"/>
      <c r="AG1493" s="18"/>
      <c r="AH1493" s="18"/>
      <c r="AI1493" s="18"/>
      <c r="AJ1493" s="97"/>
      <c r="AK1493" s="18"/>
      <c r="AL1493" s="18"/>
    </row>
    <row r="1494" spans="4:38" x14ac:dyDescent="0.2">
      <c r="D1494" s="19"/>
      <c r="E1494" s="19"/>
      <c r="F1494" s="19"/>
      <c r="G1494" s="18"/>
      <c r="H1494" s="18"/>
      <c r="I1494" s="18"/>
      <c r="J1494" s="18"/>
      <c r="K1494" s="18"/>
      <c r="L1494" s="18"/>
      <c r="M1494" s="18"/>
      <c r="N1494" s="18"/>
      <c r="O1494" s="18"/>
      <c r="P1494" s="18"/>
      <c r="Q1494" s="18"/>
      <c r="R1494" s="18"/>
      <c r="S1494" s="18"/>
      <c r="T1494" s="18"/>
      <c r="U1494" s="18"/>
      <c r="V1494" s="18"/>
      <c r="W1494" s="18"/>
      <c r="X1494" s="18"/>
      <c r="Y1494" s="18"/>
      <c r="Z1494" s="18"/>
      <c r="AA1494" s="18"/>
      <c r="AB1494" s="18"/>
      <c r="AC1494" s="18"/>
      <c r="AD1494" s="19"/>
      <c r="AE1494" s="18"/>
      <c r="AF1494" s="18"/>
      <c r="AG1494" s="18"/>
      <c r="AH1494" s="18"/>
      <c r="AI1494" s="18"/>
      <c r="AJ1494" s="97"/>
      <c r="AK1494" s="18"/>
      <c r="AL1494" s="18"/>
    </row>
    <row r="1495" spans="4:38" x14ac:dyDescent="0.2">
      <c r="D1495" s="19"/>
      <c r="E1495" s="19"/>
      <c r="F1495" s="19"/>
      <c r="G1495" s="18"/>
      <c r="H1495" s="18"/>
      <c r="I1495" s="18"/>
      <c r="J1495" s="18"/>
      <c r="K1495" s="18"/>
      <c r="L1495" s="18"/>
      <c r="M1495" s="18"/>
      <c r="N1495" s="18"/>
      <c r="O1495" s="18"/>
      <c r="P1495" s="18"/>
      <c r="Q1495" s="18"/>
      <c r="R1495" s="18"/>
      <c r="S1495" s="18"/>
      <c r="T1495" s="18"/>
      <c r="U1495" s="18"/>
      <c r="V1495" s="18"/>
      <c r="W1495" s="18"/>
      <c r="X1495" s="18"/>
      <c r="Y1495" s="18"/>
      <c r="Z1495" s="18"/>
      <c r="AA1495" s="18"/>
      <c r="AB1495" s="18"/>
      <c r="AC1495" s="18"/>
      <c r="AD1495" s="19"/>
      <c r="AE1495" s="18"/>
      <c r="AF1495" s="18"/>
      <c r="AG1495" s="18"/>
      <c r="AH1495" s="18"/>
      <c r="AI1495" s="18"/>
      <c r="AJ1495" s="97"/>
      <c r="AK1495" s="18"/>
      <c r="AL1495" s="18"/>
    </row>
    <row r="1496" spans="4:38" x14ac:dyDescent="0.2">
      <c r="D1496" s="19"/>
      <c r="E1496" s="19"/>
      <c r="F1496" s="19"/>
      <c r="G1496" s="18"/>
      <c r="H1496" s="18"/>
      <c r="I1496" s="18"/>
      <c r="J1496" s="18"/>
      <c r="K1496" s="18"/>
      <c r="L1496" s="18"/>
      <c r="M1496" s="18"/>
      <c r="N1496" s="18"/>
      <c r="O1496" s="18"/>
      <c r="P1496" s="18"/>
      <c r="Q1496" s="18"/>
      <c r="R1496" s="18"/>
      <c r="S1496" s="18"/>
      <c r="T1496" s="18"/>
      <c r="U1496" s="18"/>
      <c r="V1496" s="18"/>
      <c r="W1496" s="18"/>
      <c r="X1496" s="18"/>
      <c r="Y1496" s="18"/>
      <c r="Z1496" s="18"/>
      <c r="AA1496" s="18"/>
      <c r="AB1496" s="18"/>
      <c r="AC1496" s="18"/>
      <c r="AD1496" s="19"/>
      <c r="AE1496" s="18"/>
      <c r="AF1496" s="18"/>
      <c r="AG1496" s="18"/>
      <c r="AH1496" s="18"/>
      <c r="AI1496" s="18"/>
      <c r="AJ1496" s="97"/>
      <c r="AK1496" s="18"/>
      <c r="AL1496" s="18"/>
    </row>
    <row r="1497" spans="4:38" x14ac:dyDescent="0.2">
      <c r="D1497" s="19"/>
      <c r="E1497" s="19"/>
      <c r="F1497" s="19"/>
      <c r="G1497" s="18"/>
      <c r="H1497" s="18"/>
      <c r="I1497" s="18"/>
      <c r="J1497" s="18"/>
      <c r="K1497" s="18"/>
      <c r="L1497" s="18"/>
      <c r="M1497" s="18"/>
      <c r="N1497" s="18"/>
      <c r="O1497" s="18"/>
      <c r="P1497" s="18"/>
      <c r="Q1497" s="18"/>
      <c r="R1497" s="18"/>
      <c r="S1497" s="18"/>
      <c r="T1497" s="18"/>
      <c r="U1497" s="18"/>
      <c r="V1497" s="18"/>
      <c r="W1497" s="18"/>
      <c r="X1497" s="18"/>
      <c r="Y1497" s="18"/>
      <c r="Z1497" s="18"/>
      <c r="AA1497" s="18"/>
      <c r="AB1497" s="18"/>
      <c r="AC1497" s="18"/>
      <c r="AD1497" s="19"/>
      <c r="AE1497" s="18"/>
      <c r="AF1497" s="18"/>
      <c r="AG1497" s="18"/>
      <c r="AH1497" s="18"/>
      <c r="AI1497" s="18"/>
      <c r="AJ1497" s="97"/>
      <c r="AK1497" s="18"/>
      <c r="AL1497" s="18"/>
    </row>
    <row r="1498" spans="4:38" x14ac:dyDescent="0.2">
      <c r="D1498" s="19"/>
      <c r="E1498" s="19"/>
      <c r="F1498" s="19"/>
      <c r="G1498" s="18"/>
      <c r="H1498" s="18"/>
      <c r="I1498" s="18"/>
      <c r="J1498" s="18"/>
      <c r="K1498" s="18"/>
      <c r="L1498" s="18"/>
      <c r="M1498" s="18"/>
      <c r="N1498" s="18"/>
      <c r="O1498" s="18"/>
      <c r="P1498" s="18"/>
      <c r="Q1498" s="18"/>
      <c r="R1498" s="18"/>
      <c r="S1498" s="18"/>
      <c r="T1498" s="18"/>
      <c r="U1498" s="18"/>
      <c r="V1498" s="18"/>
      <c r="W1498" s="18"/>
      <c r="X1498" s="18"/>
      <c r="Y1498" s="18"/>
      <c r="Z1498" s="18"/>
      <c r="AA1498" s="18"/>
      <c r="AB1498" s="18"/>
      <c r="AC1498" s="18"/>
      <c r="AD1498" s="19"/>
      <c r="AE1498" s="18"/>
      <c r="AF1498" s="18"/>
      <c r="AG1498" s="18"/>
      <c r="AH1498" s="18"/>
      <c r="AI1498" s="18"/>
      <c r="AJ1498" s="97"/>
      <c r="AK1498" s="18"/>
      <c r="AL1498" s="18"/>
    </row>
    <row r="1499" spans="4:38" x14ac:dyDescent="0.2">
      <c r="D1499" s="19"/>
      <c r="E1499" s="19"/>
      <c r="F1499" s="19"/>
      <c r="G1499" s="18"/>
      <c r="H1499" s="18"/>
      <c r="I1499" s="18"/>
      <c r="J1499" s="18"/>
      <c r="K1499" s="18"/>
      <c r="L1499" s="18"/>
      <c r="M1499" s="18"/>
      <c r="N1499" s="18"/>
      <c r="O1499" s="18"/>
      <c r="P1499" s="18"/>
      <c r="Q1499" s="18"/>
      <c r="R1499" s="18"/>
      <c r="S1499" s="18"/>
      <c r="T1499" s="18"/>
      <c r="U1499" s="18"/>
      <c r="V1499" s="18"/>
      <c r="W1499" s="18"/>
      <c r="X1499" s="18"/>
      <c r="Y1499" s="18"/>
      <c r="Z1499" s="18"/>
      <c r="AA1499" s="18"/>
      <c r="AB1499" s="18"/>
      <c r="AC1499" s="18"/>
      <c r="AD1499" s="19"/>
      <c r="AE1499" s="18"/>
      <c r="AF1499" s="18"/>
      <c r="AG1499" s="18"/>
      <c r="AH1499" s="18"/>
      <c r="AI1499" s="18"/>
      <c r="AJ1499" s="97"/>
      <c r="AK1499" s="18"/>
      <c r="AL1499" s="18"/>
    </row>
    <row r="1500" spans="4:38" x14ac:dyDescent="0.2">
      <c r="D1500" s="19"/>
      <c r="E1500" s="19"/>
      <c r="F1500" s="19"/>
      <c r="G1500" s="18"/>
      <c r="H1500" s="18"/>
      <c r="I1500" s="18"/>
      <c r="J1500" s="18"/>
      <c r="K1500" s="18"/>
      <c r="L1500" s="18"/>
      <c r="M1500" s="18"/>
      <c r="N1500" s="18"/>
      <c r="O1500" s="18"/>
      <c r="P1500" s="18"/>
      <c r="Q1500" s="18"/>
      <c r="R1500" s="18"/>
      <c r="S1500" s="18"/>
      <c r="T1500" s="18"/>
      <c r="U1500" s="18"/>
      <c r="V1500" s="18"/>
      <c r="W1500" s="18"/>
      <c r="X1500" s="18"/>
      <c r="Y1500" s="18"/>
      <c r="Z1500" s="18"/>
      <c r="AA1500" s="18"/>
      <c r="AB1500" s="18"/>
      <c r="AC1500" s="18"/>
      <c r="AD1500" s="19"/>
      <c r="AE1500" s="18"/>
      <c r="AF1500" s="18"/>
      <c r="AG1500" s="18"/>
      <c r="AH1500" s="18"/>
      <c r="AI1500" s="18"/>
      <c r="AJ1500" s="97"/>
      <c r="AK1500" s="18"/>
      <c r="AL1500" s="18"/>
    </row>
    <row r="1501" spans="4:38" x14ac:dyDescent="0.2">
      <c r="D1501" s="19"/>
      <c r="E1501" s="19"/>
      <c r="F1501" s="19"/>
      <c r="G1501" s="18"/>
      <c r="H1501" s="18"/>
      <c r="I1501" s="18"/>
      <c r="J1501" s="18"/>
      <c r="K1501" s="18"/>
      <c r="L1501" s="18"/>
      <c r="M1501" s="18"/>
      <c r="N1501" s="18"/>
      <c r="O1501" s="18"/>
      <c r="P1501" s="18"/>
      <c r="Q1501" s="18"/>
      <c r="R1501" s="18"/>
      <c r="S1501" s="18"/>
      <c r="T1501" s="18"/>
      <c r="U1501" s="18"/>
      <c r="V1501" s="18"/>
      <c r="W1501" s="18"/>
      <c r="X1501" s="18"/>
      <c r="Y1501" s="18"/>
      <c r="Z1501" s="18"/>
      <c r="AA1501" s="18"/>
      <c r="AB1501" s="18"/>
      <c r="AC1501" s="18"/>
      <c r="AD1501" s="19"/>
      <c r="AE1501" s="18"/>
      <c r="AF1501" s="18"/>
      <c r="AG1501" s="18"/>
      <c r="AH1501" s="18"/>
      <c r="AI1501" s="18"/>
      <c r="AJ1501" s="97"/>
      <c r="AK1501" s="18"/>
      <c r="AL1501" s="18"/>
    </row>
    <row r="1502" spans="4:38" x14ac:dyDescent="0.2">
      <c r="D1502" s="19"/>
      <c r="E1502" s="19"/>
      <c r="F1502" s="19"/>
      <c r="G1502" s="18"/>
      <c r="H1502" s="18"/>
      <c r="I1502" s="18"/>
      <c r="J1502" s="18"/>
      <c r="K1502" s="18"/>
      <c r="L1502" s="18"/>
      <c r="M1502" s="18"/>
      <c r="N1502" s="18"/>
      <c r="O1502" s="18"/>
      <c r="P1502" s="18"/>
      <c r="Q1502" s="18"/>
      <c r="R1502" s="18"/>
      <c r="S1502" s="18"/>
      <c r="T1502" s="18"/>
      <c r="U1502" s="18"/>
      <c r="V1502" s="18"/>
      <c r="W1502" s="18"/>
      <c r="X1502" s="18"/>
      <c r="Y1502" s="18"/>
      <c r="Z1502" s="18"/>
      <c r="AA1502" s="18"/>
      <c r="AB1502" s="18"/>
      <c r="AC1502" s="18"/>
      <c r="AD1502" s="19"/>
      <c r="AE1502" s="18"/>
      <c r="AF1502" s="18"/>
      <c r="AG1502" s="18"/>
      <c r="AH1502" s="18"/>
      <c r="AI1502" s="18"/>
      <c r="AJ1502" s="97"/>
      <c r="AK1502" s="18"/>
      <c r="AL1502" s="18"/>
    </row>
    <row r="1503" spans="4:38" x14ac:dyDescent="0.2">
      <c r="D1503" s="19"/>
      <c r="E1503" s="19"/>
      <c r="F1503" s="19"/>
      <c r="G1503" s="18"/>
      <c r="H1503" s="18"/>
      <c r="I1503" s="18"/>
      <c r="J1503" s="18"/>
      <c r="K1503" s="18"/>
      <c r="L1503" s="18"/>
      <c r="M1503" s="18"/>
      <c r="N1503" s="18"/>
      <c r="O1503" s="18"/>
      <c r="P1503" s="18"/>
      <c r="Q1503" s="18"/>
      <c r="R1503" s="18"/>
      <c r="S1503" s="18"/>
      <c r="T1503" s="18"/>
      <c r="U1503" s="18"/>
      <c r="V1503" s="18"/>
      <c r="W1503" s="18"/>
      <c r="X1503" s="18"/>
      <c r="Y1503" s="18"/>
      <c r="Z1503" s="18"/>
      <c r="AA1503" s="18"/>
      <c r="AB1503" s="18"/>
      <c r="AC1503" s="18"/>
      <c r="AD1503" s="19"/>
      <c r="AE1503" s="18"/>
      <c r="AF1503" s="18"/>
      <c r="AG1503" s="18"/>
      <c r="AH1503" s="18"/>
      <c r="AI1503" s="18"/>
      <c r="AJ1503" s="97"/>
      <c r="AK1503" s="18"/>
      <c r="AL1503" s="18"/>
    </row>
    <row r="1504" spans="4:38" x14ac:dyDescent="0.2">
      <c r="D1504" s="19"/>
      <c r="E1504" s="19"/>
      <c r="F1504" s="19"/>
      <c r="G1504" s="18"/>
      <c r="H1504" s="18"/>
      <c r="I1504" s="18"/>
      <c r="J1504" s="18"/>
      <c r="K1504" s="18"/>
      <c r="L1504" s="18"/>
      <c r="M1504" s="18"/>
      <c r="N1504" s="18"/>
      <c r="O1504" s="18"/>
      <c r="P1504" s="18"/>
      <c r="Q1504" s="18"/>
      <c r="R1504" s="18"/>
      <c r="S1504" s="18"/>
      <c r="T1504" s="18"/>
      <c r="U1504" s="18"/>
      <c r="V1504" s="18"/>
      <c r="W1504" s="18"/>
      <c r="X1504" s="18"/>
      <c r="Y1504" s="18"/>
      <c r="Z1504" s="18"/>
      <c r="AA1504" s="18"/>
      <c r="AB1504" s="18"/>
      <c r="AC1504" s="18"/>
      <c r="AD1504" s="19"/>
      <c r="AE1504" s="18"/>
      <c r="AF1504" s="18"/>
      <c r="AG1504" s="18"/>
      <c r="AH1504" s="18"/>
      <c r="AI1504" s="18"/>
      <c r="AJ1504" s="97"/>
      <c r="AK1504" s="18"/>
      <c r="AL1504" s="18"/>
    </row>
    <row r="1505" spans="4:38" x14ac:dyDescent="0.2">
      <c r="D1505" s="19"/>
      <c r="E1505" s="19"/>
      <c r="F1505" s="19"/>
      <c r="G1505" s="18"/>
      <c r="H1505" s="18"/>
      <c r="I1505" s="18"/>
      <c r="J1505" s="18"/>
      <c r="K1505" s="18"/>
      <c r="L1505" s="18"/>
      <c r="M1505" s="18"/>
      <c r="N1505" s="18"/>
      <c r="O1505" s="18"/>
      <c r="P1505" s="18"/>
      <c r="Q1505" s="18"/>
      <c r="R1505" s="18"/>
      <c r="S1505" s="18"/>
      <c r="T1505" s="18"/>
      <c r="U1505" s="18"/>
      <c r="V1505" s="18"/>
      <c r="W1505" s="18"/>
      <c r="X1505" s="18"/>
      <c r="Y1505" s="18"/>
      <c r="Z1505" s="18"/>
      <c r="AA1505" s="18"/>
      <c r="AB1505" s="18"/>
      <c r="AC1505" s="18"/>
      <c r="AD1505" s="19"/>
      <c r="AE1505" s="18"/>
      <c r="AF1505" s="18"/>
      <c r="AG1505" s="18"/>
      <c r="AH1505" s="18"/>
      <c r="AI1505" s="18"/>
      <c r="AJ1505" s="97"/>
      <c r="AK1505" s="18"/>
      <c r="AL1505" s="18"/>
    </row>
    <row r="1506" spans="4:38" x14ac:dyDescent="0.2">
      <c r="D1506" s="19"/>
      <c r="E1506" s="19"/>
      <c r="F1506" s="19"/>
      <c r="G1506" s="18"/>
      <c r="H1506" s="18"/>
      <c r="I1506" s="18"/>
      <c r="J1506" s="18"/>
      <c r="K1506" s="18"/>
      <c r="L1506" s="18"/>
      <c r="M1506" s="18"/>
      <c r="N1506" s="18"/>
      <c r="O1506" s="18"/>
      <c r="P1506" s="18"/>
      <c r="Q1506" s="18"/>
      <c r="R1506" s="18"/>
      <c r="S1506" s="18"/>
      <c r="T1506" s="18"/>
      <c r="U1506" s="18"/>
      <c r="V1506" s="18"/>
      <c r="W1506" s="18"/>
      <c r="X1506" s="18"/>
      <c r="Y1506" s="18"/>
      <c r="Z1506" s="18"/>
      <c r="AA1506" s="18"/>
      <c r="AB1506" s="18"/>
      <c r="AC1506" s="18"/>
      <c r="AD1506" s="19"/>
      <c r="AE1506" s="18"/>
      <c r="AF1506" s="18"/>
      <c r="AG1506" s="18"/>
      <c r="AH1506" s="18"/>
      <c r="AI1506" s="18"/>
      <c r="AJ1506" s="97"/>
      <c r="AK1506" s="18"/>
      <c r="AL1506" s="18"/>
    </row>
    <row r="1507" spans="4:38" x14ac:dyDescent="0.2">
      <c r="D1507" s="19"/>
      <c r="E1507" s="19"/>
      <c r="F1507" s="19"/>
      <c r="G1507" s="18"/>
      <c r="H1507" s="18"/>
      <c r="I1507" s="18"/>
      <c r="J1507" s="18"/>
      <c r="K1507" s="18"/>
      <c r="L1507" s="18"/>
      <c r="M1507" s="18"/>
      <c r="N1507" s="18"/>
      <c r="O1507" s="18"/>
      <c r="P1507" s="18"/>
      <c r="Q1507" s="18"/>
      <c r="R1507" s="18"/>
      <c r="S1507" s="18"/>
      <c r="T1507" s="18"/>
      <c r="U1507" s="18"/>
      <c r="V1507" s="18"/>
      <c r="W1507" s="18"/>
      <c r="X1507" s="18"/>
      <c r="Y1507" s="18"/>
      <c r="Z1507" s="18"/>
      <c r="AA1507" s="18"/>
      <c r="AB1507" s="18"/>
      <c r="AC1507" s="18"/>
      <c r="AD1507" s="19"/>
      <c r="AE1507" s="18"/>
      <c r="AF1507" s="18"/>
      <c r="AG1507" s="18"/>
      <c r="AH1507" s="18"/>
      <c r="AI1507" s="18"/>
      <c r="AJ1507" s="97"/>
      <c r="AK1507" s="18"/>
      <c r="AL1507" s="18"/>
    </row>
    <row r="1508" spans="4:38" x14ac:dyDescent="0.2">
      <c r="D1508" s="19"/>
      <c r="E1508" s="19"/>
      <c r="F1508" s="19"/>
      <c r="G1508" s="18"/>
      <c r="H1508" s="18"/>
      <c r="I1508" s="18"/>
      <c r="J1508" s="18"/>
      <c r="K1508" s="18"/>
      <c r="L1508" s="18"/>
      <c r="M1508" s="18"/>
      <c r="N1508" s="18"/>
      <c r="O1508" s="18"/>
      <c r="P1508" s="18"/>
      <c r="Q1508" s="18"/>
      <c r="R1508" s="18"/>
      <c r="S1508" s="18"/>
      <c r="T1508" s="18"/>
      <c r="U1508" s="18"/>
      <c r="V1508" s="18"/>
      <c r="W1508" s="18"/>
      <c r="X1508" s="18"/>
      <c r="Y1508" s="18"/>
      <c r="Z1508" s="18"/>
      <c r="AA1508" s="18"/>
      <c r="AB1508" s="18"/>
      <c r="AC1508" s="18"/>
      <c r="AD1508" s="19"/>
      <c r="AE1508" s="18"/>
      <c r="AF1508" s="18"/>
      <c r="AG1508" s="18"/>
      <c r="AH1508" s="18"/>
      <c r="AI1508" s="18"/>
      <c r="AJ1508" s="97"/>
      <c r="AK1508" s="18"/>
      <c r="AL1508" s="18"/>
    </row>
    <row r="1509" spans="4:38" x14ac:dyDescent="0.2">
      <c r="D1509" s="19"/>
      <c r="E1509" s="19"/>
      <c r="F1509" s="19"/>
      <c r="G1509" s="18"/>
      <c r="H1509" s="18"/>
      <c r="I1509" s="18"/>
      <c r="J1509" s="18"/>
      <c r="K1509" s="18"/>
      <c r="L1509" s="18"/>
      <c r="M1509" s="18"/>
      <c r="N1509" s="18"/>
      <c r="O1509" s="18"/>
      <c r="P1509" s="18"/>
      <c r="Q1509" s="18"/>
      <c r="R1509" s="18"/>
      <c r="S1509" s="18"/>
      <c r="T1509" s="18"/>
      <c r="U1509" s="18"/>
      <c r="V1509" s="18"/>
      <c r="W1509" s="18"/>
      <c r="X1509" s="18"/>
      <c r="Y1509" s="18"/>
      <c r="Z1509" s="18"/>
      <c r="AA1509" s="18"/>
      <c r="AB1509" s="18"/>
      <c r="AC1509" s="18"/>
      <c r="AD1509" s="19"/>
      <c r="AE1509" s="18"/>
      <c r="AF1509" s="18"/>
      <c r="AG1509" s="18"/>
      <c r="AH1509" s="18"/>
      <c r="AI1509" s="18"/>
      <c r="AJ1509" s="97"/>
      <c r="AK1509" s="18"/>
      <c r="AL1509" s="18"/>
    </row>
    <row r="1510" spans="4:38" x14ac:dyDescent="0.2">
      <c r="D1510" s="19"/>
      <c r="E1510" s="19"/>
      <c r="F1510" s="19"/>
      <c r="G1510" s="18"/>
      <c r="H1510" s="18"/>
      <c r="I1510" s="18"/>
      <c r="J1510" s="18"/>
      <c r="K1510" s="18"/>
      <c r="L1510" s="18"/>
      <c r="M1510" s="18"/>
      <c r="N1510" s="18"/>
      <c r="O1510" s="18"/>
      <c r="P1510" s="18"/>
      <c r="Q1510" s="18"/>
      <c r="R1510" s="18"/>
      <c r="S1510" s="18"/>
      <c r="T1510" s="18"/>
      <c r="U1510" s="18"/>
      <c r="V1510" s="18"/>
      <c r="W1510" s="18"/>
      <c r="X1510" s="18"/>
      <c r="Y1510" s="18"/>
      <c r="Z1510" s="18"/>
      <c r="AA1510" s="18"/>
      <c r="AB1510" s="18"/>
      <c r="AC1510" s="18"/>
      <c r="AD1510" s="19"/>
      <c r="AE1510" s="18"/>
      <c r="AF1510" s="18"/>
      <c r="AG1510" s="18"/>
      <c r="AH1510" s="18"/>
      <c r="AI1510" s="18"/>
      <c r="AJ1510" s="97"/>
      <c r="AK1510" s="18"/>
      <c r="AL1510" s="18"/>
    </row>
    <row r="1511" spans="4:38" x14ac:dyDescent="0.2">
      <c r="D1511" s="19"/>
      <c r="E1511" s="19"/>
      <c r="F1511" s="19"/>
      <c r="G1511" s="18"/>
      <c r="H1511" s="18"/>
      <c r="I1511" s="18"/>
      <c r="J1511" s="18"/>
      <c r="K1511" s="18"/>
      <c r="L1511" s="18"/>
      <c r="M1511" s="18"/>
      <c r="N1511" s="18"/>
      <c r="O1511" s="18"/>
      <c r="P1511" s="18"/>
      <c r="Q1511" s="18"/>
      <c r="R1511" s="18"/>
      <c r="S1511" s="18"/>
      <c r="T1511" s="18"/>
      <c r="U1511" s="18"/>
      <c r="V1511" s="18"/>
      <c r="W1511" s="18"/>
      <c r="X1511" s="18"/>
      <c r="Y1511" s="18"/>
      <c r="Z1511" s="18"/>
      <c r="AA1511" s="18"/>
      <c r="AB1511" s="18"/>
      <c r="AC1511" s="18"/>
      <c r="AD1511" s="19"/>
      <c r="AE1511" s="18"/>
      <c r="AF1511" s="18"/>
      <c r="AG1511" s="18"/>
      <c r="AH1511" s="18"/>
      <c r="AI1511" s="18"/>
      <c r="AJ1511" s="97"/>
      <c r="AK1511" s="18"/>
      <c r="AL1511" s="18"/>
    </row>
    <row r="1512" spans="4:38" x14ac:dyDescent="0.2">
      <c r="D1512" s="19"/>
      <c r="E1512" s="19"/>
      <c r="F1512" s="19"/>
      <c r="G1512" s="18"/>
      <c r="H1512" s="18"/>
      <c r="I1512" s="18"/>
      <c r="J1512" s="18"/>
      <c r="K1512" s="18"/>
      <c r="L1512" s="18"/>
      <c r="M1512" s="18"/>
      <c r="N1512" s="18"/>
      <c r="O1512" s="18"/>
      <c r="P1512" s="18"/>
      <c r="Q1512" s="18"/>
      <c r="R1512" s="18"/>
      <c r="S1512" s="18"/>
      <c r="T1512" s="18"/>
      <c r="U1512" s="18"/>
      <c r="V1512" s="18"/>
      <c r="W1512" s="18"/>
      <c r="X1512" s="18"/>
      <c r="Y1512" s="18"/>
      <c r="Z1512" s="18"/>
      <c r="AA1512" s="18"/>
      <c r="AB1512" s="18"/>
      <c r="AC1512" s="18"/>
      <c r="AD1512" s="19"/>
      <c r="AE1512" s="18"/>
      <c r="AF1512" s="18"/>
      <c r="AG1512" s="18"/>
      <c r="AH1512" s="18"/>
      <c r="AI1512" s="18"/>
      <c r="AJ1512" s="97"/>
      <c r="AK1512" s="18"/>
      <c r="AL1512" s="18"/>
    </row>
    <row r="1513" spans="4:38" x14ac:dyDescent="0.2">
      <c r="D1513" s="19"/>
      <c r="E1513" s="19"/>
      <c r="F1513" s="19"/>
      <c r="G1513" s="18"/>
      <c r="H1513" s="18"/>
      <c r="I1513" s="18"/>
      <c r="J1513" s="18"/>
      <c r="K1513" s="18"/>
      <c r="L1513" s="18"/>
      <c r="M1513" s="18"/>
      <c r="N1513" s="18"/>
      <c r="O1513" s="18"/>
      <c r="P1513" s="18"/>
      <c r="Q1513" s="18"/>
      <c r="R1513" s="18"/>
      <c r="S1513" s="18"/>
      <c r="T1513" s="18"/>
      <c r="U1513" s="18"/>
      <c r="V1513" s="18"/>
      <c r="W1513" s="18"/>
      <c r="X1513" s="18"/>
      <c r="Y1513" s="18"/>
      <c r="Z1513" s="18"/>
      <c r="AA1513" s="18"/>
      <c r="AB1513" s="18"/>
      <c r="AC1513" s="18"/>
      <c r="AD1513" s="19"/>
      <c r="AE1513" s="18"/>
      <c r="AF1513" s="18"/>
      <c r="AG1513" s="18"/>
      <c r="AH1513" s="18"/>
      <c r="AI1513" s="18"/>
      <c r="AJ1513" s="97"/>
      <c r="AK1513" s="18"/>
      <c r="AL1513" s="18"/>
    </row>
    <row r="1514" spans="4:38" x14ac:dyDescent="0.2">
      <c r="D1514" s="19"/>
      <c r="E1514" s="19"/>
      <c r="F1514" s="19"/>
      <c r="G1514" s="18"/>
      <c r="H1514" s="18"/>
      <c r="I1514" s="18"/>
      <c r="J1514" s="18"/>
      <c r="K1514" s="18"/>
      <c r="L1514" s="18"/>
      <c r="M1514" s="18"/>
      <c r="N1514" s="18"/>
      <c r="O1514" s="18"/>
      <c r="P1514" s="18"/>
      <c r="Q1514" s="18"/>
      <c r="R1514" s="18"/>
      <c r="S1514" s="18"/>
      <c r="T1514" s="18"/>
      <c r="U1514" s="18"/>
      <c r="V1514" s="18"/>
      <c r="W1514" s="18"/>
      <c r="X1514" s="18"/>
      <c r="Y1514" s="18"/>
      <c r="Z1514" s="18"/>
      <c r="AA1514" s="18"/>
      <c r="AB1514" s="18"/>
      <c r="AC1514" s="18"/>
      <c r="AD1514" s="19"/>
      <c r="AE1514" s="18"/>
      <c r="AF1514" s="18"/>
      <c r="AG1514" s="18"/>
      <c r="AH1514" s="18"/>
      <c r="AI1514" s="18"/>
      <c r="AJ1514" s="97"/>
      <c r="AK1514" s="18"/>
      <c r="AL1514" s="18"/>
    </row>
    <row r="1515" spans="4:38" x14ac:dyDescent="0.2">
      <c r="D1515" s="19"/>
      <c r="E1515" s="19"/>
      <c r="F1515" s="19"/>
      <c r="G1515" s="18"/>
      <c r="H1515" s="18"/>
      <c r="I1515" s="18"/>
      <c r="J1515" s="18"/>
      <c r="K1515" s="18"/>
      <c r="L1515" s="18"/>
      <c r="M1515" s="18"/>
      <c r="N1515" s="18"/>
      <c r="O1515" s="18"/>
      <c r="P1515" s="18"/>
      <c r="Q1515" s="18"/>
      <c r="R1515" s="18"/>
      <c r="S1515" s="18"/>
      <c r="T1515" s="18"/>
      <c r="U1515" s="18"/>
      <c r="V1515" s="18"/>
      <c r="W1515" s="18"/>
      <c r="X1515" s="18"/>
      <c r="Y1515" s="18"/>
      <c r="Z1515" s="18"/>
      <c r="AA1515" s="18"/>
      <c r="AB1515" s="18"/>
      <c r="AC1515" s="18"/>
      <c r="AD1515" s="19"/>
      <c r="AE1515" s="18"/>
      <c r="AF1515" s="18"/>
      <c r="AG1515" s="18"/>
      <c r="AH1515" s="18"/>
      <c r="AI1515" s="18"/>
      <c r="AJ1515" s="97"/>
      <c r="AK1515" s="18"/>
      <c r="AL1515" s="18"/>
    </row>
    <row r="1516" spans="4:38" x14ac:dyDescent="0.2">
      <c r="D1516" s="19"/>
      <c r="E1516" s="19"/>
      <c r="F1516" s="19"/>
      <c r="G1516" s="18"/>
      <c r="H1516" s="18"/>
      <c r="I1516" s="18"/>
      <c r="J1516" s="18"/>
      <c r="K1516" s="18"/>
      <c r="L1516" s="18"/>
      <c r="M1516" s="18"/>
      <c r="N1516" s="18"/>
      <c r="O1516" s="18"/>
      <c r="P1516" s="18"/>
      <c r="Q1516" s="18"/>
      <c r="R1516" s="18"/>
      <c r="S1516" s="18"/>
      <c r="T1516" s="18"/>
      <c r="U1516" s="18"/>
      <c r="V1516" s="18"/>
      <c r="W1516" s="18"/>
      <c r="X1516" s="18"/>
      <c r="Y1516" s="18"/>
      <c r="Z1516" s="18"/>
      <c r="AA1516" s="18"/>
      <c r="AB1516" s="18"/>
      <c r="AC1516" s="18"/>
      <c r="AD1516" s="19"/>
      <c r="AE1516" s="18"/>
      <c r="AF1516" s="18"/>
      <c r="AG1516" s="18"/>
      <c r="AH1516" s="18"/>
      <c r="AI1516" s="18"/>
      <c r="AJ1516" s="97"/>
      <c r="AK1516" s="18"/>
      <c r="AL1516" s="18"/>
    </row>
    <row r="1517" spans="4:38" x14ac:dyDescent="0.2">
      <c r="D1517" s="19"/>
      <c r="E1517" s="19"/>
      <c r="F1517" s="19"/>
      <c r="G1517" s="18"/>
      <c r="H1517" s="18"/>
      <c r="I1517" s="18"/>
      <c r="J1517" s="18"/>
      <c r="K1517" s="18"/>
      <c r="L1517" s="18"/>
      <c r="M1517" s="18"/>
      <c r="N1517" s="18"/>
      <c r="O1517" s="18"/>
      <c r="P1517" s="18"/>
      <c r="Q1517" s="18"/>
      <c r="R1517" s="18"/>
      <c r="S1517" s="18"/>
      <c r="T1517" s="18"/>
      <c r="U1517" s="18"/>
      <c r="V1517" s="18"/>
      <c r="W1517" s="18"/>
      <c r="X1517" s="18"/>
      <c r="Y1517" s="18"/>
      <c r="Z1517" s="18"/>
      <c r="AA1517" s="18"/>
      <c r="AB1517" s="18"/>
      <c r="AC1517" s="18"/>
      <c r="AD1517" s="19"/>
      <c r="AE1517" s="18"/>
      <c r="AF1517" s="18"/>
      <c r="AG1517" s="18"/>
      <c r="AH1517" s="18"/>
      <c r="AI1517" s="18"/>
      <c r="AJ1517" s="97"/>
      <c r="AK1517" s="18"/>
      <c r="AL1517" s="18"/>
    </row>
    <row r="1518" spans="4:38" x14ac:dyDescent="0.2">
      <c r="D1518" s="19"/>
      <c r="E1518" s="19"/>
      <c r="F1518" s="19"/>
      <c r="G1518" s="18"/>
      <c r="H1518" s="18"/>
      <c r="I1518" s="18"/>
      <c r="J1518" s="18"/>
      <c r="K1518" s="18"/>
      <c r="L1518" s="18"/>
      <c r="M1518" s="18"/>
      <c r="N1518" s="18"/>
      <c r="O1518" s="18"/>
      <c r="P1518" s="18"/>
      <c r="Q1518" s="18"/>
      <c r="R1518" s="18"/>
      <c r="S1518" s="18"/>
      <c r="T1518" s="18"/>
      <c r="U1518" s="18"/>
      <c r="V1518" s="18"/>
      <c r="W1518" s="18"/>
      <c r="X1518" s="18"/>
      <c r="Y1518" s="18"/>
      <c r="Z1518" s="18"/>
      <c r="AA1518" s="18"/>
      <c r="AB1518" s="18"/>
      <c r="AC1518" s="18"/>
      <c r="AD1518" s="19"/>
      <c r="AE1518" s="18"/>
      <c r="AF1518" s="18"/>
      <c r="AG1518" s="18"/>
      <c r="AH1518" s="18"/>
      <c r="AI1518" s="18"/>
      <c r="AJ1518" s="97"/>
      <c r="AK1518" s="18"/>
      <c r="AL1518" s="18"/>
    </row>
    <row r="1519" spans="4:38" x14ac:dyDescent="0.2">
      <c r="D1519" s="19"/>
      <c r="E1519" s="19"/>
      <c r="F1519" s="19"/>
      <c r="G1519" s="18"/>
      <c r="H1519" s="18"/>
      <c r="I1519" s="18"/>
      <c r="J1519" s="18"/>
      <c r="K1519" s="18"/>
      <c r="L1519" s="18"/>
      <c r="M1519" s="18"/>
      <c r="N1519" s="18"/>
      <c r="O1519" s="18"/>
      <c r="P1519" s="18"/>
      <c r="Q1519" s="18"/>
      <c r="R1519" s="18"/>
      <c r="S1519" s="18"/>
      <c r="T1519" s="18"/>
      <c r="U1519" s="18"/>
      <c r="V1519" s="18"/>
      <c r="W1519" s="18"/>
      <c r="X1519" s="18"/>
      <c r="Y1519" s="18"/>
      <c r="Z1519" s="18"/>
      <c r="AA1519" s="18"/>
      <c r="AB1519" s="18"/>
      <c r="AC1519" s="18"/>
      <c r="AD1519" s="19"/>
      <c r="AE1519" s="18"/>
      <c r="AF1519" s="18"/>
      <c r="AG1519" s="18"/>
      <c r="AH1519" s="18"/>
      <c r="AI1519" s="18"/>
      <c r="AJ1519" s="97"/>
      <c r="AK1519" s="18"/>
      <c r="AL1519" s="18"/>
    </row>
    <row r="1520" spans="4:38" x14ac:dyDescent="0.2">
      <c r="D1520" s="19"/>
      <c r="E1520" s="19"/>
      <c r="F1520" s="19"/>
      <c r="G1520" s="18"/>
      <c r="H1520" s="18"/>
      <c r="I1520" s="18"/>
      <c r="J1520" s="18"/>
      <c r="K1520" s="18"/>
      <c r="L1520" s="18"/>
      <c r="M1520" s="18"/>
      <c r="N1520" s="18"/>
      <c r="O1520" s="18"/>
      <c r="P1520" s="18"/>
      <c r="Q1520" s="18"/>
      <c r="R1520" s="18"/>
      <c r="S1520" s="18"/>
      <c r="T1520" s="18"/>
      <c r="U1520" s="18"/>
      <c r="V1520" s="18"/>
      <c r="W1520" s="18"/>
      <c r="X1520" s="18"/>
      <c r="Y1520" s="18"/>
      <c r="Z1520" s="18"/>
      <c r="AA1520" s="18"/>
      <c r="AB1520" s="18"/>
      <c r="AC1520" s="18"/>
      <c r="AD1520" s="19"/>
      <c r="AE1520" s="18"/>
      <c r="AF1520" s="18"/>
      <c r="AG1520" s="18"/>
      <c r="AH1520" s="18"/>
      <c r="AI1520" s="18"/>
      <c r="AJ1520" s="97"/>
      <c r="AK1520" s="18"/>
      <c r="AL1520" s="18"/>
    </row>
    <row r="1521" spans="4:38" x14ac:dyDescent="0.2">
      <c r="D1521" s="19"/>
      <c r="E1521" s="19"/>
      <c r="F1521" s="19"/>
      <c r="G1521" s="18"/>
      <c r="H1521" s="18"/>
      <c r="I1521" s="18"/>
      <c r="J1521" s="18"/>
      <c r="K1521" s="18"/>
      <c r="L1521" s="18"/>
      <c r="M1521" s="18"/>
      <c r="N1521" s="18"/>
      <c r="O1521" s="18"/>
      <c r="P1521" s="18"/>
      <c r="Q1521" s="18"/>
      <c r="R1521" s="18"/>
      <c r="S1521" s="18"/>
      <c r="T1521" s="18"/>
      <c r="U1521" s="18"/>
      <c r="V1521" s="18"/>
      <c r="W1521" s="18"/>
      <c r="X1521" s="18"/>
      <c r="Y1521" s="18"/>
      <c r="Z1521" s="18"/>
      <c r="AA1521" s="18"/>
      <c r="AB1521" s="18"/>
      <c r="AC1521" s="18"/>
      <c r="AD1521" s="19"/>
      <c r="AE1521" s="18"/>
      <c r="AF1521" s="18"/>
      <c r="AG1521" s="18"/>
      <c r="AH1521" s="18"/>
      <c r="AI1521" s="18"/>
      <c r="AJ1521" s="97"/>
      <c r="AK1521" s="18"/>
      <c r="AL1521" s="18"/>
    </row>
    <row r="1522" spans="4:38" x14ac:dyDescent="0.2">
      <c r="D1522" s="19"/>
      <c r="E1522" s="19"/>
      <c r="F1522" s="19"/>
      <c r="G1522" s="18"/>
      <c r="H1522" s="18"/>
      <c r="I1522" s="18"/>
      <c r="J1522" s="18"/>
      <c r="K1522" s="18"/>
      <c r="L1522" s="18"/>
      <c r="M1522" s="18"/>
      <c r="N1522" s="18"/>
      <c r="O1522" s="18"/>
      <c r="P1522" s="18"/>
      <c r="Q1522" s="18"/>
      <c r="R1522" s="18"/>
      <c r="S1522" s="18"/>
      <c r="T1522" s="18"/>
      <c r="U1522" s="18"/>
      <c r="V1522" s="18"/>
      <c r="W1522" s="18"/>
      <c r="X1522" s="18"/>
      <c r="Y1522" s="18"/>
      <c r="Z1522" s="18"/>
      <c r="AA1522" s="18"/>
      <c r="AB1522" s="18"/>
      <c r="AC1522" s="18"/>
      <c r="AD1522" s="19"/>
      <c r="AE1522" s="18"/>
      <c r="AF1522" s="18"/>
      <c r="AG1522" s="18"/>
      <c r="AH1522" s="18"/>
      <c r="AI1522" s="18"/>
      <c r="AJ1522" s="97"/>
      <c r="AK1522" s="18"/>
      <c r="AL1522" s="18"/>
    </row>
    <row r="1523" spans="4:38" x14ac:dyDescent="0.2">
      <c r="D1523" s="19"/>
      <c r="E1523" s="19"/>
      <c r="F1523" s="19"/>
      <c r="G1523" s="18"/>
      <c r="H1523" s="18"/>
      <c r="I1523" s="18"/>
      <c r="J1523" s="18"/>
      <c r="K1523" s="18"/>
      <c r="L1523" s="18"/>
      <c r="M1523" s="18"/>
      <c r="N1523" s="18"/>
      <c r="O1523" s="18"/>
      <c r="P1523" s="18"/>
      <c r="Q1523" s="18"/>
      <c r="R1523" s="18"/>
      <c r="S1523" s="18"/>
      <c r="T1523" s="18"/>
      <c r="U1523" s="18"/>
      <c r="V1523" s="18"/>
      <c r="W1523" s="18"/>
      <c r="X1523" s="18"/>
      <c r="Y1523" s="18"/>
      <c r="Z1523" s="18"/>
      <c r="AA1523" s="18"/>
      <c r="AB1523" s="18"/>
      <c r="AC1523" s="18"/>
      <c r="AD1523" s="19"/>
      <c r="AE1523" s="18"/>
      <c r="AF1523" s="18"/>
      <c r="AG1523" s="18"/>
      <c r="AH1523" s="18"/>
      <c r="AI1523" s="18"/>
      <c r="AJ1523" s="97"/>
      <c r="AK1523" s="18"/>
      <c r="AL1523" s="18"/>
    </row>
    <row r="1524" spans="4:38" x14ac:dyDescent="0.2">
      <c r="D1524" s="19"/>
      <c r="E1524" s="19"/>
      <c r="F1524" s="19"/>
      <c r="G1524" s="18"/>
      <c r="H1524" s="18"/>
      <c r="I1524" s="18"/>
      <c r="J1524" s="18"/>
      <c r="K1524" s="18"/>
      <c r="L1524" s="18"/>
      <c r="M1524" s="18"/>
      <c r="N1524" s="18"/>
      <c r="O1524" s="18"/>
      <c r="P1524" s="18"/>
      <c r="Q1524" s="18"/>
      <c r="R1524" s="18"/>
      <c r="S1524" s="18"/>
      <c r="T1524" s="18"/>
      <c r="U1524" s="18"/>
      <c r="V1524" s="18"/>
      <c r="W1524" s="18"/>
      <c r="X1524" s="18"/>
      <c r="Y1524" s="18"/>
      <c r="Z1524" s="18"/>
      <c r="AA1524" s="18"/>
      <c r="AB1524" s="18"/>
      <c r="AC1524" s="18"/>
      <c r="AD1524" s="19"/>
      <c r="AE1524" s="18"/>
      <c r="AF1524" s="18"/>
      <c r="AG1524" s="18"/>
      <c r="AH1524" s="18"/>
      <c r="AI1524" s="18"/>
      <c r="AJ1524" s="97"/>
      <c r="AK1524" s="18"/>
      <c r="AL1524" s="18"/>
    </row>
    <row r="1525" spans="4:38" x14ac:dyDescent="0.2">
      <c r="D1525" s="19"/>
      <c r="E1525" s="19"/>
      <c r="F1525" s="19"/>
      <c r="G1525" s="18"/>
      <c r="H1525" s="18"/>
      <c r="I1525" s="18"/>
      <c r="J1525" s="18"/>
      <c r="K1525" s="18"/>
      <c r="L1525" s="18"/>
      <c r="M1525" s="18"/>
      <c r="N1525" s="18"/>
      <c r="O1525" s="18"/>
      <c r="P1525" s="18"/>
      <c r="Q1525" s="18"/>
      <c r="R1525" s="18"/>
      <c r="S1525" s="18"/>
      <c r="T1525" s="18"/>
      <c r="U1525" s="18"/>
      <c r="V1525" s="18"/>
      <c r="W1525" s="18"/>
      <c r="X1525" s="18"/>
      <c r="Y1525" s="18"/>
      <c r="Z1525" s="18"/>
      <c r="AA1525" s="18"/>
      <c r="AB1525" s="18"/>
      <c r="AC1525" s="18"/>
      <c r="AD1525" s="19"/>
      <c r="AE1525" s="18"/>
      <c r="AF1525" s="18"/>
      <c r="AG1525" s="18"/>
      <c r="AH1525" s="18"/>
      <c r="AI1525" s="18"/>
      <c r="AJ1525" s="97"/>
      <c r="AK1525" s="18"/>
      <c r="AL1525" s="18"/>
    </row>
    <row r="1526" spans="4:38" x14ac:dyDescent="0.2">
      <c r="D1526" s="19"/>
      <c r="E1526" s="19"/>
      <c r="F1526" s="19"/>
      <c r="G1526" s="18"/>
      <c r="H1526" s="18"/>
      <c r="I1526" s="18"/>
      <c r="J1526" s="18"/>
      <c r="K1526" s="18"/>
      <c r="L1526" s="18"/>
      <c r="M1526" s="18"/>
      <c r="N1526" s="18"/>
      <c r="O1526" s="18"/>
      <c r="P1526" s="18"/>
      <c r="Q1526" s="18"/>
      <c r="R1526" s="18"/>
      <c r="S1526" s="18"/>
      <c r="T1526" s="18"/>
      <c r="U1526" s="18"/>
      <c r="V1526" s="18"/>
      <c r="W1526" s="18"/>
      <c r="X1526" s="18"/>
      <c r="Y1526" s="18"/>
      <c r="Z1526" s="18"/>
      <c r="AA1526" s="18"/>
      <c r="AB1526" s="18"/>
      <c r="AC1526" s="18"/>
      <c r="AD1526" s="19"/>
      <c r="AE1526" s="18"/>
      <c r="AF1526" s="18"/>
      <c r="AG1526" s="18"/>
      <c r="AH1526" s="18"/>
      <c r="AI1526" s="18"/>
      <c r="AJ1526" s="97"/>
      <c r="AK1526" s="18"/>
      <c r="AL1526" s="18"/>
    </row>
    <row r="1527" spans="4:38" x14ac:dyDescent="0.2">
      <c r="D1527" s="19"/>
      <c r="E1527" s="19"/>
      <c r="F1527" s="19"/>
      <c r="G1527" s="18"/>
      <c r="H1527" s="18"/>
      <c r="I1527" s="18"/>
      <c r="J1527" s="18"/>
      <c r="K1527" s="18"/>
      <c r="L1527" s="18"/>
      <c r="M1527" s="18"/>
      <c r="N1527" s="18"/>
      <c r="O1527" s="18"/>
      <c r="P1527" s="18"/>
      <c r="Q1527" s="18"/>
      <c r="R1527" s="18"/>
      <c r="S1527" s="18"/>
      <c r="T1527" s="18"/>
      <c r="U1527" s="18"/>
      <c r="V1527" s="18"/>
      <c r="W1527" s="18"/>
      <c r="X1527" s="18"/>
      <c r="Y1527" s="18"/>
      <c r="Z1527" s="18"/>
      <c r="AA1527" s="18"/>
      <c r="AB1527" s="18"/>
      <c r="AC1527" s="18"/>
      <c r="AD1527" s="19"/>
      <c r="AE1527" s="18"/>
      <c r="AF1527" s="18"/>
      <c r="AG1527" s="18"/>
      <c r="AH1527" s="18"/>
      <c r="AI1527" s="18"/>
      <c r="AJ1527" s="97"/>
      <c r="AK1527" s="18"/>
      <c r="AL1527" s="18"/>
    </row>
    <row r="1528" spans="4:38" x14ac:dyDescent="0.2">
      <c r="D1528" s="19"/>
      <c r="E1528" s="19"/>
      <c r="F1528" s="19"/>
      <c r="G1528" s="18"/>
      <c r="H1528" s="18"/>
      <c r="I1528" s="18"/>
      <c r="J1528" s="18"/>
      <c r="K1528" s="18"/>
      <c r="L1528" s="18"/>
      <c r="M1528" s="18"/>
      <c r="N1528" s="18"/>
      <c r="O1528" s="18"/>
      <c r="P1528" s="18"/>
      <c r="Q1528" s="18"/>
      <c r="R1528" s="18"/>
      <c r="S1528" s="18"/>
      <c r="T1528" s="18"/>
      <c r="U1528" s="18"/>
      <c r="V1528" s="18"/>
      <c r="W1528" s="18"/>
      <c r="X1528" s="18"/>
      <c r="Y1528" s="18"/>
      <c r="Z1528" s="18"/>
      <c r="AA1528" s="18"/>
      <c r="AB1528" s="18"/>
      <c r="AC1528" s="18"/>
      <c r="AD1528" s="19"/>
      <c r="AE1528" s="18"/>
      <c r="AF1528" s="18"/>
      <c r="AG1528" s="18"/>
      <c r="AH1528" s="18"/>
      <c r="AI1528" s="18"/>
      <c r="AJ1528" s="97"/>
      <c r="AK1528" s="18"/>
      <c r="AL1528" s="18"/>
    </row>
    <row r="1529" spans="4:38" x14ac:dyDescent="0.2">
      <c r="D1529" s="19"/>
      <c r="E1529" s="19"/>
      <c r="F1529" s="19"/>
      <c r="G1529" s="18"/>
      <c r="H1529" s="18"/>
      <c r="I1529" s="18"/>
      <c r="J1529" s="18"/>
      <c r="K1529" s="18"/>
      <c r="L1529" s="18"/>
      <c r="M1529" s="18"/>
      <c r="N1529" s="18"/>
      <c r="O1529" s="18"/>
      <c r="P1529" s="18"/>
      <c r="Q1529" s="18"/>
      <c r="R1529" s="18"/>
      <c r="S1529" s="18"/>
      <c r="T1529" s="18"/>
      <c r="U1529" s="18"/>
      <c r="V1529" s="18"/>
      <c r="W1529" s="18"/>
      <c r="X1529" s="18"/>
      <c r="Y1529" s="18"/>
      <c r="Z1529" s="18"/>
      <c r="AA1529" s="18"/>
      <c r="AB1529" s="18"/>
      <c r="AC1529" s="18"/>
      <c r="AD1529" s="19"/>
      <c r="AE1529" s="18"/>
      <c r="AF1529" s="18"/>
      <c r="AG1529" s="18"/>
      <c r="AH1529" s="18"/>
      <c r="AI1529" s="18"/>
      <c r="AJ1529" s="97"/>
      <c r="AK1529" s="18"/>
      <c r="AL1529" s="18"/>
    </row>
    <row r="1530" spans="4:38" x14ac:dyDescent="0.2">
      <c r="D1530" s="19"/>
      <c r="E1530" s="19"/>
      <c r="F1530" s="19"/>
      <c r="G1530" s="18"/>
      <c r="H1530" s="18"/>
      <c r="I1530" s="18"/>
      <c r="J1530" s="18"/>
      <c r="K1530" s="18"/>
      <c r="L1530" s="18"/>
      <c r="M1530" s="18"/>
      <c r="N1530" s="18"/>
      <c r="O1530" s="18"/>
      <c r="P1530" s="18"/>
      <c r="Q1530" s="18"/>
      <c r="R1530" s="18"/>
      <c r="S1530" s="18"/>
      <c r="T1530" s="18"/>
      <c r="U1530" s="18"/>
      <c r="V1530" s="18"/>
      <c r="W1530" s="18"/>
      <c r="X1530" s="18"/>
      <c r="Y1530" s="18"/>
      <c r="Z1530" s="18"/>
      <c r="AA1530" s="18"/>
      <c r="AB1530" s="18"/>
      <c r="AC1530" s="18"/>
      <c r="AD1530" s="19"/>
      <c r="AE1530" s="18"/>
      <c r="AF1530" s="18"/>
      <c r="AG1530" s="18"/>
      <c r="AH1530" s="18"/>
      <c r="AI1530" s="18"/>
      <c r="AJ1530" s="97"/>
      <c r="AK1530" s="18"/>
      <c r="AL1530" s="18"/>
    </row>
    <row r="1531" spans="4:38" x14ac:dyDescent="0.2">
      <c r="D1531" s="19"/>
      <c r="E1531" s="19"/>
      <c r="F1531" s="19"/>
      <c r="G1531" s="18"/>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9"/>
      <c r="AE1531" s="18"/>
      <c r="AF1531" s="18"/>
      <c r="AG1531" s="18"/>
      <c r="AH1531" s="18"/>
      <c r="AI1531" s="18"/>
      <c r="AJ1531" s="97"/>
      <c r="AK1531" s="18"/>
      <c r="AL1531" s="18"/>
    </row>
    <row r="1532" spans="4:38" x14ac:dyDescent="0.2">
      <c r="D1532" s="19"/>
      <c r="E1532" s="19"/>
      <c r="F1532" s="19"/>
      <c r="G1532" s="18"/>
      <c r="H1532" s="18"/>
      <c r="I1532" s="18"/>
      <c r="J1532" s="18"/>
      <c r="K1532" s="18"/>
      <c r="L1532" s="18"/>
      <c r="M1532" s="18"/>
      <c r="N1532" s="18"/>
      <c r="O1532" s="18"/>
      <c r="P1532" s="18"/>
      <c r="Q1532" s="18"/>
      <c r="R1532" s="18"/>
      <c r="S1532" s="18"/>
      <c r="T1532" s="18"/>
      <c r="U1532" s="18"/>
      <c r="V1532" s="18"/>
      <c r="W1532" s="18"/>
      <c r="X1532" s="18"/>
      <c r="Y1532" s="18"/>
      <c r="Z1532" s="18"/>
      <c r="AA1532" s="18"/>
      <c r="AB1532" s="18"/>
      <c r="AC1532" s="18"/>
      <c r="AD1532" s="19"/>
      <c r="AE1532" s="18"/>
      <c r="AF1532" s="18"/>
      <c r="AG1532" s="18"/>
      <c r="AH1532" s="18"/>
      <c r="AI1532" s="18"/>
      <c r="AJ1532" s="97"/>
      <c r="AK1532" s="18"/>
      <c r="AL1532" s="18"/>
    </row>
    <row r="1533" spans="4:38" x14ac:dyDescent="0.2">
      <c r="D1533" s="19"/>
      <c r="E1533" s="19"/>
      <c r="F1533" s="19"/>
      <c r="G1533" s="18"/>
      <c r="H1533" s="18"/>
      <c r="I1533" s="18"/>
      <c r="J1533" s="18"/>
      <c r="K1533" s="18"/>
      <c r="L1533" s="18"/>
      <c r="M1533" s="18"/>
      <c r="N1533" s="18"/>
      <c r="O1533" s="18"/>
      <c r="P1533" s="18"/>
      <c r="Q1533" s="18"/>
      <c r="R1533" s="18"/>
      <c r="S1533" s="18"/>
      <c r="T1533" s="18"/>
      <c r="U1533" s="18"/>
      <c r="V1533" s="18"/>
      <c r="W1533" s="18"/>
      <c r="X1533" s="18"/>
      <c r="Y1533" s="18"/>
      <c r="Z1533" s="18"/>
      <c r="AA1533" s="18"/>
      <c r="AB1533" s="18"/>
      <c r="AC1533" s="18"/>
      <c r="AD1533" s="19"/>
      <c r="AE1533" s="18"/>
      <c r="AF1533" s="18"/>
      <c r="AG1533" s="18"/>
      <c r="AH1533" s="18"/>
      <c r="AI1533" s="18"/>
      <c r="AJ1533" s="97"/>
      <c r="AK1533" s="18"/>
      <c r="AL1533" s="18"/>
    </row>
    <row r="1534" spans="4:38" x14ac:dyDescent="0.2">
      <c r="D1534" s="19"/>
      <c r="E1534" s="19"/>
      <c r="F1534" s="19"/>
      <c r="G1534" s="18"/>
      <c r="H1534" s="18"/>
      <c r="I1534" s="18"/>
      <c r="J1534" s="18"/>
      <c r="K1534" s="18"/>
      <c r="L1534" s="18"/>
      <c r="M1534" s="18"/>
      <c r="N1534" s="18"/>
      <c r="O1534" s="18"/>
      <c r="P1534" s="18"/>
      <c r="Q1534" s="18"/>
      <c r="R1534" s="18"/>
      <c r="S1534" s="18"/>
      <c r="T1534" s="18"/>
      <c r="U1534" s="18"/>
      <c r="V1534" s="18"/>
      <c r="W1534" s="18"/>
      <c r="X1534" s="18"/>
      <c r="Y1534" s="18"/>
      <c r="Z1534" s="18"/>
      <c r="AA1534" s="18"/>
      <c r="AB1534" s="18"/>
      <c r="AC1534" s="18"/>
      <c r="AD1534" s="19"/>
      <c r="AE1534" s="18"/>
      <c r="AF1534" s="18"/>
      <c r="AG1534" s="18"/>
      <c r="AH1534" s="18"/>
      <c r="AI1534" s="18"/>
      <c r="AJ1534" s="97"/>
      <c r="AK1534" s="18"/>
      <c r="AL1534" s="18"/>
    </row>
    <row r="1535" spans="4:38" x14ac:dyDescent="0.2">
      <c r="D1535" s="19"/>
      <c r="E1535" s="19"/>
      <c r="F1535" s="19"/>
      <c r="G1535" s="18"/>
      <c r="H1535" s="18"/>
      <c r="I1535" s="18"/>
      <c r="J1535" s="18"/>
      <c r="K1535" s="18"/>
      <c r="L1535" s="18"/>
      <c r="M1535" s="18"/>
      <c r="N1535" s="18"/>
      <c r="O1535" s="18"/>
      <c r="P1535" s="18"/>
      <c r="Q1535" s="18"/>
      <c r="R1535" s="18"/>
      <c r="S1535" s="18"/>
      <c r="T1535" s="18"/>
      <c r="U1535" s="18"/>
      <c r="V1535" s="18"/>
      <c r="W1535" s="18"/>
      <c r="X1535" s="18"/>
      <c r="Y1535" s="18"/>
      <c r="Z1535" s="18"/>
      <c r="AA1535" s="18"/>
      <c r="AB1535" s="18"/>
      <c r="AC1535" s="18"/>
      <c r="AD1535" s="19"/>
      <c r="AE1535" s="18"/>
      <c r="AF1535" s="18"/>
      <c r="AG1535" s="18"/>
      <c r="AH1535" s="18"/>
      <c r="AI1535" s="18"/>
      <c r="AJ1535" s="97"/>
      <c r="AK1535" s="18"/>
      <c r="AL1535" s="18"/>
    </row>
    <row r="1536" spans="4:38" x14ac:dyDescent="0.2">
      <c r="D1536" s="19"/>
      <c r="E1536" s="19"/>
      <c r="F1536" s="19"/>
      <c r="G1536" s="18"/>
      <c r="H1536" s="18"/>
      <c r="I1536" s="18"/>
      <c r="J1536" s="18"/>
      <c r="K1536" s="18"/>
      <c r="L1536" s="18"/>
      <c r="M1536" s="18"/>
      <c r="N1536" s="18"/>
      <c r="O1536" s="18"/>
      <c r="P1536" s="18"/>
      <c r="Q1536" s="18"/>
      <c r="R1536" s="18"/>
      <c r="S1536" s="18"/>
      <c r="T1536" s="18"/>
      <c r="U1536" s="18"/>
      <c r="V1536" s="18"/>
      <c r="W1536" s="18"/>
      <c r="X1536" s="18"/>
      <c r="Y1536" s="18"/>
      <c r="Z1536" s="18"/>
      <c r="AA1536" s="18"/>
      <c r="AB1536" s="18"/>
      <c r="AC1536" s="18"/>
      <c r="AD1536" s="19"/>
      <c r="AE1536" s="18"/>
      <c r="AF1536" s="18"/>
      <c r="AG1536" s="18"/>
      <c r="AH1536" s="18"/>
      <c r="AI1536" s="18"/>
      <c r="AJ1536" s="97"/>
      <c r="AK1536" s="18"/>
      <c r="AL1536" s="18"/>
    </row>
    <row r="1537" spans="4:38" x14ac:dyDescent="0.2">
      <c r="D1537" s="19"/>
      <c r="E1537" s="19"/>
      <c r="F1537" s="19"/>
      <c r="G1537" s="18"/>
      <c r="H1537" s="18"/>
      <c r="I1537" s="18"/>
      <c r="J1537" s="18"/>
      <c r="K1537" s="18"/>
      <c r="L1537" s="18"/>
      <c r="M1537" s="18"/>
      <c r="N1537" s="18"/>
      <c r="O1537" s="18"/>
      <c r="P1537" s="18"/>
      <c r="Q1537" s="18"/>
      <c r="R1537" s="18"/>
      <c r="S1537" s="18"/>
      <c r="T1537" s="18"/>
      <c r="U1537" s="18"/>
      <c r="V1537" s="18"/>
      <c r="W1537" s="18"/>
      <c r="X1537" s="18"/>
      <c r="Y1537" s="18"/>
      <c r="Z1537" s="18"/>
      <c r="AA1537" s="18"/>
      <c r="AB1537" s="18"/>
      <c r="AC1537" s="18"/>
      <c r="AD1537" s="19"/>
      <c r="AE1537" s="18"/>
      <c r="AF1537" s="18"/>
      <c r="AG1537" s="18"/>
      <c r="AH1537" s="18"/>
      <c r="AI1537" s="18"/>
      <c r="AJ1537" s="97"/>
      <c r="AK1537" s="18"/>
      <c r="AL1537" s="18"/>
    </row>
    <row r="1538" spans="4:38" x14ac:dyDescent="0.2">
      <c r="D1538" s="19"/>
      <c r="E1538" s="19"/>
      <c r="F1538" s="19"/>
      <c r="G1538" s="18"/>
      <c r="H1538" s="18"/>
      <c r="I1538" s="18"/>
      <c r="J1538" s="18"/>
      <c r="K1538" s="18"/>
      <c r="L1538" s="18"/>
      <c r="M1538" s="18"/>
      <c r="N1538" s="18"/>
      <c r="O1538" s="18"/>
      <c r="P1538" s="18"/>
      <c r="Q1538" s="18"/>
      <c r="R1538" s="18"/>
      <c r="S1538" s="18"/>
      <c r="T1538" s="18"/>
      <c r="U1538" s="18"/>
      <c r="V1538" s="18"/>
      <c r="W1538" s="18"/>
      <c r="X1538" s="18"/>
      <c r="Y1538" s="18"/>
      <c r="Z1538" s="18"/>
      <c r="AA1538" s="18"/>
      <c r="AB1538" s="18"/>
      <c r="AC1538" s="18"/>
      <c r="AD1538" s="19"/>
      <c r="AE1538" s="18"/>
      <c r="AF1538" s="18"/>
      <c r="AG1538" s="18"/>
      <c r="AH1538" s="18"/>
      <c r="AI1538" s="18"/>
      <c r="AJ1538" s="97"/>
      <c r="AK1538" s="18"/>
      <c r="AL1538" s="18"/>
    </row>
    <row r="1539" spans="4:38" x14ac:dyDescent="0.2">
      <c r="D1539" s="19"/>
      <c r="E1539" s="19"/>
      <c r="F1539" s="19"/>
      <c r="G1539" s="18"/>
      <c r="H1539" s="18"/>
      <c r="I1539" s="18"/>
      <c r="J1539" s="18"/>
      <c r="K1539" s="18"/>
      <c r="L1539" s="18"/>
      <c r="M1539" s="18"/>
      <c r="N1539" s="18"/>
      <c r="O1539" s="18"/>
      <c r="P1539" s="18"/>
      <c r="Q1539" s="18"/>
      <c r="R1539" s="18"/>
      <c r="S1539" s="18"/>
      <c r="T1539" s="18"/>
      <c r="U1539" s="18"/>
      <c r="V1539" s="18"/>
      <c r="W1539" s="18"/>
      <c r="X1539" s="18"/>
      <c r="Y1539" s="18"/>
      <c r="Z1539" s="18"/>
      <c r="AA1539" s="18"/>
      <c r="AB1539" s="18"/>
      <c r="AC1539" s="18"/>
      <c r="AD1539" s="19"/>
      <c r="AE1539" s="18"/>
      <c r="AF1539" s="18"/>
      <c r="AG1539" s="18"/>
      <c r="AH1539" s="18"/>
      <c r="AI1539" s="18"/>
      <c r="AJ1539" s="97"/>
      <c r="AK1539" s="18"/>
      <c r="AL1539" s="18"/>
    </row>
    <row r="1540" spans="4:38" x14ac:dyDescent="0.2">
      <c r="D1540" s="19"/>
      <c r="E1540" s="19"/>
      <c r="F1540" s="19"/>
      <c r="G1540" s="18"/>
      <c r="H1540" s="18"/>
      <c r="I1540" s="18"/>
      <c r="J1540" s="18"/>
      <c r="K1540" s="18"/>
      <c r="L1540" s="18"/>
      <c r="M1540" s="18"/>
      <c r="N1540" s="18"/>
      <c r="O1540" s="18"/>
      <c r="P1540" s="18"/>
      <c r="Q1540" s="18"/>
      <c r="R1540" s="18"/>
      <c r="S1540" s="18"/>
      <c r="T1540" s="18"/>
      <c r="U1540" s="18"/>
      <c r="V1540" s="18"/>
      <c r="W1540" s="18"/>
      <c r="X1540" s="18"/>
      <c r="Y1540" s="18"/>
      <c r="Z1540" s="18"/>
      <c r="AA1540" s="18"/>
      <c r="AB1540" s="18"/>
      <c r="AC1540" s="18"/>
      <c r="AD1540" s="19"/>
      <c r="AE1540" s="18"/>
      <c r="AF1540" s="18"/>
      <c r="AG1540" s="18"/>
      <c r="AH1540" s="18"/>
      <c r="AI1540" s="18"/>
      <c r="AJ1540" s="97"/>
      <c r="AK1540" s="18"/>
      <c r="AL1540" s="18"/>
    </row>
    <row r="1541" spans="4:38" x14ac:dyDescent="0.2">
      <c r="D1541" s="19"/>
      <c r="E1541" s="19"/>
      <c r="F1541" s="19"/>
      <c r="G1541" s="18"/>
      <c r="H1541" s="18"/>
      <c r="I1541" s="18"/>
      <c r="J1541" s="18"/>
      <c r="K1541" s="18"/>
      <c r="L1541" s="18"/>
      <c r="M1541" s="18"/>
      <c r="N1541" s="18"/>
      <c r="O1541" s="18"/>
      <c r="P1541" s="18"/>
      <c r="Q1541" s="18"/>
      <c r="R1541" s="18"/>
      <c r="S1541" s="18"/>
      <c r="T1541" s="18"/>
      <c r="U1541" s="18"/>
      <c r="V1541" s="18"/>
      <c r="W1541" s="18"/>
      <c r="X1541" s="18"/>
      <c r="Y1541" s="18"/>
      <c r="Z1541" s="18"/>
      <c r="AA1541" s="18"/>
      <c r="AB1541" s="18"/>
      <c r="AC1541" s="18"/>
      <c r="AD1541" s="19"/>
      <c r="AE1541" s="18"/>
      <c r="AF1541" s="18"/>
      <c r="AG1541" s="18"/>
      <c r="AH1541" s="18"/>
      <c r="AI1541" s="18"/>
      <c r="AJ1541" s="97"/>
      <c r="AK1541" s="18"/>
      <c r="AL1541" s="18"/>
    </row>
    <row r="1542" spans="4:38" x14ac:dyDescent="0.2">
      <c r="D1542" s="19"/>
      <c r="E1542" s="19"/>
      <c r="F1542" s="19"/>
      <c r="G1542" s="18"/>
      <c r="H1542" s="18"/>
      <c r="I1542" s="18"/>
      <c r="J1542" s="18"/>
      <c r="K1542" s="18"/>
      <c r="L1542" s="18"/>
      <c r="M1542" s="18"/>
      <c r="N1542" s="18"/>
      <c r="O1542" s="18"/>
      <c r="P1542" s="18"/>
      <c r="Q1542" s="18"/>
      <c r="R1542" s="18"/>
      <c r="S1542" s="18"/>
      <c r="T1542" s="18"/>
      <c r="U1542" s="18"/>
      <c r="V1542" s="18"/>
      <c r="W1542" s="18"/>
      <c r="X1542" s="18"/>
      <c r="Y1542" s="18"/>
      <c r="Z1542" s="18"/>
      <c r="AA1542" s="18"/>
      <c r="AB1542" s="18"/>
      <c r="AC1542" s="18"/>
      <c r="AD1542" s="19"/>
      <c r="AE1542" s="18"/>
      <c r="AF1542" s="18"/>
      <c r="AG1542" s="18"/>
      <c r="AH1542" s="18"/>
      <c r="AI1542" s="18"/>
      <c r="AJ1542" s="97"/>
      <c r="AK1542" s="18"/>
      <c r="AL1542" s="18"/>
    </row>
    <row r="1543" spans="4:38" x14ac:dyDescent="0.2">
      <c r="D1543" s="19"/>
      <c r="E1543" s="19"/>
      <c r="F1543" s="19"/>
      <c r="G1543" s="18"/>
      <c r="H1543" s="18"/>
      <c r="I1543" s="18"/>
      <c r="J1543" s="18"/>
      <c r="K1543" s="18"/>
      <c r="L1543" s="18"/>
      <c r="M1543" s="18"/>
      <c r="N1543" s="18"/>
      <c r="O1543" s="18"/>
      <c r="P1543" s="18"/>
      <c r="Q1543" s="18"/>
      <c r="R1543" s="18"/>
      <c r="S1543" s="18"/>
      <c r="T1543" s="18"/>
      <c r="U1543" s="18"/>
      <c r="V1543" s="18"/>
      <c r="W1543" s="18"/>
      <c r="X1543" s="18"/>
      <c r="Y1543" s="18"/>
      <c r="Z1543" s="18"/>
      <c r="AA1543" s="18"/>
      <c r="AB1543" s="18"/>
      <c r="AC1543" s="18"/>
      <c r="AD1543" s="19"/>
      <c r="AE1543" s="18"/>
      <c r="AF1543" s="18"/>
      <c r="AG1543" s="18"/>
      <c r="AH1543" s="18"/>
      <c r="AI1543" s="18"/>
      <c r="AJ1543" s="97"/>
      <c r="AK1543" s="18"/>
      <c r="AL1543" s="18"/>
    </row>
    <row r="1544" spans="4:38" x14ac:dyDescent="0.2">
      <c r="D1544" s="19"/>
      <c r="E1544" s="19"/>
      <c r="F1544" s="19"/>
      <c r="G1544" s="18"/>
      <c r="H1544" s="18"/>
      <c r="I1544" s="18"/>
      <c r="J1544" s="18"/>
      <c r="K1544" s="18"/>
      <c r="L1544" s="18"/>
      <c r="M1544" s="18"/>
      <c r="N1544" s="18"/>
      <c r="O1544" s="18"/>
      <c r="P1544" s="18"/>
      <c r="Q1544" s="18"/>
      <c r="R1544" s="18"/>
      <c r="S1544" s="18"/>
      <c r="T1544" s="18"/>
      <c r="U1544" s="18"/>
      <c r="V1544" s="18"/>
      <c r="W1544" s="18"/>
      <c r="X1544" s="18"/>
      <c r="Y1544" s="18"/>
      <c r="Z1544" s="18"/>
      <c r="AA1544" s="18"/>
      <c r="AB1544" s="18"/>
      <c r="AC1544" s="18"/>
      <c r="AD1544" s="19"/>
      <c r="AE1544" s="18"/>
      <c r="AF1544" s="18"/>
      <c r="AG1544" s="18"/>
      <c r="AH1544" s="18"/>
      <c r="AI1544" s="18"/>
      <c r="AJ1544" s="97"/>
      <c r="AK1544" s="18"/>
      <c r="AL1544" s="18"/>
    </row>
    <row r="1545" spans="4:38" x14ac:dyDescent="0.2">
      <c r="D1545" s="19"/>
      <c r="E1545" s="19"/>
      <c r="F1545" s="19"/>
      <c r="G1545" s="18"/>
      <c r="H1545" s="18"/>
      <c r="I1545" s="18"/>
      <c r="J1545" s="18"/>
      <c r="K1545" s="18"/>
      <c r="L1545" s="18"/>
      <c r="M1545" s="18"/>
      <c r="N1545" s="18"/>
      <c r="O1545" s="18"/>
      <c r="P1545" s="18"/>
      <c r="Q1545" s="18"/>
      <c r="R1545" s="18"/>
      <c r="S1545" s="18"/>
      <c r="T1545" s="18"/>
      <c r="U1545" s="18"/>
      <c r="V1545" s="18"/>
      <c r="W1545" s="18"/>
      <c r="X1545" s="18"/>
      <c r="Y1545" s="18"/>
      <c r="Z1545" s="18"/>
      <c r="AA1545" s="18"/>
      <c r="AB1545" s="18"/>
      <c r="AC1545" s="18"/>
      <c r="AD1545" s="19"/>
      <c r="AE1545" s="18"/>
      <c r="AF1545" s="18"/>
      <c r="AG1545" s="18"/>
      <c r="AH1545" s="18"/>
      <c r="AI1545" s="18"/>
      <c r="AJ1545" s="97"/>
      <c r="AK1545" s="18"/>
      <c r="AL1545" s="18"/>
    </row>
    <row r="1546" spans="4:38" x14ac:dyDescent="0.2">
      <c r="D1546" s="19"/>
      <c r="E1546" s="19"/>
      <c r="F1546" s="19"/>
      <c r="G1546" s="18"/>
      <c r="H1546" s="18"/>
      <c r="I1546" s="18"/>
      <c r="J1546" s="18"/>
      <c r="K1546" s="18"/>
      <c r="L1546" s="18"/>
      <c r="M1546" s="18"/>
      <c r="N1546" s="18"/>
      <c r="O1546" s="18"/>
      <c r="P1546" s="18"/>
      <c r="Q1546" s="18"/>
      <c r="R1546" s="18"/>
      <c r="S1546" s="18"/>
      <c r="T1546" s="18"/>
      <c r="U1546" s="18"/>
      <c r="V1546" s="18"/>
      <c r="W1546" s="18"/>
      <c r="X1546" s="18"/>
      <c r="Y1546" s="18"/>
      <c r="Z1546" s="18"/>
      <c r="AA1546" s="18"/>
      <c r="AB1546" s="18"/>
      <c r="AC1546" s="18"/>
      <c r="AD1546" s="19"/>
      <c r="AE1546" s="18"/>
      <c r="AF1546" s="18"/>
      <c r="AG1546" s="18"/>
      <c r="AH1546" s="18"/>
      <c r="AI1546" s="18"/>
      <c r="AJ1546" s="97"/>
      <c r="AK1546" s="18"/>
      <c r="AL1546" s="18"/>
    </row>
    <row r="1547" spans="4:38" x14ac:dyDescent="0.2">
      <c r="D1547" s="19"/>
      <c r="E1547" s="19"/>
      <c r="F1547" s="19"/>
      <c r="G1547" s="18"/>
      <c r="H1547" s="18"/>
      <c r="I1547" s="18"/>
      <c r="J1547" s="18"/>
      <c r="K1547" s="18"/>
      <c r="L1547" s="18"/>
      <c r="M1547" s="18"/>
      <c r="N1547" s="18"/>
      <c r="O1547" s="18"/>
      <c r="P1547" s="18"/>
      <c r="Q1547" s="18"/>
      <c r="R1547" s="18"/>
      <c r="S1547" s="18"/>
      <c r="T1547" s="18"/>
      <c r="U1547" s="18"/>
      <c r="V1547" s="18"/>
      <c r="W1547" s="18"/>
      <c r="X1547" s="18"/>
      <c r="Y1547" s="18"/>
      <c r="Z1547" s="18"/>
      <c r="AA1547" s="18"/>
      <c r="AB1547" s="18"/>
      <c r="AC1547" s="18"/>
      <c r="AD1547" s="19"/>
      <c r="AE1547" s="18"/>
      <c r="AF1547" s="18"/>
      <c r="AG1547" s="18"/>
      <c r="AH1547" s="18"/>
      <c r="AI1547" s="18"/>
      <c r="AJ1547" s="97"/>
      <c r="AK1547" s="18"/>
      <c r="AL1547" s="18"/>
    </row>
    <row r="1548" spans="4:38" x14ac:dyDescent="0.2">
      <c r="D1548" s="19"/>
      <c r="E1548" s="19"/>
      <c r="F1548" s="19"/>
      <c r="G1548" s="18"/>
      <c r="H1548" s="18"/>
      <c r="I1548" s="18"/>
      <c r="J1548" s="18"/>
      <c r="K1548" s="18"/>
      <c r="L1548" s="18"/>
      <c r="M1548" s="18"/>
      <c r="N1548" s="18"/>
      <c r="O1548" s="18"/>
      <c r="P1548" s="18"/>
      <c r="Q1548" s="18"/>
      <c r="R1548" s="18"/>
      <c r="S1548" s="18"/>
      <c r="T1548" s="18"/>
      <c r="U1548" s="18"/>
      <c r="V1548" s="18"/>
      <c r="W1548" s="18"/>
      <c r="X1548" s="18"/>
      <c r="Y1548" s="18"/>
      <c r="Z1548" s="18"/>
      <c r="AA1548" s="18"/>
      <c r="AB1548" s="18"/>
      <c r="AC1548" s="18"/>
      <c r="AD1548" s="19"/>
      <c r="AE1548" s="18"/>
      <c r="AF1548" s="18"/>
      <c r="AG1548" s="18"/>
      <c r="AH1548" s="18"/>
      <c r="AI1548" s="18"/>
      <c r="AJ1548" s="97"/>
      <c r="AK1548" s="18"/>
      <c r="AL1548" s="18"/>
    </row>
    <row r="1549" spans="4:38" x14ac:dyDescent="0.2">
      <c r="D1549" s="19"/>
      <c r="E1549" s="19"/>
      <c r="F1549" s="19"/>
      <c r="G1549" s="18"/>
      <c r="H1549" s="18"/>
      <c r="I1549" s="18"/>
      <c r="J1549" s="18"/>
      <c r="K1549" s="18"/>
      <c r="L1549" s="18"/>
      <c r="M1549" s="18"/>
      <c r="N1549" s="18"/>
      <c r="O1549" s="18"/>
      <c r="P1549" s="18"/>
      <c r="Q1549" s="18"/>
      <c r="R1549" s="18"/>
      <c r="S1549" s="18"/>
      <c r="T1549" s="18"/>
      <c r="U1549" s="18"/>
      <c r="V1549" s="18"/>
      <c r="W1549" s="18"/>
      <c r="X1549" s="18"/>
      <c r="Y1549" s="18"/>
      <c r="Z1549" s="18"/>
      <c r="AA1549" s="18"/>
      <c r="AB1549" s="18"/>
      <c r="AC1549" s="18"/>
      <c r="AD1549" s="19"/>
      <c r="AE1549" s="18"/>
      <c r="AF1549" s="18"/>
      <c r="AG1549" s="18"/>
      <c r="AH1549" s="18"/>
      <c r="AI1549" s="18"/>
      <c r="AJ1549" s="97"/>
      <c r="AK1549" s="18"/>
      <c r="AL1549" s="18"/>
    </row>
    <row r="1550" spans="4:38" x14ac:dyDescent="0.2">
      <c r="D1550" s="19"/>
      <c r="E1550" s="19"/>
      <c r="F1550" s="19"/>
      <c r="G1550" s="18"/>
      <c r="H1550" s="18"/>
      <c r="I1550" s="18"/>
      <c r="J1550" s="18"/>
      <c r="K1550" s="18"/>
      <c r="L1550" s="18"/>
      <c r="M1550" s="18"/>
      <c r="N1550" s="18"/>
      <c r="O1550" s="18"/>
      <c r="P1550" s="18"/>
      <c r="Q1550" s="18"/>
      <c r="R1550" s="18"/>
      <c r="S1550" s="18"/>
      <c r="T1550" s="18"/>
      <c r="U1550" s="18"/>
      <c r="V1550" s="18"/>
      <c r="W1550" s="18"/>
      <c r="X1550" s="18"/>
      <c r="Y1550" s="18"/>
      <c r="Z1550" s="18"/>
      <c r="AA1550" s="18"/>
      <c r="AB1550" s="18"/>
      <c r="AC1550" s="18"/>
      <c r="AD1550" s="19"/>
      <c r="AE1550" s="18"/>
      <c r="AF1550" s="18"/>
      <c r="AG1550" s="18"/>
      <c r="AH1550" s="18"/>
      <c r="AI1550" s="18"/>
      <c r="AJ1550" s="97"/>
      <c r="AK1550" s="18"/>
      <c r="AL1550" s="18"/>
    </row>
    <row r="1551" spans="4:38" x14ac:dyDescent="0.2">
      <c r="D1551" s="19"/>
      <c r="E1551" s="19"/>
      <c r="F1551" s="19"/>
      <c r="G1551" s="18"/>
      <c r="H1551" s="18"/>
      <c r="I1551" s="18"/>
      <c r="J1551" s="18"/>
      <c r="K1551" s="18"/>
      <c r="L1551" s="18"/>
      <c r="M1551" s="18"/>
      <c r="N1551" s="18"/>
      <c r="O1551" s="18"/>
      <c r="P1551" s="18"/>
      <c r="Q1551" s="18"/>
      <c r="R1551" s="18"/>
      <c r="S1551" s="18"/>
      <c r="T1551" s="18"/>
      <c r="U1551" s="18"/>
      <c r="V1551" s="18"/>
      <c r="W1551" s="18"/>
      <c r="X1551" s="18"/>
      <c r="Y1551" s="18"/>
      <c r="Z1551" s="18"/>
      <c r="AA1551" s="18"/>
      <c r="AB1551" s="18"/>
      <c r="AC1551" s="18"/>
      <c r="AD1551" s="19"/>
      <c r="AE1551" s="18"/>
      <c r="AF1551" s="18"/>
      <c r="AG1551" s="18"/>
      <c r="AH1551" s="18"/>
      <c r="AI1551" s="18"/>
      <c r="AJ1551" s="97"/>
      <c r="AK1551" s="18"/>
      <c r="AL1551" s="18"/>
    </row>
    <row r="1552" spans="4:38" x14ac:dyDescent="0.2">
      <c r="D1552" s="19"/>
      <c r="E1552" s="19"/>
      <c r="F1552" s="19"/>
      <c r="G1552" s="18"/>
      <c r="H1552" s="18"/>
      <c r="I1552" s="18"/>
      <c r="J1552" s="18"/>
      <c r="K1552" s="18"/>
      <c r="L1552" s="18"/>
      <c r="M1552" s="18"/>
      <c r="N1552" s="18"/>
      <c r="O1552" s="18"/>
      <c r="P1552" s="18"/>
      <c r="Q1552" s="18"/>
      <c r="R1552" s="18"/>
      <c r="S1552" s="18"/>
      <c r="T1552" s="18"/>
      <c r="U1552" s="18"/>
      <c r="V1552" s="18"/>
      <c r="W1552" s="18"/>
      <c r="X1552" s="18"/>
      <c r="Y1552" s="18"/>
      <c r="Z1552" s="18"/>
      <c r="AA1552" s="18"/>
      <c r="AB1552" s="18"/>
      <c r="AC1552" s="18"/>
      <c r="AD1552" s="19"/>
      <c r="AE1552" s="18"/>
      <c r="AF1552" s="18"/>
      <c r="AG1552" s="18"/>
      <c r="AH1552" s="18"/>
      <c r="AI1552" s="18"/>
      <c r="AJ1552" s="97"/>
      <c r="AK1552" s="18"/>
      <c r="AL1552" s="18"/>
    </row>
    <row r="1553" spans="4:38" x14ac:dyDescent="0.2">
      <c r="D1553" s="19"/>
      <c r="E1553" s="19"/>
      <c r="F1553" s="19"/>
      <c r="G1553" s="18"/>
      <c r="H1553" s="18"/>
      <c r="I1553" s="18"/>
      <c r="J1553" s="18"/>
      <c r="K1553" s="18"/>
      <c r="L1553" s="18"/>
      <c r="M1553" s="18"/>
      <c r="N1553" s="18"/>
      <c r="O1553" s="18"/>
      <c r="P1553" s="18"/>
      <c r="Q1553" s="18"/>
      <c r="R1553" s="18"/>
      <c r="S1553" s="18"/>
      <c r="T1553" s="18"/>
      <c r="U1553" s="18"/>
      <c r="V1553" s="18"/>
      <c r="W1553" s="18"/>
      <c r="X1553" s="18"/>
      <c r="Y1553" s="18"/>
      <c r="Z1553" s="18"/>
      <c r="AA1553" s="18"/>
      <c r="AB1553" s="18"/>
      <c r="AC1553" s="18"/>
      <c r="AD1553" s="19"/>
      <c r="AE1553" s="18"/>
      <c r="AF1553" s="18"/>
      <c r="AG1553" s="18"/>
      <c r="AH1553" s="18"/>
      <c r="AI1553" s="18"/>
      <c r="AJ1553" s="97"/>
      <c r="AK1553" s="18"/>
      <c r="AL1553" s="18"/>
    </row>
    <row r="1554" spans="4:38" x14ac:dyDescent="0.2">
      <c r="D1554" s="19"/>
      <c r="E1554" s="19"/>
      <c r="F1554" s="19"/>
      <c r="G1554" s="18"/>
      <c r="H1554" s="18"/>
      <c r="I1554" s="18"/>
      <c r="J1554" s="18"/>
      <c r="K1554" s="18"/>
      <c r="L1554" s="18"/>
      <c r="M1554" s="18"/>
      <c r="N1554" s="18"/>
      <c r="O1554" s="18"/>
      <c r="P1554" s="18"/>
      <c r="Q1554" s="18"/>
      <c r="R1554" s="18"/>
      <c r="S1554" s="18"/>
      <c r="T1554" s="18"/>
      <c r="U1554" s="18"/>
      <c r="V1554" s="18"/>
      <c r="W1554" s="18"/>
      <c r="X1554" s="18"/>
      <c r="Y1554" s="18"/>
      <c r="Z1554" s="18"/>
      <c r="AA1554" s="18"/>
      <c r="AB1554" s="18"/>
      <c r="AC1554" s="18"/>
      <c r="AD1554" s="19"/>
      <c r="AE1554" s="18"/>
      <c r="AF1554" s="18"/>
      <c r="AG1554" s="18"/>
      <c r="AH1554" s="18"/>
      <c r="AI1554" s="18"/>
      <c r="AJ1554" s="97"/>
      <c r="AK1554" s="18"/>
      <c r="AL1554" s="18"/>
    </row>
    <row r="1555" spans="4:38" x14ac:dyDescent="0.2">
      <c r="D1555" s="19"/>
      <c r="E1555" s="19"/>
      <c r="F1555" s="19"/>
      <c r="G1555" s="18"/>
      <c r="H1555" s="18"/>
      <c r="I1555" s="18"/>
      <c r="J1555" s="18"/>
      <c r="K1555" s="18"/>
      <c r="L1555" s="18"/>
      <c r="M1555" s="18"/>
      <c r="N1555" s="18"/>
      <c r="O1555" s="18"/>
      <c r="P1555" s="18"/>
      <c r="Q1555" s="18"/>
      <c r="R1555" s="18"/>
      <c r="S1555" s="18"/>
      <c r="T1555" s="18"/>
      <c r="U1555" s="18"/>
      <c r="V1555" s="18"/>
      <c r="W1555" s="18"/>
      <c r="X1555" s="18"/>
      <c r="Y1555" s="18"/>
      <c r="Z1555" s="18"/>
      <c r="AA1555" s="18"/>
      <c r="AB1555" s="18"/>
      <c r="AC1555" s="18"/>
      <c r="AD1555" s="19"/>
      <c r="AE1555" s="18"/>
      <c r="AF1555" s="18"/>
      <c r="AG1555" s="18"/>
      <c r="AH1555" s="18"/>
      <c r="AI1555" s="18"/>
      <c r="AJ1555" s="97"/>
      <c r="AK1555" s="18"/>
      <c r="AL1555" s="18"/>
    </row>
    <row r="1556" spans="4:38" x14ac:dyDescent="0.2">
      <c r="D1556" s="19"/>
      <c r="E1556" s="19"/>
      <c r="F1556" s="19"/>
      <c r="G1556" s="18"/>
      <c r="H1556" s="18"/>
      <c r="I1556" s="18"/>
      <c r="J1556" s="18"/>
      <c r="K1556" s="18"/>
      <c r="L1556" s="18"/>
      <c r="M1556" s="18"/>
      <c r="N1556" s="18"/>
      <c r="O1556" s="18"/>
      <c r="P1556" s="18"/>
      <c r="Q1556" s="18"/>
      <c r="R1556" s="18"/>
      <c r="S1556" s="18"/>
      <c r="T1556" s="18"/>
      <c r="U1556" s="18"/>
      <c r="V1556" s="18"/>
      <c r="W1556" s="18"/>
      <c r="X1556" s="18"/>
      <c r="Y1556" s="18"/>
      <c r="Z1556" s="18"/>
      <c r="AA1556" s="18"/>
      <c r="AB1556" s="18"/>
      <c r="AC1556" s="18"/>
      <c r="AD1556" s="19"/>
      <c r="AE1556" s="18"/>
      <c r="AF1556" s="18"/>
      <c r="AG1556" s="18"/>
      <c r="AH1556" s="18"/>
      <c r="AI1556" s="18"/>
      <c r="AJ1556" s="97"/>
      <c r="AK1556" s="18"/>
      <c r="AL1556" s="18"/>
    </row>
    <row r="1557" spans="4:38" x14ac:dyDescent="0.2">
      <c r="D1557" s="19"/>
      <c r="E1557" s="19"/>
      <c r="F1557" s="19"/>
      <c r="G1557" s="18"/>
      <c r="H1557" s="18"/>
      <c r="I1557" s="18"/>
      <c r="J1557" s="18"/>
      <c r="K1557" s="18"/>
      <c r="L1557" s="18"/>
      <c r="M1557" s="18"/>
      <c r="N1557" s="18"/>
      <c r="O1557" s="18"/>
      <c r="P1557" s="18"/>
      <c r="Q1557" s="18"/>
      <c r="R1557" s="18"/>
      <c r="S1557" s="18"/>
      <c r="T1557" s="18"/>
      <c r="U1557" s="18"/>
      <c r="V1557" s="18"/>
      <c r="W1557" s="18"/>
      <c r="X1557" s="18"/>
      <c r="Y1557" s="18"/>
      <c r="Z1557" s="18"/>
      <c r="AA1557" s="18"/>
      <c r="AB1557" s="18"/>
      <c r="AC1557" s="18"/>
      <c r="AD1557" s="19"/>
      <c r="AE1557" s="18"/>
      <c r="AF1557" s="18"/>
      <c r="AG1557" s="18"/>
      <c r="AH1557" s="18"/>
      <c r="AI1557" s="18"/>
      <c r="AJ1557" s="97"/>
      <c r="AK1557" s="18"/>
      <c r="AL1557" s="18"/>
    </row>
    <row r="1558" spans="4:38" x14ac:dyDescent="0.2">
      <c r="D1558" s="19"/>
      <c r="E1558" s="19"/>
      <c r="F1558" s="19"/>
      <c r="G1558" s="18"/>
      <c r="H1558" s="18"/>
      <c r="I1558" s="18"/>
      <c r="J1558" s="18"/>
      <c r="K1558" s="18"/>
      <c r="L1558" s="18"/>
      <c r="M1558" s="18"/>
      <c r="N1558" s="18"/>
      <c r="O1558" s="18"/>
      <c r="P1558" s="18"/>
      <c r="Q1558" s="18"/>
      <c r="R1558" s="18"/>
      <c r="S1558" s="18"/>
      <c r="T1558" s="18"/>
      <c r="U1558" s="18"/>
      <c r="V1558" s="18"/>
      <c r="W1558" s="18"/>
      <c r="X1558" s="18"/>
      <c r="Y1558" s="18"/>
      <c r="Z1558" s="18"/>
      <c r="AA1558" s="18"/>
      <c r="AB1558" s="18"/>
      <c r="AC1558" s="18"/>
      <c r="AD1558" s="19"/>
      <c r="AE1558" s="18"/>
      <c r="AF1558" s="18"/>
      <c r="AG1558" s="18"/>
      <c r="AH1558" s="18"/>
      <c r="AI1558" s="18"/>
      <c r="AJ1558" s="97"/>
      <c r="AK1558" s="18"/>
      <c r="AL1558" s="18"/>
    </row>
    <row r="1559" spans="4:38" x14ac:dyDescent="0.2">
      <c r="D1559" s="19"/>
      <c r="E1559" s="19"/>
      <c r="F1559" s="19"/>
      <c r="G1559" s="18"/>
      <c r="H1559" s="18"/>
      <c r="I1559" s="18"/>
      <c r="J1559" s="18"/>
      <c r="K1559" s="18"/>
      <c r="L1559" s="18"/>
      <c r="M1559" s="18"/>
      <c r="N1559" s="18"/>
      <c r="O1559" s="18"/>
      <c r="P1559" s="18"/>
      <c r="Q1559" s="18"/>
      <c r="R1559" s="18"/>
      <c r="S1559" s="18"/>
      <c r="T1559" s="18"/>
      <c r="U1559" s="18"/>
      <c r="V1559" s="18"/>
      <c r="W1559" s="18"/>
      <c r="X1559" s="18"/>
      <c r="Y1559" s="18"/>
      <c r="Z1559" s="18"/>
      <c r="AA1559" s="18"/>
      <c r="AB1559" s="18"/>
      <c r="AC1559" s="18"/>
      <c r="AD1559" s="19"/>
      <c r="AE1559" s="18"/>
      <c r="AF1559" s="18"/>
      <c r="AG1559" s="18"/>
      <c r="AH1559" s="18"/>
      <c r="AI1559" s="18"/>
      <c r="AJ1559" s="97"/>
      <c r="AK1559" s="18"/>
      <c r="AL1559" s="18"/>
    </row>
    <row r="1560" spans="4:38" x14ac:dyDescent="0.2">
      <c r="D1560" s="19"/>
      <c r="E1560" s="19"/>
      <c r="F1560" s="19"/>
      <c r="G1560" s="18"/>
      <c r="H1560" s="18"/>
      <c r="I1560" s="18"/>
      <c r="J1560" s="18"/>
      <c r="K1560" s="18"/>
      <c r="L1560" s="18"/>
      <c r="M1560" s="18"/>
      <c r="N1560" s="18"/>
      <c r="O1560" s="18"/>
      <c r="P1560" s="18"/>
      <c r="Q1560" s="18"/>
      <c r="R1560" s="18"/>
      <c r="S1560" s="18"/>
      <c r="T1560" s="18"/>
      <c r="U1560" s="18"/>
      <c r="V1560" s="18"/>
      <c r="W1560" s="18"/>
      <c r="X1560" s="18"/>
      <c r="Y1560" s="18"/>
      <c r="Z1560" s="18"/>
      <c r="AA1560" s="18"/>
      <c r="AB1560" s="18"/>
      <c r="AC1560" s="18"/>
      <c r="AD1560" s="19"/>
      <c r="AE1560" s="18"/>
      <c r="AF1560" s="18"/>
      <c r="AG1560" s="18"/>
      <c r="AH1560" s="18"/>
      <c r="AI1560" s="18"/>
      <c r="AJ1560" s="97"/>
      <c r="AK1560" s="18"/>
      <c r="AL1560" s="18"/>
    </row>
    <row r="1561" spans="4:38" x14ac:dyDescent="0.2">
      <c r="D1561" s="19"/>
      <c r="E1561" s="19"/>
      <c r="F1561" s="19"/>
      <c r="G1561" s="18"/>
      <c r="H1561" s="18"/>
      <c r="I1561" s="18"/>
      <c r="J1561" s="18"/>
      <c r="K1561" s="18"/>
      <c r="L1561" s="18"/>
      <c r="M1561" s="18"/>
      <c r="N1561" s="18"/>
      <c r="O1561" s="18"/>
      <c r="P1561" s="18"/>
      <c r="Q1561" s="18"/>
      <c r="R1561" s="18"/>
      <c r="S1561" s="18"/>
      <c r="T1561" s="18"/>
      <c r="U1561" s="18"/>
      <c r="V1561" s="18"/>
      <c r="W1561" s="18"/>
      <c r="X1561" s="18"/>
      <c r="Y1561" s="18"/>
      <c r="Z1561" s="18"/>
      <c r="AA1561" s="18"/>
      <c r="AB1561" s="18"/>
      <c r="AC1561" s="18"/>
      <c r="AD1561" s="19"/>
      <c r="AE1561" s="18"/>
      <c r="AF1561" s="18"/>
      <c r="AG1561" s="18"/>
      <c r="AH1561" s="18"/>
      <c r="AI1561" s="18"/>
      <c r="AJ1561" s="97"/>
      <c r="AK1561" s="18"/>
      <c r="AL1561" s="18"/>
    </row>
    <row r="1562" spans="4:38" x14ac:dyDescent="0.2">
      <c r="D1562" s="19"/>
      <c r="E1562" s="19"/>
      <c r="F1562" s="19"/>
      <c r="G1562" s="18"/>
      <c r="H1562" s="18"/>
      <c r="I1562" s="18"/>
      <c r="J1562" s="18"/>
      <c r="K1562" s="18"/>
      <c r="L1562" s="18"/>
      <c r="M1562" s="18"/>
      <c r="N1562" s="18"/>
      <c r="O1562" s="18"/>
      <c r="P1562" s="18"/>
      <c r="Q1562" s="18"/>
      <c r="R1562" s="18"/>
      <c r="S1562" s="18"/>
      <c r="T1562" s="18"/>
      <c r="U1562" s="18"/>
      <c r="V1562" s="18"/>
      <c r="W1562" s="18"/>
      <c r="X1562" s="18"/>
      <c r="Y1562" s="18"/>
      <c r="Z1562" s="18"/>
      <c r="AA1562" s="18"/>
      <c r="AB1562" s="18"/>
      <c r="AC1562" s="18"/>
      <c r="AD1562" s="19"/>
      <c r="AE1562" s="18"/>
      <c r="AF1562" s="18"/>
      <c r="AG1562" s="18"/>
      <c r="AH1562" s="18"/>
      <c r="AI1562" s="18"/>
      <c r="AJ1562" s="97"/>
      <c r="AK1562" s="18"/>
      <c r="AL1562" s="18"/>
    </row>
    <row r="1563" spans="4:38" x14ac:dyDescent="0.2">
      <c r="D1563" s="19"/>
      <c r="E1563" s="19"/>
      <c r="F1563" s="19"/>
      <c r="G1563" s="18"/>
      <c r="H1563" s="18"/>
      <c r="I1563" s="18"/>
      <c r="J1563" s="18"/>
      <c r="K1563" s="18"/>
      <c r="L1563" s="18"/>
      <c r="M1563" s="18"/>
      <c r="N1563" s="18"/>
      <c r="O1563" s="18"/>
      <c r="P1563" s="18"/>
      <c r="Q1563" s="18"/>
      <c r="R1563" s="18"/>
      <c r="S1563" s="18"/>
      <c r="T1563" s="18"/>
      <c r="U1563" s="18"/>
      <c r="V1563" s="18"/>
      <c r="W1563" s="18"/>
      <c r="X1563" s="18"/>
      <c r="Y1563" s="18"/>
      <c r="Z1563" s="18"/>
      <c r="AA1563" s="18"/>
      <c r="AB1563" s="18"/>
      <c r="AC1563" s="18"/>
      <c r="AD1563" s="19"/>
      <c r="AE1563" s="18"/>
      <c r="AF1563" s="18"/>
      <c r="AG1563" s="18"/>
      <c r="AH1563" s="18"/>
      <c r="AI1563" s="18"/>
      <c r="AJ1563" s="97"/>
      <c r="AK1563" s="18"/>
      <c r="AL1563" s="18"/>
    </row>
    <row r="1564" spans="4:38" x14ac:dyDescent="0.2">
      <c r="D1564" s="19"/>
      <c r="E1564" s="19"/>
      <c r="F1564" s="19"/>
      <c r="G1564" s="18"/>
      <c r="H1564" s="18"/>
      <c r="I1564" s="18"/>
      <c r="J1564" s="18"/>
      <c r="K1564" s="18"/>
      <c r="L1564" s="18"/>
      <c r="M1564" s="18"/>
      <c r="N1564" s="18"/>
      <c r="O1564" s="18"/>
      <c r="P1564" s="18"/>
      <c r="Q1564" s="18"/>
      <c r="R1564" s="18"/>
      <c r="S1564" s="18"/>
      <c r="T1564" s="18"/>
      <c r="U1564" s="18"/>
      <c r="V1564" s="18"/>
      <c r="W1564" s="18"/>
      <c r="X1564" s="18"/>
      <c r="Y1564" s="18"/>
      <c r="Z1564" s="18"/>
      <c r="AA1564" s="18"/>
      <c r="AB1564" s="18"/>
      <c r="AC1564" s="18"/>
      <c r="AD1564" s="19"/>
      <c r="AE1564" s="18"/>
      <c r="AF1564" s="18"/>
      <c r="AG1564" s="18"/>
      <c r="AH1564" s="18"/>
      <c r="AI1564" s="18"/>
      <c r="AJ1564" s="97"/>
      <c r="AK1564" s="18"/>
      <c r="AL1564" s="18"/>
    </row>
    <row r="1565" spans="4:38" x14ac:dyDescent="0.2">
      <c r="D1565" s="19"/>
      <c r="E1565" s="19"/>
      <c r="F1565" s="19"/>
      <c r="G1565" s="18"/>
      <c r="H1565" s="18"/>
      <c r="I1565" s="18"/>
      <c r="J1565" s="18"/>
      <c r="K1565" s="18"/>
      <c r="L1565" s="18"/>
      <c r="M1565" s="18"/>
      <c r="N1565" s="18"/>
      <c r="O1565" s="18"/>
      <c r="P1565" s="18"/>
      <c r="Q1565" s="18"/>
      <c r="R1565" s="18"/>
      <c r="S1565" s="18"/>
      <c r="T1565" s="18"/>
      <c r="U1565" s="18"/>
      <c r="V1565" s="18"/>
      <c r="W1565" s="18"/>
      <c r="X1565" s="18"/>
      <c r="Y1565" s="18"/>
      <c r="Z1565" s="18"/>
      <c r="AA1565" s="18"/>
      <c r="AB1565" s="18"/>
      <c r="AC1565" s="18"/>
      <c r="AD1565" s="19"/>
      <c r="AE1565" s="18"/>
      <c r="AF1565" s="18"/>
      <c r="AG1565" s="18"/>
      <c r="AH1565" s="18"/>
      <c r="AI1565" s="18"/>
      <c r="AJ1565" s="97"/>
      <c r="AK1565" s="18"/>
      <c r="AL1565" s="18"/>
    </row>
    <row r="1566" spans="4:38" x14ac:dyDescent="0.2">
      <c r="D1566" s="19"/>
      <c r="E1566" s="19"/>
      <c r="F1566" s="19"/>
      <c r="G1566" s="18"/>
      <c r="H1566" s="18"/>
      <c r="I1566" s="18"/>
      <c r="J1566" s="18"/>
      <c r="K1566" s="18"/>
      <c r="L1566" s="18"/>
      <c r="M1566" s="18"/>
      <c r="N1566" s="18"/>
      <c r="O1566" s="18"/>
      <c r="P1566" s="18"/>
      <c r="Q1566" s="18"/>
      <c r="R1566" s="18"/>
      <c r="S1566" s="18"/>
      <c r="T1566" s="18"/>
      <c r="U1566" s="18"/>
      <c r="V1566" s="18"/>
      <c r="W1566" s="18"/>
      <c r="X1566" s="18"/>
      <c r="Y1566" s="18"/>
      <c r="Z1566" s="18"/>
      <c r="AA1566" s="18"/>
      <c r="AB1566" s="18"/>
      <c r="AC1566" s="18"/>
      <c r="AD1566" s="19"/>
      <c r="AE1566" s="18"/>
      <c r="AF1566" s="18"/>
      <c r="AG1566" s="18"/>
      <c r="AH1566" s="18"/>
      <c r="AI1566" s="18"/>
      <c r="AJ1566" s="97"/>
      <c r="AK1566" s="18"/>
      <c r="AL1566" s="18"/>
    </row>
    <row r="1567" spans="4:38" x14ac:dyDescent="0.2">
      <c r="D1567" s="19"/>
      <c r="E1567" s="19"/>
      <c r="F1567" s="19"/>
      <c r="G1567" s="18"/>
      <c r="H1567" s="18"/>
      <c r="I1567" s="18"/>
      <c r="J1567" s="18"/>
      <c r="K1567" s="18"/>
      <c r="L1567" s="18"/>
      <c r="M1567" s="18"/>
      <c r="N1567" s="18"/>
      <c r="O1567" s="18"/>
      <c r="P1567" s="18"/>
      <c r="Q1567" s="18"/>
      <c r="R1567" s="18"/>
      <c r="S1567" s="18"/>
      <c r="T1567" s="18"/>
      <c r="U1567" s="18"/>
      <c r="V1567" s="18"/>
      <c r="W1567" s="18"/>
      <c r="X1567" s="18"/>
      <c r="Y1567" s="18"/>
      <c r="Z1567" s="18"/>
      <c r="AA1567" s="18"/>
      <c r="AB1567" s="18"/>
      <c r="AC1567" s="18"/>
      <c r="AD1567" s="19"/>
      <c r="AE1567" s="18"/>
      <c r="AF1567" s="18"/>
      <c r="AG1567" s="18"/>
      <c r="AH1567" s="18"/>
      <c r="AI1567" s="18"/>
      <c r="AJ1567" s="97"/>
      <c r="AK1567" s="18"/>
      <c r="AL1567" s="18"/>
    </row>
    <row r="1568" spans="4:38" x14ac:dyDescent="0.2">
      <c r="D1568" s="19"/>
      <c r="E1568" s="19"/>
      <c r="F1568" s="19"/>
      <c r="G1568" s="18"/>
      <c r="H1568" s="18"/>
      <c r="I1568" s="18"/>
      <c r="J1568" s="18"/>
      <c r="K1568" s="18"/>
      <c r="L1568" s="18"/>
      <c r="M1568" s="18"/>
      <c r="N1568" s="18"/>
      <c r="O1568" s="18"/>
      <c r="P1568" s="18"/>
      <c r="Q1568" s="18"/>
      <c r="R1568" s="18"/>
      <c r="S1568" s="18"/>
      <c r="T1568" s="18"/>
      <c r="U1568" s="18"/>
      <c r="V1568" s="18"/>
      <c r="W1568" s="18"/>
      <c r="X1568" s="18"/>
      <c r="Y1568" s="18"/>
      <c r="Z1568" s="18"/>
      <c r="AA1568" s="18"/>
      <c r="AB1568" s="18"/>
      <c r="AC1568" s="18"/>
      <c r="AD1568" s="19"/>
      <c r="AE1568" s="18"/>
      <c r="AF1568" s="18"/>
      <c r="AG1568" s="18"/>
      <c r="AH1568" s="18"/>
      <c r="AI1568" s="18"/>
      <c r="AJ1568" s="97"/>
      <c r="AK1568" s="18"/>
      <c r="AL1568" s="18"/>
    </row>
    <row r="1569" spans="4:38" x14ac:dyDescent="0.2">
      <c r="D1569" s="19"/>
      <c r="E1569" s="19"/>
      <c r="F1569" s="19"/>
      <c r="G1569" s="18"/>
      <c r="H1569" s="18"/>
      <c r="I1569" s="18"/>
      <c r="J1569" s="18"/>
      <c r="K1569" s="18"/>
      <c r="L1569" s="18"/>
      <c r="M1569" s="18"/>
      <c r="N1569" s="18"/>
      <c r="O1569" s="18"/>
      <c r="P1569" s="18"/>
      <c r="Q1569" s="18"/>
      <c r="R1569" s="18"/>
      <c r="S1569" s="18"/>
      <c r="T1569" s="18"/>
      <c r="U1569" s="18"/>
      <c r="V1569" s="18"/>
      <c r="W1569" s="18"/>
      <c r="X1569" s="18"/>
      <c r="Y1569" s="18"/>
      <c r="Z1569" s="18"/>
      <c r="AA1569" s="18"/>
      <c r="AB1569" s="18"/>
      <c r="AC1569" s="18"/>
      <c r="AD1569" s="19"/>
      <c r="AE1569" s="18"/>
      <c r="AF1569" s="18"/>
      <c r="AG1569" s="18"/>
      <c r="AH1569" s="18"/>
      <c r="AI1569" s="18"/>
      <c r="AJ1569" s="97"/>
      <c r="AK1569" s="18"/>
      <c r="AL1569" s="18"/>
    </row>
    <row r="1570" spans="4:38" x14ac:dyDescent="0.2">
      <c r="D1570" s="19"/>
      <c r="E1570" s="19"/>
      <c r="F1570" s="19"/>
      <c r="G1570" s="18"/>
      <c r="H1570" s="18"/>
      <c r="I1570" s="18"/>
      <c r="J1570" s="18"/>
      <c r="K1570" s="18"/>
      <c r="L1570" s="18"/>
      <c r="M1570" s="18"/>
      <c r="N1570" s="18"/>
      <c r="O1570" s="18"/>
      <c r="P1570" s="18"/>
      <c r="Q1570" s="18"/>
      <c r="R1570" s="18"/>
      <c r="S1570" s="18"/>
      <c r="T1570" s="18"/>
      <c r="U1570" s="18"/>
      <c r="V1570" s="18"/>
      <c r="W1570" s="18"/>
      <c r="X1570" s="18"/>
      <c r="Y1570" s="18"/>
      <c r="Z1570" s="18"/>
      <c r="AA1570" s="18"/>
      <c r="AB1570" s="18"/>
      <c r="AC1570" s="18"/>
      <c r="AD1570" s="19"/>
      <c r="AE1570" s="18"/>
      <c r="AF1570" s="18"/>
      <c r="AG1570" s="18"/>
      <c r="AH1570" s="18"/>
      <c r="AI1570" s="18"/>
      <c r="AJ1570" s="97"/>
      <c r="AK1570" s="18"/>
      <c r="AL1570" s="18"/>
    </row>
    <row r="1571" spans="4:38" x14ac:dyDescent="0.2">
      <c r="D1571" s="19"/>
      <c r="E1571" s="19"/>
      <c r="F1571" s="19"/>
      <c r="G1571" s="18"/>
      <c r="H1571" s="18"/>
      <c r="I1571" s="18"/>
      <c r="J1571" s="18"/>
      <c r="K1571" s="18"/>
      <c r="L1571" s="18"/>
      <c r="M1571" s="18"/>
      <c r="N1571" s="18"/>
      <c r="O1571" s="18"/>
      <c r="P1571" s="18"/>
      <c r="Q1571" s="18"/>
      <c r="R1571" s="18"/>
      <c r="S1571" s="18"/>
      <c r="T1571" s="18"/>
      <c r="U1571" s="18"/>
      <c r="V1571" s="18"/>
      <c r="W1571" s="18"/>
      <c r="X1571" s="18"/>
      <c r="Y1571" s="18"/>
      <c r="Z1571" s="18"/>
      <c r="AA1571" s="18"/>
      <c r="AB1571" s="18"/>
      <c r="AC1571" s="18"/>
      <c r="AD1571" s="19"/>
      <c r="AE1571" s="18"/>
      <c r="AF1571" s="18"/>
      <c r="AG1571" s="18"/>
      <c r="AH1571" s="18"/>
      <c r="AI1571" s="18"/>
      <c r="AJ1571" s="97"/>
      <c r="AK1571" s="18"/>
      <c r="AL1571" s="18"/>
    </row>
    <row r="1572" spans="4:38" x14ac:dyDescent="0.2">
      <c r="D1572" s="19"/>
      <c r="E1572" s="19"/>
      <c r="F1572" s="19"/>
      <c r="G1572" s="18"/>
      <c r="H1572" s="18"/>
      <c r="I1572" s="18"/>
      <c r="J1572" s="18"/>
      <c r="K1572" s="18"/>
      <c r="L1572" s="18"/>
      <c r="M1572" s="18"/>
      <c r="N1572" s="18"/>
      <c r="O1572" s="18"/>
      <c r="P1572" s="18"/>
      <c r="Q1572" s="18"/>
      <c r="R1572" s="18"/>
      <c r="S1572" s="18"/>
      <c r="T1572" s="18"/>
      <c r="U1572" s="18"/>
      <c r="V1572" s="18"/>
      <c r="W1572" s="18"/>
      <c r="X1572" s="18"/>
      <c r="Y1572" s="18"/>
      <c r="Z1572" s="18"/>
      <c r="AA1572" s="18"/>
      <c r="AB1572" s="18"/>
      <c r="AC1572" s="18"/>
      <c r="AD1572" s="19"/>
      <c r="AE1572" s="18"/>
      <c r="AF1572" s="18"/>
      <c r="AG1572" s="18"/>
      <c r="AH1572" s="18"/>
      <c r="AI1572" s="18"/>
      <c r="AJ1572" s="97"/>
      <c r="AK1572" s="18"/>
      <c r="AL1572" s="18"/>
    </row>
    <row r="1573" spans="4:38" x14ac:dyDescent="0.2">
      <c r="D1573" s="19"/>
      <c r="E1573" s="19"/>
      <c r="F1573" s="19"/>
      <c r="G1573" s="18"/>
      <c r="H1573" s="18"/>
      <c r="I1573" s="18"/>
      <c r="J1573" s="18"/>
      <c r="K1573" s="18"/>
      <c r="L1573" s="18"/>
      <c r="M1573" s="18"/>
      <c r="N1573" s="18"/>
      <c r="O1573" s="18"/>
      <c r="P1573" s="18"/>
      <c r="Q1573" s="18"/>
      <c r="R1573" s="18"/>
      <c r="S1573" s="18"/>
      <c r="T1573" s="18"/>
      <c r="U1573" s="18"/>
      <c r="V1573" s="18"/>
      <c r="W1573" s="18"/>
      <c r="X1573" s="18"/>
      <c r="Y1573" s="18"/>
      <c r="Z1573" s="18"/>
      <c r="AA1573" s="18"/>
      <c r="AB1573" s="18"/>
      <c r="AC1573" s="18"/>
      <c r="AD1573" s="19"/>
      <c r="AE1573" s="18"/>
      <c r="AF1573" s="18"/>
      <c r="AG1573" s="18"/>
      <c r="AH1573" s="18"/>
      <c r="AI1573" s="18"/>
      <c r="AJ1573" s="97"/>
      <c r="AK1573" s="18"/>
      <c r="AL1573" s="18"/>
    </row>
    <row r="1574" spans="4:38" x14ac:dyDescent="0.2">
      <c r="D1574" s="19"/>
      <c r="E1574" s="19"/>
      <c r="F1574" s="19"/>
      <c r="G1574" s="18"/>
      <c r="H1574" s="18"/>
      <c r="I1574" s="18"/>
      <c r="J1574" s="18"/>
      <c r="K1574" s="18"/>
      <c r="L1574" s="18"/>
      <c r="M1574" s="18"/>
      <c r="N1574" s="18"/>
      <c r="O1574" s="18"/>
      <c r="P1574" s="18"/>
      <c r="Q1574" s="18"/>
      <c r="R1574" s="18"/>
      <c r="S1574" s="18"/>
      <c r="T1574" s="18"/>
      <c r="U1574" s="18"/>
      <c r="V1574" s="18"/>
      <c r="W1574" s="18"/>
      <c r="X1574" s="18"/>
      <c r="Y1574" s="18"/>
      <c r="Z1574" s="18"/>
      <c r="AA1574" s="18"/>
      <c r="AB1574" s="18"/>
      <c r="AC1574" s="18"/>
      <c r="AD1574" s="19"/>
      <c r="AE1574" s="18"/>
      <c r="AF1574" s="18"/>
      <c r="AG1574" s="18"/>
      <c r="AH1574" s="18"/>
      <c r="AI1574" s="18"/>
      <c r="AJ1574" s="97"/>
      <c r="AK1574" s="18"/>
      <c r="AL1574" s="18"/>
    </row>
    <row r="1575" spans="4:38" x14ac:dyDescent="0.2">
      <c r="D1575" s="19"/>
      <c r="E1575" s="19"/>
      <c r="F1575" s="19"/>
      <c r="G1575" s="18"/>
      <c r="H1575" s="18"/>
      <c r="I1575" s="18"/>
      <c r="J1575" s="18"/>
      <c r="K1575" s="18"/>
      <c r="L1575" s="18"/>
      <c r="M1575" s="18"/>
      <c r="N1575" s="18"/>
      <c r="O1575" s="18"/>
      <c r="P1575" s="18"/>
      <c r="Q1575" s="18"/>
      <c r="R1575" s="18"/>
      <c r="S1575" s="18"/>
      <c r="T1575" s="18"/>
      <c r="U1575" s="18"/>
      <c r="V1575" s="18"/>
      <c r="W1575" s="18"/>
      <c r="X1575" s="18"/>
      <c r="Y1575" s="18"/>
      <c r="Z1575" s="18"/>
      <c r="AA1575" s="18"/>
      <c r="AB1575" s="18"/>
      <c r="AC1575" s="18"/>
      <c r="AD1575" s="19"/>
      <c r="AE1575" s="18"/>
      <c r="AF1575" s="18"/>
      <c r="AG1575" s="18"/>
      <c r="AH1575" s="18"/>
      <c r="AI1575" s="18"/>
      <c r="AJ1575" s="97"/>
      <c r="AK1575" s="18"/>
      <c r="AL1575" s="18"/>
    </row>
    <row r="1576" spans="4:38" x14ac:dyDescent="0.2">
      <c r="D1576" s="19"/>
      <c r="E1576" s="19"/>
      <c r="F1576" s="19"/>
      <c r="G1576" s="18"/>
      <c r="H1576" s="18"/>
      <c r="I1576" s="18"/>
      <c r="J1576" s="18"/>
      <c r="K1576" s="18"/>
      <c r="L1576" s="18"/>
      <c r="M1576" s="18"/>
      <c r="N1576" s="18"/>
      <c r="O1576" s="18"/>
      <c r="P1576" s="18"/>
      <c r="Q1576" s="18"/>
      <c r="R1576" s="18"/>
      <c r="S1576" s="18"/>
      <c r="T1576" s="18"/>
      <c r="U1576" s="18"/>
      <c r="V1576" s="18"/>
      <c r="W1576" s="18"/>
      <c r="X1576" s="18"/>
      <c r="Y1576" s="18"/>
      <c r="Z1576" s="18"/>
      <c r="AA1576" s="18"/>
      <c r="AB1576" s="18"/>
      <c r="AC1576" s="18"/>
      <c r="AD1576" s="19"/>
      <c r="AE1576" s="18"/>
      <c r="AF1576" s="18"/>
      <c r="AG1576" s="18"/>
      <c r="AH1576" s="18"/>
      <c r="AI1576" s="18"/>
      <c r="AJ1576" s="97"/>
      <c r="AK1576" s="18"/>
      <c r="AL1576" s="18"/>
    </row>
    <row r="1577" spans="4:38" x14ac:dyDescent="0.2">
      <c r="D1577" s="19"/>
      <c r="E1577" s="19"/>
      <c r="F1577" s="19"/>
      <c r="G1577" s="18"/>
      <c r="H1577" s="18"/>
      <c r="I1577" s="18"/>
      <c r="J1577" s="18"/>
      <c r="K1577" s="18"/>
      <c r="L1577" s="18"/>
      <c r="M1577" s="18"/>
      <c r="N1577" s="18"/>
      <c r="O1577" s="18"/>
      <c r="P1577" s="18"/>
      <c r="Q1577" s="18"/>
      <c r="R1577" s="18"/>
      <c r="S1577" s="18"/>
      <c r="T1577" s="18"/>
      <c r="U1577" s="18"/>
      <c r="V1577" s="18"/>
      <c r="W1577" s="18"/>
      <c r="X1577" s="18"/>
      <c r="Y1577" s="18"/>
      <c r="Z1577" s="18"/>
      <c r="AA1577" s="18"/>
      <c r="AB1577" s="18"/>
      <c r="AC1577" s="18"/>
      <c r="AD1577" s="19"/>
      <c r="AE1577" s="18"/>
      <c r="AF1577" s="18"/>
      <c r="AG1577" s="18"/>
      <c r="AH1577" s="18"/>
      <c r="AI1577" s="18"/>
      <c r="AJ1577" s="97"/>
      <c r="AK1577" s="18"/>
      <c r="AL1577" s="18"/>
    </row>
    <row r="1578" spans="4:38" x14ac:dyDescent="0.2">
      <c r="D1578" s="19"/>
      <c r="E1578" s="19"/>
      <c r="F1578" s="19"/>
      <c r="G1578" s="18"/>
      <c r="H1578" s="18"/>
      <c r="I1578" s="18"/>
      <c r="J1578" s="18"/>
      <c r="K1578" s="18"/>
      <c r="L1578" s="18"/>
      <c r="M1578" s="18"/>
      <c r="N1578" s="18"/>
      <c r="O1578" s="18"/>
      <c r="P1578" s="18"/>
      <c r="Q1578" s="18"/>
      <c r="R1578" s="18"/>
      <c r="S1578" s="18"/>
      <c r="T1578" s="18"/>
      <c r="U1578" s="18"/>
      <c r="V1578" s="18"/>
      <c r="W1578" s="18"/>
      <c r="X1578" s="18"/>
      <c r="Y1578" s="18"/>
      <c r="Z1578" s="18"/>
      <c r="AA1578" s="18"/>
      <c r="AB1578" s="18"/>
      <c r="AC1578" s="18"/>
      <c r="AD1578" s="19"/>
      <c r="AE1578" s="18"/>
      <c r="AF1578" s="18"/>
      <c r="AG1578" s="18"/>
      <c r="AH1578" s="18"/>
      <c r="AI1578" s="18"/>
      <c r="AJ1578" s="97"/>
      <c r="AK1578" s="18"/>
      <c r="AL1578" s="18"/>
    </row>
    <row r="1579" spans="4:38" x14ac:dyDescent="0.2">
      <c r="D1579" s="19"/>
      <c r="E1579" s="19"/>
      <c r="F1579" s="19"/>
      <c r="G1579" s="18"/>
      <c r="H1579" s="18"/>
      <c r="I1579" s="18"/>
      <c r="J1579" s="18"/>
      <c r="K1579" s="18"/>
      <c r="L1579" s="18"/>
      <c r="M1579" s="18"/>
      <c r="N1579" s="18"/>
      <c r="O1579" s="18"/>
      <c r="P1579" s="18"/>
      <c r="Q1579" s="18"/>
      <c r="R1579" s="18"/>
      <c r="S1579" s="18"/>
      <c r="T1579" s="18"/>
      <c r="U1579" s="18"/>
      <c r="V1579" s="18"/>
      <c r="W1579" s="18"/>
      <c r="X1579" s="18"/>
      <c r="Y1579" s="18"/>
      <c r="Z1579" s="18"/>
      <c r="AA1579" s="18"/>
      <c r="AB1579" s="18"/>
      <c r="AC1579" s="18"/>
      <c r="AD1579" s="19"/>
      <c r="AE1579" s="18"/>
      <c r="AF1579" s="18"/>
      <c r="AG1579" s="18"/>
      <c r="AH1579" s="18"/>
      <c r="AI1579" s="18"/>
      <c r="AJ1579" s="97"/>
      <c r="AK1579" s="18"/>
      <c r="AL1579" s="18"/>
    </row>
    <row r="1580" spans="4:38" x14ac:dyDescent="0.2">
      <c r="D1580" s="19"/>
      <c r="E1580" s="19"/>
      <c r="F1580" s="19"/>
      <c r="G1580" s="18"/>
      <c r="H1580" s="18"/>
      <c r="I1580" s="18"/>
      <c r="J1580" s="18"/>
      <c r="K1580" s="18"/>
      <c r="L1580" s="18"/>
      <c r="M1580" s="18"/>
      <c r="N1580" s="18"/>
      <c r="O1580" s="18"/>
      <c r="P1580" s="18"/>
      <c r="Q1580" s="18"/>
      <c r="R1580" s="18"/>
      <c r="S1580" s="18"/>
      <c r="T1580" s="18"/>
      <c r="U1580" s="18"/>
      <c r="V1580" s="18"/>
      <c r="W1580" s="18"/>
      <c r="X1580" s="18"/>
      <c r="Y1580" s="18"/>
      <c r="Z1580" s="18"/>
      <c r="AA1580" s="18"/>
      <c r="AB1580" s="18"/>
      <c r="AC1580" s="18"/>
      <c r="AD1580" s="19"/>
      <c r="AE1580" s="18"/>
      <c r="AF1580" s="18"/>
      <c r="AG1580" s="18"/>
      <c r="AH1580" s="18"/>
      <c r="AI1580" s="18"/>
      <c r="AJ1580" s="97"/>
      <c r="AK1580" s="18"/>
      <c r="AL1580" s="18"/>
    </row>
    <row r="1581" spans="4:38" x14ac:dyDescent="0.2">
      <c r="D1581" s="19"/>
      <c r="E1581" s="19"/>
      <c r="F1581" s="19"/>
      <c r="G1581" s="18"/>
      <c r="H1581" s="18"/>
      <c r="I1581" s="18"/>
      <c r="J1581" s="18"/>
      <c r="K1581" s="18"/>
      <c r="L1581" s="18"/>
      <c r="M1581" s="18"/>
      <c r="N1581" s="18"/>
      <c r="O1581" s="18"/>
      <c r="P1581" s="18"/>
      <c r="Q1581" s="18"/>
      <c r="R1581" s="18"/>
      <c r="S1581" s="18"/>
      <c r="T1581" s="18"/>
      <c r="U1581" s="18"/>
      <c r="V1581" s="18"/>
      <c r="W1581" s="18"/>
      <c r="X1581" s="18"/>
      <c r="Y1581" s="18"/>
      <c r="Z1581" s="18"/>
      <c r="AA1581" s="18"/>
      <c r="AB1581" s="18"/>
      <c r="AC1581" s="18"/>
      <c r="AD1581" s="19"/>
      <c r="AE1581" s="18"/>
      <c r="AF1581" s="18"/>
      <c r="AG1581" s="18"/>
      <c r="AH1581" s="18"/>
      <c r="AI1581" s="18"/>
      <c r="AJ1581" s="97"/>
      <c r="AK1581" s="18"/>
      <c r="AL1581" s="18"/>
    </row>
    <row r="1582" spans="4:38" x14ac:dyDescent="0.2">
      <c r="D1582" s="19"/>
      <c r="E1582" s="19"/>
      <c r="F1582" s="19"/>
      <c r="G1582" s="18"/>
      <c r="H1582" s="18"/>
      <c r="I1582" s="18"/>
      <c r="J1582" s="18"/>
      <c r="K1582" s="18"/>
      <c r="L1582" s="18"/>
      <c r="M1582" s="18"/>
      <c r="N1582" s="18"/>
      <c r="O1582" s="18"/>
      <c r="P1582" s="18"/>
      <c r="Q1582" s="18"/>
      <c r="R1582" s="18"/>
      <c r="S1582" s="18"/>
      <c r="T1582" s="18"/>
      <c r="U1582" s="18"/>
      <c r="V1582" s="18"/>
      <c r="W1582" s="18"/>
      <c r="X1582" s="18"/>
      <c r="Y1582" s="18"/>
      <c r="Z1582" s="18"/>
      <c r="AA1582" s="18"/>
      <c r="AB1582" s="18"/>
      <c r="AC1582" s="18"/>
      <c r="AD1582" s="19"/>
      <c r="AE1582" s="18"/>
      <c r="AF1582" s="18"/>
      <c r="AG1582" s="18"/>
      <c r="AH1582" s="18"/>
      <c r="AI1582" s="18"/>
      <c r="AJ1582" s="97"/>
      <c r="AK1582" s="18"/>
      <c r="AL1582" s="18"/>
    </row>
    <row r="1583" spans="4:38" x14ac:dyDescent="0.2">
      <c r="D1583" s="19"/>
      <c r="E1583" s="19"/>
      <c r="F1583" s="19"/>
      <c r="G1583" s="18"/>
      <c r="H1583" s="18"/>
      <c r="I1583" s="18"/>
      <c r="J1583" s="18"/>
      <c r="K1583" s="18"/>
      <c r="L1583" s="18"/>
      <c r="M1583" s="18"/>
      <c r="N1583" s="18"/>
      <c r="O1583" s="18"/>
      <c r="P1583" s="18"/>
      <c r="Q1583" s="18"/>
      <c r="R1583" s="18"/>
      <c r="S1583" s="18"/>
      <c r="T1583" s="18"/>
      <c r="U1583" s="18"/>
      <c r="V1583" s="18"/>
      <c r="W1583" s="18"/>
      <c r="X1583" s="18"/>
      <c r="Y1583" s="18"/>
      <c r="Z1583" s="18"/>
      <c r="AA1583" s="18"/>
      <c r="AB1583" s="18"/>
      <c r="AC1583" s="18"/>
      <c r="AD1583" s="19"/>
      <c r="AE1583" s="18"/>
      <c r="AF1583" s="18"/>
      <c r="AG1583" s="18"/>
      <c r="AH1583" s="18"/>
      <c r="AI1583" s="18"/>
      <c r="AJ1583" s="97"/>
      <c r="AK1583" s="18"/>
      <c r="AL1583" s="18"/>
    </row>
    <row r="1584" spans="4:38" x14ac:dyDescent="0.2">
      <c r="D1584" s="19"/>
      <c r="E1584" s="19"/>
      <c r="F1584" s="19"/>
      <c r="G1584" s="18"/>
      <c r="H1584" s="18"/>
      <c r="I1584" s="18"/>
      <c r="J1584" s="18"/>
      <c r="K1584" s="18"/>
      <c r="L1584" s="18"/>
      <c r="M1584" s="18"/>
      <c r="N1584" s="18"/>
      <c r="O1584" s="18"/>
      <c r="P1584" s="18"/>
      <c r="Q1584" s="18"/>
      <c r="R1584" s="18"/>
      <c r="S1584" s="18"/>
      <c r="T1584" s="18"/>
      <c r="U1584" s="18"/>
      <c r="V1584" s="18"/>
      <c r="W1584" s="18"/>
      <c r="X1584" s="18"/>
      <c r="Y1584" s="18"/>
      <c r="Z1584" s="18"/>
      <c r="AA1584" s="18"/>
      <c r="AB1584" s="18"/>
      <c r="AC1584" s="18"/>
      <c r="AD1584" s="19"/>
      <c r="AE1584" s="18"/>
      <c r="AF1584" s="18"/>
      <c r="AG1584" s="18"/>
      <c r="AH1584" s="18"/>
      <c r="AI1584" s="18"/>
      <c r="AJ1584" s="97"/>
      <c r="AK1584" s="18"/>
      <c r="AL1584" s="18"/>
    </row>
    <row r="1585" spans="4:38" x14ac:dyDescent="0.2">
      <c r="D1585" s="19"/>
      <c r="E1585" s="19"/>
      <c r="F1585" s="19"/>
      <c r="G1585" s="18"/>
      <c r="H1585" s="18"/>
      <c r="I1585" s="18"/>
      <c r="J1585" s="18"/>
      <c r="K1585" s="18"/>
      <c r="L1585" s="18"/>
      <c r="M1585" s="18"/>
      <c r="N1585" s="18"/>
      <c r="O1585" s="18"/>
      <c r="P1585" s="18"/>
      <c r="Q1585" s="18"/>
      <c r="R1585" s="18"/>
      <c r="S1585" s="18"/>
      <c r="T1585" s="18"/>
      <c r="U1585" s="18"/>
      <c r="V1585" s="18"/>
      <c r="W1585" s="18"/>
      <c r="X1585" s="18"/>
      <c r="Y1585" s="18"/>
      <c r="Z1585" s="18"/>
      <c r="AA1585" s="18"/>
      <c r="AB1585" s="18"/>
      <c r="AC1585" s="18"/>
      <c r="AD1585" s="19"/>
      <c r="AE1585" s="18"/>
      <c r="AF1585" s="18"/>
      <c r="AG1585" s="18"/>
      <c r="AH1585" s="18"/>
      <c r="AI1585" s="18"/>
      <c r="AJ1585" s="97"/>
      <c r="AK1585" s="18"/>
      <c r="AL1585" s="18"/>
    </row>
    <row r="1586" spans="4:38" x14ac:dyDescent="0.2">
      <c r="D1586" s="19"/>
      <c r="E1586" s="19"/>
      <c r="F1586" s="19"/>
      <c r="G1586" s="18"/>
      <c r="H1586" s="18"/>
      <c r="I1586" s="18"/>
      <c r="J1586" s="18"/>
      <c r="K1586" s="18"/>
      <c r="L1586" s="18"/>
      <c r="M1586" s="18"/>
      <c r="N1586" s="18"/>
      <c r="O1586" s="18"/>
      <c r="P1586" s="18"/>
      <c r="Q1586" s="18"/>
      <c r="R1586" s="18"/>
      <c r="S1586" s="18"/>
      <c r="T1586" s="18"/>
      <c r="U1586" s="18"/>
      <c r="V1586" s="18"/>
      <c r="W1586" s="18"/>
      <c r="X1586" s="18"/>
      <c r="Y1586" s="18"/>
      <c r="Z1586" s="18"/>
      <c r="AA1586" s="18"/>
      <c r="AB1586" s="18"/>
      <c r="AC1586" s="18"/>
      <c r="AD1586" s="19"/>
      <c r="AE1586" s="18"/>
      <c r="AF1586" s="18"/>
      <c r="AG1586" s="18"/>
      <c r="AH1586" s="18"/>
      <c r="AI1586" s="18"/>
      <c r="AJ1586" s="97"/>
      <c r="AK1586" s="18"/>
      <c r="AL1586" s="18"/>
    </row>
    <row r="1587" spans="4:38" x14ac:dyDescent="0.2">
      <c r="D1587" s="19"/>
      <c r="E1587" s="19"/>
      <c r="F1587" s="19"/>
      <c r="G1587" s="18"/>
      <c r="H1587" s="18"/>
      <c r="I1587" s="18"/>
      <c r="J1587" s="18"/>
      <c r="K1587" s="18"/>
      <c r="L1587" s="18"/>
      <c r="M1587" s="18"/>
      <c r="N1587" s="18"/>
      <c r="O1587" s="18"/>
      <c r="P1587" s="18"/>
      <c r="Q1587" s="18"/>
      <c r="R1587" s="18"/>
      <c r="S1587" s="18"/>
      <c r="T1587" s="18"/>
      <c r="U1587" s="18"/>
      <c r="V1587" s="18"/>
      <c r="W1587" s="18"/>
      <c r="X1587" s="18"/>
      <c r="Y1587" s="18"/>
      <c r="Z1587" s="18"/>
      <c r="AA1587" s="18"/>
      <c r="AB1587" s="18"/>
      <c r="AC1587" s="18"/>
      <c r="AD1587" s="19"/>
      <c r="AE1587" s="18"/>
      <c r="AF1587" s="18"/>
      <c r="AG1587" s="18"/>
      <c r="AH1587" s="18"/>
      <c r="AI1587" s="18"/>
      <c r="AJ1587" s="97"/>
      <c r="AK1587" s="18"/>
      <c r="AL1587" s="18"/>
    </row>
    <row r="1588" spans="4:38" x14ac:dyDescent="0.2">
      <c r="D1588" s="19"/>
      <c r="E1588" s="19"/>
      <c r="F1588" s="19"/>
      <c r="G1588" s="18"/>
      <c r="H1588" s="18"/>
      <c r="I1588" s="18"/>
      <c r="J1588" s="18"/>
      <c r="K1588" s="18"/>
      <c r="L1588" s="18"/>
      <c r="M1588" s="18"/>
      <c r="N1588" s="18"/>
      <c r="O1588" s="18"/>
      <c r="P1588" s="18"/>
      <c r="Q1588" s="18"/>
      <c r="R1588" s="18"/>
      <c r="S1588" s="18"/>
      <c r="T1588" s="18"/>
      <c r="U1588" s="18"/>
      <c r="V1588" s="18"/>
      <c r="W1588" s="18"/>
      <c r="X1588" s="18"/>
      <c r="Y1588" s="18"/>
      <c r="Z1588" s="18"/>
      <c r="AA1588" s="18"/>
      <c r="AB1588" s="18"/>
      <c r="AC1588" s="18"/>
      <c r="AD1588" s="19"/>
      <c r="AE1588" s="18"/>
      <c r="AF1588" s="18"/>
      <c r="AG1588" s="18"/>
      <c r="AH1588" s="18"/>
      <c r="AI1588" s="18"/>
      <c r="AJ1588" s="97"/>
      <c r="AK1588" s="18"/>
      <c r="AL1588" s="18"/>
    </row>
    <row r="1589" spans="4:38" x14ac:dyDescent="0.2">
      <c r="D1589" s="19"/>
      <c r="E1589" s="19"/>
      <c r="F1589" s="19"/>
      <c r="G1589" s="18"/>
      <c r="H1589" s="18"/>
      <c r="I1589" s="18"/>
      <c r="J1589" s="18"/>
      <c r="K1589" s="18"/>
      <c r="L1589" s="18"/>
      <c r="M1589" s="18"/>
      <c r="N1589" s="18"/>
      <c r="O1589" s="18"/>
      <c r="P1589" s="18"/>
      <c r="Q1589" s="18"/>
      <c r="R1589" s="18"/>
      <c r="S1589" s="18"/>
      <c r="T1589" s="18"/>
      <c r="U1589" s="18"/>
      <c r="V1589" s="18"/>
      <c r="W1589" s="18"/>
      <c r="X1589" s="18"/>
      <c r="Y1589" s="18"/>
      <c r="Z1589" s="18"/>
      <c r="AA1589" s="18"/>
      <c r="AB1589" s="18"/>
      <c r="AC1589" s="18"/>
      <c r="AD1589" s="19"/>
      <c r="AE1589" s="18"/>
      <c r="AF1589" s="18"/>
      <c r="AG1589" s="18"/>
      <c r="AH1589" s="18"/>
      <c r="AI1589" s="18"/>
      <c r="AJ1589" s="97"/>
      <c r="AK1589" s="18"/>
      <c r="AL1589" s="18"/>
    </row>
    <row r="1590" spans="4:38" x14ac:dyDescent="0.2">
      <c r="D1590" s="19"/>
      <c r="E1590" s="19"/>
      <c r="F1590" s="19"/>
      <c r="G1590" s="18"/>
      <c r="H1590" s="18"/>
      <c r="I1590" s="18"/>
      <c r="J1590" s="18"/>
      <c r="K1590" s="18"/>
      <c r="L1590" s="18"/>
      <c r="M1590" s="18"/>
      <c r="N1590" s="18"/>
      <c r="O1590" s="18"/>
      <c r="P1590" s="18"/>
      <c r="Q1590" s="18"/>
      <c r="R1590" s="18"/>
      <c r="S1590" s="18"/>
      <c r="T1590" s="18"/>
      <c r="U1590" s="18"/>
      <c r="V1590" s="18"/>
      <c r="W1590" s="18"/>
      <c r="X1590" s="18"/>
      <c r="Y1590" s="18"/>
      <c r="Z1590" s="18"/>
      <c r="AA1590" s="18"/>
      <c r="AB1590" s="18"/>
      <c r="AC1590" s="18"/>
      <c r="AD1590" s="19"/>
      <c r="AE1590" s="18"/>
      <c r="AF1590" s="18"/>
      <c r="AG1590" s="18"/>
      <c r="AH1590" s="18"/>
      <c r="AI1590" s="18"/>
      <c r="AJ1590" s="97"/>
      <c r="AK1590" s="18"/>
      <c r="AL1590" s="18"/>
    </row>
    <row r="1591" spans="4:38" x14ac:dyDescent="0.2">
      <c r="D1591" s="19"/>
      <c r="E1591" s="19"/>
      <c r="F1591" s="19"/>
      <c r="G1591" s="18"/>
      <c r="H1591" s="18"/>
      <c r="I1591" s="18"/>
      <c r="J1591" s="18"/>
      <c r="K1591" s="18"/>
      <c r="L1591" s="18"/>
      <c r="M1591" s="18"/>
      <c r="N1591" s="18"/>
      <c r="O1591" s="18"/>
      <c r="P1591" s="18"/>
      <c r="Q1591" s="18"/>
      <c r="R1591" s="18"/>
      <c r="S1591" s="18"/>
      <c r="T1591" s="18"/>
      <c r="U1591" s="18"/>
      <c r="V1591" s="18"/>
      <c r="W1591" s="18"/>
      <c r="X1591" s="18"/>
      <c r="Y1591" s="18"/>
      <c r="Z1591" s="18"/>
      <c r="AA1591" s="18"/>
      <c r="AB1591" s="18"/>
      <c r="AC1591" s="18"/>
      <c r="AD1591" s="19"/>
      <c r="AE1591" s="18"/>
      <c r="AF1591" s="18"/>
      <c r="AG1591" s="18"/>
      <c r="AH1591" s="18"/>
      <c r="AI1591" s="18"/>
      <c r="AJ1591" s="97"/>
      <c r="AK1591" s="18"/>
      <c r="AL1591" s="18"/>
    </row>
    <row r="1592" spans="4:38" x14ac:dyDescent="0.2">
      <c r="D1592" s="19"/>
      <c r="E1592" s="19"/>
      <c r="F1592" s="19"/>
      <c r="G1592" s="18"/>
      <c r="H1592" s="18"/>
      <c r="I1592" s="18"/>
      <c r="J1592" s="18"/>
      <c r="K1592" s="18"/>
      <c r="L1592" s="18"/>
      <c r="M1592" s="18"/>
      <c r="N1592" s="18"/>
      <c r="O1592" s="18"/>
      <c r="P1592" s="18"/>
      <c r="Q1592" s="18"/>
      <c r="R1592" s="18"/>
      <c r="S1592" s="18"/>
      <c r="T1592" s="18"/>
      <c r="U1592" s="18"/>
      <c r="V1592" s="18"/>
      <c r="W1592" s="18"/>
      <c r="X1592" s="18"/>
      <c r="Y1592" s="18"/>
      <c r="Z1592" s="18"/>
      <c r="AA1592" s="18"/>
      <c r="AB1592" s="18"/>
      <c r="AC1592" s="18"/>
      <c r="AD1592" s="19"/>
      <c r="AE1592" s="18"/>
      <c r="AF1592" s="18"/>
      <c r="AG1592" s="18"/>
      <c r="AH1592" s="18"/>
      <c r="AI1592" s="18"/>
      <c r="AJ1592" s="97"/>
      <c r="AK1592" s="18"/>
      <c r="AL1592" s="18"/>
    </row>
    <row r="1593" spans="4:38" x14ac:dyDescent="0.2">
      <c r="D1593" s="19"/>
      <c r="E1593" s="19"/>
      <c r="F1593" s="19"/>
      <c r="G1593" s="18"/>
      <c r="H1593" s="18"/>
      <c r="I1593" s="18"/>
      <c r="J1593" s="18"/>
      <c r="K1593" s="18"/>
      <c r="L1593" s="18"/>
      <c r="M1593" s="18"/>
      <c r="N1593" s="18"/>
      <c r="O1593" s="18"/>
      <c r="P1593" s="18"/>
      <c r="Q1593" s="18"/>
      <c r="R1593" s="18"/>
      <c r="S1593" s="18"/>
      <c r="T1593" s="18"/>
      <c r="U1593" s="18"/>
      <c r="V1593" s="18"/>
      <c r="W1593" s="18"/>
      <c r="X1593" s="18"/>
      <c r="Y1593" s="18"/>
      <c r="Z1593" s="18"/>
      <c r="AA1593" s="18"/>
      <c r="AB1593" s="18"/>
      <c r="AC1593" s="18"/>
      <c r="AD1593" s="19"/>
      <c r="AE1593" s="18"/>
      <c r="AF1593" s="18"/>
      <c r="AG1593" s="18"/>
      <c r="AH1593" s="18"/>
      <c r="AI1593" s="18"/>
      <c r="AJ1593" s="97"/>
      <c r="AK1593" s="18"/>
      <c r="AL1593" s="18"/>
    </row>
    <row r="1594" spans="4:38" x14ac:dyDescent="0.2">
      <c r="D1594" s="19"/>
      <c r="E1594" s="19"/>
      <c r="F1594" s="19"/>
      <c r="G1594" s="18"/>
      <c r="H1594" s="18"/>
      <c r="I1594" s="18"/>
      <c r="J1594" s="18"/>
      <c r="K1594" s="18"/>
      <c r="L1594" s="18"/>
      <c r="M1594" s="18"/>
      <c r="N1594" s="18"/>
      <c r="O1594" s="18"/>
      <c r="P1594" s="18"/>
      <c r="Q1594" s="18"/>
      <c r="R1594" s="18"/>
      <c r="S1594" s="18"/>
      <c r="T1594" s="18"/>
      <c r="U1594" s="18"/>
      <c r="V1594" s="18"/>
      <c r="W1594" s="18"/>
      <c r="X1594" s="18"/>
      <c r="Y1594" s="18"/>
      <c r="Z1594" s="18"/>
      <c r="AA1594" s="18"/>
      <c r="AB1594" s="18"/>
      <c r="AC1594" s="18"/>
      <c r="AD1594" s="19"/>
      <c r="AE1594" s="18"/>
      <c r="AF1594" s="18"/>
      <c r="AG1594" s="18"/>
      <c r="AH1594" s="18"/>
      <c r="AI1594" s="18"/>
      <c r="AJ1594" s="97"/>
      <c r="AK1594" s="18"/>
      <c r="AL1594" s="18"/>
    </row>
    <row r="1595" spans="4:38" x14ac:dyDescent="0.2">
      <c r="D1595" s="19"/>
      <c r="E1595" s="19"/>
      <c r="F1595" s="19"/>
      <c r="G1595" s="18"/>
      <c r="H1595" s="18"/>
      <c r="I1595" s="18"/>
      <c r="J1595" s="18"/>
      <c r="K1595" s="18"/>
      <c r="L1595" s="18"/>
      <c r="M1595" s="18"/>
      <c r="N1595" s="18"/>
      <c r="O1595" s="18"/>
      <c r="P1595" s="18"/>
      <c r="Q1595" s="18"/>
      <c r="R1595" s="18"/>
      <c r="S1595" s="18"/>
      <c r="T1595" s="18"/>
      <c r="U1595" s="18"/>
      <c r="V1595" s="18"/>
      <c r="W1595" s="18"/>
      <c r="X1595" s="18"/>
      <c r="Y1595" s="18"/>
      <c r="Z1595" s="18"/>
      <c r="AA1595" s="18"/>
      <c r="AB1595" s="18"/>
      <c r="AC1595" s="18"/>
      <c r="AD1595" s="19"/>
      <c r="AE1595" s="18"/>
      <c r="AF1595" s="18"/>
      <c r="AG1595" s="18"/>
      <c r="AH1595" s="18"/>
      <c r="AI1595" s="18"/>
      <c r="AJ1595" s="97"/>
      <c r="AK1595" s="18"/>
      <c r="AL1595" s="18"/>
    </row>
    <row r="1596" spans="4:38" x14ac:dyDescent="0.2">
      <c r="D1596" s="19"/>
      <c r="E1596" s="19"/>
      <c r="F1596" s="19"/>
      <c r="G1596" s="18"/>
      <c r="H1596" s="18"/>
      <c r="I1596" s="18"/>
      <c r="J1596" s="18"/>
      <c r="K1596" s="18"/>
      <c r="L1596" s="18"/>
      <c r="M1596" s="18"/>
      <c r="N1596" s="18"/>
      <c r="O1596" s="18"/>
      <c r="P1596" s="18"/>
      <c r="Q1596" s="18"/>
      <c r="R1596" s="18"/>
      <c r="S1596" s="18"/>
      <c r="T1596" s="18"/>
      <c r="U1596" s="18"/>
      <c r="V1596" s="18"/>
      <c r="W1596" s="18"/>
      <c r="X1596" s="18"/>
      <c r="Y1596" s="18"/>
      <c r="Z1596" s="18"/>
      <c r="AA1596" s="18"/>
      <c r="AB1596" s="18"/>
      <c r="AC1596" s="18"/>
      <c r="AD1596" s="19"/>
      <c r="AE1596" s="18"/>
      <c r="AF1596" s="18"/>
      <c r="AG1596" s="18"/>
      <c r="AH1596" s="18"/>
      <c r="AI1596" s="18"/>
      <c r="AJ1596" s="97"/>
      <c r="AK1596" s="18"/>
      <c r="AL1596" s="18"/>
    </row>
    <row r="1597" spans="4:38" x14ac:dyDescent="0.2">
      <c r="D1597" s="19"/>
      <c r="E1597" s="19"/>
      <c r="F1597" s="19"/>
      <c r="G1597" s="18"/>
      <c r="H1597" s="18"/>
      <c r="I1597" s="18"/>
      <c r="J1597" s="18"/>
      <c r="K1597" s="18"/>
      <c r="L1597" s="18"/>
      <c r="M1597" s="18"/>
      <c r="N1597" s="18"/>
      <c r="O1597" s="18"/>
      <c r="P1597" s="18"/>
      <c r="Q1597" s="18"/>
      <c r="R1597" s="18"/>
      <c r="S1597" s="18"/>
      <c r="T1597" s="18"/>
      <c r="U1597" s="18"/>
      <c r="V1597" s="18"/>
      <c r="W1597" s="18"/>
      <c r="X1597" s="18"/>
      <c r="Y1597" s="18"/>
      <c r="Z1597" s="18"/>
      <c r="AA1597" s="18"/>
      <c r="AB1597" s="18"/>
      <c r="AC1597" s="18"/>
      <c r="AD1597" s="19"/>
      <c r="AE1597" s="18"/>
      <c r="AF1597" s="18"/>
      <c r="AG1597" s="18"/>
      <c r="AH1597" s="18"/>
      <c r="AI1597" s="18"/>
      <c r="AJ1597" s="97"/>
      <c r="AK1597" s="18"/>
      <c r="AL1597" s="18"/>
    </row>
    <row r="1598" spans="4:38" x14ac:dyDescent="0.2">
      <c r="D1598" s="19"/>
      <c r="E1598" s="19"/>
      <c r="F1598" s="19"/>
      <c r="G1598" s="18"/>
      <c r="H1598" s="18"/>
      <c r="I1598" s="18"/>
      <c r="J1598" s="18"/>
      <c r="K1598" s="18"/>
      <c r="L1598" s="18"/>
      <c r="M1598" s="18"/>
      <c r="N1598" s="18"/>
      <c r="O1598" s="18"/>
      <c r="P1598" s="18"/>
      <c r="Q1598" s="18"/>
      <c r="R1598" s="18"/>
      <c r="S1598" s="18"/>
      <c r="T1598" s="18"/>
      <c r="U1598" s="18"/>
      <c r="V1598" s="18"/>
      <c r="W1598" s="18"/>
      <c r="X1598" s="18"/>
      <c r="Y1598" s="18"/>
      <c r="Z1598" s="18"/>
      <c r="AA1598" s="18"/>
      <c r="AB1598" s="18"/>
      <c r="AC1598" s="18"/>
      <c r="AD1598" s="19"/>
      <c r="AE1598" s="18"/>
      <c r="AF1598" s="18"/>
      <c r="AG1598" s="18"/>
      <c r="AH1598" s="18"/>
      <c r="AI1598" s="18"/>
      <c r="AJ1598" s="97"/>
      <c r="AK1598" s="18"/>
      <c r="AL1598" s="18"/>
    </row>
    <row r="1599" spans="4:38" x14ac:dyDescent="0.2">
      <c r="D1599" s="19"/>
      <c r="E1599" s="19"/>
      <c r="F1599" s="19"/>
      <c r="G1599" s="18"/>
      <c r="H1599" s="18"/>
      <c r="I1599" s="18"/>
      <c r="J1599" s="18"/>
      <c r="K1599" s="18"/>
      <c r="L1599" s="18"/>
      <c r="M1599" s="18"/>
      <c r="N1599" s="18"/>
      <c r="O1599" s="18"/>
      <c r="P1599" s="18"/>
      <c r="Q1599" s="18"/>
      <c r="R1599" s="18"/>
      <c r="S1599" s="18"/>
      <c r="T1599" s="18"/>
      <c r="U1599" s="18"/>
      <c r="V1599" s="18"/>
      <c r="W1599" s="18"/>
      <c r="X1599" s="18"/>
      <c r="Y1599" s="18"/>
      <c r="Z1599" s="18"/>
      <c r="AA1599" s="18"/>
      <c r="AB1599" s="18"/>
      <c r="AC1599" s="18"/>
      <c r="AD1599" s="19"/>
      <c r="AE1599" s="18"/>
      <c r="AF1599" s="18"/>
      <c r="AG1599" s="18"/>
      <c r="AH1599" s="18"/>
      <c r="AI1599" s="18"/>
      <c r="AJ1599" s="97"/>
      <c r="AK1599" s="18"/>
      <c r="AL1599" s="18"/>
    </row>
    <row r="1600" spans="4:38" x14ac:dyDescent="0.2">
      <c r="D1600" s="19"/>
      <c r="E1600" s="19"/>
      <c r="F1600" s="19"/>
      <c r="G1600" s="18"/>
      <c r="H1600" s="18"/>
      <c r="I1600" s="18"/>
      <c r="J1600" s="18"/>
      <c r="K1600" s="18"/>
      <c r="L1600" s="18"/>
      <c r="M1600" s="18"/>
      <c r="N1600" s="18"/>
      <c r="O1600" s="18"/>
      <c r="P1600" s="18"/>
      <c r="Q1600" s="18"/>
      <c r="R1600" s="18"/>
      <c r="S1600" s="18"/>
      <c r="T1600" s="18"/>
      <c r="U1600" s="18"/>
      <c r="V1600" s="18"/>
      <c r="W1600" s="18"/>
      <c r="X1600" s="18"/>
      <c r="Y1600" s="18"/>
      <c r="Z1600" s="18"/>
      <c r="AA1600" s="18"/>
      <c r="AB1600" s="18"/>
      <c r="AC1600" s="18"/>
      <c r="AD1600" s="19"/>
      <c r="AE1600" s="18"/>
      <c r="AF1600" s="18"/>
      <c r="AG1600" s="18"/>
      <c r="AH1600" s="18"/>
      <c r="AI1600" s="18"/>
      <c r="AJ1600" s="97"/>
      <c r="AK1600" s="18"/>
      <c r="AL1600" s="18"/>
    </row>
    <row r="1601" spans="4:38" x14ac:dyDescent="0.2">
      <c r="D1601" s="19"/>
      <c r="E1601" s="19"/>
      <c r="F1601" s="19"/>
      <c r="G1601" s="18"/>
      <c r="H1601" s="18"/>
      <c r="I1601" s="18"/>
      <c r="J1601" s="18"/>
      <c r="K1601" s="18"/>
      <c r="L1601" s="18"/>
      <c r="M1601" s="18"/>
      <c r="N1601" s="18"/>
      <c r="O1601" s="18"/>
      <c r="P1601" s="18"/>
      <c r="Q1601" s="18"/>
      <c r="R1601" s="18"/>
      <c r="S1601" s="18"/>
      <c r="T1601" s="18"/>
      <c r="U1601" s="18"/>
      <c r="V1601" s="18"/>
      <c r="W1601" s="18"/>
      <c r="X1601" s="18"/>
      <c r="Y1601" s="18"/>
      <c r="Z1601" s="18"/>
      <c r="AA1601" s="18"/>
      <c r="AB1601" s="18"/>
      <c r="AC1601" s="18"/>
      <c r="AD1601" s="19"/>
      <c r="AE1601" s="18"/>
      <c r="AF1601" s="18"/>
      <c r="AG1601" s="18"/>
      <c r="AH1601" s="18"/>
      <c r="AI1601" s="18"/>
      <c r="AJ1601" s="97"/>
      <c r="AK1601" s="18"/>
      <c r="AL1601" s="18"/>
    </row>
    <row r="1602" spans="4:38" x14ac:dyDescent="0.2">
      <c r="D1602" s="19"/>
      <c r="E1602" s="19"/>
      <c r="F1602" s="19"/>
      <c r="G1602" s="18"/>
      <c r="H1602" s="18"/>
      <c r="I1602" s="18"/>
      <c r="J1602" s="18"/>
      <c r="K1602" s="18"/>
      <c r="L1602" s="18"/>
      <c r="M1602" s="18"/>
      <c r="N1602" s="18"/>
      <c r="O1602" s="18"/>
      <c r="P1602" s="18"/>
      <c r="Q1602" s="18"/>
      <c r="R1602" s="18"/>
      <c r="S1602" s="18"/>
      <c r="T1602" s="18"/>
      <c r="U1602" s="18"/>
      <c r="V1602" s="18"/>
      <c r="W1602" s="18"/>
      <c r="X1602" s="18"/>
      <c r="Y1602" s="18"/>
      <c r="Z1602" s="18"/>
      <c r="AA1602" s="18"/>
      <c r="AB1602" s="18"/>
      <c r="AC1602" s="18"/>
      <c r="AD1602" s="19"/>
      <c r="AE1602" s="18"/>
      <c r="AF1602" s="18"/>
      <c r="AG1602" s="18"/>
      <c r="AH1602" s="18"/>
      <c r="AI1602" s="18"/>
      <c r="AJ1602" s="97"/>
      <c r="AK1602" s="18"/>
      <c r="AL1602" s="18"/>
    </row>
    <row r="1603" spans="4:38" x14ac:dyDescent="0.2">
      <c r="D1603" s="19"/>
      <c r="E1603" s="19"/>
      <c r="F1603" s="19"/>
      <c r="G1603" s="18"/>
      <c r="H1603" s="18"/>
      <c r="I1603" s="18"/>
      <c r="J1603" s="18"/>
      <c r="K1603" s="18"/>
      <c r="L1603" s="18"/>
      <c r="M1603" s="18"/>
      <c r="N1603" s="18"/>
      <c r="O1603" s="18"/>
      <c r="P1603" s="18"/>
      <c r="Q1603" s="18"/>
      <c r="R1603" s="18"/>
      <c r="S1603" s="18"/>
      <c r="T1603" s="18"/>
      <c r="U1603" s="18"/>
      <c r="V1603" s="18"/>
      <c r="W1603" s="18"/>
      <c r="X1603" s="18"/>
      <c r="Y1603" s="18"/>
      <c r="Z1603" s="18"/>
      <c r="AA1603" s="18"/>
      <c r="AB1603" s="18"/>
      <c r="AC1603" s="18"/>
      <c r="AD1603" s="19"/>
      <c r="AE1603" s="18"/>
      <c r="AF1603" s="18"/>
      <c r="AG1603" s="18"/>
      <c r="AH1603" s="18"/>
      <c r="AI1603" s="18"/>
      <c r="AJ1603" s="97"/>
      <c r="AK1603" s="18"/>
      <c r="AL1603" s="18"/>
    </row>
    <row r="1604" spans="4:38" x14ac:dyDescent="0.2">
      <c r="D1604" s="19"/>
      <c r="E1604" s="19"/>
      <c r="F1604" s="19"/>
      <c r="G1604" s="18"/>
      <c r="H1604" s="18"/>
      <c r="I1604" s="18"/>
      <c r="J1604" s="18"/>
      <c r="K1604" s="18"/>
      <c r="L1604" s="18"/>
      <c r="M1604" s="18"/>
      <c r="N1604" s="18"/>
      <c r="O1604" s="18"/>
      <c r="P1604" s="18"/>
      <c r="Q1604" s="18"/>
      <c r="R1604" s="18"/>
      <c r="S1604" s="18"/>
      <c r="T1604" s="18"/>
      <c r="U1604" s="18"/>
      <c r="V1604" s="18"/>
      <c r="W1604" s="18"/>
      <c r="X1604" s="18"/>
      <c r="Y1604" s="18"/>
      <c r="Z1604" s="18"/>
      <c r="AA1604" s="18"/>
      <c r="AB1604" s="18"/>
      <c r="AC1604" s="18"/>
      <c r="AD1604" s="19"/>
      <c r="AE1604" s="18"/>
      <c r="AF1604" s="18"/>
      <c r="AG1604" s="18"/>
      <c r="AH1604" s="18"/>
      <c r="AI1604" s="18"/>
      <c r="AJ1604" s="97"/>
      <c r="AK1604" s="18"/>
      <c r="AL1604" s="18"/>
    </row>
    <row r="1605" spans="4:38" x14ac:dyDescent="0.2">
      <c r="D1605" s="19"/>
      <c r="E1605" s="19"/>
      <c r="F1605" s="19"/>
      <c r="G1605" s="18"/>
      <c r="H1605" s="18"/>
      <c r="I1605" s="18"/>
      <c r="J1605" s="18"/>
      <c r="K1605" s="18"/>
      <c r="L1605" s="18"/>
      <c r="M1605" s="18"/>
      <c r="N1605" s="18"/>
      <c r="O1605" s="18"/>
      <c r="P1605" s="18"/>
      <c r="Q1605" s="18"/>
      <c r="R1605" s="18"/>
      <c r="S1605" s="18"/>
      <c r="T1605" s="18"/>
      <c r="U1605" s="18"/>
      <c r="V1605" s="18"/>
      <c r="W1605" s="18"/>
      <c r="X1605" s="18"/>
      <c r="Y1605" s="18"/>
      <c r="Z1605" s="18"/>
      <c r="AA1605" s="18"/>
      <c r="AB1605" s="18"/>
      <c r="AC1605" s="18"/>
      <c r="AD1605" s="19"/>
      <c r="AE1605" s="18"/>
      <c r="AF1605" s="18"/>
      <c r="AG1605" s="18"/>
      <c r="AH1605" s="18"/>
      <c r="AI1605" s="18"/>
      <c r="AJ1605" s="97"/>
      <c r="AK1605" s="18"/>
      <c r="AL1605" s="18"/>
    </row>
    <row r="1606" spans="4:38" x14ac:dyDescent="0.2">
      <c r="D1606" s="19"/>
      <c r="E1606" s="19"/>
      <c r="F1606" s="19"/>
      <c r="G1606" s="18"/>
      <c r="H1606" s="18"/>
      <c r="I1606" s="18"/>
      <c r="J1606" s="18"/>
      <c r="K1606" s="18"/>
      <c r="L1606" s="18"/>
      <c r="M1606" s="18"/>
      <c r="N1606" s="18"/>
      <c r="O1606" s="18"/>
      <c r="P1606" s="18"/>
      <c r="Q1606" s="18"/>
      <c r="R1606" s="18"/>
      <c r="S1606" s="18"/>
      <c r="T1606" s="18"/>
      <c r="U1606" s="18"/>
      <c r="V1606" s="18"/>
      <c r="W1606" s="18"/>
      <c r="X1606" s="18"/>
      <c r="Y1606" s="18"/>
      <c r="Z1606" s="18"/>
      <c r="AA1606" s="18"/>
      <c r="AB1606" s="18"/>
      <c r="AC1606" s="18"/>
      <c r="AD1606" s="19"/>
      <c r="AE1606" s="18"/>
      <c r="AF1606" s="18"/>
      <c r="AG1606" s="18"/>
      <c r="AH1606" s="18"/>
      <c r="AI1606" s="18"/>
      <c r="AJ1606" s="97"/>
      <c r="AK1606" s="18"/>
      <c r="AL1606" s="18"/>
    </row>
    <row r="1607" spans="4:38" x14ac:dyDescent="0.2">
      <c r="D1607" s="19"/>
      <c r="E1607" s="19"/>
      <c r="F1607" s="19"/>
      <c r="G1607" s="18"/>
      <c r="H1607" s="18"/>
      <c r="I1607" s="18"/>
      <c r="J1607" s="18"/>
      <c r="K1607" s="18"/>
      <c r="L1607" s="18"/>
      <c r="M1607" s="18"/>
      <c r="N1607" s="18"/>
      <c r="O1607" s="18"/>
      <c r="P1607" s="18"/>
      <c r="Q1607" s="18"/>
      <c r="R1607" s="18"/>
      <c r="S1607" s="18"/>
      <c r="T1607" s="18"/>
      <c r="U1607" s="18"/>
      <c r="V1607" s="18"/>
      <c r="W1607" s="18"/>
      <c r="X1607" s="18"/>
      <c r="Y1607" s="18"/>
      <c r="Z1607" s="18"/>
      <c r="AA1607" s="18"/>
      <c r="AB1607" s="18"/>
      <c r="AC1607" s="18"/>
      <c r="AD1607" s="19"/>
      <c r="AE1607" s="18"/>
      <c r="AF1607" s="18"/>
      <c r="AG1607" s="18"/>
      <c r="AH1607" s="18"/>
      <c r="AI1607" s="18"/>
      <c r="AJ1607" s="97"/>
      <c r="AK1607" s="18"/>
      <c r="AL1607" s="18"/>
    </row>
    <row r="1608" spans="4:38" x14ac:dyDescent="0.2">
      <c r="D1608" s="19"/>
      <c r="E1608" s="19"/>
      <c r="F1608" s="19"/>
      <c r="G1608" s="18"/>
      <c r="H1608" s="18"/>
      <c r="I1608" s="18"/>
      <c r="J1608" s="18"/>
      <c r="K1608" s="18"/>
      <c r="L1608" s="18"/>
      <c r="M1608" s="18"/>
      <c r="N1608" s="18"/>
      <c r="O1608" s="18"/>
      <c r="P1608" s="18"/>
      <c r="Q1608" s="18"/>
      <c r="R1608" s="18"/>
      <c r="S1608" s="18"/>
      <c r="T1608" s="18"/>
      <c r="U1608" s="18"/>
      <c r="V1608" s="18"/>
      <c r="W1608" s="18"/>
      <c r="X1608" s="18"/>
      <c r="Y1608" s="18"/>
      <c r="Z1608" s="18"/>
      <c r="AA1608" s="18"/>
      <c r="AB1608" s="18"/>
      <c r="AC1608" s="18"/>
      <c r="AD1608" s="19"/>
      <c r="AE1608" s="18"/>
      <c r="AF1608" s="18"/>
      <c r="AG1608" s="18"/>
      <c r="AH1608" s="18"/>
      <c r="AI1608" s="18"/>
      <c r="AJ1608" s="97"/>
      <c r="AK1608" s="18"/>
      <c r="AL1608" s="18"/>
    </row>
    <row r="1609" spans="4:38" x14ac:dyDescent="0.2">
      <c r="D1609" s="19"/>
      <c r="E1609" s="19"/>
      <c r="F1609" s="19"/>
      <c r="G1609" s="18"/>
      <c r="H1609" s="18"/>
      <c r="I1609" s="18"/>
      <c r="J1609" s="18"/>
      <c r="K1609" s="18"/>
      <c r="L1609" s="18"/>
      <c r="M1609" s="18"/>
      <c r="N1609" s="18"/>
      <c r="O1609" s="18"/>
      <c r="P1609" s="18"/>
      <c r="Q1609" s="18"/>
      <c r="R1609" s="18"/>
      <c r="S1609" s="18"/>
      <c r="T1609" s="18"/>
      <c r="U1609" s="18"/>
      <c r="V1609" s="18"/>
      <c r="W1609" s="18"/>
      <c r="X1609" s="18"/>
      <c r="Y1609" s="18"/>
      <c r="Z1609" s="18"/>
      <c r="AA1609" s="18"/>
      <c r="AB1609" s="18"/>
      <c r="AC1609" s="18"/>
      <c r="AD1609" s="19"/>
      <c r="AE1609" s="18"/>
      <c r="AF1609" s="18"/>
      <c r="AG1609" s="18"/>
      <c r="AH1609" s="18"/>
      <c r="AI1609" s="18"/>
      <c r="AJ1609" s="97"/>
      <c r="AK1609" s="18"/>
      <c r="AL1609" s="18"/>
    </row>
    <row r="1610" spans="4:38" x14ac:dyDescent="0.2">
      <c r="D1610" s="19"/>
      <c r="E1610" s="19"/>
      <c r="F1610" s="19"/>
      <c r="G1610" s="18"/>
      <c r="H1610" s="18"/>
      <c r="I1610" s="18"/>
      <c r="J1610" s="18"/>
      <c r="K1610" s="18"/>
      <c r="L1610" s="18"/>
      <c r="M1610" s="18"/>
      <c r="N1610" s="18"/>
      <c r="O1610" s="18"/>
      <c r="P1610" s="18"/>
      <c r="Q1610" s="18"/>
      <c r="R1610" s="18"/>
      <c r="S1610" s="18"/>
      <c r="T1610" s="18"/>
      <c r="U1610" s="18"/>
      <c r="V1610" s="18"/>
      <c r="W1610" s="18"/>
      <c r="X1610" s="18"/>
      <c r="Y1610" s="18"/>
      <c r="Z1610" s="18"/>
      <c r="AA1610" s="18"/>
      <c r="AB1610" s="18"/>
      <c r="AC1610" s="18"/>
      <c r="AD1610" s="19"/>
      <c r="AE1610" s="18"/>
      <c r="AF1610" s="18"/>
      <c r="AG1610" s="18"/>
      <c r="AH1610" s="18"/>
      <c r="AI1610" s="18"/>
      <c r="AJ1610" s="97"/>
      <c r="AK1610" s="18"/>
      <c r="AL1610" s="18"/>
    </row>
    <row r="1611" spans="4:38" x14ac:dyDescent="0.2">
      <c r="D1611" s="19"/>
      <c r="E1611" s="19"/>
      <c r="F1611" s="19"/>
      <c r="G1611" s="18"/>
      <c r="H1611" s="18"/>
      <c r="I1611" s="18"/>
      <c r="J1611" s="18"/>
      <c r="K1611" s="18"/>
      <c r="L1611" s="18"/>
      <c r="M1611" s="18"/>
      <c r="N1611" s="18"/>
      <c r="O1611" s="18"/>
      <c r="P1611" s="18"/>
      <c r="Q1611" s="18"/>
      <c r="R1611" s="18"/>
      <c r="S1611" s="18"/>
      <c r="T1611" s="18"/>
      <c r="U1611" s="18"/>
      <c r="V1611" s="18"/>
      <c r="W1611" s="18"/>
      <c r="X1611" s="18"/>
      <c r="Y1611" s="18"/>
      <c r="Z1611" s="18"/>
      <c r="AA1611" s="18"/>
      <c r="AB1611" s="18"/>
      <c r="AC1611" s="18"/>
      <c r="AD1611" s="19"/>
      <c r="AE1611" s="18"/>
      <c r="AF1611" s="18"/>
      <c r="AG1611" s="18"/>
      <c r="AH1611" s="18"/>
      <c r="AI1611" s="18"/>
      <c r="AJ1611" s="97"/>
      <c r="AK1611" s="18"/>
      <c r="AL1611" s="18"/>
    </row>
    <row r="1612" spans="4:38" x14ac:dyDescent="0.2">
      <c r="D1612" s="19"/>
      <c r="E1612" s="19"/>
      <c r="F1612" s="19"/>
      <c r="G1612" s="18"/>
      <c r="H1612" s="18"/>
      <c r="I1612" s="18"/>
      <c r="J1612" s="18"/>
      <c r="K1612" s="18"/>
      <c r="L1612" s="18"/>
      <c r="M1612" s="18"/>
      <c r="N1612" s="18"/>
      <c r="O1612" s="18"/>
      <c r="P1612" s="18"/>
      <c r="Q1612" s="18"/>
      <c r="R1612" s="18"/>
      <c r="S1612" s="18"/>
      <c r="T1612" s="18"/>
      <c r="U1612" s="18"/>
      <c r="V1612" s="18"/>
      <c r="W1612" s="18"/>
      <c r="X1612" s="18"/>
      <c r="Y1612" s="18"/>
      <c r="Z1612" s="18"/>
      <c r="AA1612" s="18"/>
      <c r="AB1612" s="18"/>
      <c r="AC1612" s="18"/>
      <c r="AD1612" s="19"/>
      <c r="AE1612" s="18"/>
      <c r="AF1612" s="18"/>
      <c r="AG1612" s="18"/>
      <c r="AH1612" s="18"/>
      <c r="AI1612" s="18"/>
      <c r="AJ1612" s="97"/>
      <c r="AK1612" s="18"/>
      <c r="AL1612" s="18"/>
    </row>
    <row r="1613" spans="4:38" x14ac:dyDescent="0.2">
      <c r="D1613" s="19"/>
      <c r="E1613" s="19"/>
      <c r="F1613" s="19"/>
      <c r="G1613" s="18"/>
      <c r="H1613" s="18"/>
      <c r="I1613" s="18"/>
      <c r="J1613" s="18"/>
      <c r="K1613" s="18"/>
      <c r="L1613" s="18"/>
      <c r="M1613" s="18"/>
      <c r="N1613" s="18"/>
      <c r="O1613" s="18"/>
      <c r="P1613" s="18"/>
      <c r="Q1613" s="18"/>
      <c r="R1613" s="18"/>
      <c r="S1613" s="18"/>
      <c r="T1613" s="18"/>
      <c r="U1613" s="18"/>
      <c r="V1613" s="18"/>
      <c r="W1613" s="18"/>
      <c r="X1613" s="18"/>
      <c r="Y1613" s="18"/>
      <c r="Z1613" s="18"/>
      <c r="AA1613" s="18"/>
      <c r="AB1613" s="18"/>
      <c r="AC1613" s="18"/>
      <c r="AD1613" s="19"/>
      <c r="AE1613" s="18"/>
      <c r="AF1613" s="18"/>
      <c r="AG1613" s="18"/>
      <c r="AH1613" s="18"/>
      <c r="AI1613" s="18"/>
      <c r="AJ1613" s="97"/>
      <c r="AK1613" s="18"/>
      <c r="AL1613" s="18"/>
    </row>
    <row r="1614" spans="4:38" x14ac:dyDescent="0.2">
      <c r="D1614" s="19"/>
      <c r="E1614" s="19"/>
      <c r="F1614" s="19"/>
      <c r="G1614" s="18"/>
      <c r="H1614" s="18"/>
      <c r="I1614" s="18"/>
      <c r="J1614" s="18"/>
      <c r="K1614" s="18"/>
      <c r="L1614" s="18"/>
      <c r="M1614" s="18"/>
      <c r="N1614" s="18"/>
      <c r="O1614" s="18"/>
      <c r="P1614" s="18"/>
      <c r="Q1614" s="18"/>
      <c r="R1614" s="18"/>
      <c r="S1614" s="18"/>
      <c r="T1614" s="18"/>
      <c r="U1614" s="18"/>
      <c r="V1614" s="18"/>
      <c r="W1614" s="18"/>
      <c r="X1614" s="18"/>
      <c r="Y1614" s="18"/>
      <c r="Z1614" s="18"/>
      <c r="AA1614" s="18"/>
      <c r="AB1614" s="18"/>
      <c r="AC1614" s="18"/>
      <c r="AD1614" s="19"/>
      <c r="AE1614" s="18"/>
      <c r="AF1614" s="18"/>
      <c r="AG1614" s="18"/>
      <c r="AH1614" s="18"/>
      <c r="AI1614" s="18"/>
      <c r="AJ1614" s="97"/>
      <c r="AK1614" s="18"/>
      <c r="AL1614" s="18"/>
    </row>
    <row r="1615" spans="4:38" x14ac:dyDescent="0.2">
      <c r="D1615" s="19"/>
      <c r="E1615" s="19"/>
      <c r="F1615" s="19"/>
      <c r="G1615" s="18"/>
      <c r="H1615" s="18"/>
      <c r="I1615" s="18"/>
      <c r="J1615" s="18"/>
      <c r="K1615" s="18"/>
      <c r="L1615" s="18"/>
      <c r="M1615" s="18"/>
      <c r="N1615" s="18"/>
      <c r="O1615" s="18"/>
      <c r="P1615" s="18"/>
      <c r="Q1615" s="18"/>
      <c r="R1615" s="18"/>
      <c r="S1615" s="18"/>
      <c r="T1615" s="18"/>
      <c r="U1615" s="18"/>
      <c r="V1615" s="18"/>
      <c r="W1615" s="18"/>
      <c r="X1615" s="18"/>
      <c r="Y1615" s="18"/>
      <c r="Z1615" s="18"/>
      <c r="AA1615" s="18"/>
      <c r="AB1615" s="18"/>
      <c r="AC1615" s="18"/>
      <c r="AD1615" s="19"/>
      <c r="AE1615" s="18"/>
      <c r="AF1615" s="18"/>
      <c r="AG1615" s="18"/>
      <c r="AH1615" s="18"/>
      <c r="AI1615" s="18"/>
      <c r="AJ1615" s="97"/>
      <c r="AK1615" s="18"/>
      <c r="AL1615" s="18"/>
    </row>
    <row r="1616" spans="4:38" x14ac:dyDescent="0.2">
      <c r="D1616" s="19"/>
      <c r="E1616" s="19"/>
      <c r="F1616" s="19"/>
      <c r="G1616" s="18"/>
      <c r="H1616" s="18"/>
      <c r="I1616" s="18"/>
      <c r="J1616" s="18"/>
      <c r="K1616" s="18"/>
      <c r="L1616" s="18"/>
      <c r="M1616" s="18"/>
      <c r="N1616" s="18"/>
      <c r="O1616" s="18"/>
      <c r="P1616" s="18"/>
      <c r="Q1616" s="18"/>
      <c r="R1616" s="18"/>
      <c r="S1616" s="18"/>
      <c r="T1616" s="18"/>
      <c r="U1616" s="18"/>
      <c r="V1616" s="18"/>
      <c r="W1616" s="18"/>
      <c r="X1616" s="18"/>
      <c r="Y1616" s="18"/>
      <c r="Z1616" s="18"/>
      <c r="AA1616" s="18"/>
      <c r="AB1616" s="18"/>
      <c r="AC1616" s="18"/>
      <c r="AD1616" s="19"/>
      <c r="AE1616" s="18"/>
      <c r="AF1616" s="18"/>
      <c r="AG1616" s="18"/>
      <c r="AH1616" s="18"/>
      <c r="AI1616" s="18"/>
      <c r="AJ1616" s="97"/>
      <c r="AK1616" s="18"/>
      <c r="AL1616" s="18"/>
    </row>
    <row r="1617" spans="4:38" x14ac:dyDescent="0.2">
      <c r="D1617" s="19"/>
      <c r="E1617" s="19"/>
      <c r="F1617" s="19"/>
      <c r="G1617" s="18"/>
      <c r="H1617" s="18"/>
      <c r="I1617" s="18"/>
      <c r="J1617" s="18"/>
      <c r="K1617" s="18"/>
      <c r="L1617" s="18"/>
      <c r="M1617" s="18"/>
      <c r="N1617" s="18"/>
      <c r="O1617" s="18"/>
      <c r="P1617" s="18"/>
      <c r="Q1617" s="18"/>
      <c r="R1617" s="18"/>
      <c r="S1617" s="18"/>
      <c r="T1617" s="18"/>
      <c r="U1617" s="18"/>
      <c r="V1617" s="18"/>
      <c r="W1617" s="18"/>
      <c r="X1617" s="18"/>
      <c r="Y1617" s="18"/>
      <c r="Z1617" s="18"/>
      <c r="AA1617" s="18"/>
      <c r="AB1617" s="18"/>
      <c r="AC1617" s="18"/>
      <c r="AD1617" s="19"/>
      <c r="AE1617" s="18"/>
      <c r="AF1617" s="18"/>
      <c r="AG1617" s="18"/>
      <c r="AH1617" s="18"/>
      <c r="AI1617" s="18"/>
      <c r="AJ1617" s="97"/>
      <c r="AK1617" s="18"/>
      <c r="AL1617" s="18"/>
    </row>
    <row r="1618" spans="4:38" x14ac:dyDescent="0.2">
      <c r="D1618" s="19"/>
      <c r="E1618" s="19"/>
      <c r="F1618" s="19"/>
      <c r="G1618" s="18"/>
      <c r="H1618" s="18"/>
      <c r="I1618" s="18"/>
      <c r="J1618" s="18"/>
      <c r="K1618" s="18"/>
      <c r="L1618" s="18"/>
      <c r="M1618" s="18"/>
      <c r="N1618" s="18"/>
      <c r="O1618" s="18"/>
      <c r="P1618" s="18"/>
      <c r="Q1618" s="18"/>
      <c r="R1618" s="18"/>
      <c r="S1618" s="18"/>
      <c r="T1618" s="18"/>
      <c r="U1618" s="18"/>
      <c r="V1618" s="18"/>
      <c r="W1618" s="18"/>
      <c r="X1618" s="18"/>
      <c r="Y1618" s="18"/>
      <c r="Z1618" s="18"/>
      <c r="AA1618" s="18"/>
      <c r="AB1618" s="18"/>
      <c r="AC1618" s="18"/>
      <c r="AD1618" s="19"/>
      <c r="AE1618" s="18"/>
      <c r="AF1618" s="18"/>
      <c r="AG1618" s="18"/>
      <c r="AH1618" s="18"/>
      <c r="AI1618" s="18"/>
      <c r="AJ1618" s="97"/>
      <c r="AK1618" s="18"/>
      <c r="AL1618" s="18"/>
    </row>
    <row r="1619" spans="4:38" x14ac:dyDescent="0.2">
      <c r="D1619" s="19"/>
      <c r="E1619" s="19"/>
      <c r="F1619" s="19"/>
      <c r="G1619" s="18"/>
      <c r="H1619" s="18"/>
      <c r="I1619" s="18"/>
      <c r="J1619" s="18"/>
      <c r="K1619" s="18"/>
      <c r="L1619" s="18"/>
      <c r="M1619" s="18"/>
      <c r="N1619" s="18"/>
      <c r="O1619" s="18"/>
      <c r="P1619" s="18"/>
      <c r="Q1619" s="18"/>
      <c r="R1619" s="18"/>
      <c r="S1619" s="18"/>
      <c r="T1619" s="18"/>
      <c r="U1619" s="18"/>
      <c r="V1619" s="18"/>
      <c r="W1619" s="18"/>
      <c r="X1619" s="18"/>
      <c r="Y1619" s="18"/>
      <c r="Z1619" s="18"/>
      <c r="AA1619" s="18"/>
      <c r="AB1619" s="18"/>
      <c r="AC1619" s="18"/>
      <c r="AD1619" s="19"/>
      <c r="AE1619" s="18"/>
      <c r="AF1619" s="18"/>
      <c r="AG1619" s="18"/>
      <c r="AH1619" s="18"/>
      <c r="AI1619" s="18"/>
      <c r="AJ1619" s="97"/>
      <c r="AK1619" s="18"/>
      <c r="AL1619" s="18"/>
    </row>
    <row r="1620" spans="4:38" x14ac:dyDescent="0.2">
      <c r="D1620" s="19"/>
      <c r="E1620" s="19"/>
      <c r="F1620" s="19"/>
      <c r="G1620" s="18"/>
      <c r="H1620" s="18"/>
      <c r="I1620" s="18"/>
      <c r="J1620" s="18"/>
      <c r="K1620" s="18"/>
      <c r="L1620" s="18"/>
      <c r="M1620" s="18"/>
      <c r="N1620" s="18"/>
      <c r="O1620" s="18"/>
      <c r="P1620" s="18"/>
      <c r="Q1620" s="18"/>
      <c r="R1620" s="18"/>
      <c r="S1620" s="18"/>
      <c r="T1620" s="18"/>
      <c r="U1620" s="18"/>
      <c r="V1620" s="18"/>
      <c r="W1620" s="18"/>
      <c r="X1620" s="18"/>
      <c r="Y1620" s="18"/>
      <c r="Z1620" s="18"/>
      <c r="AA1620" s="18"/>
      <c r="AB1620" s="18"/>
      <c r="AC1620" s="18"/>
      <c r="AD1620" s="19"/>
      <c r="AE1620" s="18"/>
      <c r="AF1620" s="18"/>
      <c r="AG1620" s="18"/>
      <c r="AH1620" s="18"/>
      <c r="AI1620" s="18"/>
      <c r="AJ1620" s="97"/>
      <c r="AK1620" s="18"/>
      <c r="AL1620" s="18"/>
    </row>
    <row r="1621" spans="4:38" x14ac:dyDescent="0.2">
      <c r="D1621" s="19"/>
      <c r="E1621" s="19"/>
      <c r="F1621" s="19"/>
      <c r="G1621" s="18"/>
      <c r="H1621" s="18"/>
      <c r="I1621" s="18"/>
      <c r="J1621" s="18"/>
      <c r="K1621" s="18"/>
      <c r="L1621" s="18"/>
      <c r="M1621" s="18"/>
      <c r="N1621" s="18"/>
      <c r="O1621" s="18"/>
      <c r="P1621" s="18"/>
      <c r="Q1621" s="18"/>
      <c r="R1621" s="18"/>
      <c r="S1621" s="18"/>
      <c r="T1621" s="18"/>
      <c r="U1621" s="18"/>
      <c r="V1621" s="18"/>
      <c r="W1621" s="18"/>
      <c r="X1621" s="18"/>
      <c r="Y1621" s="18"/>
      <c r="Z1621" s="18"/>
      <c r="AA1621" s="18"/>
      <c r="AB1621" s="18"/>
      <c r="AC1621" s="18"/>
      <c r="AD1621" s="19"/>
      <c r="AE1621" s="18"/>
      <c r="AF1621" s="18"/>
      <c r="AG1621" s="18"/>
      <c r="AH1621" s="18"/>
      <c r="AI1621" s="18"/>
      <c r="AJ1621" s="97"/>
      <c r="AK1621" s="18"/>
      <c r="AL1621" s="18"/>
    </row>
    <row r="1622" spans="4:38" x14ac:dyDescent="0.2">
      <c r="D1622" s="19"/>
      <c r="E1622" s="19"/>
      <c r="F1622" s="19"/>
      <c r="G1622" s="18"/>
      <c r="H1622" s="18"/>
      <c r="I1622" s="18"/>
      <c r="J1622" s="18"/>
      <c r="K1622" s="18"/>
      <c r="L1622" s="18"/>
      <c r="M1622" s="18"/>
      <c r="N1622" s="18"/>
      <c r="O1622" s="18"/>
      <c r="P1622" s="18"/>
      <c r="Q1622" s="18"/>
      <c r="R1622" s="18"/>
      <c r="S1622" s="18"/>
      <c r="T1622" s="18"/>
      <c r="U1622" s="18"/>
      <c r="V1622" s="18"/>
      <c r="W1622" s="18"/>
      <c r="X1622" s="18"/>
      <c r="Y1622" s="18"/>
      <c r="Z1622" s="18"/>
      <c r="AA1622" s="18"/>
      <c r="AB1622" s="18"/>
      <c r="AC1622" s="18"/>
      <c r="AD1622" s="19"/>
      <c r="AE1622" s="18"/>
      <c r="AF1622" s="18"/>
      <c r="AG1622" s="18"/>
      <c r="AH1622" s="18"/>
      <c r="AI1622" s="18"/>
      <c r="AJ1622" s="97"/>
      <c r="AK1622" s="18"/>
      <c r="AL1622" s="18"/>
    </row>
    <row r="1623" spans="4:38" x14ac:dyDescent="0.2">
      <c r="D1623" s="19"/>
      <c r="E1623" s="19"/>
      <c r="F1623" s="19"/>
      <c r="G1623" s="18"/>
      <c r="H1623" s="18"/>
      <c r="I1623" s="18"/>
      <c r="J1623" s="18"/>
      <c r="K1623" s="18"/>
      <c r="L1623" s="18"/>
      <c r="M1623" s="18"/>
      <c r="N1623" s="18"/>
      <c r="O1623" s="18"/>
      <c r="P1623" s="18"/>
      <c r="Q1623" s="18"/>
      <c r="R1623" s="18"/>
      <c r="S1623" s="18"/>
      <c r="T1623" s="18"/>
      <c r="U1623" s="18"/>
      <c r="V1623" s="18"/>
      <c r="W1623" s="18"/>
      <c r="X1623" s="18"/>
      <c r="Y1623" s="18"/>
      <c r="Z1623" s="18"/>
      <c r="AA1623" s="18"/>
      <c r="AB1623" s="18"/>
      <c r="AC1623" s="18"/>
      <c r="AD1623" s="19"/>
      <c r="AE1623" s="18"/>
      <c r="AF1623" s="18"/>
      <c r="AG1623" s="18"/>
      <c r="AH1623" s="18"/>
      <c r="AI1623" s="18"/>
      <c r="AJ1623" s="97"/>
      <c r="AK1623" s="18"/>
      <c r="AL1623" s="18"/>
    </row>
    <row r="1624" spans="4:38" x14ac:dyDescent="0.2">
      <c r="D1624" s="19"/>
      <c r="E1624" s="19"/>
      <c r="F1624" s="19"/>
      <c r="G1624" s="18"/>
      <c r="H1624" s="18"/>
      <c r="I1624" s="18"/>
      <c r="J1624" s="18"/>
      <c r="K1624" s="18"/>
      <c r="L1624" s="18"/>
      <c r="M1624" s="18"/>
      <c r="N1624" s="18"/>
      <c r="O1624" s="18"/>
      <c r="P1624" s="18"/>
      <c r="Q1624" s="18"/>
      <c r="R1624" s="18"/>
      <c r="S1624" s="18"/>
      <c r="T1624" s="18"/>
      <c r="U1624" s="18"/>
      <c r="V1624" s="18"/>
      <c r="W1624" s="18"/>
      <c r="X1624" s="18"/>
      <c r="Y1624" s="18"/>
      <c r="Z1624" s="18"/>
      <c r="AA1624" s="18"/>
      <c r="AB1624" s="18"/>
      <c r="AC1624" s="18"/>
      <c r="AD1624" s="19"/>
      <c r="AE1624" s="18"/>
      <c r="AF1624" s="18"/>
      <c r="AG1624" s="18"/>
      <c r="AH1624" s="18"/>
      <c r="AI1624" s="18"/>
      <c r="AJ1624" s="97"/>
      <c r="AK1624" s="18"/>
      <c r="AL1624" s="18"/>
    </row>
    <row r="1625" spans="4:38" x14ac:dyDescent="0.2">
      <c r="D1625" s="19"/>
      <c r="E1625" s="19"/>
      <c r="F1625" s="19"/>
      <c r="G1625" s="18"/>
      <c r="H1625" s="18"/>
      <c r="I1625" s="18"/>
      <c r="J1625" s="18"/>
      <c r="K1625" s="18"/>
      <c r="L1625" s="18"/>
      <c r="M1625" s="18"/>
      <c r="N1625" s="18"/>
      <c r="O1625" s="18"/>
      <c r="P1625" s="18"/>
      <c r="Q1625" s="18"/>
      <c r="R1625" s="18"/>
      <c r="S1625" s="18"/>
      <c r="T1625" s="18"/>
      <c r="U1625" s="18"/>
      <c r="V1625" s="18"/>
      <c r="W1625" s="18"/>
      <c r="X1625" s="18"/>
      <c r="Y1625" s="18"/>
      <c r="Z1625" s="18"/>
      <c r="AA1625" s="18"/>
      <c r="AB1625" s="18"/>
      <c r="AC1625" s="18"/>
      <c r="AD1625" s="19"/>
      <c r="AE1625" s="18"/>
      <c r="AF1625" s="18"/>
      <c r="AG1625" s="18"/>
      <c r="AH1625" s="18"/>
      <c r="AI1625" s="18"/>
      <c r="AJ1625" s="97"/>
      <c r="AK1625" s="18"/>
      <c r="AL1625" s="18"/>
    </row>
    <row r="1626" spans="4:38" x14ac:dyDescent="0.2">
      <c r="D1626" s="19"/>
      <c r="E1626" s="19"/>
      <c r="F1626" s="19"/>
      <c r="G1626" s="18"/>
      <c r="H1626" s="18"/>
      <c r="I1626" s="18"/>
      <c r="J1626" s="18"/>
      <c r="K1626" s="18"/>
      <c r="L1626" s="18"/>
      <c r="M1626" s="18"/>
      <c r="N1626" s="18"/>
      <c r="O1626" s="18"/>
      <c r="P1626" s="18"/>
      <c r="Q1626" s="18"/>
      <c r="R1626" s="18"/>
      <c r="S1626" s="18"/>
      <c r="T1626" s="18"/>
      <c r="U1626" s="18"/>
      <c r="V1626" s="18"/>
      <c r="W1626" s="18"/>
      <c r="X1626" s="18"/>
      <c r="Y1626" s="18"/>
      <c r="Z1626" s="18"/>
      <c r="AA1626" s="18"/>
      <c r="AB1626" s="18"/>
      <c r="AC1626" s="18"/>
      <c r="AD1626" s="19"/>
      <c r="AE1626" s="18"/>
      <c r="AF1626" s="18"/>
      <c r="AG1626" s="18"/>
      <c r="AH1626" s="18"/>
      <c r="AI1626" s="18"/>
      <c r="AJ1626" s="97"/>
      <c r="AK1626" s="18"/>
      <c r="AL1626" s="18"/>
    </row>
    <row r="1627" spans="4:38" x14ac:dyDescent="0.2">
      <c r="D1627" s="19"/>
      <c r="E1627" s="19"/>
      <c r="F1627" s="19"/>
      <c r="G1627" s="18"/>
      <c r="H1627" s="18"/>
      <c r="I1627" s="18"/>
      <c r="J1627" s="18"/>
      <c r="K1627" s="18"/>
      <c r="L1627" s="18"/>
      <c r="M1627" s="18"/>
      <c r="N1627" s="18"/>
      <c r="O1627" s="18"/>
      <c r="P1627" s="18"/>
      <c r="Q1627" s="18"/>
      <c r="R1627" s="18"/>
      <c r="S1627" s="18"/>
      <c r="T1627" s="18"/>
      <c r="U1627" s="18"/>
      <c r="V1627" s="18"/>
      <c r="W1627" s="18"/>
      <c r="X1627" s="18"/>
      <c r="Y1627" s="18"/>
      <c r="Z1627" s="18"/>
      <c r="AA1627" s="18"/>
      <c r="AB1627" s="18"/>
      <c r="AC1627" s="18"/>
      <c r="AD1627" s="19"/>
      <c r="AE1627" s="18"/>
      <c r="AF1627" s="18"/>
      <c r="AG1627" s="18"/>
      <c r="AH1627" s="18"/>
      <c r="AI1627" s="18"/>
      <c r="AJ1627" s="97"/>
      <c r="AK1627" s="18"/>
      <c r="AL1627" s="18"/>
    </row>
    <row r="1628" spans="4:38" x14ac:dyDescent="0.2">
      <c r="D1628" s="19"/>
      <c r="E1628" s="19"/>
      <c r="F1628" s="19"/>
      <c r="G1628" s="18"/>
      <c r="H1628" s="18"/>
      <c r="I1628" s="18"/>
      <c r="J1628" s="18"/>
      <c r="K1628" s="18"/>
      <c r="L1628" s="18"/>
      <c r="M1628" s="18"/>
      <c r="N1628" s="18"/>
      <c r="O1628" s="18"/>
      <c r="P1628" s="18"/>
      <c r="Q1628" s="18"/>
      <c r="R1628" s="18"/>
      <c r="S1628" s="18"/>
      <c r="T1628" s="18"/>
      <c r="U1628" s="18"/>
      <c r="V1628" s="18"/>
      <c r="W1628" s="18"/>
      <c r="X1628" s="18"/>
      <c r="Y1628" s="18"/>
      <c r="Z1628" s="18"/>
      <c r="AA1628" s="18"/>
      <c r="AB1628" s="18"/>
      <c r="AC1628" s="18"/>
      <c r="AD1628" s="19"/>
      <c r="AE1628" s="18"/>
      <c r="AF1628" s="18"/>
      <c r="AG1628" s="18"/>
      <c r="AH1628" s="18"/>
      <c r="AI1628" s="18"/>
      <c r="AJ1628" s="97"/>
      <c r="AK1628" s="18"/>
      <c r="AL1628" s="18"/>
    </row>
    <row r="1629" spans="4:38" x14ac:dyDescent="0.2">
      <c r="D1629" s="19"/>
      <c r="E1629" s="19"/>
      <c r="F1629" s="19"/>
      <c r="G1629" s="18"/>
      <c r="H1629" s="18"/>
      <c r="I1629" s="18"/>
      <c r="J1629" s="18"/>
      <c r="K1629" s="18"/>
      <c r="L1629" s="18"/>
      <c r="M1629" s="18"/>
      <c r="N1629" s="18"/>
      <c r="O1629" s="18"/>
      <c r="P1629" s="18"/>
      <c r="Q1629" s="18"/>
      <c r="R1629" s="18"/>
      <c r="S1629" s="18"/>
      <c r="T1629" s="18"/>
      <c r="U1629" s="18"/>
      <c r="V1629" s="18"/>
      <c r="W1629" s="18"/>
      <c r="X1629" s="18"/>
      <c r="Y1629" s="18"/>
      <c r="Z1629" s="18"/>
      <c r="AA1629" s="18"/>
      <c r="AB1629" s="18"/>
      <c r="AC1629" s="18"/>
      <c r="AD1629" s="19"/>
      <c r="AE1629" s="18"/>
      <c r="AF1629" s="18"/>
      <c r="AG1629" s="18"/>
      <c r="AH1629" s="18"/>
      <c r="AI1629" s="18"/>
      <c r="AJ1629" s="97"/>
      <c r="AK1629" s="18"/>
      <c r="AL1629" s="18"/>
    </row>
    <row r="1630" spans="4:38" x14ac:dyDescent="0.2">
      <c r="D1630" s="19"/>
      <c r="E1630" s="19"/>
      <c r="F1630" s="19"/>
      <c r="G1630" s="18"/>
      <c r="H1630" s="18"/>
      <c r="I1630" s="18"/>
      <c r="J1630" s="18"/>
      <c r="K1630" s="18"/>
      <c r="L1630" s="18"/>
      <c r="M1630" s="18"/>
      <c r="N1630" s="18"/>
      <c r="O1630" s="18"/>
      <c r="P1630" s="18"/>
      <c r="Q1630" s="18"/>
      <c r="R1630" s="18"/>
      <c r="S1630" s="18"/>
      <c r="T1630" s="18"/>
      <c r="U1630" s="18"/>
      <c r="V1630" s="18"/>
      <c r="W1630" s="18"/>
      <c r="X1630" s="18"/>
      <c r="Y1630" s="18"/>
      <c r="Z1630" s="18"/>
      <c r="AA1630" s="18"/>
      <c r="AB1630" s="18"/>
      <c r="AC1630" s="18"/>
      <c r="AD1630" s="19"/>
      <c r="AE1630" s="18"/>
      <c r="AF1630" s="18"/>
      <c r="AG1630" s="18"/>
      <c r="AH1630" s="18"/>
      <c r="AI1630" s="18"/>
      <c r="AJ1630" s="97"/>
      <c r="AK1630" s="18"/>
      <c r="AL1630" s="18"/>
    </row>
    <row r="1631" spans="4:38" x14ac:dyDescent="0.2">
      <c r="D1631" s="19"/>
      <c r="E1631" s="19"/>
      <c r="F1631" s="19"/>
      <c r="G1631" s="18"/>
      <c r="H1631" s="18"/>
      <c r="I1631" s="18"/>
      <c r="J1631" s="18"/>
      <c r="K1631" s="18"/>
      <c r="L1631" s="18"/>
      <c r="M1631" s="18"/>
      <c r="N1631" s="18"/>
      <c r="O1631" s="18"/>
      <c r="P1631" s="18"/>
      <c r="Q1631" s="18"/>
      <c r="R1631" s="18"/>
      <c r="S1631" s="18"/>
      <c r="T1631" s="18"/>
      <c r="U1631" s="18"/>
      <c r="V1631" s="18"/>
      <c r="W1631" s="18"/>
      <c r="X1631" s="18"/>
      <c r="Y1631" s="18"/>
      <c r="Z1631" s="18"/>
      <c r="AA1631" s="18"/>
      <c r="AB1631" s="18"/>
      <c r="AC1631" s="18"/>
      <c r="AD1631" s="19"/>
      <c r="AE1631" s="18"/>
      <c r="AF1631" s="18"/>
      <c r="AG1631" s="18"/>
      <c r="AH1631" s="18"/>
      <c r="AI1631" s="18"/>
      <c r="AJ1631" s="97"/>
      <c r="AK1631" s="18"/>
      <c r="AL1631" s="18"/>
    </row>
    <row r="1632" spans="4:38" x14ac:dyDescent="0.2">
      <c r="D1632" s="19"/>
      <c r="E1632" s="19"/>
      <c r="F1632" s="19"/>
      <c r="G1632" s="18"/>
      <c r="H1632" s="18"/>
      <c r="I1632" s="18"/>
      <c r="J1632" s="18"/>
      <c r="K1632" s="18"/>
      <c r="L1632" s="18"/>
      <c r="M1632" s="18"/>
      <c r="N1632" s="18"/>
      <c r="O1632" s="18"/>
      <c r="P1632" s="18"/>
      <c r="Q1632" s="18"/>
      <c r="R1632" s="18"/>
      <c r="S1632" s="18"/>
      <c r="T1632" s="18"/>
      <c r="U1632" s="18"/>
      <c r="V1632" s="18"/>
      <c r="W1632" s="18"/>
      <c r="X1632" s="18"/>
      <c r="Y1632" s="18"/>
      <c r="Z1632" s="18"/>
      <c r="AA1632" s="18"/>
      <c r="AB1632" s="18"/>
      <c r="AC1632" s="18"/>
      <c r="AD1632" s="19"/>
      <c r="AE1632" s="18"/>
      <c r="AF1632" s="18"/>
      <c r="AG1632" s="18"/>
      <c r="AH1632" s="18"/>
      <c r="AI1632" s="18"/>
      <c r="AJ1632" s="97"/>
      <c r="AK1632" s="18"/>
      <c r="AL1632" s="18"/>
    </row>
    <row r="1633" spans="4:38" x14ac:dyDescent="0.2">
      <c r="D1633" s="19"/>
      <c r="E1633" s="19"/>
      <c r="F1633" s="19"/>
      <c r="G1633" s="18"/>
      <c r="H1633" s="18"/>
      <c r="I1633" s="18"/>
      <c r="J1633" s="18"/>
      <c r="K1633" s="18"/>
      <c r="L1633" s="18"/>
      <c r="M1633" s="18"/>
      <c r="N1633" s="18"/>
      <c r="O1633" s="18"/>
      <c r="P1633" s="18"/>
      <c r="Q1633" s="18"/>
      <c r="R1633" s="18"/>
      <c r="S1633" s="18"/>
      <c r="T1633" s="18"/>
      <c r="U1633" s="18"/>
      <c r="V1633" s="18"/>
      <c r="W1633" s="18"/>
      <c r="X1633" s="18"/>
      <c r="Y1633" s="18"/>
      <c r="Z1633" s="18"/>
      <c r="AA1633" s="18"/>
      <c r="AB1633" s="18"/>
      <c r="AC1633" s="18"/>
      <c r="AD1633" s="19"/>
      <c r="AE1633" s="18"/>
      <c r="AF1633" s="18"/>
      <c r="AG1633" s="18"/>
      <c r="AH1633" s="18"/>
      <c r="AI1633" s="18"/>
      <c r="AJ1633" s="97"/>
      <c r="AK1633" s="18"/>
      <c r="AL1633" s="18"/>
    </row>
    <row r="1634" spans="4:38" x14ac:dyDescent="0.2">
      <c r="D1634" s="19"/>
      <c r="E1634" s="19"/>
      <c r="F1634" s="19"/>
      <c r="G1634" s="18"/>
      <c r="H1634" s="18"/>
      <c r="I1634" s="18"/>
      <c r="J1634" s="18"/>
      <c r="K1634" s="18"/>
      <c r="L1634" s="18"/>
      <c r="M1634" s="18"/>
      <c r="N1634" s="18"/>
      <c r="O1634" s="18"/>
      <c r="P1634" s="18"/>
      <c r="Q1634" s="18"/>
      <c r="R1634" s="18"/>
      <c r="S1634" s="18"/>
      <c r="T1634" s="18"/>
      <c r="U1634" s="18"/>
      <c r="V1634" s="18"/>
      <c r="W1634" s="18"/>
      <c r="X1634" s="18"/>
      <c r="Y1634" s="18"/>
      <c r="Z1634" s="18"/>
      <c r="AA1634" s="18"/>
      <c r="AB1634" s="18"/>
      <c r="AC1634" s="18"/>
      <c r="AD1634" s="19"/>
      <c r="AE1634" s="18"/>
      <c r="AF1634" s="18"/>
      <c r="AG1634" s="18"/>
      <c r="AH1634" s="18"/>
      <c r="AI1634" s="18"/>
      <c r="AJ1634" s="97"/>
      <c r="AK1634" s="18"/>
      <c r="AL1634" s="18"/>
    </row>
    <row r="1635" spans="4:38" x14ac:dyDescent="0.2">
      <c r="D1635" s="19"/>
      <c r="E1635" s="19"/>
      <c r="F1635" s="19"/>
      <c r="G1635" s="18"/>
      <c r="H1635" s="18"/>
      <c r="I1635" s="18"/>
      <c r="J1635" s="18"/>
      <c r="K1635" s="18"/>
      <c r="L1635" s="18"/>
      <c r="M1635" s="18"/>
      <c r="N1635" s="18"/>
      <c r="O1635" s="18"/>
      <c r="P1635" s="18"/>
      <c r="Q1635" s="18"/>
      <c r="R1635" s="18"/>
      <c r="S1635" s="18"/>
      <c r="T1635" s="18"/>
      <c r="U1635" s="18"/>
      <c r="V1635" s="18"/>
      <c r="W1635" s="18"/>
      <c r="X1635" s="18"/>
      <c r="Y1635" s="18"/>
      <c r="Z1635" s="18"/>
      <c r="AA1635" s="18"/>
      <c r="AB1635" s="18"/>
      <c r="AC1635" s="18"/>
      <c r="AD1635" s="19"/>
      <c r="AE1635" s="18"/>
      <c r="AF1635" s="18"/>
      <c r="AG1635" s="18"/>
      <c r="AH1635" s="18"/>
      <c r="AI1635" s="18"/>
      <c r="AJ1635" s="97"/>
      <c r="AK1635" s="18"/>
      <c r="AL1635" s="18"/>
    </row>
    <row r="1636" spans="4:38" x14ac:dyDescent="0.2">
      <c r="D1636" s="19"/>
      <c r="E1636" s="19"/>
      <c r="F1636" s="19"/>
      <c r="G1636" s="18"/>
      <c r="H1636" s="18"/>
      <c r="I1636" s="18"/>
      <c r="J1636" s="18"/>
      <c r="K1636" s="18"/>
      <c r="L1636" s="18"/>
      <c r="M1636" s="18"/>
      <c r="N1636" s="18"/>
      <c r="O1636" s="18"/>
      <c r="P1636" s="18"/>
      <c r="Q1636" s="18"/>
      <c r="R1636" s="18"/>
      <c r="S1636" s="18"/>
      <c r="T1636" s="18"/>
      <c r="U1636" s="18"/>
      <c r="V1636" s="18"/>
      <c r="W1636" s="18"/>
      <c r="X1636" s="18"/>
      <c r="Y1636" s="18"/>
      <c r="Z1636" s="18"/>
      <c r="AA1636" s="18"/>
      <c r="AB1636" s="18"/>
      <c r="AC1636" s="18"/>
      <c r="AD1636" s="19"/>
      <c r="AE1636" s="18"/>
      <c r="AF1636" s="18"/>
      <c r="AG1636" s="18"/>
      <c r="AH1636" s="18"/>
      <c r="AI1636" s="18"/>
      <c r="AJ1636" s="97"/>
      <c r="AK1636" s="18"/>
      <c r="AL1636" s="18"/>
    </row>
    <row r="1637" spans="4:38" x14ac:dyDescent="0.2">
      <c r="D1637" s="19"/>
      <c r="E1637" s="19"/>
      <c r="F1637" s="19"/>
      <c r="G1637" s="18"/>
      <c r="H1637" s="18"/>
      <c r="I1637" s="18"/>
      <c r="J1637" s="18"/>
      <c r="K1637" s="18"/>
      <c r="L1637" s="18"/>
      <c r="M1637" s="18"/>
      <c r="N1637" s="18"/>
      <c r="O1637" s="18"/>
      <c r="P1637" s="18"/>
      <c r="Q1637" s="18"/>
      <c r="R1637" s="18"/>
      <c r="S1637" s="18"/>
      <c r="T1637" s="18"/>
      <c r="U1637" s="18"/>
      <c r="V1637" s="18"/>
      <c r="W1637" s="18"/>
      <c r="X1637" s="18"/>
      <c r="Y1637" s="18"/>
      <c r="Z1637" s="18"/>
      <c r="AA1637" s="18"/>
      <c r="AB1637" s="18"/>
      <c r="AC1637" s="18"/>
      <c r="AD1637" s="19"/>
      <c r="AE1637" s="18"/>
      <c r="AF1637" s="18"/>
      <c r="AG1637" s="18"/>
      <c r="AH1637" s="18"/>
      <c r="AI1637" s="18"/>
      <c r="AJ1637" s="97"/>
      <c r="AK1637" s="18"/>
      <c r="AL1637" s="18"/>
    </row>
    <row r="1638" spans="4:38" x14ac:dyDescent="0.2">
      <c r="D1638" s="19"/>
      <c r="E1638" s="19"/>
      <c r="F1638" s="19"/>
      <c r="G1638" s="18"/>
      <c r="H1638" s="18"/>
      <c r="I1638" s="18"/>
      <c r="J1638" s="18"/>
      <c r="K1638" s="18"/>
      <c r="L1638" s="18"/>
      <c r="M1638" s="18"/>
      <c r="N1638" s="18"/>
      <c r="O1638" s="18"/>
      <c r="P1638" s="18"/>
      <c r="Q1638" s="18"/>
      <c r="R1638" s="18"/>
      <c r="S1638" s="18"/>
      <c r="T1638" s="18"/>
      <c r="U1638" s="18"/>
      <c r="V1638" s="18"/>
      <c r="W1638" s="18"/>
      <c r="X1638" s="18"/>
      <c r="Y1638" s="18"/>
      <c r="Z1638" s="18"/>
      <c r="AA1638" s="18"/>
      <c r="AB1638" s="18"/>
      <c r="AC1638" s="18"/>
      <c r="AD1638" s="19"/>
      <c r="AE1638" s="18"/>
      <c r="AF1638" s="18"/>
      <c r="AG1638" s="18"/>
      <c r="AH1638" s="18"/>
      <c r="AI1638" s="18"/>
      <c r="AJ1638" s="97"/>
      <c r="AK1638" s="18"/>
      <c r="AL1638" s="18"/>
    </row>
    <row r="1639" spans="4:38" x14ac:dyDescent="0.2">
      <c r="D1639" s="19"/>
      <c r="E1639" s="19"/>
      <c r="F1639" s="19"/>
      <c r="G1639" s="18"/>
      <c r="H1639" s="18"/>
      <c r="I1639" s="18"/>
      <c r="J1639" s="18"/>
      <c r="K1639" s="18"/>
      <c r="L1639" s="18"/>
      <c r="M1639" s="18"/>
      <c r="N1639" s="18"/>
      <c r="O1639" s="18"/>
      <c r="P1639" s="18"/>
      <c r="Q1639" s="18"/>
      <c r="R1639" s="18"/>
      <c r="S1639" s="18"/>
      <c r="T1639" s="18"/>
      <c r="U1639" s="18"/>
      <c r="V1639" s="18"/>
      <c r="W1639" s="18"/>
      <c r="X1639" s="18"/>
      <c r="Y1639" s="18"/>
      <c r="Z1639" s="18"/>
      <c r="AA1639" s="18"/>
      <c r="AB1639" s="18"/>
      <c r="AC1639" s="18"/>
      <c r="AD1639" s="19"/>
      <c r="AE1639" s="18"/>
      <c r="AF1639" s="18"/>
      <c r="AG1639" s="18"/>
      <c r="AH1639" s="18"/>
      <c r="AI1639" s="18"/>
      <c r="AJ1639" s="97"/>
      <c r="AK1639" s="18"/>
      <c r="AL1639" s="18"/>
    </row>
    <row r="1640" spans="4:38" x14ac:dyDescent="0.2">
      <c r="D1640" s="19"/>
      <c r="E1640" s="19"/>
      <c r="F1640" s="19"/>
      <c r="G1640" s="18"/>
      <c r="H1640" s="18"/>
      <c r="I1640" s="18"/>
      <c r="J1640" s="18"/>
      <c r="K1640" s="18"/>
      <c r="L1640" s="18"/>
      <c r="M1640" s="18"/>
      <c r="N1640" s="18"/>
      <c r="O1640" s="18"/>
      <c r="P1640" s="18"/>
      <c r="Q1640" s="18"/>
      <c r="R1640" s="18"/>
      <c r="S1640" s="18"/>
      <c r="T1640" s="18"/>
      <c r="U1640" s="18"/>
      <c r="V1640" s="18"/>
      <c r="W1640" s="18"/>
      <c r="X1640" s="18"/>
      <c r="Y1640" s="18"/>
      <c r="Z1640" s="18"/>
      <c r="AA1640" s="18"/>
      <c r="AB1640" s="18"/>
      <c r="AC1640" s="18"/>
      <c r="AD1640" s="19"/>
      <c r="AE1640" s="18"/>
      <c r="AF1640" s="18"/>
      <c r="AG1640" s="18"/>
      <c r="AH1640" s="18"/>
      <c r="AI1640" s="18"/>
      <c r="AJ1640" s="97"/>
      <c r="AK1640" s="18"/>
      <c r="AL1640" s="18"/>
    </row>
    <row r="1641" spans="4:38" x14ac:dyDescent="0.2">
      <c r="D1641" s="19"/>
      <c r="E1641" s="19"/>
      <c r="F1641" s="19"/>
      <c r="G1641" s="18"/>
      <c r="H1641" s="18"/>
      <c r="I1641" s="18"/>
      <c r="J1641" s="18"/>
      <c r="K1641" s="18"/>
      <c r="L1641" s="18"/>
      <c r="M1641" s="18"/>
      <c r="N1641" s="18"/>
      <c r="O1641" s="18"/>
      <c r="P1641" s="18"/>
      <c r="Q1641" s="18"/>
      <c r="R1641" s="18"/>
      <c r="S1641" s="18"/>
      <c r="T1641" s="18"/>
      <c r="U1641" s="18"/>
      <c r="V1641" s="18"/>
      <c r="W1641" s="18"/>
      <c r="X1641" s="18"/>
      <c r="Y1641" s="18"/>
      <c r="Z1641" s="18"/>
      <c r="AA1641" s="18"/>
      <c r="AB1641" s="18"/>
      <c r="AC1641" s="18"/>
      <c r="AD1641" s="19"/>
      <c r="AE1641" s="18"/>
      <c r="AF1641" s="18"/>
      <c r="AG1641" s="18"/>
      <c r="AH1641" s="18"/>
      <c r="AI1641" s="18"/>
      <c r="AJ1641" s="97"/>
      <c r="AK1641" s="18"/>
      <c r="AL1641" s="18"/>
    </row>
    <row r="1642" spans="4:38" x14ac:dyDescent="0.2">
      <c r="D1642" s="19"/>
      <c r="E1642" s="19"/>
      <c r="F1642" s="19"/>
      <c r="G1642" s="18"/>
      <c r="H1642" s="18"/>
      <c r="I1642" s="18"/>
      <c r="J1642" s="18"/>
      <c r="K1642" s="18"/>
      <c r="L1642" s="18"/>
      <c r="M1642" s="18"/>
      <c r="N1642" s="18"/>
      <c r="O1642" s="18"/>
      <c r="P1642" s="18"/>
      <c r="Q1642" s="18"/>
      <c r="R1642" s="18"/>
      <c r="S1642" s="18"/>
      <c r="T1642" s="18"/>
      <c r="U1642" s="18"/>
      <c r="V1642" s="18"/>
      <c r="W1642" s="18"/>
      <c r="X1642" s="18"/>
      <c r="Y1642" s="18"/>
      <c r="Z1642" s="18"/>
      <c r="AA1642" s="18"/>
      <c r="AB1642" s="18"/>
      <c r="AC1642" s="18"/>
      <c r="AD1642" s="19"/>
      <c r="AE1642" s="18"/>
      <c r="AF1642" s="18"/>
      <c r="AG1642" s="18"/>
      <c r="AH1642" s="18"/>
      <c r="AI1642" s="18"/>
      <c r="AJ1642" s="97"/>
      <c r="AK1642" s="18"/>
      <c r="AL1642" s="18"/>
    </row>
    <row r="1643" spans="4:38" x14ac:dyDescent="0.2">
      <c r="D1643" s="19"/>
      <c r="E1643" s="19"/>
      <c r="F1643" s="19"/>
      <c r="G1643" s="18"/>
      <c r="H1643" s="18"/>
      <c r="I1643" s="18"/>
      <c r="J1643" s="18"/>
      <c r="K1643" s="18"/>
      <c r="L1643" s="18"/>
      <c r="M1643" s="18"/>
      <c r="N1643" s="18"/>
      <c r="O1643" s="18"/>
      <c r="P1643" s="18"/>
      <c r="Q1643" s="18"/>
      <c r="R1643" s="18"/>
      <c r="S1643" s="18"/>
      <c r="T1643" s="18"/>
      <c r="U1643" s="18"/>
      <c r="V1643" s="18"/>
      <c r="W1643" s="18"/>
      <c r="X1643" s="18"/>
      <c r="Y1643" s="18"/>
      <c r="Z1643" s="18"/>
      <c r="AA1643" s="18"/>
      <c r="AB1643" s="18"/>
      <c r="AC1643" s="18"/>
      <c r="AD1643" s="19"/>
      <c r="AE1643" s="18"/>
      <c r="AF1643" s="18"/>
      <c r="AG1643" s="18"/>
      <c r="AH1643" s="18"/>
      <c r="AI1643" s="18"/>
      <c r="AJ1643" s="97"/>
      <c r="AK1643" s="18"/>
      <c r="AL1643" s="18"/>
    </row>
    <row r="1644" spans="4:38" x14ac:dyDescent="0.2">
      <c r="D1644" s="19"/>
      <c r="E1644" s="19"/>
      <c r="F1644" s="19"/>
      <c r="G1644" s="18"/>
      <c r="H1644" s="18"/>
      <c r="I1644" s="18"/>
      <c r="J1644" s="18"/>
      <c r="K1644" s="18"/>
      <c r="L1644" s="18"/>
      <c r="M1644" s="18"/>
      <c r="N1644" s="18"/>
      <c r="O1644" s="18"/>
      <c r="P1644" s="18"/>
      <c r="Q1644" s="18"/>
      <c r="R1644" s="18"/>
      <c r="S1644" s="18"/>
      <c r="T1644" s="18"/>
      <c r="U1644" s="18"/>
      <c r="V1644" s="18"/>
      <c r="W1644" s="18"/>
      <c r="X1644" s="18"/>
      <c r="Y1644" s="18"/>
      <c r="Z1644" s="18"/>
      <c r="AA1644" s="18"/>
      <c r="AB1644" s="18"/>
      <c r="AC1644" s="18"/>
      <c r="AD1644" s="19"/>
      <c r="AE1644" s="18"/>
      <c r="AF1644" s="18"/>
      <c r="AG1644" s="18"/>
      <c r="AH1644" s="18"/>
      <c r="AI1644" s="18"/>
      <c r="AJ1644" s="97"/>
      <c r="AK1644" s="18"/>
      <c r="AL1644" s="18"/>
    </row>
    <row r="1645" spans="4:38" x14ac:dyDescent="0.2">
      <c r="D1645" s="19"/>
      <c r="E1645" s="19"/>
      <c r="F1645" s="19"/>
      <c r="G1645" s="18"/>
      <c r="H1645" s="18"/>
      <c r="I1645" s="18"/>
      <c r="J1645" s="18"/>
      <c r="K1645" s="18"/>
      <c r="L1645" s="18"/>
      <c r="M1645" s="18"/>
      <c r="N1645" s="18"/>
      <c r="O1645" s="18"/>
      <c r="P1645" s="18"/>
      <c r="Q1645" s="18"/>
      <c r="R1645" s="18"/>
      <c r="S1645" s="18"/>
      <c r="T1645" s="18"/>
      <c r="U1645" s="18"/>
      <c r="V1645" s="18"/>
      <c r="W1645" s="18"/>
      <c r="X1645" s="18"/>
      <c r="Y1645" s="18"/>
      <c r="Z1645" s="18"/>
      <c r="AA1645" s="18"/>
      <c r="AB1645" s="18"/>
      <c r="AC1645" s="18"/>
      <c r="AD1645" s="19"/>
      <c r="AE1645" s="18"/>
      <c r="AF1645" s="18"/>
      <c r="AG1645" s="18"/>
      <c r="AH1645" s="18"/>
      <c r="AI1645" s="18"/>
      <c r="AJ1645" s="97"/>
      <c r="AK1645" s="18"/>
      <c r="AL1645" s="18"/>
    </row>
    <row r="1646" spans="4:38" x14ac:dyDescent="0.2">
      <c r="D1646" s="19"/>
      <c r="E1646" s="19"/>
      <c r="F1646" s="19"/>
      <c r="G1646" s="18"/>
      <c r="H1646" s="18"/>
      <c r="I1646" s="18"/>
      <c r="J1646" s="18"/>
      <c r="K1646" s="18"/>
      <c r="L1646" s="18"/>
      <c r="M1646" s="18"/>
      <c r="N1646" s="18"/>
      <c r="O1646" s="18"/>
      <c r="P1646" s="18"/>
      <c r="Q1646" s="18"/>
      <c r="R1646" s="18"/>
      <c r="S1646" s="18"/>
      <c r="T1646" s="18"/>
      <c r="U1646" s="18"/>
      <c r="V1646" s="18"/>
      <c r="W1646" s="18"/>
      <c r="X1646" s="18"/>
      <c r="Y1646" s="18"/>
      <c r="Z1646" s="18"/>
      <c r="AA1646" s="18"/>
      <c r="AB1646" s="18"/>
      <c r="AC1646" s="18"/>
      <c r="AD1646" s="19"/>
      <c r="AE1646" s="18"/>
      <c r="AF1646" s="18"/>
      <c r="AG1646" s="18"/>
      <c r="AH1646" s="18"/>
      <c r="AI1646" s="18"/>
      <c r="AJ1646" s="97"/>
      <c r="AK1646" s="18"/>
      <c r="AL1646" s="18"/>
    </row>
    <row r="1647" spans="4:38" x14ac:dyDescent="0.2">
      <c r="D1647" s="19"/>
      <c r="E1647" s="19"/>
      <c r="F1647" s="19"/>
      <c r="G1647" s="18"/>
      <c r="H1647" s="18"/>
      <c r="I1647" s="18"/>
      <c r="J1647" s="18"/>
      <c r="K1647" s="18"/>
      <c r="L1647" s="18"/>
      <c r="M1647" s="18"/>
      <c r="N1647" s="18"/>
      <c r="O1647" s="18"/>
      <c r="P1647" s="18"/>
      <c r="Q1647" s="18"/>
      <c r="R1647" s="18"/>
      <c r="S1647" s="18"/>
      <c r="T1647" s="18"/>
      <c r="U1647" s="18"/>
      <c r="V1647" s="18"/>
      <c r="W1647" s="18"/>
      <c r="X1647" s="18"/>
      <c r="Y1647" s="18"/>
      <c r="Z1647" s="18"/>
      <c r="AA1647" s="18"/>
      <c r="AB1647" s="18"/>
      <c r="AC1647" s="18"/>
      <c r="AD1647" s="19"/>
      <c r="AE1647" s="18"/>
      <c r="AF1647" s="18"/>
      <c r="AG1647" s="18"/>
      <c r="AH1647" s="18"/>
      <c r="AI1647" s="18"/>
      <c r="AJ1647" s="97"/>
      <c r="AK1647" s="18"/>
      <c r="AL1647" s="18"/>
    </row>
    <row r="1648" spans="4:38" x14ac:dyDescent="0.2">
      <c r="D1648" s="19"/>
      <c r="E1648" s="19"/>
      <c r="F1648" s="19"/>
      <c r="G1648" s="18"/>
      <c r="H1648" s="18"/>
      <c r="I1648" s="18"/>
      <c r="J1648" s="18"/>
      <c r="K1648" s="18"/>
      <c r="L1648" s="18"/>
      <c r="M1648" s="18"/>
      <c r="N1648" s="18"/>
      <c r="O1648" s="18"/>
      <c r="P1648" s="18"/>
      <c r="Q1648" s="18"/>
      <c r="R1648" s="18"/>
      <c r="S1648" s="18"/>
      <c r="T1648" s="18"/>
      <c r="U1648" s="18"/>
      <c r="V1648" s="18"/>
      <c r="W1648" s="18"/>
      <c r="X1648" s="18"/>
      <c r="Y1648" s="18"/>
      <c r="Z1648" s="18"/>
      <c r="AA1648" s="18"/>
      <c r="AB1648" s="18"/>
      <c r="AC1648" s="18"/>
      <c r="AD1648" s="19"/>
      <c r="AE1648" s="18"/>
      <c r="AF1648" s="18"/>
      <c r="AG1648" s="18"/>
      <c r="AH1648" s="18"/>
      <c r="AI1648" s="18"/>
      <c r="AJ1648" s="97"/>
      <c r="AK1648" s="18"/>
      <c r="AL1648" s="18"/>
    </row>
    <row r="1649" spans="4:38" x14ac:dyDescent="0.2">
      <c r="D1649" s="19"/>
      <c r="E1649" s="19"/>
      <c r="F1649" s="19"/>
      <c r="G1649" s="18"/>
      <c r="H1649" s="18"/>
      <c r="I1649" s="18"/>
      <c r="J1649" s="18"/>
      <c r="K1649" s="18"/>
      <c r="L1649" s="18"/>
      <c r="M1649" s="18"/>
      <c r="N1649" s="18"/>
      <c r="O1649" s="18"/>
      <c r="P1649" s="18"/>
      <c r="Q1649" s="18"/>
      <c r="R1649" s="18"/>
      <c r="S1649" s="18"/>
      <c r="T1649" s="18"/>
      <c r="U1649" s="18"/>
      <c r="V1649" s="18"/>
      <c r="W1649" s="18"/>
      <c r="X1649" s="18"/>
      <c r="Y1649" s="18"/>
      <c r="Z1649" s="18"/>
      <c r="AA1649" s="18"/>
      <c r="AB1649" s="18"/>
      <c r="AC1649" s="18"/>
      <c r="AD1649" s="19"/>
      <c r="AE1649" s="18"/>
      <c r="AF1649" s="18"/>
      <c r="AG1649" s="18"/>
      <c r="AH1649" s="18"/>
      <c r="AI1649" s="18"/>
      <c r="AJ1649" s="97"/>
      <c r="AK1649" s="18"/>
      <c r="AL1649" s="18"/>
    </row>
    <row r="1650" spans="4:38" x14ac:dyDescent="0.2">
      <c r="D1650" s="19"/>
      <c r="E1650" s="19"/>
      <c r="F1650" s="19"/>
      <c r="G1650" s="18"/>
      <c r="H1650" s="18"/>
      <c r="I1650" s="18"/>
      <c r="J1650" s="18"/>
      <c r="K1650" s="18"/>
      <c r="L1650" s="18"/>
      <c r="M1650" s="18"/>
      <c r="N1650" s="18"/>
      <c r="O1650" s="18"/>
      <c r="P1650" s="18"/>
      <c r="Q1650" s="18"/>
      <c r="R1650" s="18"/>
      <c r="S1650" s="18"/>
      <c r="T1650" s="18"/>
      <c r="U1650" s="18"/>
      <c r="V1650" s="18"/>
      <c r="W1650" s="18"/>
      <c r="X1650" s="18"/>
      <c r="Y1650" s="18"/>
      <c r="Z1650" s="18"/>
      <c r="AA1650" s="18"/>
      <c r="AB1650" s="18"/>
      <c r="AC1650" s="18"/>
      <c r="AD1650" s="19"/>
      <c r="AE1650" s="18"/>
      <c r="AF1650" s="18"/>
      <c r="AG1650" s="18"/>
      <c r="AH1650" s="18"/>
      <c r="AI1650" s="18"/>
      <c r="AJ1650" s="97"/>
      <c r="AK1650" s="18"/>
      <c r="AL1650" s="18"/>
    </row>
    <row r="1651" spans="4:38" x14ac:dyDescent="0.2">
      <c r="D1651" s="19"/>
      <c r="E1651" s="19"/>
      <c r="F1651" s="19"/>
      <c r="G1651" s="18"/>
      <c r="H1651" s="18"/>
      <c r="I1651" s="18"/>
      <c r="J1651" s="18"/>
      <c r="K1651" s="18"/>
      <c r="L1651" s="18"/>
      <c r="M1651" s="18"/>
      <c r="N1651" s="18"/>
      <c r="O1651" s="18"/>
      <c r="P1651" s="18"/>
      <c r="Q1651" s="18"/>
      <c r="R1651" s="18"/>
      <c r="S1651" s="18"/>
      <c r="T1651" s="18"/>
      <c r="U1651" s="18"/>
      <c r="V1651" s="18"/>
      <c r="W1651" s="18"/>
      <c r="X1651" s="18"/>
      <c r="Y1651" s="18"/>
      <c r="Z1651" s="18"/>
      <c r="AA1651" s="18"/>
      <c r="AB1651" s="18"/>
      <c r="AC1651" s="18"/>
      <c r="AD1651" s="19"/>
      <c r="AE1651" s="18"/>
      <c r="AF1651" s="18"/>
      <c r="AG1651" s="18"/>
      <c r="AH1651" s="18"/>
      <c r="AI1651" s="18"/>
      <c r="AJ1651" s="97"/>
      <c r="AK1651" s="18"/>
      <c r="AL1651" s="18"/>
    </row>
    <row r="1652" spans="4:38" x14ac:dyDescent="0.2">
      <c r="D1652" s="19"/>
      <c r="E1652" s="19"/>
      <c r="F1652" s="19"/>
      <c r="G1652" s="18"/>
      <c r="H1652" s="18"/>
      <c r="I1652" s="18"/>
      <c r="J1652" s="18"/>
      <c r="K1652" s="18"/>
      <c r="L1652" s="18"/>
      <c r="M1652" s="18"/>
      <c r="N1652" s="18"/>
      <c r="O1652" s="18"/>
      <c r="P1652" s="18"/>
      <c r="Q1652" s="18"/>
      <c r="R1652" s="18"/>
      <c r="S1652" s="18"/>
      <c r="T1652" s="18"/>
      <c r="U1652" s="18"/>
      <c r="V1652" s="18"/>
      <c r="W1652" s="18"/>
      <c r="X1652" s="18"/>
      <c r="Y1652" s="18"/>
      <c r="Z1652" s="18"/>
      <c r="AA1652" s="18"/>
      <c r="AB1652" s="18"/>
      <c r="AC1652" s="18"/>
      <c r="AD1652" s="19"/>
      <c r="AE1652" s="18"/>
      <c r="AF1652" s="18"/>
      <c r="AG1652" s="18"/>
      <c r="AH1652" s="18"/>
      <c r="AI1652" s="18"/>
      <c r="AJ1652" s="97"/>
      <c r="AK1652" s="18"/>
      <c r="AL1652" s="18"/>
    </row>
    <row r="1653" spans="4:38" x14ac:dyDescent="0.2">
      <c r="D1653" s="19"/>
      <c r="E1653" s="19"/>
      <c r="F1653" s="19"/>
      <c r="G1653" s="18"/>
      <c r="H1653" s="18"/>
      <c r="I1653" s="18"/>
      <c r="J1653" s="18"/>
      <c r="K1653" s="18"/>
      <c r="L1653" s="18"/>
      <c r="M1653" s="18"/>
      <c r="N1653" s="18"/>
      <c r="O1653" s="18"/>
      <c r="P1653" s="18"/>
      <c r="Q1653" s="18"/>
      <c r="R1653" s="18"/>
      <c r="S1653" s="18"/>
      <c r="T1653" s="18"/>
      <c r="U1653" s="18"/>
      <c r="V1653" s="18"/>
      <c r="W1653" s="18"/>
      <c r="X1653" s="18"/>
      <c r="Y1653" s="18"/>
      <c r="Z1653" s="18"/>
      <c r="AA1653" s="18"/>
      <c r="AB1653" s="18"/>
      <c r="AC1653" s="18"/>
      <c r="AD1653" s="19"/>
      <c r="AE1653" s="18"/>
      <c r="AF1653" s="18"/>
      <c r="AG1653" s="18"/>
      <c r="AH1653" s="18"/>
      <c r="AI1653" s="18"/>
      <c r="AJ1653" s="97"/>
      <c r="AK1653" s="18"/>
      <c r="AL1653" s="18"/>
    </row>
    <row r="1654" spans="4:38" x14ac:dyDescent="0.2">
      <c r="D1654" s="19"/>
      <c r="E1654" s="19"/>
      <c r="F1654" s="19"/>
      <c r="G1654" s="18"/>
      <c r="H1654" s="18"/>
      <c r="I1654" s="18"/>
      <c r="J1654" s="18"/>
      <c r="K1654" s="18"/>
      <c r="L1654" s="18"/>
      <c r="M1654" s="18"/>
      <c r="N1654" s="18"/>
      <c r="O1654" s="18"/>
      <c r="P1654" s="18"/>
      <c r="Q1654" s="18"/>
      <c r="R1654" s="18"/>
      <c r="S1654" s="18"/>
      <c r="T1654" s="18"/>
      <c r="U1654" s="18"/>
      <c r="V1654" s="18"/>
      <c r="W1654" s="18"/>
      <c r="X1654" s="18"/>
      <c r="Y1654" s="18"/>
      <c r="Z1654" s="18"/>
      <c r="AA1654" s="18"/>
      <c r="AB1654" s="18"/>
      <c r="AC1654" s="18"/>
      <c r="AD1654" s="19"/>
      <c r="AE1654" s="18"/>
      <c r="AF1654" s="18"/>
      <c r="AG1654" s="18"/>
      <c r="AH1654" s="18"/>
      <c r="AI1654" s="18"/>
      <c r="AJ1654" s="97"/>
      <c r="AK1654" s="18"/>
      <c r="AL1654" s="18"/>
    </row>
    <row r="1655" spans="4:38" x14ac:dyDescent="0.2">
      <c r="D1655" s="19"/>
      <c r="E1655" s="19"/>
      <c r="F1655" s="19"/>
      <c r="G1655" s="18"/>
      <c r="H1655" s="18"/>
      <c r="I1655" s="18"/>
      <c r="J1655" s="18"/>
      <c r="K1655" s="18"/>
      <c r="L1655" s="18"/>
      <c r="M1655" s="18"/>
      <c r="N1655" s="18"/>
      <c r="O1655" s="18"/>
      <c r="P1655" s="18"/>
      <c r="Q1655" s="18"/>
      <c r="R1655" s="18"/>
      <c r="S1655" s="18"/>
      <c r="T1655" s="18"/>
      <c r="U1655" s="18"/>
      <c r="V1655" s="18"/>
      <c r="W1655" s="18"/>
      <c r="X1655" s="18"/>
      <c r="Y1655" s="18"/>
      <c r="Z1655" s="18"/>
      <c r="AA1655" s="18"/>
      <c r="AB1655" s="18"/>
      <c r="AC1655" s="18"/>
      <c r="AD1655" s="19"/>
      <c r="AE1655" s="18"/>
      <c r="AF1655" s="18"/>
      <c r="AG1655" s="18"/>
      <c r="AH1655" s="18"/>
      <c r="AI1655" s="18"/>
      <c r="AJ1655" s="97"/>
      <c r="AK1655" s="18"/>
      <c r="AL1655" s="18"/>
    </row>
    <row r="1656" spans="4:38" x14ac:dyDescent="0.2">
      <c r="D1656" s="19"/>
      <c r="E1656" s="19"/>
      <c r="F1656" s="19"/>
      <c r="G1656" s="18"/>
      <c r="H1656" s="18"/>
      <c r="I1656" s="18"/>
      <c r="J1656" s="18"/>
      <c r="K1656" s="18"/>
      <c r="L1656" s="18"/>
      <c r="M1656" s="18"/>
      <c r="N1656" s="18"/>
      <c r="O1656" s="18"/>
      <c r="P1656" s="18"/>
      <c r="Q1656" s="18"/>
      <c r="R1656" s="18"/>
      <c r="S1656" s="18"/>
      <c r="T1656" s="18"/>
      <c r="U1656" s="18"/>
      <c r="V1656" s="18"/>
      <c r="W1656" s="18"/>
      <c r="X1656" s="18"/>
      <c r="Y1656" s="18"/>
      <c r="Z1656" s="18"/>
      <c r="AA1656" s="18"/>
      <c r="AB1656" s="18"/>
      <c r="AC1656" s="18"/>
      <c r="AD1656" s="19"/>
      <c r="AE1656" s="18"/>
      <c r="AF1656" s="18"/>
      <c r="AG1656" s="18"/>
      <c r="AH1656" s="18"/>
      <c r="AI1656" s="18"/>
      <c r="AJ1656" s="97"/>
      <c r="AK1656" s="18"/>
      <c r="AL1656" s="18"/>
    </row>
    <row r="1657" spans="4:38" x14ac:dyDescent="0.2">
      <c r="D1657" s="19"/>
      <c r="E1657" s="19"/>
      <c r="F1657" s="19"/>
      <c r="G1657" s="18"/>
      <c r="H1657" s="18"/>
      <c r="I1657" s="18"/>
      <c r="J1657" s="18"/>
      <c r="K1657" s="18"/>
      <c r="L1657" s="18"/>
      <c r="M1657" s="18"/>
      <c r="N1657" s="18"/>
      <c r="O1657" s="18"/>
      <c r="P1657" s="18"/>
      <c r="Q1657" s="18"/>
      <c r="R1657" s="18"/>
      <c r="S1657" s="18"/>
      <c r="T1657" s="18"/>
      <c r="U1657" s="18"/>
      <c r="V1657" s="18"/>
      <c r="W1657" s="18"/>
      <c r="X1657" s="18"/>
      <c r="Y1657" s="18"/>
      <c r="Z1657" s="18"/>
      <c r="AA1657" s="18"/>
      <c r="AB1657" s="18"/>
      <c r="AC1657" s="18"/>
      <c r="AD1657" s="19"/>
      <c r="AE1657" s="18"/>
      <c r="AF1657" s="18"/>
      <c r="AG1657" s="18"/>
      <c r="AH1657" s="18"/>
      <c r="AI1657" s="18"/>
      <c r="AJ1657" s="97"/>
      <c r="AK1657" s="18"/>
      <c r="AL1657" s="18"/>
    </row>
    <row r="1658" spans="4:38" x14ac:dyDescent="0.2">
      <c r="D1658" s="19"/>
      <c r="E1658" s="19"/>
      <c r="F1658" s="19"/>
      <c r="G1658" s="18"/>
      <c r="H1658" s="18"/>
      <c r="I1658" s="18"/>
      <c r="J1658" s="18"/>
      <c r="K1658" s="18"/>
      <c r="L1658" s="18"/>
      <c r="M1658" s="18"/>
      <c r="N1658" s="18"/>
      <c r="O1658" s="18"/>
      <c r="P1658" s="18"/>
      <c r="Q1658" s="18"/>
      <c r="R1658" s="18"/>
      <c r="S1658" s="18"/>
      <c r="T1658" s="18"/>
      <c r="U1658" s="18"/>
      <c r="V1658" s="18"/>
      <c r="W1658" s="18"/>
      <c r="X1658" s="18"/>
      <c r="Y1658" s="18"/>
      <c r="Z1658" s="18"/>
      <c r="AA1658" s="18"/>
      <c r="AB1658" s="18"/>
      <c r="AC1658" s="18"/>
      <c r="AD1658" s="19"/>
      <c r="AE1658" s="18"/>
      <c r="AF1658" s="18"/>
      <c r="AG1658" s="18"/>
      <c r="AH1658" s="18"/>
      <c r="AI1658" s="18"/>
      <c r="AJ1658" s="97"/>
      <c r="AK1658" s="18"/>
      <c r="AL1658" s="18"/>
    </row>
    <row r="1659" spans="4:38" x14ac:dyDescent="0.2">
      <c r="D1659" s="19"/>
      <c r="E1659" s="19"/>
      <c r="F1659" s="19"/>
      <c r="G1659" s="18"/>
      <c r="H1659" s="18"/>
      <c r="I1659" s="18"/>
      <c r="J1659" s="18"/>
      <c r="K1659" s="18"/>
      <c r="L1659" s="18"/>
      <c r="M1659" s="18"/>
      <c r="N1659" s="18"/>
      <c r="O1659" s="18"/>
      <c r="P1659" s="18"/>
      <c r="Q1659" s="18"/>
      <c r="R1659" s="18"/>
      <c r="S1659" s="18"/>
      <c r="T1659" s="18"/>
      <c r="U1659" s="18"/>
      <c r="V1659" s="18"/>
      <c r="W1659" s="18"/>
      <c r="X1659" s="18"/>
      <c r="Y1659" s="18"/>
      <c r="Z1659" s="18"/>
      <c r="AA1659" s="18"/>
      <c r="AB1659" s="18"/>
      <c r="AC1659" s="18"/>
      <c r="AD1659" s="19"/>
      <c r="AE1659" s="18"/>
      <c r="AF1659" s="18"/>
      <c r="AG1659" s="18"/>
      <c r="AH1659" s="18"/>
      <c r="AI1659" s="18"/>
      <c r="AJ1659" s="97"/>
      <c r="AK1659" s="18"/>
      <c r="AL1659" s="18"/>
    </row>
    <row r="1660" spans="4:38" x14ac:dyDescent="0.2">
      <c r="D1660" s="19"/>
      <c r="E1660" s="19"/>
      <c r="F1660" s="19"/>
      <c r="G1660" s="18"/>
      <c r="H1660" s="18"/>
      <c r="I1660" s="18"/>
      <c r="J1660" s="18"/>
      <c r="K1660" s="18"/>
      <c r="L1660" s="18"/>
      <c r="M1660" s="18"/>
      <c r="N1660" s="18"/>
      <c r="O1660" s="18"/>
      <c r="P1660" s="18"/>
      <c r="Q1660" s="18"/>
      <c r="R1660" s="18"/>
      <c r="S1660" s="18"/>
      <c r="T1660" s="18"/>
      <c r="U1660" s="18"/>
      <c r="V1660" s="18"/>
      <c r="W1660" s="18"/>
      <c r="X1660" s="18"/>
      <c r="Y1660" s="18"/>
      <c r="Z1660" s="18"/>
      <c r="AA1660" s="18"/>
      <c r="AB1660" s="18"/>
      <c r="AC1660" s="18"/>
      <c r="AD1660" s="19"/>
      <c r="AE1660" s="18"/>
      <c r="AF1660" s="18"/>
      <c r="AG1660" s="18"/>
      <c r="AH1660" s="18"/>
      <c r="AI1660" s="18"/>
      <c r="AJ1660" s="97"/>
      <c r="AK1660" s="18"/>
      <c r="AL1660" s="18"/>
    </row>
    <row r="1661" spans="4:38" x14ac:dyDescent="0.2">
      <c r="D1661" s="19"/>
      <c r="E1661" s="19"/>
      <c r="F1661" s="19"/>
      <c r="G1661" s="18"/>
      <c r="H1661" s="18"/>
      <c r="I1661" s="18"/>
      <c r="J1661" s="18"/>
      <c r="K1661" s="18"/>
      <c r="L1661" s="18"/>
      <c r="M1661" s="18"/>
      <c r="N1661" s="18"/>
      <c r="O1661" s="18"/>
      <c r="P1661" s="18"/>
      <c r="Q1661" s="18"/>
      <c r="R1661" s="18"/>
      <c r="S1661" s="18"/>
      <c r="T1661" s="18"/>
      <c r="U1661" s="18"/>
      <c r="V1661" s="18"/>
      <c r="W1661" s="18"/>
      <c r="X1661" s="18"/>
      <c r="Y1661" s="18"/>
      <c r="Z1661" s="18"/>
      <c r="AA1661" s="18"/>
      <c r="AB1661" s="18"/>
      <c r="AC1661" s="18"/>
      <c r="AD1661" s="19"/>
      <c r="AE1661" s="18"/>
      <c r="AF1661" s="18"/>
      <c r="AG1661" s="18"/>
      <c r="AH1661" s="18"/>
      <c r="AI1661" s="18"/>
      <c r="AJ1661" s="97"/>
      <c r="AK1661" s="18"/>
      <c r="AL1661" s="18"/>
    </row>
    <row r="1662" spans="4:38" x14ac:dyDescent="0.2">
      <c r="D1662" s="19"/>
      <c r="E1662" s="19"/>
      <c r="F1662" s="19"/>
      <c r="G1662" s="18"/>
      <c r="H1662" s="18"/>
      <c r="I1662" s="18"/>
      <c r="J1662" s="18"/>
      <c r="K1662" s="18"/>
      <c r="L1662" s="18"/>
      <c r="M1662" s="18"/>
      <c r="N1662" s="18"/>
      <c r="O1662" s="18"/>
      <c r="P1662" s="18"/>
      <c r="Q1662" s="18"/>
      <c r="R1662" s="18"/>
      <c r="S1662" s="18"/>
      <c r="T1662" s="18"/>
      <c r="U1662" s="18"/>
      <c r="V1662" s="18"/>
      <c r="W1662" s="18"/>
      <c r="X1662" s="18"/>
      <c r="Y1662" s="18"/>
      <c r="Z1662" s="18"/>
      <c r="AA1662" s="18"/>
      <c r="AB1662" s="18"/>
      <c r="AC1662" s="18"/>
      <c r="AD1662" s="19"/>
      <c r="AE1662" s="18"/>
      <c r="AF1662" s="18"/>
      <c r="AG1662" s="18"/>
      <c r="AH1662" s="18"/>
      <c r="AI1662" s="18"/>
      <c r="AJ1662" s="97"/>
      <c r="AK1662" s="18"/>
      <c r="AL1662" s="18"/>
    </row>
    <row r="1663" spans="4:38" x14ac:dyDescent="0.2">
      <c r="D1663" s="19"/>
      <c r="E1663" s="19"/>
      <c r="F1663" s="19"/>
      <c r="G1663" s="18"/>
      <c r="H1663" s="18"/>
      <c r="I1663" s="18"/>
      <c r="J1663" s="18"/>
      <c r="K1663" s="18"/>
      <c r="L1663" s="18"/>
      <c r="M1663" s="18"/>
      <c r="N1663" s="18"/>
      <c r="O1663" s="18"/>
      <c r="P1663" s="18"/>
      <c r="Q1663" s="18"/>
      <c r="R1663" s="18"/>
      <c r="S1663" s="18"/>
      <c r="T1663" s="18"/>
      <c r="U1663" s="18"/>
      <c r="V1663" s="18"/>
      <c r="W1663" s="18"/>
      <c r="X1663" s="18"/>
      <c r="Y1663" s="18"/>
      <c r="Z1663" s="18"/>
      <c r="AA1663" s="18"/>
      <c r="AB1663" s="18"/>
      <c r="AC1663" s="18"/>
      <c r="AD1663" s="19"/>
      <c r="AE1663" s="18"/>
      <c r="AF1663" s="18"/>
      <c r="AG1663" s="18"/>
      <c r="AH1663" s="18"/>
      <c r="AI1663" s="18"/>
      <c r="AJ1663" s="97"/>
      <c r="AK1663" s="18"/>
      <c r="AL1663" s="18"/>
    </row>
    <row r="1664" spans="4:38" x14ac:dyDescent="0.2">
      <c r="D1664" s="19"/>
      <c r="E1664" s="19"/>
      <c r="F1664" s="19"/>
      <c r="G1664" s="18"/>
      <c r="H1664" s="18"/>
      <c r="I1664" s="18"/>
      <c r="J1664" s="18"/>
      <c r="K1664" s="18"/>
      <c r="L1664" s="18"/>
      <c r="M1664" s="18"/>
      <c r="N1664" s="18"/>
      <c r="O1664" s="18"/>
      <c r="P1664" s="18"/>
      <c r="Q1664" s="18"/>
      <c r="R1664" s="18"/>
      <c r="S1664" s="18"/>
      <c r="T1664" s="18"/>
      <c r="U1664" s="18"/>
      <c r="V1664" s="18"/>
      <c r="W1664" s="18"/>
      <c r="X1664" s="18"/>
      <c r="Y1664" s="18"/>
      <c r="Z1664" s="18"/>
      <c r="AA1664" s="18"/>
      <c r="AB1664" s="18"/>
      <c r="AC1664" s="18"/>
      <c r="AD1664" s="19"/>
      <c r="AE1664" s="18"/>
      <c r="AF1664" s="18"/>
      <c r="AG1664" s="18"/>
      <c r="AH1664" s="18"/>
      <c r="AI1664" s="18"/>
      <c r="AJ1664" s="97"/>
      <c r="AK1664" s="18"/>
      <c r="AL1664" s="18"/>
    </row>
    <row r="1665" spans="4:38" x14ac:dyDescent="0.2">
      <c r="D1665" s="19"/>
      <c r="E1665" s="19"/>
      <c r="F1665" s="19"/>
      <c r="G1665" s="18"/>
      <c r="H1665" s="18"/>
      <c r="I1665" s="18"/>
      <c r="J1665" s="18"/>
      <c r="K1665" s="18"/>
      <c r="L1665" s="18"/>
      <c r="M1665" s="18"/>
      <c r="N1665" s="18"/>
      <c r="O1665" s="18"/>
      <c r="P1665" s="18"/>
      <c r="Q1665" s="18"/>
      <c r="R1665" s="18"/>
      <c r="S1665" s="18"/>
      <c r="T1665" s="18"/>
      <c r="U1665" s="18"/>
      <c r="V1665" s="18"/>
      <c r="W1665" s="18"/>
      <c r="X1665" s="18"/>
      <c r="Y1665" s="18"/>
      <c r="Z1665" s="18"/>
      <c r="AA1665" s="18"/>
      <c r="AB1665" s="18"/>
      <c r="AC1665" s="18"/>
      <c r="AD1665" s="19"/>
      <c r="AE1665" s="18"/>
      <c r="AF1665" s="18"/>
      <c r="AG1665" s="18"/>
      <c r="AH1665" s="18"/>
      <c r="AI1665" s="18"/>
      <c r="AJ1665" s="97"/>
      <c r="AK1665" s="18"/>
      <c r="AL1665" s="18"/>
    </row>
    <row r="1666" spans="4:38" x14ac:dyDescent="0.2">
      <c r="D1666" s="19"/>
      <c r="E1666" s="19"/>
      <c r="F1666" s="19"/>
      <c r="G1666" s="18"/>
      <c r="H1666" s="18"/>
      <c r="I1666" s="18"/>
      <c r="J1666" s="18"/>
      <c r="K1666" s="18"/>
      <c r="L1666" s="18"/>
      <c r="M1666" s="18"/>
      <c r="N1666" s="18"/>
      <c r="O1666" s="18"/>
      <c r="P1666" s="18"/>
      <c r="Q1666" s="18"/>
      <c r="R1666" s="18"/>
      <c r="S1666" s="18"/>
      <c r="T1666" s="18"/>
      <c r="U1666" s="18"/>
      <c r="V1666" s="18"/>
      <c r="W1666" s="18"/>
      <c r="X1666" s="18"/>
      <c r="Y1666" s="18"/>
      <c r="Z1666" s="18"/>
      <c r="AA1666" s="18"/>
      <c r="AB1666" s="18"/>
      <c r="AC1666" s="18"/>
      <c r="AD1666" s="19"/>
      <c r="AE1666" s="18"/>
      <c r="AF1666" s="18"/>
      <c r="AG1666" s="18"/>
      <c r="AH1666" s="18"/>
      <c r="AI1666" s="18"/>
      <c r="AJ1666" s="97"/>
      <c r="AK1666" s="18"/>
      <c r="AL1666" s="18"/>
    </row>
    <row r="1667" spans="4:38" x14ac:dyDescent="0.2">
      <c r="D1667" s="19"/>
      <c r="E1667" s="19"/>
      <c r="F1667" s="19"/>
      <c r="G1667" s="18"/>
      <c r="H1667" s="18"/>
      <c r="I1667" s="18"/>
      <c r="J1667" s="18"/>
      <c r="K1667" s="18"/>
      <c r="L1667" s="18"/>
      <c r="M1667" s="18"/>
      <c r="N1667" s="18"/>
      <c r="O1667" s="18"/>
      <c r="P1667" s="18"/>
      <c r="Q1667" s="18"/>
      <c r="R1667" s="18"/>
      <c r="S1667" s="18"/>
      <c r="T1667" s="18"/>
      <c r="U1667" s="18"/>
      <c r="V1667" s="18"/>
      <c r="W1667" s="18"/>
      <c r="X1667" s="18"/>
      <c r="Y1667" s="18"/>
      <c r="Z1667" s="18"/>
      <c r="AA1667" s="18"/>
      <c r="AB1667" s="18"/>
      <c r="AC1667" s="18"/>
      <c r="AD1667" s="19"/>
      <c r="AE1667" s="18"/>
      <c r="AF1667" s="18"/>
      <c r="AG1667" s="18"/>
      <c r="AH1667" s="18"/>
      <c r="AI1667" s="18"/>
      <c r="AJ1667" s="97"/>
      <c r="AK1667" s="18"/>
      <c r="AL1667" s="18"/>
    </row>
    <row r="1668" spans="4:38" x14ac:dyDescent="0.2">
      <c r="D1668" s="19"/>
      <c r="E1668" s="19"/>
      <c r="F1668" s="19"/>
      <c r="G1668" s="18"/>
      <c r="H1668" s="18"/>
      <c r="I1668" s="18"/>
      <c r="J1668" s="18"/>
      <c r="K1668" s="18"/>
      <c r="L1668" s="18"/>
      <c r="M1668" s="18"/>
      <c r="N1668" s="18"/>
      <c r="O1668" s="18"/>
      <c r="P1668" s="18"/>
      <c r="Q1668" s="18"/>
      <c r="R1668" s="18"/>
      <c r="S1668" s="18"/>
      <c r="T1668" s="18"/>
      <c r="U1668" s="18"/>
      <c r="V1668" s="18"/>
      <c r="W1668" s="18"/>
      <c r="X1668" s="18"/>
      <c r="Y1668" s="18"/>
      <c r="Z1668" s="18"/>
      <c r="AA1668" s="18"/>
      <c r="AB1668" s="18"/>
      <c r="AC1668" s="18"/>
      <c r="AD1668" s="19"/>
      <c r="AE1668" s="18"/>
      <c r="AF1668" s="18"/>
      <c r="AG1668" s="18"/>
      <c r="AH1668" s="18"/>
      <c r="AI1668" s="18"/>
      <c r="AJ1668" s="97"/>
      <c r="AK1668" s="18"/>
      <c r="AL1668" s="18"/>
    </row>
    <row r="1669" spans="4:38" x14ac:dyDescent="0.2">
      <c r="D1669" s="19"/>
      <c r="E1669" s="19"/>
      <c r="F1669" s="19"/>
      <c r="G1669" s="18"/>
      <c r="H1669" s="18"/>
      <c r="I1669" s="18"/>
      <c r="J1669" s="18"/>
      <c r="K1669" s="18"/>
      <c r="L1669" s="18"/>
      <c r="M1669" s="18"/>
      <c r="N1669" s="18"/>
      <c r="O1669" s="18"/>
      <c r="P1669" s="18"/>
      <c r="Q1669" s="18"/>
      <c r="R1669" s="18"/>
      <c r="S1669" s="18"/>
      <c r="T1669" s="18"/>
      <c r="U1669" s="18"/>
      <c r="V1669" s="18"/>
      <c r="W1669" s="18"/>
      <c r="X1669" s="18"/>
      <c r="Y1669" s="18"/>
      <c r="Z1669" s="18"/>
      <c r="AA1669" s="18"/>
      <c r="AB1669" s="18"/>
      <c r="AC1669" s="18"/>
      <c r="AD1669" s="19"/>
      <c r="AE1669" s="18"/>
      <c r="AF1669" s="18"/>
      <c r="AG1669" s="18"/>
      <c r="AH1669" s="18"/>
      <c r="AI1669" s="18"/>
      <c r="AJ1669" s="97"/>
      <c r="AK1669" s="18"/>
      <c r="AL1669" s="18"/>
    </row>
    <row r="1670" spans="4:38" x14ac:dyDescent="0.2">
      <c r="D1670" s="19"/>
      <c r="E1670" s="19"/>
      <c r="F1670" s="19"/>
      <c r="G1670" s="18"/>
      <c r="H1670" s="18"/>
      <c r="I1670" s="18"/>
      <c r="J1670" s="18"/>
      <c r="K1670" s="18"/>
      <c r="L1670" s="18"/>
      <c r="M1670" s="18"/>
      <c r="N1670" s="18"/>
      <c r="O1670" s="18"/>
      <c r="P1670" s="18"/>
      <c r="Q1670" s="18"/>
      <c r="R1670" s="18"/>
      <c r="S1670" s="18"/>
      <c r="T1670" s="18"/>
      <c r="U1670" s="18"/>
      <c r="V1670" s="18"/>
      <c r="W1670" s="18"/>
      <c r="X1670" s="18"/>
      <c r="Y1670" s="18"/>
      <c r="Z1670" s="18"/>
      <c r="AA1670" s="18"/>
      <c r="AB1670" s="18"/>
      <c r="AC1670" s="18"/>
      <c r="AD1670" s="19"/>
      <c r="AE1670" s="18"/>
      <c r="AF1670" s="18"/>
      <c r="AG1670" s="18"/>
      <c r="AH1670" s="18"/>
      <c r="AI1670" s="18"/>
      <c r="AJ1670" s="97"/>
      <c r="AK1670" s="18"/>
      <c r="AL1670" s="18"/>
    </row>
    <row r="1671" spans="4:38" x14ac:dyDescent="0.2">
      <c r="D1671" s="19"/>
      <c r="E1671" s="19"/>
      <c r="F1671" s="19"/>
      <c r="G1671" s="18"/>
      <c r="H1671" s="18"/>
      <c r="I1671" s="18"/>
      <c r="J1671" s="18"/>
      <c r="K1671" s="18"/>
      <c r="L1671" s="18"/>
      <c r="M1671" s="18"/>
      <c r="N1671" s="18"/>
      <c r="O1671" s="18"/>
      <c r="P1671" s="18"/>
      <c r="Q1671" s="18"/>
      <c r="R1671" s="18"/>
      <c r="S1671" s="18"/>
      <c r="T1671" s="18"/>
      <c r="U1671" s="18"/>
      <c r="V1671" s="18"/>
      <c r="W1671" s="18"/>
      <c r="X1671" s="18"/>
      <c r="Y1671" s="18"/>
      <c r="Z1671" s="18"/>
      <c r="AA1671" s="18"/>
      <c r="AB1671" s="18"/>
      <c r="AC1671" s="18"/>
      <c r="AD1671" s="19"/>
      <c r="AE1671" s="18"/>
      <c r="AF1671" s="18"/>
      <c r="AG1671" s="18"/>
      <c r="AH1671" s="18"/>
      <c r="AI1671" s="18"/>
      <c r="AJ1671" s="97"/>
      <c r="AK1671" s="18"/>
      <c r="AL1671" s="18"/>
    </row>
    <row r="1672" spans="4:38" x14ac:dyDescent="0.2">
      <c r="D1672" s="19"/>
      <c r="E1672" s="19"/>
      <c r="F1672" s="19"/>
      <c r="G1672" s="18"/>
      <c r="H1672" s="18"/>
      <c r="I1672" s="18"/>
      <c r="J1672" s="18"/>
      <c r="K1672" s="18"/>
      <c r="L1672" s="18"/>
      <c r="M1672" s="18"/>
      <c r="N1672" s="18"/>
      <c r="O1672" s="18"/>
      <c r="P1672" s="18"/>
      <c r="Q1672" s="18"/>
      <c r="R1672" s="18"/>
      <c r="S1672" s="18"/>
      <c r="T1672" s="18"/>
      <c r="U1672" s="18"/>
      <c r="V1672" s="18"/>
      <c r="W1672" s="18"/>
      <c r="X1672" s="18"/>
      <c r="Y1672" s="18"/>
      <c r="Z1672" s="18"/>
      <c r="AA1672" s="18"/>
      <c r="AB1672" s="18"/>
      <c r="AC1672" s="18"/>
      <c r="AD1672" s="19"/>
      <c r="AE1672" s="18"/>
      <c r="AF1672" s="18"/>
      <c r="AG1672" s="18"/>
      <c r="AH1672" s="18"/>
      <c r="AI1672" s="18"/>
      <c r="AJ1672" s="97"/>
      <c r="AK1672" s="18"/>
      <c r="AL1672" s="18"/>
    </row>
    <row r="1673" spans="4:38" x14ac:dyDescent="0.2">
      <c r="D1673" s="19"/>
      <c r="E1673" s="19"/>
      <c r="F1673" s="19"/>
      <c r="G1673" s="18"/>
      <c r="H1673" s="18"/>
      <c r="I1673" s="18"/>
      <c r="J1673" s="18"/>
      <c r="K1673" s="18"/>
      <c r="L1673" s="18"/>
      <c r="M1673" s="18"/>
      <c r="N1673" s="18"/>
      <c r="O1673" s="18"/>
      <c r="P1673" s="18"/>
      <c r="Q1673" s="18"/>
      <c r="R1673" s="18"/>
      <c r="S1673" s="18"/>
      <c r="T1673" s="18"/>
      <c r="U1673" s="18"/>
      <c r="V1673" s="18"/>
      <c r="W1673" s="18"/>
      <c r="X1673" s="18"/>
      <c r="Y1673" s="18"/>
      <c r="Z1673" s="18"/>
      <c r="AA1673" s="18"/>
      <c r="AB1673" s="18"/>
      <c r="AC1673" s="18"/>
      <c r="AD1673" s="19"/>
      <c r="AE1673" s="18"/>
      <c r="AF1673" s="18"/>
      <c r="AG1673" s="18"/>
      <c r="AH1673" s="18"/>
      <c r="AI1673" s="18"/>
      <c r="AJ1673" s="97"/>
      <c r="AK1673" s="18"/>
      <c r="AL1673" s="18"/>
    </row>
    <row r="1674" spans="4:38" x14ac:dyDescent="0.2">
      <c r="D1674" s="19"/>
      <c r="E1674" s="19"/>
      <c r="F1674" s="19"/>
      <c r="G1674" s="18"/>
      <c r="H1674" s="18"/>
      <c r="I1674" s="18"/>
      <c r="J1674" s="18"/>
      <c r="K1674" s="18"/>
      <c r="L1674" s="18"/>
      <c r="M1674" s="18"/>
      <c r="N1674" s="18"/>
      <c r="O1674" s="18"/>
      <c r="P1674" s="18"/>
      <c r="Q1674" s="18"/>
      <c r="R1674" s="18"/>
      <c r="S1674" s="18"/>
      <c r="T1674" s="18"/>
      <c r="U1674" s="18"/>
      <c r="V1674" s="18"/>
      <c r="W1674" s="18"/>
      <c r="X1674" s="18"/>
      <c r="Y1674" s="18"/>
      <c r="Z1674" s="18"/>
      <c r="AA1674" s="18"/>
      <c r="AB1674" s="18"/>
      <c r="AC1674" s="18"/>
      <c r="AD1674" s="19"/>
      <c r="AE1674" s="18"/>
      <c r="AF1674" s="18"/>
      <c r="AG1674" s="18"/>
      <c r="AH1674" s="18"/>
      <c r="AI1674" s="18"/>
      <c r="AJ1674" s="97"/>
      <c r="AK1674" s="18"/>
      <c r="AL1674" s="18"/>
    </row>
    <row r="1675" spans="4:38" x14ac:dyDescent="0.2">
      <c r="D1675" s="19"/>
      <c r="E1675" s="19"/>
      <c r="F1675" s="19"/>
      <c r="G1675" s="18"/>
      <c r="H1675" s="18"/>
      <c r="I1675" s="18"/>
      <c r="J1675" s="18"/>
      <c r="K1675" s="18"/>
      <c r="L1675" s="18"/>
      <c r="M1675" s="18"/>
      <c r="N1675" s="18"/>
      <c r="O1675" s="18"/>
      <c r="P1675" s="18"/>
      <c r="Q1675" s="18"/>
      <c r="R1675" s="18"/>
      <c r="S1675" s="18"/>
      <c r="T1675" s="18"/>
      <c r="U1675" s="18"/>
      <c r="V1675" s="18"/>
      <c r="W1675" s="18"/>
      <c r="X1675" s="18"/>
      <c r="Y1675" s="18"/>
      <c r="Z1675" s="18"/>
      <c r="AA1675" s="18"/>
      <c r="AB1675" s="18"/>
      <c r="AC1675" s="18"/>
      <c r="AD1675" s="19"/>
      <c r="AE1675" s="18"/>
      <c r="AF1675" s="18"/>
      <c r="AG1675" s="18"/>
      <c r="AH1675" s="18"/>
      <c r="AI1675" s="18"/>
      <c r="AJ1675" s="97"/>
      <c r="AK1675" s="18"/>
      <c r="AL1675" s="18"/>
    </row>
    <row r="1676" spans="4:38" x14ac:dyDescent="0.2">
      <c r="D1676" s="19"/>
      <c r="E1676" s="19"/>
      <c r="F1676" s="19"/>
      <c r="G1676" s="18"/>
      <c r="H1676" s="18"/>
      <c r="I1676" s="18"/>
      <c r="J1676" s="18"/>
      <c r="K1676" s="18"/>
      <c r="L1676" s="18"/>
      <c r="M1676" s="18"/>
      <c r="N1676" s="18"/>
      <c r="O1676" s="18"/>
      <c r="P1676" s="18"/>
      <c r="Q1676" s="18"/>
      <c r="R1676" s="18"/>
      <c r="S1676" s="18"/>
      <c r="T1676" s="18"/>
      <c r="U1676" s="18"/>
      <c r="V1676" s="18"/>
      <c r="W1676" s="18"/>
      <c r="X1676" s="18"/>
      <c r="Y1676" s="18"/>
      <c r="Z1676" s="18"/>
      <c r="AA1676" s="18"/>
      <c r="AB1676" s="18"/>
      <c r="AC1676" s="18"/>
      <c r="AD1676" s="19"/>
      <c r="AE1676" s="18"/>
      <c r="AF1676" s="18"/>
      <c r="AG1676" s="18"/>
      <c r="AH1676" s="18"/>
      <c r="AI1676" s="18"/>
      <c r="AJ1676" s="97"/>
      <c r="AK1676" s="18"/>
      <c r="AL1676" s="18"/>
    </row>
    <row r="1677" spans="4:38" x14ac:dyDescent="0.2">
      <c r="D1677" s="19"/>
      <c r="E1677" s="19"/>
      <c r="F1677" s="19"/>
      <c r="G1677" s="18"/>
      <c r="H1677" s="18"/>
      <c r="I1677" s="18"/>
      <c r="J1677" s="18"/>
      <c r="K1677" s="18"/>
      <c r="L1677" s="18"/>
      <c r="M1677" s="18"/>
      <c r="N1677" s="18"/>
      <c r="O1677" s="18"/>
      <c r="P1677" s="18"/>
      <c r="Q1677" s="18"/>
      <c r="R1677" s="18"/>
      <c r="S1677" s="18"/>
      <c r="T1677" s="18"/>
      <c r="U1677" s="18"/>
      <c r="V1677" s="18"/>
      <c r="W1677" s="18"/>
      <c r="X1677" s="18"/>
      <c r="Y1677" s="18"/>
      <c r="Z1677" s="18"/>
      <c r="AA1677" s="18"/>
      <c r="AB1677" s="18"/>
      <c r="AC1677" s="18"/>
      <c r="AD1677" s="19"/>
      <c r="AE1677" s="18"/>
      <c r="AF1677" s="18"/>
      <c r="AG1677" s="18"/>
      <c r="AH1677" s="18"/>
      <c r="AI1677" s="18"/>
      <c r="AJ1677" s="97"/>
      <c r="AK1677" s="18"/>
      <c r="AL1677" s="18"/>
    </row>
    <row r="1678" spans="4:38" x14ac:dyDescent="0.2">
      <c r="D1678" s="19"/>
      <c r="E1678" s="19"/>
      <c r="F1678" s="19"/>
      <c r="G1678" s="18"/>
      <c r="H1678" s="18"/>
      <c r="I1678" s="18"/>
      <c r="J1678" s="18"/>
      <c r="K1678" s="18"/>
      <c r="L1678" s="18"/>
      <c r="M1678" s="18"/>
      <c r="N1678" s="18"/>
      <c r="O1678" s="18"/>
      <c r="P1678" s="18"/>
      <c r="Q1678" s="18"/>
      <c r="R1678" s="18"/>
      <c r="S1678" s="18"/>
      <c r="T1678" s="18"/>
      <c r="U1678" s="18"/>
      <c r="V1678" s="18"/>
      <c r="W1678" s="18"/>
      <c r="X1678" s="18"/>
      <c r="Y1678" s="18"/>
      <c r="Z1678" s="18"/>
      <c r="AA1678" s="18"/>
      <c r="AB1678" s="18"/>
      <c r="AC1678" s="18"/>
      <c r="AD1678" s="19"/>
      <c r="AE1678" s="18"/>
      <c r="AF1678" s="18"/>
      <c r="AG1678" s="18"/>
      <c r="AH1678" s="18"/>
      <c r="AI1678" s="18"/>
      <c r="AJ1678" s="97"/>
      <c r="AK1678" s="18"/>
      <c r="AL1678" s="18"/>
    </row>
    <row r="1679" spans="4:38" x14ac:dyDescent="0.2">
      <c r="D1679" s="19"/>
      <c r="E1679" s="19"/>
      <c r="F1679" s="19"/>
      <c r="G1679" s="18"/>
      <c r="H1679" s="18"/>
      <c r="I1679" s="18"/>
      <c r="J1679" s="18"/>
      <c r="K1679" s="18"/>
      <c r="L1679" s="18"/>
      <c r="M1679" s="18"/>
      <c r="N1679" s="18"/>
      <c r="O1679" s="18"/>
      <c r="P1679" s="18"/>
      <c r="Q1679" s="18"/>
      <c r="R1679" s="18"/>
      <c r="S1679" s="18"/>
      <c r="T1679" s="18"/>
      <c r="U1679" s="18"/>
      <c r="V1679" s="18"/>
      <c r="W1679" s="18"/>
      <c r="X1679" s="18"/>
      <c r="Y1679" s="18"/>
      <c r="Z1679" s="18"/>
      <c r="AA1679" s="18"/>
      <c r="AB1679" s="18"/>
      <c r="AC1679" s="18"/>
      <c r="AD1679" s="19"/>
      <c r="AE1679" s="18"/>
      <c r="AF1679" s="18"/>
      <c r="AG1679" s="18"/>
      <c r="AH1679" s="18"/>
      <c r="AI1679" s="18"/>
      <c r="AJ1679" s="97"/>
      <c r="AK1679" s="18"/>
      <c r="AL1679" s="18"/>
    </row>
    <row r="1680" spans="4:38" x14ac:dyDescent="0.2">
      <c r="D1680" s="19"/>
      <c r="E1680" s="19"/>
      <c r="F1680" s="19"/>
      <c r="G1680" s="18"/>
      <c r="H1680" s="18"/>
      <c r="I1680" s="18"/>
      <c r="J1680" s="18"/>
      <c r="K1680" s="18"/>
      <c r="L1680" s="18"/>
      <c r="M1680" s="18"/>
      <c r="N1680" s="18"/>
      <c r="O1680" s="18"/>
      <c r="P1680" s="18"/>
      <c r="Q1680" s="18"/>
      <c r="R1680" s="18"/>
      <c r="S1680" s="18"/>
      <c r="T1680" s="18"/>
      <c r="U1680" s="18"/>
      <c r="V1680" s="18"/>
      <c r="W1680" s="18"/>
      <c r="X1680" s="18"/>
      <c r="Y1680" s="18"/>
      <c r="Z1680" s="18"/>
      <c r="AA1680" s="18"/>
      <c r="AB1680" s="18"/>
      <c r="AC1680" s="18"/>
      <c r="AD1680" s="19"/>
      <c r="AE1680" s="18"/>
      <c r="AF1680" s="18"/>
      <c r="AG1680" s="18"/>
      <c r="AH1680" s="18"/>
      <c r="AI1680" s="18"/>
      <c r="AJ1680" s="97"/>
      <c r="AK1680" s="18"/>
      <c r="AL1680" s="18"/>
    </row>
    <row r="1681" spans="4:38" x14ac:dyDescent="0.2">
      <c r="D1681" s="19"/>
      <c r="E1681" s="19"/>
      <c r="F1681" s="19"/>
      <c r="G1681" s="18"/>
      <c r="H1681" s="18"/>
      <c r="I1681" s="18"/>
      <c r="J1681" s="18"/>
      <c r="K1681" s="18"/>
      <c r="L1681" s="18"/>
      <c r="M1681" s="18"/>
      <c r="N1681" s="18"/>
      <c r="O1681" s="18"/>
      <c r="P1681" s="18"/>
      <c r="Q1681" s="18"/>
      <c r="R1681" s="18"/>
      <c r="S1681" s="18"/>
      <c r="T1681" s="18"/>
      <c r="U1681" s="18"/>
      <c r="V1681" s="18"/>
      <c r="W1681" s="18"/>
      <c r="X1681" s="18"/>
      <c r="Y1681" s="18"/>
      <c r="Z1681" s="18"/>
      <c r="AA1681" s="18"/>
      <c r="AB1681" s="18"/>
      <c r="AC1681" s="18"/>
      <c r="AD1681" s="19"/>
      <c r="AE1681" s="18"/>
      <c r="AF1681" s="18"/>
      <c r="AG1681" s="18"/>
      <c r="AH1681" s="18"/>
      <c r="AI1681" s="18"/>
      <c r="AJ1681" s="97"/>
      <c r="AK1681" s="18"/>
      <c r="AL1681" s="18"/>
    </row>
    <row r="1682" spans="4:38" x14ac:dyDescent="0.2">
      <c r="D1682" s="19"/>
      <c r="E1682" s="19"/>
      <c r="F1682" s="19"/>
      <c r="G1682" s="18"/>
      <c r="H1682" s="18"/>
      <c r="I1682" s="18"/>
      <c r="J1682" s="18"/>
      <c r="K1682" s="18"/>
      <c r="L1682" s="18"/>
      <c r="M1682" s="18"/>
      <c r="N1682" s="18"/>
      <c r="O1682" s="18"/>
      <c r="P1682" s="18"/>
      <c r="Q1682" s="18"/>
      <c r="R1682" s="18"/>
      <c r="S1682" s="18"/>
      <c r="T1682" s="18"/>
      <c r="U1682" s="18"/>
      <c r="V1682" s="18"/>
      <c r="W1682" s="18"/>
      <c r="X1682" s="18"/>
      <c r="Y1682" s="18"/>
      <c r="Z1682" s="18"/>
      <c r="AA1682" s="18"/>
      <c r="AB1682" s="18"/>
      <c r="AC1682" s="18"/>
      <c r="AD1682" s="19"/>
      <c r="AE1682" s="18"/>
      <c r="AF1682" s="18"/>
      <c r="AG1682" s="18"/>
      <c r="AH1682" s="18"/>
      <c r="AI1682" s="18"/>
      <c r="AJ1682" s="97"/>
      <c r="AK1682" s="18"/>
      <c r="AL1682" s="18"/>
    </row>
    <row r="1683" spans="4:38" x14ac:dyDescent="0.2">
      <c r="D1683" s="19"/>
      <c r="E1683" s="19"/>
      <c r="F1683" s="19"/>
      <c r="G1683" s="18"/>
      <c r="H1683" s="18"/>
      <c r="I1683" s="18"/>
      <c r="J1683" s="18"/>
      <c r="K1683" s="18"/>
      <c r="L1683" s="18"/>
      <c r="M1683" s="18"/>
      <c r="N1683" s="18"/>
      <c r="O1683" s="18"/>
      <c r="P1683" s="18"/>
      <c r="Q1683" s="18"/>
      <c r="R1683" s="18"/>
      <c r="S1683" s="18"/>
      <c r="T1683" s="18"/>
      <c r="U1683" s="18"/>
      <c r="V1683" s="18"/>
      <c r="W1683" s="18"/>
      <c r="X1683" s="18"/>
      <c r="Y1683" s="18"/>
      <c r="Z1683" s="18"/>
      <c r="AA1683" s="18"/>
      <c r="AB1683" s="18"/>
      <c r="AC1683" s="18"/>
      <c r="AD1683" s="19"/>
      <c r="AE1683" s="18"/>
      <c r="AF1683" s="18"/>
      <c r="AG1683" s="18"/>
      <c r="AH1683" s="18"/>
      <c r="AI1683" s="18"/>
      <c r="AJ1683" s="97"/>
      <c r="AK1683" s="18"/>
      <c r="AL1683" s="18"/>
    </row>
    <row r="1684" spans="4:38" x14ac:dyDescent="0.2">
      <c r="D1684" s="19"/>
      <c r="E1684" s="19"/>
      <c r="F1684" s="19"/>
      <c r="G1684" s="18"/>
      <c r="H1684" s="18"/>
      <c r="I1684" s="18"/>
      <c r="J1684" s="18"/>
      <c r="K1684" s="18"/>
      <c r="L1684" s="18"/>
      <c r="M1684" s="18"/>
      <c r="N1684" s="18"/>
      <c r="O1684" s="18"/>
      <c r="P1684" s="18"/>
      <c r="Q1684" s="18"/>
      <c r="R1684" s="18"/>
      <c r="S1684" s="18"/>
      <c r="T1684" s="18"/>
      <c r="U1684" s="18"/>
      <c r="V1684" s="18"/>
      <c r="W1684" s="18"/>
      <c r="X1684" s="18"/>
      <c r="Y1684" s="18"/>
      <c r="Z1684" s="18"/>
      <c r="AA1684" s="18"/>
      <c r="AB1684" s="18"/>
      <c r="AC1684" s="18"/>
      <c r="AD1684" s="19"/>
      <c r="AE1684" s="18"/>
      <c r="AF1684" s="18"/>
      <c r="AG1684" s="18"/>
      <c r="AH1684" s="18"/>
      <c r="AI1684" s="18"/>
      <c r="AJ1684" s="97"/>
      <c r="AK1684" s="18"/>
      <c r="AL1684" s="18"/>
    </row>
    <row r="1685" spans="4:38" x14ac:dyDescent="0.2">
      <c r="D1685" s="19"/>
      <c r="E1685" s="19"/>
      <c r="F1685" s="19"/>
      <c r="G1685" s="18"/>
      <c r="H1685" s="18"/>
      <c r="I1685" s="18"/>
      <c r="J1685" s="18"/>
      <c r="K1685" s="18"/>
      <c r="L1685" s="18"/>
      <c r="M1685" s="18"/>
      <c r="N1685" s="18"/>
      <c r="O1685" s="18"/>
      <c r="P1685" s="18"/>
      <c r="Q1685" s="18"/>
      <c r="R1685" s="18"/>
      <c r="S1685" s="18"/>
      <c r="T1685" s="18"/>
      <c r="U1685" s="18"/>
      <c r="V1685" s="18"/>
      <c r="W1685" s="18"/>
      <c r="X1685" s="18"/>
      <c r="Y1685" s="18"/>
      <c r="Z1685" s="18"/>
      <c r="AA1685" s="18"/>
      <c r="AB1685" s="18"/>
      <c r="AC1685" s="18"/>
      <c r="AD1685" s="19"/>
      <c r="AE1685" s="18"/>
      <c r="AF1685" s="18"/>
      <c r="AG1685" s="18"/>
      <c r="AH1685" s="18"/>
      <c r="AI1685" s="18"/>
      <c r="AJ1685" s="97"/>
      <c r="AK1685" s="18"/>
      <c r="AL1685" s="18"/>
    </row>
    <row r="1686" spans="4:38" x14ac:dyDescent="0.2">
      <c r="D1686" s="19"/>
      <c r="E1686" s="19"/>
      <c r="F1686" s="19"/>
      <c r="G1686" s="18"/>
      <c r="H1686" s="18"/>
      <c r="I1686" s="18"/>
      <c r="J1686" s="18"/>
      <c r="K1686" s="18"/>
      <c r="L1686" s="18"/>
      <c r="M1686" s="18"/>
      <c r="N1686" s="18"/>
      <c r="O1686" s="18"/>
      <c r="P1686" s="18"/>
      <c r="Q1686" s="18"/>
      <c r="R1686" s="18"/>
      <c r="S1686" s="18"/>
      <c r="T1686" s="18"/>
      <c r="U1686" s="18"/>
      <c r="V1686" s="18"/>
      <c r="W1686" s="18"/>
      <c r="X1686" s="18"/>
      <c r="Y1686" s="18"/>
      <c r="Z1686" s="18"/>
      <c r="AA1686" s="18"/>
      <c r="AB1686" s="18"/>
      <c r="AC1686" s="18"/>
      <c r="AD1686" s="19"/>
      <c r="AE1686" s="18"/>
      <c r="AF1686" s="18"/>
      <c r="AG1686" s="18"/>
      <c r="AH1686" s="18"/>
      <c r="AI1686" s="18"/>
      <c r="AJ1686" s="97"/>
      <c r="AK1686" s="18"/>
      <c r="AL1686" s="18"/>
    </row>
    <row r="1687" spans="4:38" x14ac:dyDescent="0.2">
      <c r="D1687" s="19"/>
      <c r="E1687" s="19"/>
      <c r="F1687" s="19"/>
      <c r="G1687" s="18"/>
      <c r="H1687" s="18"/>
      <c r="I1687" s="18"/>
      <c r="J1687" s="18"/>
      <c r="K1687" s="18"/>
      <c r="L1687" s="18"/>
      <c r="M1687" s="18"/>
      <c r="N1687" s="18"/>
      <c r="O1687" s="18"/>
      <c r="P1687" s="18"/>
      <c r="Q1687" s="18"/>
      <c r="R1687" s="18"/>
      <c r="S1687" s="18"/>
      <c r="T1687" s="18"/>
      <c r="U1687" s="18"/>
      <c r="V1687" s="18"/>
      <c r="W1687" s="18"/>
      <c r="X1687" s="18"/>
      <c r="Y1687" s="18"/>
      <c r="Z1687" s="18"/>
      <c r="AA1687" s="18"/>
      <c r="AB1687" s="18"/>
      <c r="AC1687" s="18"/>
      <c r="AD1687" s="19"/>
      <c r="AE1687" s="18"/>
      <c r="AF1687" s="18"/>
      <c r="AG1687" s="18"/>
      <c r="AH1687" s="18"/>
      <c r="AI1687" s="18"/>
      <c r="AJ1687" s="97"/>
      <c r="AK1687" s="18"/>
      <c r="AL1687" s="18"/>
    </row>
    <row r="1688" spans="4:38" x14ac:dyDescent="0.2">
      <c r="D1688" s="19"/>
      <c r="E1688" s="19"/>
      <c r="F1688" s="19"/>
      <c r="G1688" s="18"/>
      <c r="H1688" s="18"/>
      <c r="I1688" s="18"/>
      <c r="J1688" s="18"/>
      <c r="K1688" s="18"/>
      <c r="L1688" s="18"/>
      <c r="M1688" s="18"/>
      <c r="N1688" s="18"/>
      <c r="O1688" s="18"/>
      <c r="P1688" s="18"/>
      <c r="Q1688" s="18"/>
      <c r="R1688" s="18"/>
      <c r="S1688" s="18"/>
      <c r="T1688" s="18"/>
      <c r="U1688" s="18"/>
      <c r="V1688" s="18"/>
      <c r="W1688" s="18"/>
      <c r="X1688" s="18"/>
      <c r="Y1688" s="18"/>
      <c r="Z1688" s="18"/>
      <c r="AA1688" s="18"/>
      <c r="AB1688" s="18"/>
      <c r="AC1688" s="18"/>
      <c r="AD1688" s="19"/>
      <c r="AE1688" s="18"/>
      <c r="AF1688" s="18"/>
      <c r="AG1688" s="18"/>
      <c r="AH1688" s="18"/>
      <c r="AI1688" s="18"/>
      <c r="AJ1688" s="97"/>
      <c r="AK1688" s="18"/>
      <c r="AL1688" s="18"/>
    </row>
    <row r="1689" spans="4:38" x14ac:dyDescent="0.2">
      <c r="D1689" s="19"/>
      <c r="E1689" s="19"/>
      <c r="F1689" s="19"/>
      <c r="G1689" s="18"/>
      <c r="H1689" s="18"/>
      <c r="I1689" s="18"/>
      <c r="J1689" s="18"/>
      <c r="K1689" s="18"/>
      <c r="L1689" s="18"/>
      <c r="M1689" s="18"/>
      <c r="N1689" s="18"/>
      <c r="O1689" s="18"/>
      <c r="P1689" s="18"/>
      <c r="Q1689" s="18"/>
      <c r="R1689" s="18"/>
      <c r="S1689" s="18"/>
      <c r="T1689" s="18"/>
      <c r="U1689" s="18"/>
      <c r="V1689" s="18"/>
      <c r="W1689" s="18"/>
      <c r="X1689" s="18"/>
      <c r="Y1689" s="18"/>
      <c r="Z1689" s="18"/>
      <c r="AA1689" s="18"/>
      <c r="AB1689" s="18"/>
      <c r="AC1689" s="18"/>
      <c r="AD1689" s="19"/>
      <c r="AE1689" s="18"/>
      <c r="AF1689" s="18"/>
      <c r="AG1689" s="18"/>
      <c r="AH1689" s="18"/>
      <c r="AI1689" s="18"/>
      <c r="AJ1689" s="97"/>
      <c r="AK1689" s="18"/>
      <c r="AL1689" s="18"/>
    </row>
    <row r="1690" spans="4:38" x14ac:dyDescent="0.2">
      <c r="D1690" s="19"/>
      <c r="E1690" s="19"/>
      <c r="F1690" s="19"/>
      <c r="G1690" s="18"/>
      <c r="H1690" s="18"/>
      <c r="I1690" s="18"/>
      <c r="J1690" s="18"/>
      <c r="K1690" s="18"/>
      <c r="L1690" s="18"/>
      <c r="M1690" s="18"/>
      <c r="N1690" s="18"/>
      <c r="O1690" s="18"/>
      <c r="P1690" s="18"/>
      <c r="Q1690" s="18"/>
      <c r="R1690" s="18"/>
      <c r="S1690" s="18"/>
      <c r="T1690" s="18"/>
      <c r="U1690" s="18"/>
      <c r="V1690" s="18"/>
      <c r="W1690" s="18"/>
      <c r="X1690" s="18"/>
      <c r="Y1690" s="18"/>
      <c r="Z1690" s="18"/>
      <c r="AA1690" s="18"/>
      <c r="AB1690" s="18"/>
      <c r="AC1690" s="18"/>
      <c r="AD1690" s="19"/>
      <c r="AE1690" s="18"/>
      <c r="AF1690" s="18"/>
      <c r="AG1690" s="18"/>
      <c r="AH1690" s="18"/>
      <c r="AI1690" s="18"/>
      <c r="AJ1690" s="97"/>
      <c r="AK1690" s="18"/>
      <c r="AL1690" s="18"/>
    </row>
    <row r="1691" spans="4:38" x14ac:dyDescent="0.2">
      <c r="D1691" s="19"/>
      <c r="E1691" s="19"/>
      <c r="F1691" s="19"/>
      <c r="G1691" s="18"/>
      <c r="H1691" s="18"/>
      <c r="I1691" s="18"/>
      <c r="J1691" s="18"/>
      <c r="K1691" s="18"/>
      <c r="L1691" s="18"/>
      <c r="M1691" s="18"/>
      <c r="N1691" s="18"/>
      <c r="O1691" s="18"/>
      <c r="P1691" s="18"/>
      <c r="Q1691" s="18"/>
      <c r="R1691" s="18"/>
      <c r="S1691" s="18"/>
      <c r="T1691" s="18"/>
      <c r="U1691" s="18"/>
      <c r="V1691" s="18"/>
      <c r="W1691" s="18"/>
      <c r="X1691" s="18"/>
      <c r="Y1691" s="18"/>
      <c r="Z1691" s="18"/>
      <c r="AA1691" s="18"/>
      <c r="AB1691" s="18"/>
      <c r="AC1691" s="18"/>
      <c r="AD1691" s="19"/>
      <c r="AE1691" s="18"/>
      <c r="AF1691" s="18"/>
      <c r="AG1691" s="18"/>
      <c r="AH1691" s="18"/>
      <c r="AI1691" s="18"/>
      <c r="AJ1691" s="97"/>
      <c r="AK1691" s="18"/>
      <c r="AL1691" s="18"/>
    </row>
    <row r="1692" spans="4:38" x14ac:dyDescent="0.2">
      <c r="D1692" s="19"/>
      <c r="E1692" s="19"/>
      <c r="F1692" s="19"/>
      <c r="G1692" s="18"/>
      <c r="H1692" s="18"/>
      <c r="I1692" s="18"/>
      <c r="J1692" s="18"/>
      <c r="K1692" s="18"/>
      <c r="L1692" s="18"/>
      <c r="M1692" s="18"/>
      <c r="N1692" s="18"/>
      <c r="O1692" s="18"/>
      <c r="P1692" s="18"/>
      <c r="Q1692" s="18"/>
      <c r="R1692" s="18"/>
      <c r="S1692" s="18"/>
      <c r="T1692" s="18"/>
      <c r="U1692" s="18"/>
      <c r="V1692" s="18"/>
      <c r="W1692" s="18"/>
      <c r="X1692" s="18"/>
      <c r="Y1692" s="18"/>
      <c r="Z1692" s="18"/>
      <c r="AA1692" s="18"/>
      <c r="AB1692" s="18"/>
      <c r="AC1692" s="18"/>
      <c r="AD1692" s="19"/>
      <c r="AE1692" s="18"/>
      <c r="AF1692" s="18"/>
      <c r="AG1692" s="18"/>
      <c r="AH1692" s="18"/>
      <c r="AI1692" s="18"/>
      <c r="AJ1692" s="97"/>
      <c r="AK1692" s="18"/>
      <c r="AL1692" s="18"/>
    </row>
    <row r="1693" spans="4:38" x14ac:dyDescent="0.2">
      <c r="D1693" s="19"/>
      <c r="E1693" s="19"/>
      <c r="F1693" s="19"/>
      <c r="G1693" s="18"/>
      <c r="H1693" s="18"/>
      <c r="I1693" s="18"/>
      <c r="J1693" s="18"/>
      <c r="K1693" s="18"/>
      <c r="L1693" s="18"/>
      <c r="M1693" s="18"/>
      <c r="N1693" s="18"/>
      <c r="O1693" s="18"/>
      <c r="P1693" s="18"/>
      <c r="Q1693" s="18"/>
      <c r="R1693" s="18"/>
      <c r="S1693" s="18"/>
      <c r="T1693" s="18"/>
      <c r="U1693" s="18"/>
      <c r="V1693" s="18"/>
      <c r="W1693" s="18"/>
      <c r="X1693" s="18"/>
      <c r="Y1693" s="18"/>
      <c r="Z1693" s="18"/>
      <c r="AA1693" s="18"/>
      <c r="AB1693" s="18"/>
      <c r="AC1693" s="18"/>
      <c r="AD1693" s="19"/>
      <c r="AE1693" s="18"/>
      <c r="AF1693" s="18"/>
      <c r="AG1693" s="18"/>
      <c r="AH1693" s="18"/>
      <c r="AI1693" s="18"/>
      <c r="AJ1693" s="97"/>
      <c r="AK1693" s="18"/>
      <c r="AL1693" s="18"/>
    </row>
    <row r="1694" spans="4:38" x14ac:dyDescent="0.2">
      <c r="D1694" s="19"/>
      <c r="E1694" s="19"/>
      <c r="F1694" s="19"/>
      <c r="G1694" s="18"/>
      <c r="H1694" s="18"/>
      <c r="I1694" s="18"/>
      <c r="J1694" s="18"/>
      <c r="K1694" s="18"/>
      <c r="L1694" s="18"/>
      <c r="M1694" s="18"/>
      <c r="N1694" s="18"/>
      <c r="O1694" s="18"/>
      <c r="P1694" s="18"/>
      <c r="Q1694" s="18"/>
      <c r="R1694" s="18"/>
      <c r="S1694" s="18"/>
      <c r="T1694" s="18"/>
      <c r="U1694" s="18"/>
      <c r="V1694" s="18"/>
      <c r="W1694" s="18"/>
      <c r="X1694" s="18"/>
      <c r="Y1694" s="18"/>
      <c r="Z1694" s="18"/>
      <c r="AA1694" s="18"/>
      <c r="AB1694" s="18"/>
      <c r="AC1694" s="18"/>
      <c r="AD1694" s="19"/>
      <c r="AE1694" s="18"/>
      <c r="AF1694" s="18"/>
      <c r="AG1694" s="18"/>
      <c r="AH1694" s="18"/>
      <c r="AI1694" s="18"/>
      <c r="AJ1694" s="97"/>
      <c r="AK1694" s="18"/>
      <c r="AL1694" s="18"/>
    </row>
    <row r="1695" spans="4:38" x14ac:dyDescent="0.2">
      <c r="D1695" s="19"/>
      <c r="E1695" s="19"/>
      <c r="F1695" s="19"/>
      <c r="G1695" s="18"/>
      <c r="H1695" s="18"/>
      <c r="I1695" s="18"/>
      <c r="J1695" s="18"/>
      <c r="K1695" s="18"/>
      <c r="L1695" s="18"/>
      <c r="M1695" s="18"/>
      <c r="N1695" s="18"/>
      <c r="O1695" s="18"/>
      <c r="P1695" s="18"/>
      <c r="Q1695" s="18"/>
      <c r="R1695" s="18"/>
      <c r="S1695" s="18"/>
      <c r="T1695" s="18"/>
      <c r="U1695" s="18"/>
      <c r="V1695" s="18"/>
      <c r="W1695" s="18"/>
      <c r="X1695" s="18"/>
      <c r="Y1695" s="18"/>
      <c r="Z1695" s="18"/>
      <c r="AA1695" s="18"/>
      <c r="AB1695" s="18"/>
      <c r="AC1695" s="18"/>
      <c r="AD1695" s="19"/>
      <c r="AE1695" s="18"/>
      <c r="AF1695" s="18"/>
      <c r="AG1695" s="18"/>
      <c r="AH1695" s="18"/>
      <c r="AI1695" s="18"/>
      <c r="AJ1695" s="97"/>
      <c r="AK1695" s="18"/>
      <c r="AL1695" s="18"/>
    </row>
    <row r="1696" spans="4:38" x14ac:dyDescent="0.2">
      <c r="D1696" s="19"/>
      <c r="E1696" s="19"/>
      <c r="F1696" s="19"/>
      <c r="G1696" s="18"/>
      <c r="H1696" s="18"/>
      <c r="I1696" s="18"/>
      <c r="J1696" s="18"/>
      <c r="K1696" s="18"/>
      <c r="L1696" s="18"/>
      <c r="M1696" s="18"/>
      <c r="N1696" s="18"/>
      <c r="O1696" s="18"/>
      <c r="P1696" s="18"/>
      <c r="Q1696" s="18"/>
      <c r="R1696" s="18"/>
      <c r="S1696" s="18"/>
      <c r="T1696" s="18"/>
      <c r="U1696" s="18"/>
      <c r="V1696" s="18"/>
      <c r="W1696" s="18"/>
      <c r="X1696" s="18"/>
      <c r="Y1696" s="18"/>
      <c r="Z1696" s="18"/>
      <c r="AA1696" s="18"/>
      <c r="AB1696" s="18"/>
      <c r="AC1696" s="18"/>
      <c r="AD1696" s="19"/>
      <c r="AE1696" s="18"/>
      <c r="AF1696" s="18"/>
      <c r="AG1696" s="18"/>
      <c r="AH1696" s="18"/>
      <c r="AI1696" s="18"/>
      <c r="AJ1696" s="97"/>
      <c r="AK1696" s="18"/>
      <c r="AL1696" s="18"/>
    </row>
    <row r="1697" spans="4:38" x14ac:dyDescent="0.2">
      <c r="D1697" s="19"/>
      <c r="E1697" s="19"/>
      <c r="F1697" s="19"/>
      <c r="G1697" s="18"/>
      <c r="H1697" s="18"/>
      <c r="I1697" s="18"/>
      <c r="J1697" s="18"/>
      <c r="K1697" s="18"/>
      <c r="L1697" s="18"/>
      <c r="M1697" s="18"/>
      <c r="N1697" s="18"/>
      <c r="O1697" s="18"/>
      <c r="P1697" s="18"/>
      <c r="Q1697" s="18"/>
      <c r="R1697" s="18"/>
      <c r="S1697" s="18"/>
      <c r="T1697" s="18"/>
      <c r="U1697" s="18"/>
      <c r="V1697" s="18"/>
      <c r="W1697" s="18"/>
      <c r="X1697" s="18"/>
      <c r="Y1697" s="18"/>
      <c r="Z1697" s="18"/>
      <c r="AA1697" s="18"/>
      <c r="AB1697" s="18"/>
      <c r="AC1697" s="18"/>
      <c r="AD1697" s="19"/>
      <c r="AE1697" s="18"/>
      <c r="AF1697" s="18"/>
      <c r="AG1697" s="18"/>
      <c r="AH1697" s="18"/>
      <c r="AI1697" s="18"/>
      <c r="AJ1697" s="97"/>
      <c r="AK1697" s="18"/>
      <c r="AL1697" s="18"/>
    </row>
    <row r="1698" spans="4:38" x14ac:dyDescent="0.2">
      <c r="D1698" s="19"/>
      <c r="E1698" s="19"/>
      <c r="F1698" s="19"/>
      <c r="G1698" s="18"/>
      <c r="H1698" s="18"/>
      <c r="I1698" s="18"/>
      <c r="J1698" s="18"/>
      <c r="K1698" s="18"/>
      <c r="L1698" s="18"/>
      <c r="M1698" s="18"/>
      <c r="N1698" s="18"/>
      <c r="O1698" s="18"/>
      <c r="P1698" s="18"/>
      <c r="Q1698" s="18"/>
      <c r="R1698" s="18"/>
      <c r="S1698" s="18"/>
      <c r="T1698" s="18"/>
      <c r="U1698" s="18"/>
      <c r="V1698" s="18"/>
      <c r="W1698" s="18"/>
      <c r="X1698" s="18"/>
      <c r="Y1698" s="18"/>
      <c r="Z1698" s="18"/>
      <c r="AA1698" s="18"/>
      <c r="AB1698" s="18"/>
      <c r="AC1698" s="18"/>
      <c r="AD1698" s="19"/>
      <c r="AE1698" s="18"/>
      <c r="AF1698" s="18"/>
      <c r="AG1698" s="18"/>
      <c r="AH1698" s="18"/>
      <c r="AI1698" s="18"/>
      <c r="AJ1698" s="97"/>
      <c r="AK1698" s="18"/>
      <c r="AL1698" s="18"/>
    </row>
    <row r="1699" spans="4:38" x14ac:dyDescent="0.2">
      <c r="D1699" s="19"/>
      <c r="E1699" s="19"/>
      <c r="F1699" s="19"/>
      <c r="G1699" s="18"/>
      <c r="H1699" s="18"/>
      <c r="I1699" s="18"/>
      <c r="J1699" s="18"/>
      <c r="K1699" s="18"/>
      <c r="L1699" s="18"/>
      <c r="M1699" s="18"/>
      <c r="N1699" s="18"/>
      <c r="O1699" s="18"/>
      <c r="P1699" s="18"/>
      <c r="Q1699" s="18"/>
      <c r="R1699" s="18"/>
      <c r="S1699" s="18"/>
      <c r="T1699" s="18"/>
      <c r="U1699" s="18"/>
      <c r="V1699" s="18"/>
      <c r="W1699" s="18"/>
      <c r="X1699" s="18"/>
      <c r="Y1699" s="18"/>
      <c r="Z1699" s="18"/>
      <c r="AA1699" s="18"/>
      <c r="AB1699" s="18"/>
      <c r="AC1699" s="18"/>
      <c r="AD1699" s="19"/>
      <c r="AE1699" s="18"/>
      <c r="AF1699" s="18"/>
      <c r="AG1699" s="18"/>
      <c r="AH1699" s="18"/>
      <c r="AI1699" s="18"/>
      <c r="AJ1699" s="97"/>
      <c r="AK1699" s="18"/>
      <c r="AL1699" s="18"/>
    </row>
    <row r="1700" spans="4:38" x14ac:dyDescent="0.2">
      <c r="D1700" s="19"/>
      <c r="E1700" s="19"/>
      <c r="F1700" s="19"/>
      <c r="G1700" s="18"/>
      <c r="H1700" s="18"/>
      <c r="I1700" s="18"/>
      <c r="J1700" s="18"/>
      <c r="K1700" s="18"/>
      <c r="L1700" s="18"/>
      <c r="M1700" s="18"/>
      <c r="N1700" s="18"/>
      <c r="O1700" s="18"/>
      <c r="P1700" s="18"/>
      <c r="Q1700" s="18"/>
      <c r="R1700" s="18"/>
      <c r="S1700" s="18"/>
      <c r="T1700" s="18"/>
      <c r="U1700" s="18"/>
      <c r="V1700" s="18"/>
      <c r="W1700" s="18"/>
      <c r="X1700" s="18"/>
      <c r="Y1700" s="18"/>
      <c r="Z1700" s="18"/>
      <c r="AA1700" s="18"/>
      <c r="AB1700" s="18"/>
      <c r="AC1700" s="18"/>
      <c r="AD1700" s="19"/>
      <c r="AE1700" s="18"/>
      <c r="AF1700" s="18"/>
      <c r="AG1700" s="18"/>
      <c r="AH1700" s="18"/>
      <c r="AI1700" s="18"/>
      <c r="AJ1700" s="97"/>
      <c r="AK1700" s="18"/>
      <c r="AL1700" s="18"/>
    </row>
    <row r="1701" spans="4:38" x14ac:dyDescent="0.2">
      <c r="D1701" s="19"/>
      <c r="E1701" s="19"/>
      <c r="F1701" s="19"/>
      <c r="G1701" s="18"/>
      <c r="H1701" s="18"/>
      <c r="I1701" s="18"/>
      <c r="J1701" s="18"/>
      <c r="K1701" s="18"/>
      <c r="L1701" s="18"/>
      <c r="M1701" s="18"/>
      <c r="N1701" s="18"/>
      <c r="O1701" s="18"/>
      <c r="P1701" s="18"/>
      <c r="Q1701" s="18"/>
      <c r="R1701" s="18"/>
      <c r="S1701" s="18"/>
      <c r="T1701" s="18"/>
      <c r="U1701" s="18"/>
      <c r="V1701" s="18"/>
      <c r="W1701" s="18"/>
      <c r="X1701" s="18"/>
      <c r="Y1701" s="18"/>
      <c r="Z1701" s="18"/>
      <c r="AA1701" s="18"/>
      <c r="AB1701" s="18"/>
      <c r="AC1701" s="18"/>
      <c r="AD1701" s="19"/>
      <c r="AE1701" s="18"/>
      <c r="AF1701" s="18"/>
      <c r="AG1701" s="18"/>
      <c r="AH1701" s="18"/>
      <c r="AI1701" s="18"/>
      <c r="AJ1701" s="97"/>
      <c r="AK1701" s="18"/>
      <c r="AL1701" s="18"/>
    </row>
    <row r="1702" spans="4:38" x14ac:dyDescent="0.2">
      <c r="D1702" s="19"/>
      <c r="E1702" s="19"/>
      <c r="F1702" s="19"/>
      <c r="G1702" s="18"/>
      <c r="H1702" s="18"/>
      <c r="I1702" s="18"/>
      <c r="J1702" s="18"/>
      <c r="K1702" s="18"/>
      <c r="L1702" s="18"/>
      <c r="M1702" s="18"/>
      <c r="N1702" s="18"/>
      <c r="O1702" s="18"/>
      <c r="P1702" s="18"/>
      <c r="Q1702" s="18"/>
      <c r="R1702" s="18"/>
      <c r="S1702" s="18"/>
      <c r="T1702" s="18"/>
      <c r="U1702" s="18"/>
      <c r="V1702" s="18"/>
      <c r="W1702" s="18"/>
      <c r="X1702" s="18"/>
      <c r="Y1702" s="18"/>
      <c r="Z1702" s="18"/>
      <c r="AA1702" s="18"/>
      <c r="AB1702" s="18"/>
      <c r="AC1702" s="18"/>
      <c r="AD1702" s="19"/>
      <c r="AE1702" s="18"/>
      <c r="AF1702" s="18"/>
      <c r="AG1702" s="18"/>
      <c r="AH1702" s="18"/>
      <c r="AI1702" s="18"/>
      <c r="AJ1702" s="97"/>
      <c r="AK1702" s="18"/>
      <c r="AL1702" s="18"/>
    </row>
    <row r="1703" spans="4:38" x14ac:dyDescent="0.2">
      <c r="D1703" s="19"/>
      <c r="E1703" s="19"/>
      <c r="F1703" s="19"/>
      <c r="G1703" s="18"/>
      <c r="H1703" s="18"/>
      <c r="I1703" s="18"/>
      <c r="J1703" s="18"/>
      <c r="K1703" s="18"/>
      <c r="L1703" s="18"/>
      <c r="M1703" s="18"/>
      <c r="N1703" s="18"/>
      <c r="O1703" s="18"/>
      <c r="P1703" s="18"/>
      <c r="Q1703" s="18"/>
      <c r="R1703" s="18"/>
      <c r="S1703" s="18"/>
      <c r="T1703" s="18"/>
      <c r="U1703" s="18"/>
      <c r="V1703" s="18"/>
      <c r="W1703" s="18"/>
      <c r="X1703" s="18"/>
      <c r="Y1703" s="18"/>
      <c r="Z1703" s="18"/>
      <c r="AA1703" s="18"/>
      <c r="AB1703" s="18"/>
      <c r="AC1703" s="18"/>
      <c r="AD1703" s="19"/>
      <c r="AE1703" s="18"/>
      <c r="AF1703" s="18"/>
      <c r="AG1703" s="18"/>
      <c r="AH1703" s="18"/>
      <c r="AI1703" s="18"/>
      <c r="AJ1703" s="97"/>
      <c r="AK1703" s="18"/>
      <c r="AL1703" s="18"/>
    </row>
    <row r="1704" spans="4:38" x14ac:dyDescent="0.2">
      <c r="D1704" s="19"/>
      <c r="E1704" s="19"/>
      <c r="F1704" s="19"/>
      <c r="G1704" s="18"/>
      <c r="H1704" s="18"/>
      <c r="I1704" s="18"/>
      <c r="J1704" s="18"/>
      <c r="K1704" s="18"/>
      <c r="L1704" s="18"/>
      <c r="M1704" s="18"/>
      <c r="N1704" s="18"/>
      <c r="O1704" s="18"/>
      <c r="P1704" s="18"/>
      <c r="Q1704" s="18"/>
      <c r="R1704" s="18"/>
      <c r="S1704" s="18"/>
      <c r="T1704" s="18"/>
      <c r="U1704" s="18"/>
      <c r="V1704" s="18"/>
      <c r="W1704" s="18"/>
      <c r="X1704" s="18"/>
      <c r="Y1704" s="18"/>
      <c r="Z1704" s="18"/>
      <c r="AA1704" s="18"/>
      <c r="AB1704" s="18"/>
      <c r="AC1704" s="18"/>
      <c r="AD1704" s="19"/>
      <c r="AE1704" s="18"/>
      <c r="AF1704" s="18"/>
      <c r="AG1704" s="18"/>
      <c r="AH1704" s="18"/>
      <c r="AI1704" s="18"/>
      <c r="AJ1704" s="97"/>
      <c r="AK1704" s="18"/>
      <c r="AL1704" s="18"/>
    </row>
    <row r="1705" spans="4:38" x14ac:dyDescent="0.2">
      <c r="D1705" s="19"/>
      <c r="E1705" s="19"/>
      <c r="F1705" s="19"/>
      <c r="G1705" s="18"/>
      <c r="H1705" s="18"/>
      <c r="I1705" s="18"/>
      <c r="J1705" s="18"/>
      <c r="K1705" s="18"/>
      <c r="L1705" s="18"/>
      <c r="M1705" s="18"/>
      <c r="N1705" s="18"/>
      <c r="O1705" s="18"/>
      <c r="P1705" s="18"/>
      <c r="Q1705" s="18"/>
      <c r="R1705" s="18"/>
      <c r="S1705" s="18"/>
      <c r="T1705" s="18"/>
      <c r="U1705" s="18"/>
      <c r="V1705" s="18"/>
      <c r="W1705" s="18"/>
      <c r="X1705" s="18"/>
      <c r="Y1705" s="18"/>
      <c r="Z1705" s="18"/>
      <c r="AA1705" s="18"/>
      <c r="AB1705" s="18"/>
      <c r="AC1705" s="18"/>
      <c r="AD1705" s="19"/>
      <c r="AE1705" s="18"/>
      <c r="AF1705" s="18"/>
      <c r="AG1705" s="18"/>
      <c r="AH1705" s="18"/>
      <c r="AI1705" s="18"/>
      <c r="AJ1705" s="97"/>
      <c r="AK1705" s="18"/>
      <c r="AL1705" s="18"/>
    </row>
    <row r="1706" spans="4:38" x14ac:dyDescent="0.2">
      <c r="D1706" s="19"/>
      <c r="E1706" s="19"/>
      <c r="F1706" s="19"/>
      <c r="G1706" s="18"/>
      <c r="H1706" s="18"/>
      <c r="I1706" s="18"/>
      <c r="J1706" s="18"/>
      <c r="K1706" s="18"/>
      <c r="L1706" s="18"/>
      <c r="M1706" s="18"/>
      <c r="N1706" s="18"/>
      <c r="O1706" s="18"/>
      <c r="P1706" s="18"/>
      <c r="Q1706" s="18"/>
      <c r="R1706" s="18"/>
      <c r="S1706" s="18"/>
      <c r="T1706" s="18"/>
      <c r="U1706" s="18"/>
      <c r="V1706" s="18"/>
      <c r="W1706" s="18"/>
      <c r="X1706" s="18"/>
      <c r="Y1706" s="18"/>
      <c r="Z1706" s="18"/>
      <c r="AA1706" s="18"/>
      <c r="AB1706" s="18"/>
      <c r="AC1706" s="18"/>
      <c r="AD1706" s="19"/>
      <c r="AE1706" s="18"/>
      <c r="AF1706" s="18"/>
      <c r="AG1706" s="18"/>
      <c r="AH1706" s="18"/>
      <c r="AI1706" s="18"/>
      <c r="AJ1706" s="97"/>
      <c r="AK1706" s="18"/>
      <c r="AL1706" s="18"/>
    </row>
    <row r="1707" spans="4:38" x14ac:dyDescent="0.2">
      <c r="D1707" s="19"/>
      <c r="E1707" s="19"/>
      <c r="F1707" s="19"/>
      <c r="G1707" s="18"/>
      <c r="H1707" s="18"/>
      <c r="I1707" s="18"/>
      <c r="J1707" s="18"/>
      <c r="K1707" s="18"/>
      <c r="L1707" s="18"/>
      <c r="M1707" s="18"/>
      <c r="N1707" s="18"/>
      <c r="O1707" s="18"/>
      <c r="P1707" s="18"/>
      <c r="Q1707" s="18"/>
      <c r="R1707" s="18"/>
      <c r="S1707" s="18"/>
      <c r="T1707" s="18"/>
      <c r="U1707" s="18"/>
      <c r="V1707" s="18"/>
      <c r="W1707" s="18"/>
      <c r="X1707" s="18"/>
      <c r="Y1707" s="18"/>
      <c r="Z1707" s="18"/>
      <c r="AA1707" s="18"/>
      <c r="AB1707" s="18"/>
      <c r="AC1707" s="18"/>
      <c r="AD1707" s="19"/>
      <c r="AE1707" s="18"/>
      <c r="AF1707" s="18"/>
      <c r="AG1707" s="18"/>
      <c r="AH1707" s="18"/>
      <c r="AI1707" s="18"/>
      <c r="AJ1707" s="97"/>
      <c r="AK1707" s="18"/>
      <c r="AL1707" s="18"/>
    </row>
    <row r="1708" spans="4:38" x14ac:dyDescent="0.2">
      <c r="D1708" s="19"/>
      <c r="E1708" s="19"/>
      <c r="F1708" s="19"/>
      <c r="G1708" s="18"/>
      <c r="H1708" s="18"/>
      <c r="I1708" s="18"/>
      <c r="J1708" s="18"/>
      <c r="K1708" s="18"/>
      <c r="L1708" s="18"/>
      <c r="M1708" s="18"/>
      <c r="N1708" s="18"/>
      <c r="O1708" s="18"/>
      <c r="P1708" s="18"/>
      <c r="Q1708" s="18"/>
      <c r="R1708" s="18"/>
      <c r="S1708" s="18"/>
      <c r="T1708" s="18"/>
      <c r="U1708" s="18"/>
      <c r="V1708" s="18"/>
      <c r="W1708" s="18"/>
      <c r="X1708" s="18"/>
      <c r="Y1708" s="18"/>
      <c r="Z1708" s="18"/>
      <c r="AA1708" s="18"/>
      <c r="AB1708" s="18"/>
      <c r="AC1708" s="18"/>
      <c r="AD1708" s="19"/>
      <c r="AE1708" s="18"/>
      <c r="AF1708" s="18"/>
      <c r="AG1708" s="18"/>
      <c r="AH1708" s="18"/>
      <c r="AI1708" s="18"/>
      <c r="AJ1708" s="97"/>
      <c r="AK1708" s="18"/>
      <c r="AL1708" s="18"/>
    </row>
    <row r="1709" spans="4:38" x14ac:dyDescent="0.2">
      <c r="D1709" s="19"/>
      <c r="E1709" s="19"/>
      <c r="F1709" s="19"/>
      <c r="G1709" s="18"/>
      <c r="H1709" s="18"/>
      <c r="I1709" s="18"/>
      <c r="J1709" s="18"/>
      <c r="K1709" s="18"/>
      <c r="L1709" s="18"/>
      <c r="M1709" s="18"/>
      <c r="N1709" s="18"/>
      <c r="O1709" s="18"/>
      <c r="P1709" s="18"/>
      <c r="Q1709" s="18"/>
      <c r="R1709" s="18"/>
      <c r="S1709" s="18"/>
      <c r="T1709" s="18"/>
      <c r="U1709" s="18"/>
      <c r="V1709" s="18"/>
      <c r="W1709" s="18"/>
      <c r="X1709" s="18"/>
      <c r="Y1709" s="18"/>
      <c r="Z1709" s="18"/>
      <c r="AA1709" s="18"/>
      <c r="AB1709" s="18"/>
      <c r="AC1709" s="18"/>
      <c r="AD1709" s="19"/>
      <c r="AE1709" s="18"/>
      <c r="AF1709" s="18"/>
      <c r="AG1709" s="18"/>
      <c r="AH1709" s="18"/>
      <c r="AI1709" s="18"/>
      <c r="AJ1709" s="97"/>
      <c r="AK1709" s="18"/>
      <c r="AL1709" s="18"/>
    </row>
    <row r="1710" spans="4:38" x14ac:dyDescent="0.2">
      <c r="D1710" s="19"/>
      <c r="E1710" s="19"/>
      <c r="F1710" s="19"/>
      <c r="G1710" s="18"/>
      <c r="H1710" s="18"/>
      <c r="I1710" s="18"/>
      <c r="J1710" s="18"/>
      <c r="K1710" s="18"/>
      <c r="L1710" s="18"/>
      <c r="M1710" s="18"/>
      <c r="N1710" s="18"/>
      <c r="O1710" s="18"/>
      <c r="P1710" s="18"/>
      <c r="Q1710" s="18"/>
      <c r="R1710" s="18"/>
      <c r="S1710" s="18"/>
      <c r="T1710" s="18"/>
      <c r="U1710" s="18"/>
      <c r="V1710" s="18"/>
      <c r="W1710" s="18"/>
      <c r="X1710" s="18"/>
      <c r="Y1710" s="18"/>
      <c r="Z1710" s="18"/>
      <c r="AA1710" s="18"/>
      <c r="AB1710" s="18"/>
      <c r="AC1710" s="18"/>
      <c r="AD1710" s="19"/>
      <c r="AE1710" s="18"/>
      <c r="AF1710" s="18"/>
      <c r="AG1710" s="18"/>
      <c r="AH1710" s="18"/>
      <c r="AI1710" s="18"/>
      <c r="AJ1710" s="97"/>
      <c r="AK1710" s="18"/>
      <c r="AL1710" s="18"/>
    </row>
    <row r="1711" spans="4:38" x14ac:dyDescent="0.2">
      <c r="D1711" s="19"/>
      <c r="E1711" s="19"/>
      <c r="F1711" s="19"/>
      <c r="G1711" s="18"/>
      <c r="H1711" s="18"/>
      <c r="I1711" s="18"/>
      <c r="J1711" s="18"/>
      <c r="K1711" s="18"/>
      <c r="L1711" s="18"/>
      <c r="M1711" s="18"/>
      <c r="N1711" s="18"/>
      <c r="O1711" s="18"/>
      <c r="P1711" s="18"/>
      <c r="Q1711" s="18"/>
      <c r="R1711" s="18"/>
      <c r="S1711" s="18"/>
      <c r="T1711" s="18"/>
      <c r="U1711" s="18"/>
      <c r="V1711" s="18"/>
      <c r="W1711" s="18"/>
      <c r="X1711" s="18"/>
      <c r="Y1711" s="18"/>
      <c r="Z1711" s="18"/>
      <c r="AA1711" s="18"/>
      <c r="AB1711" s="18"/>
      <c r="AC1711" s="18"/>
      <c r="AD1711" s="19"/>
      <c r="AE1711" s="18"/>
      <c r="AF1711" s="18"/>
      <c r="AG1711" s="18"/>
      <c r="AH1711" s="18"/>
      <c r="AI1711" s="18"/>
      <c r="AJ1711" s="97"/>
      <c r="AK1711" s="18"/>
      <c r="AL1711" s="18"/>
    </row>
    <row r="1712" spans="4:38" x14ac:dyDescent="0.2">
      <c r="D1712" s="19"/>
      <c r="E1712" s="19"/>
      <c r="F1712" s="19"/>
      <c r="G1712" s="18"/>
      <c r="H1712" s="18"/>
      <c r="I1712" s="18"/>
      <c r="J1712" s="18"/>
      <c r="K1712" s="18"/>
      <c r="L1712" s="18"/>
      <c r="M1712" s="18"/>
      <c r="N1712" s="18"/>
      <c r="O1712" s="18"/>
      <c r="P1712" s="18"/>
      <c r="Q1712" s="18"/>
      <c r="R1712" s="18"/>
      <c r="S1712" s="18"/>
      <c r="T1712" s="18"/>
      <c r="U1712" s="18"/>
      <c r="V1712" s="18"/>
      <c r="W1712" s="18"/>
      <c r="X1712" s="18"/>
      <c r="Y1712" s="18"/>
      <c r="Z1712" s="18"/>
      <c r="AA1712" s="18"/>
      <c r="AB1712" s="18"/>
      <c r="AC1712" s="18"/>
      <c r="AD1712" s="19"/>
      <c r="AE1712" s="18"/>
      <c r="AF1712" s="18"/>
      <c r="AG1712" s="18"/>
      <c r="AH1712" s="18"/>
      <c r="AI1712" s="18"/>
      <c r="AJ1712" s="97"/>
      <c r="AK1712" s="18"/>
      <c r="AL1712" s="18"/>
    </row>
    <row r="1713" spans="4:38" x14ac:dyDescent="0.2">
      <c r="D1713" s="19"/>
      <c r="E1713" s="19"/>
      <c r="F1713" s="19"/>
      <c r="G1713" s="18"/>
      <c r="H1713" s="18"/>
      <c r="I1713" s="18"/>
      <c r="J1713" s="18"/>
      <c r="K1713" s="18"/>
      <c r="L1713" s="18"/>
      <c r="M1713" s="18"/>
      <c r="N1713" s="18"/>
      <c r="O1713" s="18"/>
      <c r="P1713" s="18"/>
      <c r="Q1713" s="18"/>
      <c r="R1713" s="18"/>
      <c r="S1713" s="18"/>
      <c r="T1713" s="18"/>
      <c r="U1713" s="18"/>
      <c r="V1713" s="18"/>
      <c r="W1713" s="18"/>
      <c r="X1713" s="18"/>
      <c r="Y1713" s="18"/>
      <c r="Z1713" s="18"/>
      <c r="AA1713" s="18"/>
      <c r="AB1713" s="18"/>
      <c r="AC1713" s="18"/>
      <c r="AD1713" s="19"/>
      <c r="AE1713" s="18"/>
      <c r="AF1713" s="18"/>
      <c r="AG1713" s="18"/>
      <c r="AH1713" s="18"/>
      <c r="AI1713" s="18"/>
      <c r="AJ1713" s="97"/>
      <c r="AK1713" s="18"/>
      <c r="AL1713" s="18"/>
    </row>
    <row r="1714" spans="4:38" x14ac:dyDescent="0.2">
      <c r="D1714" s="19"/>
      <c r="E1714" s="19"/>
      <c r="F1714" s="19"/>
      <c r="G1714" s="18"/>
      <c r="H1714" s="18"/>
      <c r="I1714" s="18"/>
      <c r="J1714" s="18"/>
      <c r="K1714" s="18"/>
      <c r="L1714" s="18"/>
      <c r="M1714" s="18"/>
      <c r="N1714" s="18"/>
      <c r="O1714" s="18"/>
      <c r="P1714" s="18"/>
      <c r="Q1714" s="18"/>
      <c r="R1714" s="18"/>
      <c r="S1714" s="18"/>
      <c r="T1714" s="18"/>
      <c r="U1714" s="18"/>
      <c r="V1714" s="18"/>
      <c r="W1714" s="18"/>
      <c r="X1714" s="18"/>
      <c r="Y1714" s="18"/>
      <c r="Z1714" s="18"/>
      <c r="AA1714" s="18"/>
      <c r="AB1714" s="18"/>
      <c r="AC1714" s="18"/>
      <c r="AD1714" s="19"/>
      <c r="AE1714" s="18"/>
      <c r="AF1714" s="18"/>
      <c r="AG1714" s="18"/>
      <c r="AH1714" s="18"/>
      <c r="AI1714" s="18"/>
      <c r="AJ1714" s="97"/>
      <c r="AK1714" s="18"/>
      <c r="AL1714" s="18"/>
    </row>
    <row r="1715" spans="4:38" x14ac:dyDescent="0.2">
      <c r="D1715" s="19"/>
      <c r="E1715" s="19"/>
      <c r="F1715" s="19"/>
      <c r="G1715" s="18"/>
      <c r="H1715" s="18"/>
      <c r="I1715" s="18"/>
      <c r="J1715" s="18"/>
      <c r="K1715" s="18"/>
      <c r="L1715" s="18"/>
      <c r="M1715" s="18"/>
      <c r="N1715" s="18"/>
      <c r="O1715" s="18"/>
      <c r="P1715" s="18"/>
      <c r="Q1715" s="18"/>
      <c r="R1715" s="18"/>
      <c r="S1715" s="18"/>
      <c r="T1715" s="18"/>
      <c r="U1715" s="18"/>
      <c r="V1715" s="18"/>
      <c r="W1715" s="18"/>
      <c r="X1715" s="18"/>
      <c r="Y1715" s="18"/>
      <c r="Z1715" s="18"/>
      <c r="AA1715" s="18"/>
      <c r="AB1715" s="18"/>
      <c r="AC1715" s="18"/>
      <c r="AD1715" s="19"/>
      <c r="AE1715" s="18"/>
      <c r="AF1715" s="18"/>
      <c r="AG1715" s="18"/>
      <c r="AH1715" s="18"/>
      <c r="AI1715" s="18"/>
      <c r="AJ1715" s="97"/>
      <c r="AK1715" s="18"/>
      <c r="AL1715" s="18"/>
    </row>
    <row r="1716" spans="4:38" x14ac:dyDescent="0.2">
      <c r="D1716" s="19"/>
      <c r="E1716" s="19"/>
      <c r="F1716" s="19"/>
      <c r="G1716" s="18"/>
      <c r="H1716" s="18"/>
      <c r="I1716" s="18"/>
      <c r="J1716" s="18"/>
      <c r="K1716" s="18"/>
      <c r="L1716" s="18"/>
      <c r="M1716" s="18"/>
      <c r="N1716" s="18"/>
      <c r="O1716" s="18"/>
      <c r="P1716" s="18"/>
      <c r="Q1716" s="18"/>
      <c r="R1716" s="18"/>
      <c r="S1716" s="18"/>
      <c r="T1716" s="18"/>
      <c r="U1716" s="18"/>
      <c r="V1716" s="18"/>
      <c r="W1716" s="18"/>
      <c r="X1716" s="18"/>
      <c r="Y1716" s="18"/>
      <c r="Z1716" s="18"/>
      <c r="AA1716" s="18"/>
      <c r="AB1716" s="18"/>
      <c r="AC1716" s="18"/>
      <c r="AD1716" s="19"/>
      <c r="AE1716" s="18"/>
      <c r="AF1716" s="18"/>
      <c r="AG1716" s="18"/>
      <c r="AH1716" s="18"/>
      <c r="AI1716" s="18"/>
      <c r="AJ1716" s="97"/>
      <c r="AK1716" s="18"/>
      <c r="AL1716" s="18"/>
    </row>
    <row r="1717" spans="4:38" x14ac:dyDescent="0.2">
      <c r="D1717" s="19"/>
      <c r="E1717" s="19"/>
      <c r="F1717" s="19"/>
      <c r="G1717" s="18"/>
      <c r="H1717" s="18"/>
      <c r="I1717" s="18"/>
      <c r="J1717" s="18"/>
      <c r="K1717" s="18"/>
      <c r="L1717" s="18"/>
      <c r="M1717" s="18"/>
      <c r="N1717" s="18"/>
      <c r="O1717" s="18"/>
      <c r="P1717" s="18"/>
      <c r="Q1717" s="18"/>
      <c r="R1717" s="18"/>
      <c r="S1717" s="18"/>
      <c r="T1717" s="18"/>
      <c r="U1717" s="18"/>
      <c r="V1717" s="18"/>
      <c r="W1717" s="18"/>
      <c r="X1717" s="18"/>
      <c r="Y1717" s="18"/>
      <c r="Z1717" s="18"/>
      <c r="AA1717" s="18"/>
      <c r="AB1717" s="18"/>
      <c r="AC1717" s="18"/>
      <c r="AD1717" s="19"/>
      <c r="AE1717" s="18"/>
      <c r="AF1717" s="18"/>
      <c r="AG1717" s="18"/>
      <c r="AH1717" s="18"/>
      <c r="AI1717" s="18"/>
      <c r="AJ1717" s="97"/>
      <c r="AK1717" s="18"/>
      <c r="AL1717" s="18"/>
    </row>
    <row r="1718" spans="4:38" x14ac:dyDescent="0.2">
      <c r="D1718" s="19"/>
      <c r="E1718" s="19"/>
      <c r="F1718" s="19"/>
      <c r="G1718" s="18"/>
      <c r="H1718" s="18"/>
      <c r="I1718" s="18"/>
      <c r="J1718" s="18"/>
      <c r="K1718" s="18"/>
      <c r="L1718" s="18"/>
      <c r="M1718" s="18"/>
      <c r="N1718" s="18"/>
      <c r="O1718" s="18"/>
      <c r="P1718" s="18"/>
      <c r="Q1718" s="18"/>
      <c r="R1718" s="18"/>
      <c r="S1718" s="18"/>
      <c r="T1718" s="18"/>
      <c r="U1718" s="18"/>
      <c r="V1718" s="18"/>
      <c r="W1718" s="18"/>
      <c r="X1718" s="18"/>
      <c r="Y1718" s="18"/>
      <c r="Z1718" s="18"/>
      <c r="AA1718" s="18"/>
      <c r="AB1718" s="18"/>
      <c r="AC1718" s="18"/>
      <c r="AD1718" s="19"/>
      <c r="AE1718" s="18"/>
      <c r="AF1718" s="18"/>
      <c r="AG1718" s="18"/>
      <c r="AH1718" s="18"/>
      <c r="AI1718" s="18"/>
      <c r="AJ1718" s="97"/>
      <c r="AK1718" s="18"/>
      <c r="AL1718" s="18"/>
    </row>
    <row r="1719" spans="4:38" x14ac:dyDescent="0.2">
      <c r="D1719" s="19"/>
      <c r="E1719" s="19"/>
      <c r="F1719" s="19"/>
      <c r="G1719" s="18"/>
      <c r="H1719" s="18"/>
      <c r="I1719" s="18"/>
      <c r="J1719" s="18"/>
      <c r="K1719" s="18"/>
      <c r="L1719" s="18"/>
      <c r="M1719" s="18"/>
      <c r="N1719" s="18"/>
      <c r="O1719" s="18"/>
      <c r="P1719" s="18"/>
      <c r="Q1719" s="18"/>
      <c r="R1719" s="18"/>
      <c r="S1719" s="18"/>
      <c r="T1719" s="18"/>
      <c r="U1719" s="18"/>
      <c r="V1719" s="18"/>
      <c r="W1719" s="18"/>
      <c r="X1719" s="18"/>
      <c r="Y1719" s="18"/>
      <c r="Z1719" s="18"/>
      <c r="AA1719" s="18"/>
      <c r="AB1719" s="18"/>
      <c r="AC1719" s="18"/>
      <c r="AD1719" s="19"/>
      <c r="AE1719" s="18"/>
      <c r="AF1719" s="18"/>
      <c r="AG1719" s="18"/>
      <c r="AH1719" s="18"/>
      <c r="AI1719" s="18"/>
      <c r="AJ1719" s="97"/>
      <c r="AK1719" s="18"/>
      <c r="AL1719" s="18"/>
    </row>
    <row r="1720" spans="4:38" x14ac:dyDescent="0.2">
      <c r="D1720" s="19"/>
      <c r="E1720" s="19"/>
      <c r="F1720" s="19"/>
      <c r="G1720" s="18"/>
      <c r="H1720" s="18"/>
      <c r="I1720" s="18"/>
      <c r="J1720" s="18"/>
      <c r="K1720" s="18"/>
      <c r="L1720" s="18"/>
      <c r="M1720" s="18"/>
      <c r="N1720" s="18"/>
      <c r="O1720" s="18"/>
      <c r="P1720" s="18"/>
      <c r="Q1720" s="18"/>
      <c r="R1720" s="18"/>
      <c r="S1720" s="18"/>
      <c r="T1720" s="18"/>
      <c r="U1720" s="18"/>
      <c r="V1720" s="18"/>
      <c r="W1720" s="18"/>
      <c r="X1720" s="18"/>
      <c r="Y1720" s="18"/>
      <c r="Z1720" s="18"/>
      <c r="AA1720" s="18"/>
      <c r="AB1720" s="18"/>
      <c r="AC1720" s="18"/>
      <c r="AD1720" s="19"/>
      <c r="AE1720" s="18"/>
      <c r="AF1720" s="18"/>
      <c r="AG1720" s="18"/>
      <c r="AH1720" s="18"/>
      <c r="AI1720" s="18"/>
      <c r="AJ1720" s="97"/>
      <c r="AK1720" s="18"/>
      <c r="AL1720" s="18"/>
    </row>
    <row r="1721" spans="4:38" x14ac:dyDescent="0.2">
      <c r="D1721" s="19"/>
      <c r="E1721" s="19"/>
      <c r="F1721" s="19"/>
      <c r="G1721" s="18"/>
      <c r="H1721" s="18"/>
      <c r="I1721" s="18"/>
      <c r="J1721" s="18"/>
      <c r="K1721" s="18"/>
      <c r="L1721" s="18"/>
      <c r="M1721" s="18"/>
      <c r="N1721" s="18"/>
      <c r="O1721" s="18"/>
      <c r="P1721" s="18"/>
      <c r="Q1721" s="18"/>
      <c r="R1721" s="18"/>
      <c r="S1721" s="18"/>
      <c r="T1721" s="18"/>
      <c r="U1721" s="18"/>
      <c r="V1721" s="18"/>
      <c r="W1721" s="18"/>
      <c r="X1721" s="18"/>
      <c r="Y1721" s="18"/>
      <c r="Z1721" s="18"/>
      <c r="AA1721" s="18"/>
      <c r="AB1721" s="18"/>
      <c r="AC1721" s="18"/>
      <c r="AD1721" s="19"/>
      <c r="AE1721" s="18"/>
      <c r="AF1721" s="18"/>
      <c r="AG1721" s="18"/>
      <c r="AH1721" s="18"/>
      <c r="AI1721" s="18"/>
      <c r="AJ1721" s="97"/>
      <c r="AK1721" s="18"/>
      <c r="AL1721" s="18"/>
    </row>
    <row r="1722" spans="4:38" x14ac:dyDescent="0.2">
      <c r="D1722" s="19"/>
      <c r="E1722" s="19"/>
      <c r="F1722" s="19"/>
      <c r="G1722" s="18"/>
      <c r="H1722" s="18"/>
      <c r="I1722" s="18"/>
      <c r="J1722" s="18"/>
      <c r="K1722" s="18"/>
      <c r="L1722" s="18"/>
      <c r="M1722" s="18"/>
      <c r="N1722" s="18"/>
      <c r="O1722" s="18"/>
      <c r="P1722" s="18"/>
      <c r="Q1722" s="18"/>
      <c r="R1722" s="18"/>
      <c r="S1722" s="18"/>
      <c r="T1722" s="18"/>
      <c r="U1722" s="18"/>
      <c r="V1722" s="18"/>
      <c r="W1722" s="18"/>
      <c r="X1722" s="18"/>
      <c r="Y1722" s="18"/>
      <c r="Z1722" s="18"/>
      <c r="AA1722" s="18"/>
      <c r="AB1722" s="18"/>
      <c r="AC1722" s="18"/>
      <c r="AD1722" s="19"/>
      <c r="AE1722" s="18"/>
      <c r="AF1722" s="18"/>
      <c r="AG1722" s="18"/>
      <c r="AH1722" s="18"/>
      <c r="AI1722" s="18"/>
      <c r="AJ1722" s="97"/>
      <c r="AK1722" s="18"/>
      <c r="AL1722" s="18"/>
    </row>
    <row r="1723" spans="4:38" x14ac:dyDescent="0.2">
      <c r="D1723" s="19"/>
      <c r="E1723" s="19"/>
      <c r="F1723" s="19"/>
      <c r="G1723" s="18"/>
      <c r="H1723" s="18"/>
      <c r="I1723" s="18"/>
      <c r="J1723" s="18"/>
      <c r="K1723" s="18"/>
      <c r="L1723" s="18"/>
      <c r="M1723" s="18"/>
      <c r="N1723" s="18"/>
      <c r="O1723" s="18"/>
      <c r="P1723" s="18"/>
      <c r="Q1723" s="18"/>
      <c r="R1723" s="18"/>
      <c r="S1723" s="18"/>
      <c r="T1723" s="18"/>
      <c r="U1723" s="18"/>
      <c r="V1723" s="18"/>
      <c r="W1723" s="18"/>
      <c r="X1723" s="18"/>
      <c r="Y1723" s="18"/>
      <c r="Z1723" s="18"/>
      <c r="AA1723" s="18"/>
      <c r="AB1723" s="18"/>
      <c r="AC1723" s="18"/>
      <c r="AD1723" s="19"/>
      <c r="AE1723" s="18"/>
      <c r="AF1723" s="18"/>
      <c r="AG1723" s="18"/>
      <c r="AH1723" s="18"/>
      <c r="AI1723" s="18"/>
      <c r="AJ1723" s="97"/>
      <c r="AK1723" s="18"/>
      <c r="AL1723" s="18"/>
    </row>
    <row r="1724" spans="4:38" x14ac:dyDescent="0.2">
      <c r="D1724" s="19"/>
      <c r="E1724" s="19"/>
      <c r="F1724" s="19"/>
      <c r="G1724" s="18"/>
      <c r="H1724" s="18"/>
      <c r="I1724" s="18"/>
      <c r="J1724" s="18"/>
      <c r="K1724" s="18"/>
      <c r="L1724" s="18"/>
      <c r="M1724" s="18"/>
      <c r="N1724" s="18"/>
      <c r="O1724" s="18"/>
      <c r="P1724" s="18"/>
      <c r="Q1724" s="18"/>
      <c r="R1724" s="18"/>
      <c r="S1724" s="18"/>
      <c r="T1724" s="18"/>
      <c r="U1724" s="18"/>
      <c r="V1724" s="18"/>
      <c r="W1724" s="18"/>
      <c r="X1724" s="18"/>
      <c r="Y1724" s="18"/>
      <c r="Z1724" s="18"/>
      <c r="AA1724" s="18"/>
      <c r="AB1724" s="18"/>
      <c r="AC1724" s="18"/>
      <c r="AD1724" s="19"/>
      <c r="AE1724" s="18"/>
      <c r="AF1724" s="18"/>
      <c r="AG1724" s="18"/>
      <c r="AH1724" s="18"/>
      <c r="AI1724" s="18"/>
      <c r="AJ1724" s="97"/>
      <c r="AK1724" s="18"/>
      <c r="AL1724" s="18"/>
    </row>
    <row r="1725" spans="4:38" x14ac:dyDescent="0.2">
      <c r="D1725" s="19"/>
      <c r="E1725" s="19"/>
      <c r="F1725" s="19"/>
      <c r="G1725" s="18"/>
      <c r="H1725" s="18"/>
      <c r="I1725" s="18"/>
      <c r="J1725" s="18"/>
      <c r="K1725" s="18"/>
      <c r="L1725" s="18"/>
      <c r="M1725" s="18"/>
      <c r="N1725" s="18"/>
      <c r="O1725" s="18"/>
      <c r="P1725" s="18"/>
      <c r="Q1725" s="18"/>
      <c r="R1725" s="18"/>
      <c r="S1725" s="18"/>
      <c r="T1725" s="18"/>
      <c r="U1725" s="18"/>
      <c r="V1725" s="18"/>
      <c r="W1725" s="18"/>
      <c r="X1725" s="18"/>
      <c r="Y1725" s="18"/>
      <c r="Z1725" s="18"/>
      <c r="AA1725" s="18"/>
      <c r="AB1725" s="18"/>
      <c r="AC1725" s="18"/>
      <c r="AD1725" s="19"/>
      <c r="AE1725" s="18"/>
      <c r="AF1725" s="18"/>
      <c r="AG1725" s="18"/>
      <c r="AH1725" s="18"/>
      <c r="AI1725" s="18"/>
      <c r="AJ1725" s="97"/>
      <c r="AK1725" s="18"/>
      <c r="AL1725" s="18"/>
    </row>
    <row r="1726" spans="4:38" x14ac:dyDescent="0.2">
      <c r="D1726" s="19"/>
      <c r="E1726" s="19"/>
      <c r="F1726" s="19"/>
      <c r="G1726" s="18"/>
      <c r="H1726" s="18"/>
      <c r="I1726" s="18"/>
      <c r="J1726" s="18"/>
      <c r="K1726" s="18"/>
      <c r="L1726" s="18"/>
      <c r="M1726" s="18"/>
      <c r="N1726" s="18"/>
      <c r="O1726" s="18"/>
      <c r="P1726" s="18"/>
      <c r="Q1726" s="18"/>
      <c r="R1726" s="18"/>
      <c r="S1726" s="18"/>
      <c r="T1726" s="18"/>
      <c r="U1726" s="18"/>
      <c r="V1726" s="18"/>
      <c r="W1726" s="18"/>
      <c r="X1726" s="18"/>
      <c r="Y1726" s="18"/>
      <c r="Z1726" s="18"/>
      <c r="AA1726" s="18"/>
      <c r="AB1726" s="18"/>
      <c r="AC1726" s="18"/>
      <c r="AD1726" s="19"/>
      <c r="AE1726" s="18"/>
      <c r="AF1726" s="18"/>
      <c r="AG1726" s="18"/>
      <c r="AH1726" s="18"/>
      <c r="AI1726" s="18"/>
      <c r="AJ1726" s="97"/>
      <c r="AK1726" s="18"/>
      <c r="AL1726" s="18"/>
    </row>
    <row r="1727" spans="4:38" x14ac:dyDescent="0.2">
      <c r="D1727" s="19"/>
      <c r="E1727" s="19"/>
      <c r="F1727" s="19"/>
      <c r="G1727" s="18"/>
      <c r="H1727" s="18"/>
      <c r="I1727" s="18"/>
      <c r="J1727" s="18"/>
      <c r="K1727" s="18"/>
      <c r="L1727" s="18"/>
      <c r="M1727" s="18"/>
      <c r="N1727" s="18"/>
      <c r="O1727" s="18"/>
      <c r="P1727" s="18"/>
      <c r="Q1727" s="18"/>
      <c r="R1727" s="18"/>
      <c r="S1727" s="18"/>
      <c r="T1727" s="18"/>
      <c r="U1727" s="18"/>
      <c r="V1727" s="18"/>
      <c r="W1727" s="18"/>
      <c r="X1727" s="18"/>
      <c r="Y1727" s="18"/>
      <c r="Z1727" s="18"/>
      <c r="AA1727" s="18"/>
      <c r="AB1727" s="18"/>
      <c r="AC1727" s="18"/>
      <c r="AD1727" s="19"/>
      <c r="AE1727" s="18"/>
      <c r="AF1727" s="18"/>
      <c r="AG1727" s="18"/>
      <c r="AH1727" s="18"/>
      <c r="AI1727" s="18"/>
      <c r="AJ1727" s="97"/>
      <c r="AK1727" s="18"/>
      <c r="AL1727" s="18"/>
    </row>
    <row r="1728" spans="4:38" x14ac:dyDescent="0.2">
      <c r="D1728" s="19"/>
      <c r="E1728" s="19"/>
      <c r="F1728" s="19"/>
      <c r="G1728" s="18"/>
      <c r="H1728" s="18"/>
      <c r="I1728" s="18"/>
      <c r="J1728" s="18"/>
      <c r="K1728" s="18"/>
      <c r="L1728" s="18"/>
      <c r="M1728" s="18"/>
      <c r="N1728" s="18"/>
      <c r="O1728" s="18"/>
      <c r="P1728" s="18"/>
      <c r="Q1728" s="18"/>
      <c r="R1728" s="18"/>
      <c r="S1728" s="18"/>
      <c r="T1728" s="18"/>
      <c r="U1728" s="18"/>
      <c r="V1728" s="18"/>
      <c r="W1728" s="18"/>
      <c r="X1728" s="18"/>
      <c r="Y1728" s="18"/>
      <c r="Z1728" s="18"/>
      <c r="AA1728" s="18"/>
      <c r="AB1728" s="18"/>
      <c r="AC1728" s="18"/>
      <c r="AD1728" s="19"/>
      <c r="AE1728" s="18"/>
      <c r="AF1728" s="18"/>
      <c r="AG1728" s="18"/>
      <c r="AH1728" s="18"/>
      <c r="AI1728" s="18"/>
      <c r="AJ1728" s="97"/>
      <c r="AK1728" s="18"/>
      <c r="AL1728" s="18"/>
    </row>
    <row r="1729" spans="4:38" x14ac:dyDescent="0.2">
      <c r="D1729" s="19"/>
      <c r="E1729" s="19"/>
      <c r="F1729" s="19"/>
      <c r="G1729" s="18"/>
      <c r="H1729" s="18"/>
      <c r="I1729" s="18"/>
      <c r="J1729" s="18"/>
      <c r="K1729" s="18"/>
      <c r="L1729" s="18"/>
      <c r="M1729" s="18"/>
      <c r="N1729" s="18"/>
      <c r="O1729" s="18"/>
      <c r="P1729" s="18"/>
      <c r="Q1729" s="18"/>
      <c r="R1729" s="18"/>
      <c r="S1729" s="18"/>
      <c r="T1729" s="18"/>
      <c r="U1729" s="18"/>
      <c r="V1729" s="18"/>
      <c r="W1729" s="18"/>
      <c r="X1729" s="18"/>
      <c r="Y1729" s="18"/>
      <c r="Z1729" s="18"/>
      <c r="AA1729" s="18"/>
      <c r="AB1729" s="18"/>
      <c r="AC1729" s="18"/>
      <c r="AD1729" s="19"/>
      <c r="AE1729" s="18"/>
      <c r="AF1729" s="18"/>
      <c r="AG1729" s="18"/>
      <c r="AH1729" s="18"/>
      <c r="AI1729" s="18"/>
      <c r="AJ1729" s="97"/>
      <c r="AK1729" s="18"/>
      <c r="AL1729" s="18"/>
    </row>
    <row r="1730" spans="4:38" x14ac:dyDescent="0.2">
      <c r="D1730" s="19"/>
      <c r="E1730" s="19"/>
      <c r="F1730" s="19"/>
      <c r="G1730" s="18"/>
      <c r="H1730" s="18"/>
      <c r="I1730" s="18"/>
      <c r="J1730" s="18"/>
      <c r="K1730" s="18"/>
      <c r="L1730" s="18"/>
      <c r="M1730" s="18"/>
      <c r="N1730" s="18"/>
      <c r="O1730" s="18"/>
      <c r="P1730" s="18"/>
      <c r="Q1730" s="18"/>
      <c r="R1730" s="18"/>
      <c r="S1730" s="18"/>
      <c r="T1730" s="18"/>
      <c r="U1730" s="18"/>
      <c r="V1730" s="18"/>
      <c r="W1730" s="18"/>
      <c r="X1730" s="18"/>
      <c r="Y1730" s="18"/>
      <c r="Z1730" s="18"/>
      <c r="AA1730" s="18"/>
      <c r="AB1730" s="18"/>
      <c r="AC1730" s="18"/>
      <c r="AD1730" s="19"/>
      <c r="AE1730" s="18"/>
      <c r="AF1730" s="18"/>
      <c r="AG1730" s="18"/>
      <c r="AH1730" s="18"/>
      <c r="AI1730" s="18"/>
      <c r="AJ1730" s="97"/>
      <c r="AK1730" s="18"/>
      <c r="AL1730" s="18"/>
    </row>
    <row r="1731" spans="4:38" x14ac:dyDescent="0.2">
      <c r="D1731" s="19"/>
      <c r="E1731" s="19"/>
      <c r="F1731" s="19"/>
      <c r="G1731" s="18"/>
      <c r="H1731" s="18"/>
      <c r="I1731" s="18"/>
      <c r="J1731" s="18"/>
      <c r="K1731" s="18"/>
      <c r="L1731" s="18"/>
      <c r="M1731" s="18"/>
      <c r="N1731" s="18"/>
      <c r="O1731" s="18"/>
      <c r="P1731" s="18"/>
      <c r="Q1731" s="18"/>
      <c r="R1731" s="18"/>
      <c r="S1731" s="18"/>
      <c r="T1731" s="18"/>
      <c r="U1731" s="18"/>
      <c r="V1731" s="18"/>
      <c r="W1731" s="18"/>
      <c r="X1731" s="18"/>
      <c r="Y1731" s="18"/>
      <c r="Z1731" s="18"/>
      <c r="AA1731" s="18"/>
      <c r="AB1731" s="18"/>
      <c r="AC1731" s="18"/>
      <c r="AD1731" s="19"/>
      <c r="AE1731" s="18"/>
      <c r="AF1731" s="18"/>
      <c r="AG1731" s="18"/>
      <c r="AH1731" s="18"/>
      <c r="AI1731" s="18"/>
      <c r="AJ1731" s="97"/>
      <c r="AK1731" s="18"/>
      <c r="AL1731" s="18"/>
    </row>
    <row r="1732" spans="4:38" x14ac:dyDescent="0.2">
      <c r="D1732" s="19"/>
      <c r="E1732" s="19"/>
      <c r="F1732" s="19"/>
      <c r="G1732" s="18"/>
      <c r="H1732" s="18"/>
      <c r="I1732" s="18"/>
      <c r="J1732" s="18"/>
      <c r="K1732" s="18"/>
      <c r="L1732" s="18"/>
      <c r="M1732" s="18"/>
      <c r="N1732" s="18"/>
      <c r="O1732" s="18"/>
      <c r="P1732" s="18"/>
      <c r="Q1732" s="18"/>
      <c r="R1732" s="18"/>
      <c r="S1732" s="18"/>
      <c r="T1732" s="18"/>
      <c r="U1732" s="18"/>
      <c r="V1732" s="18"/>
      <c r="W1732" s="18"/>
      <c r="X1732" s="18"/>
      <c r="Y1732" s="18"/>
      <c r="Z1732" s="18"/>
      <c r="AA1732" s="18"/>
      <c r="AB1732" s="18"/>
      <c r="AC1732" s="18"/>
      <c r="AD1732" s="19"/>
      <c r="AE1732" s="18"/>
      <c r="AF1732" s="18"/>
      <c r="AG1732" s="18"/>
      <c r="AH1732" s="18"/>
      <c r="AI1732" s="18"/>
      <c r="AJ1732" s="97"/>
      <c r="AK1732" s="18"/>
      <c r="AL1732" s="18"/>
    </row>
    <row r="1733" spans="4:38" x14ac:dyDescent="0.2">
      <c r="D1733" s="19"/>
      <c r="E1733" s="19"/>
      <c r="F1733" s="19"/>
      <c r="G1733" s="18"/>
      <c r="H1733" s="18"/>
      <c r="I1733" s="18"/>
      <c r="J1733" s="18"/>
      <c r="K1733" s="18"/>
      <c r="L1733" s="18"/>
      <c r="M1733" s="18"/>
      <c r="N1733" s="18"/>
      <c r="O1733" s="18"/>
      <c r="P1733" s="18"/>
      <c r="Q1733" s="18"/>
      <c r="R1733" s="18"/>
      <c r="S1733" s="18"/>
      <c r="T1733" s="18"/>
      <c r="U1733" s="18"/>
      <c r="V1733" s="18"/>
      <c r="W1733" s="18"/>
      <c r="X1733" s="18"/>
      <c r="Y1733" s="18"/>
      <c r="Z1733" s="18"/>
      <c r="AA1733" s="18"/>
      <c r="AB1733" s="18"/>
      <c r="AC1733" s="18"/>
      <c r="AD1733" s="19"/>
      <c r="AE1733" s="18"/>
      <c r="AF1733" s="18"/>
      <c r="AG1733" s="18"/>
      <c r="AH1733" s="18"/>
      <c r="AI1733" s="18"/>
      <c r="AJ1733" s="97"/>
      <c r="AK1733" s="18"/>
      <c r="AL1733" s="18"/>
    </row>
    <row r="1734" spans="4:38" x14ac:dyDescent="0.2">
      <c r="D1734" s="19"/>
      <c r="E1734" s="19"/>
      <c r="F1734" s="19"/>
      <c r="G1734" s="18"/>
      <c r="H1734" s="18"/>
      <c r="I1734" s="18"/>
      <c r="J1734" s="18"/>
      <c r="K1734" s="18"/>
      <c r="L1734" s="18"/>
      <c r="M1734" s="18"/>
      <c r="N1734" s="18"/>
      <c r="O1734" s="18"/>
      <c r="P1734" s="18"/>
      <c r="Q1734" s="18"/>
      <c r="R1734" s="18"/>
      <c r="S1734" s="18"/>
      <c r="T1734" s="18"/>
      <c r="U1734" s="18"/>
      <c r="V1734" s="18"/>
      <c r="W1734" s="18"/>
      <c r="X1734" s="18"/>
      <c r="Y1734" s="18"/>
      <c r="Z1734" s="18"/>
      <c r="AA1734" s="18"/>
      <c r="AB1734" s="18"/>
      <c r="AC1734" s="18"/>
      <c r="AD1734" s="19"/>
      <c r="AE1734" s="18"/>
      <c r="AF1734" s="18"/>
      <c r="AG1734" s="18"/>
      <c r="AH1734" s="18"/>
      <c r="AI1734" s="18"/>
      <c r="AJ1734" s="97"/>
      <c r="AK1734" s="18"/>
      <c r="AL1734" s="18"/>
    </row>
    <row r="1735" spans="4:38" x14ac:dyDescent="0.2">
      <c r="D1735" s="19"/>
      <c r="E1735" s="19"/>
      <c r="F1735" s="19"/>
      <c r="G1735" s="18"/>
      <c r="H1735" s="18"/>
      <c r="I1735" s="18"/>
      <c r="J1735" s="18"/>
      <c r="K1735" s="18"/>
      <c r="L1735" s="18"/>
      <c r="M1735" s="18"/>
      <c r="N1735" s="18"/>
      <c r="O1735" s="18"/>
      <c r="P1735" s="18"/>
      <c r="Q1735" s="18"/>
      <c r="R1735" s="18"/>
      <c r="S1735" s="18"/>
      <c r="T1735" s="18"/>
      <c r="U1735" s="18"/>
      <c r="V1735" s="18"/>
      <c r="W1735" s="18"/>
      <c r="X1735" s="18"/>
      <c r="Y1735" s="18"/>
      <c r="Z1735" s="18"/>
      <c r="AA1735" s="18"/>
      <c r="AB1735" s="18"/>
      <c r="AC1735" s="18"/>
      <c r="AD1735" s="19"/>
      <c r="AE1735" s="18"/>
      <c r="AF1735" s="18"/>
      <c r="AG1735" s="18"/>
      <c r="AH1735" s="18"/>
      <c r="AI1735" s="18"/>
      <c r="AJ1735" s="97"/>
      <c r="AK1735" s="18"/>
      <c r="AL1735" s="18"/>
    </row>
    <row r="1736" spans="4:38" x14ac:dyDescent="0.2">
      <c r="D1736" s="19"/>
      <c r="E1736" s="19"/>
      <c r="F1736" s="19"/>
      <c r="G1736" s="18"/>
      <c r="H1736" s="18"/>
      <c r="I1736" s="18"/>
      <c r="J1736" s="18"/>
      <c r="K1736" s="18"/>
      <c r="L1736" s="18"/>
      <c r="M1736" s="18"/>
      <c r="N1736" s="18"/>
      <c r="O1736" s="18"/>
      <c r="P1736" s="18"/>
      <c r="Q1736" s="18"/>
      <c r="R1736" s="18"/>
      <c r="S1736" s="18"/>
      <c r="T1736" s="18"/>
      <c r="U1736" s="18"/>
      <c r="V1736" s="18"/>
      <c r="W1736" s="18"/>
      <c r="X1736" s="18"/>
      <c r="Y1736" s="18"/>
      <c r="Z1736" s="18"/>
      <c r="AA1736" s="18"/>
      <c r="AB1736" s="18"/>
      <c r="AC1736" s="18"/>
      <c r="AD1736" s="19"/>
      <c r="AE1736" s="18"/>
      <c r="AF1736" s="18"/>
      <c r="AG1736" s="18"/>
      <c r="AH1736" s="18"/>
      <c r="AI1736" s="18"/>
      <c r="AJ1736" s="97"/>
      <c r="AK1736" s="18"/>
      <c r="AL1736" s="18"/>
    </row>
    <row r="1737" spans="4:38" x14ac:dyDescent="0.2">
      <c r="D1737" s="19"/>
      <c r="E1737" s="19"/>
      <c r="F1737" s="19"/>
      <c r="G1737" s="18"/>
      <c r="H1737" s="18"/>
      <c r="I1737" s="18"/>
      <c r="J1737" s="18"/>
      <c r="K1737" s="18"/>
      <c r="L1737" s="18"/>
      <c r="M1737" s="18"/>
      <c r="N1737" s="18"/>
      <c r="O1737" s="18"/>
      <c r="P1737" s="18"/>
      <c r="Q1737" s="18"/>
      <c r="R1737" s="18"/>
      <c r="S1737" s="18"/>
      <c r="T1737" s="18"/>
      <c r="U1737" s="18"/>
      <c r="V1737" s="18"/>
      <c r="W1737" s="18"/>
      <c r="X1737" s="18"/>
      <c r="Y1737" s="18"/>
      <c r="Z1737" s="18"/>
      <c r="AA1737" s="18"/>
      <c r="AB1737" s="18"/>
      <c r="AC1737" s="18"/>
      <c r="AD1737" s="19"/>
      <c r="AE1737" s="18"/>
      <c r="AF1737" s="18"/>
      <c r="AG1737" s="18"/>
      <c r="AH1737" s="18"/>
      <c r="AI1737" s="18"/>
      <c r="AJ1737" s="97"/>
      <c r="AK1737" s="18"/>
      <c r="AL1737" s="18"/>
    </row>
    <row r="1738" spans="4:38" x14ac:dyDescent="0.2">
      <c r="D1738" s="19"/>
      <c r="E1738" s="19"/>
      <c r="F1738" s="19"/>
      <c r="G1738" s="18"/>
      <c r="H1738" s="18"/>
      <c r="I1738" s="18"/>
      <c r="J1738" s="18"/>
      <c r="K1738" s="18"/>
      <c r="L1738" s="18"/>
      <c r="M1738" s="18"/>
      <c r="N1738" s="18"/>
      <c r="O1738" s="18"/>
      <c r="P1738" s="18"/>
      <c r="Q1738" s="18"/>
      <c r="R1738" s="18"/>
      <c r="S1738" s="18"/>
      <c r="T1738" s="18"/>
      <c r="U1738" s="18"/>
      <c r="V1738" s="18"/>
      <c r="W1738" s="18"/>
      <c r="X1738" s="18"/>
      <c r="Y1738" s="18"/>
      <c r="Z1738" s="18"/>
      <c r="AA1738" s="18"/>
      <c r="AB1738" s="18"/>
      <c r="AC1738" s="18"/>
      <c r="AD1738" s="19"/>
      <c r="AE1738" s="18"/>
      <c r="AF1738" s="18"/>
      <c r="AG1738" s="18"/>
      <c r="AH1738" s="18"/>
      <c r="AI1738" s="18"/>
      <c r="AJ1738" s="97"/>
      <c r="AK1738" s="18"/>
      <c r="AL1738" s="18"/>
    </row>
    <row r="1739" spans="4:38" x14ac:dyDescent="0.2">
      <c r="D1739" s="19"/>
      <c r="E1739" s="19"/>
      <c r="F1739" s="19"/>
      <c r="G1739" s="18"/>
      <c r="H1739" s="18"/>
      <c r="I1739" s="18"/>
      <c r="J1739" s="18"/>
      <c r="K1739" s="18"/>
      <c r="L1739" s="18"/>
      <c r="M1739" s="18"/>
      <c r="N1739" s="18"/>
      <c r="O1739" s="18"/>
      <c r="P1739" s="18"/>
      <c r="Q1739" s="18"/>
      <c r="R1739" s="18"/>
      <c r="S1739" s="18"/>
      <c r="T1739" s="18"/>
      <c r="U1739" s="18"/>
      <c r="V1739" s="18"/>
      <c r="W1739" s="18"/>
      <c r="X1739" s="18"/>
      <c r="Y1739" s="18"/>
      <c r="Z1739" s="18"/>
      <c r="AA1739" s="18"/>
      <c r="AB1739" s="18"/>
      <c r="AC1739" s="18"/>
      <c r="AD1739" s="19"/>
      <c r="AE1739" s="18"/>
      <c r="AF1739" s="18"/>
      <c r="AG1739" s="18"/>
      <c r="AH1739" s="18"/>
      <c r="AI1739" s="18"/>
      <c r="AJ1739" s="97"/>
      <c r="AK1739" s="18"/>
      <c r="AL1739" s="18"/>
    </row>
    <row r="1740" spans="4:38" x14ac:dyDescent="0.2">
      <c r="D1740" s="19"/>
      <c r="E1740" s="19"/>
      <c r="F1740" s="19"/>
      <c r="G1740" s="18"/>
      <c r="H1740" s="18"/>
      <c r="I1740" s="18"/>
      <c r="J1740" s="18"/>
      <c r="K1740" s="18"/>
      <c r="L1740" s="18"/>
      <c r="M1740" s="18"/>
      <c r="N1740" s="18"/>
      <c r="O1740" s="18"/>
      <c r="P1740" s="18"/>
      <c r="Q1740" s="18"/>
      <c r="R1740" s="18"/>
      <c r="S1740" s="18"/>
      <c r="T1740" s="18"/>
      <c r="U1740" s="18"/>
      <c r="V1740" s="18"/>
      <c r="W1740" s="18"/>
      <c r="X1740" s="18"/>
      <c r="Y1740" s="18"/>
      <c r="Z1740" s="18"/>
      <c r="AA1740" s="18"/>
      <c r="AB1740" s="18"/>
      <c r="AC1740" s="18"/>
      <c r="AD1740" s="19"/>
      <c r="AE1740" s="18"/>
      <c r="AF1740" s="18"/>
      <c r="AG1740" s="18"/>
      <c r="AH1740" s="18"/>
      <c r="AI1740" s="18"/>
      <c r="AJ1740" s="97"/>
      <c r="AK1740" s="18"/>
      <c r="AL1740" s="18"/>
    </row>
    <row r="1741" spans="4:38" x14ac:dyDescent="0.2">
      <c r="D1741" s="19"/>
      <c r="E1741" s="19"/>
      <c r="F1741" s="19"/>
      <c r="G1741" s="18"/>
      <c r="H1741" s="18"/>
      <c r="I1741" s="18"/>
      <c r="J1741" s="18"/>
      <c r="K1741" s="18"/>
      <c r="L1741" s="18"/>
      <c r="M1741" s="18"/>
      <c r="N1741" s="18"/>
      <c r="O1741" s="18"/>
      <c r="P1741" s="18"/>
      <c r="Q1741" s="18"/>
      <c r="R1741" s="18"/>
      <c r="S1741" s="18"/>
      <c r="T1741" s="18"/>
      <c r="U1741" s="18"/>
      <c r="V1741" s="18"/>
      <c r="W1741" s="18"/>
      <c r="X1741" s="18"/>
      <c r="Y1741" s="18"/>
      <c r="Z1741" s="18"/>
      <c r="AA1741" s="18"/>
      <c r="AB1741" s="18"/>
      <c r="AC1741" s="18"/>
      <c r="AD1741" s="19"/>
      <c r="AE1741" s="18"/>
      <c r="AF1741" s="18"/>
      <c r="AG1741" s="18"/>
      <c r="AH1741" s="18"/>
      <c r="AI1741" s="18"/>
      <c r="AJ1741" s="97"/>
      <c r="AK1741" s="18"/>
      <c r="AL1741" s="18"/>
    </row>
    <row r="1742" spans="4:38" x14ac:dyDescent="0.2">
      <c r="D1742" s="19"/>
      <c r="E1742" s="19"/>
      <c r="F1742" s="19"/>
      <c r="G1742" s="18"/>
      <c r="H1742" s="18"/>
      <c r="I1742" s="18"/>
      <c r="J1742" s="18"/>
      <c r="K1742" s="18"/>
      <c r="L1742" s="18"/>
      <c r="M1742" s="18"/>
      <c r="N1742" s="18"/>
      <c r="O1742" s="18"/>
      <c r="P1742" s="18"/>
      <c r="Q1742" s="18"/>
      <c r="R1742" s="18"/>
      <c r="S1742" s="18"/>
      <c r="T1742" s="18"/>
      <c r="U1742" s="18"/>
      <c r="V1742" s="18"/>
      <c r="W1742" s="18"/>
      <c r="X1742" s="18"/>
      <c r="Y1742" s="18"/>
      <c r="Z1742" s="18"/>
      <c r="AA1742" s="18"/>
      <c r="AB1742" s="18"/>
      <c r="AC1742" s="18"/>
      <c r="AD1742" s="19"/>
      <c r="AE1742" s="18"/>
      <c r="AF1742" s="18"/>
      <c r="AG1742" s="18"/>
      <c r="AH1742" s="18"/>
      <c r="AI1742" s="18"/>
      <c r="AJ1742" s="97"/>
      <c r="AK1742" s="18"/>
      <c r="AL1742" s="18"/>
    </row>
    <row r="1743" spans="4:38" x14ac:dyDescent="0.2">
      <c r="D1743" s="19"/>
      <c r="E1743" s="19"/>
      <c r="F1743" s="19"/>
      <c r="G1743" s="18"/>
      <c r="H1743" s="18"/>
      <c r="I1743" s="18"/>
      <c r="J1743" s="18"/>
      <c r="K1743" s="18"/>
      <c r="L1743" s="18"/>
      <c r="M1743" s="18"/>
      <c r="N1743" s="18"/>
      <c r="O1743" s="18"/>
      <c r="P1743" s="18"/>
      <c r="Q1743" s="18"/>
      <c r="R1743" s="18"/>
      <c r="S1743" s="18"/>
      <c r="T1743" s="18"/>
      <c r="U1743" s="18"/>
      <c r="V1743" s="18"/>
      <c r="W1743" s="18"/>
      <c r="X1743" s="18"/>
      <c r="Y1743" s="18"/>
      <c r="Z1743" s="18"/>
      <c r="AA1743" s="18"/>
      <c r="AB1743" s="18"/>
      <c r="AC1743" s="18"/>
      <c r="AD1743" s="19"/>
      <c r="AE1743" s="18"/>
      <c r="AF1743" s="18"/>
      <c r="AG1743" s="18"/>
      <c r="AH1743" s="18"/>
      <c r="AI1743" s="18"/>
      <c r="AJ1743" s="97"/>
      <c r="AK1743" s="18"/>
      <c r="AL1743" s="18"/>
    </row>
    <row r="1744" spans="4:38" x14ac:dyDescent="0.2">
      <c r="D1744" s="19"/>
      <c r="E1744" s="19"/>
      <c r="F1744" s="19"/>
      <c r="G1744" s="18"/>
      <c r="H1744" s="18"/>
      <c r="I1744" s="18"/>
      <c r="J1744" s="18"/>
      <c r="K1744" s="18"/>
      <c r="L1744" s="18"/>
      <c r="M1744" s="18"/>
      <c r="N1744" s="18"/>
      <c r="O1744" s="18"/>
      <c r="P1744" s="18"/>
      <c r="Q1744" s="18"/>
      <c r="R1744" s="18"/>
      <c r="S1744" s="18"/>
      <c r="T1744" s="18"/>
      <c r="U1744" s="18"/>
      <c r="V1744" s="18"/>
      <c r="W1744" s="18"/>
      <c r="X1744" s="18"/>
      <c r="Y1744" s="18"/>
      <c r="Z1744" s="18"/>
      <c r="AA1744" s="18"/>
      <c r="AB1744" s="18"/>
      <c r="AC1744" s="18"/>
      <c r="AD1744" s="19"/>
      <c r="AE1744" s="18"/>
      <c r="AF1744" s="18"/>
      <c r="AG1744" s="18"/>
      <c r="AH1744" s="18"/>
      <c r="AI1744" s="18"/>
      <c r="AJ1744" s="97"/>
      <c r="AK1744" s="18"/>
      <c r="AL1744" s="18"/>
    </row>
    <row r="1745" spans="4:38" x14ac:dyDescent="0.2">
      <c r="D1745" s="19"/>
      <c r="E1745" s="19"/>
      <c r="F1745" s="19"/>
      <c r="G1745" s="18"/>
      <c r="H1745" s="18"/>
      <c r="I1745" s="18"/>
      <c r="J1745" s="18"/>
      <c r="K1745" s="18"/>
      <c r="L1745" s="18"/>
      <c r="M1745" s="18"/>
      <c r="N1745" s="18"/>
      <c r="O1745" s="18"/>
      <c r="P1745" s="18"/>
      <c r="Q1745" s="18"/>
      <c r="R1745" s="18"/>
      <c r="S1745" s="18"/>
      <c r="T1745" s="18"/>
      <c r="U1745" s="18"/>
      <c r="V1745" s="18"/>
      <c r="W1745" s="18"/>
      <c r="X1745" s="18"/>
      <c r="Y1745" s="18"/>
      <c r="Z1745" s="18"/>
      <c r="AA1745" s="18"/>
      <c r="AB1745" s="18"/>
      <c r="AC1745" s="18"/>
      <c r="AD1745" s="19"/>
      <c r="AE1745" s="18"/>
      <c r="AF1745" s="18"/>
      <c r="AG1745" s="18"/>
      <c r="AH1745" s="18"/>
      <c r="AI1745" s="18"/>
      <c r="AJ1745" s="97"/>
      <c r="AK1745" s="18"/>
      <c r="AL1745" s="18"/>
    </row>
    <row r="1746" spans="4:38" x14ac:dyDescent="0.2">
      <c r="D1746" s="19"/>
      <c r="E1746" s="19"/>
      <c r="F1746" s="19"/>
      <c r="G1746" s="18"/>
      <c r="H1746" s="18"/>
      <c r="I1746" s="18"/>
      <c r="J1746" s="18"/>
      <c r="K1746" s="18"/>
      <c r="L1746" s="18"/>
      <c r="M1746" s="18"/>
      <c r="N1746" s="18"/>
      <c r="O1746" s="18"/>
      <c r="P1746" s="18"/>
      <c r="Q1746" s="18"/>
      <c r="R1746" s="18"/>
      <c r="S1746" s="18"/>
      <c r="T1746" s="18"/>
      <c r="U1746" s="18"/>
      <c r="V1746" s="18"/>
      <c r="W1746" s="18"/>
      <c r="X1746" s="18"/>
      <c r="Y1746" s="18"/>
      <c r="Z1746" s="18"/>
      <c r="AA1746" s="18"/>
      <c r="AB1746" s="18"/>
      <c r="AC1746" s="18"/>
      <c r="AD1746" s="19"/>
      <c r="AE1746" s="18"/>
      <c r="AF1746" s="18"/>
      <c r="AG1746" s="18"/>
      <c r="AH1746" s="18"/>
      <c r="AI1746" s="18"/>
      <c r="AJ1746" s="97"/>
      <c r="AK1746" s="18"/>
      <c r="AL1746" s="18"/>
    </row>
    <row r="1747" spans="4:38" x14ac:dyDescent="0.2">
      <c r="D1747" s="19"/>
      <c r="E1747" s="19"/>
      <c r="F1747" s="19"/>
      <c r="G1747" s="18"/>
      <c r="H1747" s="18"/>
      <c r="I1747" s="18"/>
      <c r="J1747" s="18"/>
      <c r="K1747" s="18"/>
      <c r="L1747" s="18"/>
      <c r="M1747" s="18"/>
      <c r="N1747" s="18"/>
      <c r="O1747" s="18"/>
      <c r="P1747" s="18"/>
      <c r="Q1747" s="18"/>
      <c r="R1747" s="18"/>
      <c r="S1747" s="18"/>
      <c r="T1747" s="18"/>
      <c r="U1747" s="18"/>
      <c r="V1747" s="18"/>
      <c r="W1747" s="18"/>
      <c r="X1747" s="18"/>
      <c r="Y1747" s="18"/>
      <c r="Z1747" s="18"/>
      <c r="AA1747" s="18"/>
      <c r="AB1747" s="18"/>
      <c r="AC1747" s="18"/>
      <c r="AD1747" s="19"/>
      <c r="AE1747" s="18"/>
      <c r="AF1747" s="18"/>
      <c r="AG1747" s="18"/>
      <c r="AH1747" s="18"/>
      <c r="AI1747" s="18"/>
      <c r="AJ1747" s="97"/>
      <c r="AK1747" s="18"/>
      <c r="AL1747" s="18"/>
    </row>
    <row r="1748" spans="4:38" x14ac:dyDescent="0.2">
      <c r="D1748" s="19"/>
      <c r="E1748" s="19"/>
      <c r="F1748" s="19"/>
      <c r="G1748" s="18"/>
      <c r="H1748" s="18"/>
      <c r="I1748" s="18"/>
      <c r="J1748" s="18"/>
      <c r="K1748" s="18"/>
      <c r="L1748" s="18"/>
      <c r="M1748" s="18"/>
      <c r="N1748" s="18"/>
      <c r="O1748" s="18"/>
      <c r="P1748" s="18"/>
      <c r="Q1748" s="18"/>
      <c r="R1748" s="18"/>
      <c r="S1748" s="18"/>
      <c r="T1748" s="18"/>
      <c r="U1748" s="18"/>
      <c r="V1748" s="18"/>
      <c r="W1748" s="18"/>
      <c r="X1748" s="18"/>
      <c r="Y1748" s="18"/>
      <c r="Z1748" s="18"/>
      <c r="AA1748" s="18"/>
      <c r="AB1748" s="18"/>
      <c r="AC1748" s="18"/>
      <c r="AD1748" s="19"/>
      <c r="AE1748" s="18"/>
      <c r="AF1748" s="18"/>
      <c r="AG1748" s="18"/>
      <c r="AH1748" s="18"/>
      <c r="AI1748" s="18"/>
      <c r="AJ1748" s="97"/>
      <c r="AK1748" s="18"/>
      <c r="AL1748" s="18"/>
    </row>
    <row r="1749" spans="4:38" x14ac:dyDescent="0.2">
      <c r="D1749" s="19"/>
      <c r="E1749" s="19"/>
      <c r="F1749" s="19"/>
      <c r="G1749" s="18"/>
      <c r="H1749" s="18"/>
      <c r="I1749" s="18"/>
      <c r="J1749" s="18"/>
      <c r="K1749" s="18"/>
      <c r="L1749" s="18"/>
      <c r="M1749" s="18"/>
      <c r="N1749" s="18"/>
      <c r="O1749" s="18"/>
      <c r="P1749" s="18"/>
      <c r="Q1749" s="18"/>
      <c r="R1749" s="18"/>
      <c r="S1749" s="18"/>
      <c r="T1749" s="18"/>
      <c r="U1749" s="18"/>
      <c r="V1749" s="18"/>
      <c r="W1749" s="18"/>
      <c r="X1749" s="18"/>
      <c r="Y1749" s="18"/>
      <c r="Z1749" s="18"/>
      <c r="AA1749" s="18"/>
      <c r="AB1749" s="18"/>
      <c r="AC1749" s="18"/>
      <c r="AD1749" s="19"/>
      <c r="AE1749" s="18"/>
      <c r="AF1749" s="18"/>
      <c r="AG1749" s="18"/>
      <c r="AH1749" s="18"/>
      <c r="AI1749" s="18"/>
      <c r="AJ1749" s="97"/>
      <c r="AK1749" s="18"/>
      <c r="AL1749" s="18"/>
    </row>
    <row r="1750" spans="4:38" x14ac:dyDescent="0.2">
      <c r="D1750" s="19"/>
      <c r="E1750" s="19"/>
      <c r="F1750" s="19"/>
      <c r="G1750" s="18"/>
      <c r="H1750" s="18"/>
      <c r="I1750" s="18"/>
      <c r="J1750" s="18"/>
      <c r="K1750" s="18"/>
      <c r="L1750" s="18"/>
      <c r="M1750" s="18"/>
      <c r="N1750" s="18"/>
      <c r="O1750" s="18"/>
      <c r="P1750" s="18"/>
      <c r="Q1750" s="18"/>
      <c r="R1750" s="18"/>
      <c r="S1750" s="18"/>
      <c r="T1750" s="18"/>
      <c r="U1750" s="18"/>
      <c r="V1750" s="18"/>
      <c r="W1750" s="18"/>
      <c r="X1750" s="18"/>
      <c r="Y1750" s="18"/>
      <c r="Z1750" s="18"/>
      <c r="AA1750" s="18"/>
      <c r="AB1750" s="18"/>
      <c r="AC1750" s="18"/>
      <c r="AD1750" s="19"/>
      <c r="AE1750" s="18"/>
      <c r="AF1750" s="18"/>
      <c r="AG1750" s="18"/>
      <c r="AH1750" s="18"/>
      <c r="AI1750" s="18"/>
      <c r="AJ1750" s="97"/>
      <c r="AK1750" s="18"/>
      <c r="AL1750" s="18"/>
    </row>
    <row r="1751" spans="4:38" x14ac:dyDescent="0.2">
      <c r="D1751" s="19"/>
      <c r="E1751" s="19"/>
      <c r="F1751" s="19"/>
      <c r="G1751" s="18"/>
      <c r="H1751" s="18"/>
      <c r="I1751" s="18"/>
      <c r="J1751" s="18"/>
      <c r="K1751" s="18"/>
      <c r="L1751" s="18"/>
      <c r="M1751" s="18"/>
      <c r="N1751" s="18"/>
      <c r="O1751" s="18"/>
      <c r="P1751" s="18"/>
      <c r="Q1751" s="18"/>
      <c r="R1751" s="18"/>
      <c r="S1751" s="18"/>
      <c r="T1751" s="18"/>
      <c r="U1751" s="18"/>
      <c r="V1751" s="18"/>
      <c r="W1751" s="18"/>
      <c r="X1751" s="18"/>
      <c r="Y1751" s="18"/>
      <c r="Z1751" s="18"/>
      <c r="AA1751" s="18"/>
      <c r="AB1751" s="18"/>
      <c r="AC1751" s="18"/>
      <c r="AD1751" s="19"/>
      <c r="AE1751" s="18"/>
      <c r="AF1751" s="18"/>
      <c r="AG1751" s="18"/>
      <c r="AH1751" s="18"/>
      <c r="AI1751" s="18"/>
      <c r="AJ1751" s="97"/>
      <c r="AK1751" s="18"/>
      <c r="AL1751" s="18"/>
    </row>
    <row r="1752" spans="4:38" x14ac:dyDescent="0.2">
      <c r="D1752" s="19"/>
      <c r="E1752" s="19"/>
      <c r="F1752" s="19"/>
      <c r="G1752" s="18"/>
      <c r="H1752" s="18"/>
      <c r="I1752" s="18"/>
      <c r="J1752" s="18"/>
      <c r="K1752" s="18"/>
      <c r="L1752" s="18"/>
      <c r="M1752" s="18"/>
      <c r="N1752" s="18"/>
      <c r="O1752" s="18"/>
      <c r="P1752" s="18"/>
      <c r="Q1752" s="18"/>
      <c r="R1752" s="18"/>
      <c r="S1752" s="18"/>
      <c r="T1752" s="18"/>
      <c r="U1752" s="18"/>
      <c r="V1752" s="18"/>
      <c r="W1752" s="18"/>
      <c r="X1752" s="18"/>
      <c r="Y1752" s="18"/>
      <c r="Z1752" s="18"/>
      <c r="AA1752" s="18"/>
      <c r="AB1752" s="18"/>
      <c r="AC1752" s="18"/>
      <c r="AD1752" s="19"/>
      <c r="AE1752" s="18"/>
      <c r="AF1752" s="18"/>
      <c r="AG1752" s="18"/>
      <c r="AH1752" s="18"/>
      <c r="AI1752" s="18"/>
      <c r="AJ1752" s="97"/>
      <c r="AK1752" s="18"/>
      <c r="AL1752" s="18"/>
    </row>
    <row r="1753" spans="4:38" x14ac:dyDescent="0.2">
      <c r="D1753" s="19"/>
      <c r="E1753" s="19"/>
      <c r="F1753" s="19"/>
      <c r="G1753" s="18"/>
      <c r="H1753" s="18"/>
      <c r="I1753" s="18"/>
      <c r="J1753" s="18"/>
      <c r="K1753" s="18"/>
      <c r="L1753" s="18"/>
      <c r="M1753" s="18"/>
      <c r="N1753" s="18"/>
      <c r="O1753" s="18"/>
      <c r="P1753" s="18"/>
      <c r="Q1753" s="18"/>
      <c r="R1753" s="18"/>
      <c r="S1753" s="18"/>
      <c r="T1753" s="18"/>
      <c r="U1753" s="18"/>
      <c r="V1753" s="18"/>
      <c r="W1753" s="18"/>
      <c r="X1753" s="18"/>
      <c r="Y1753" s="18"/>
      <c r="Z1753" s="18"/>
      <c r="AA1753" s="18"/>
      <c r="AB1753" s="18"/>
      <c r="AC1753" s="18"/>
      <c r="AD1753" s="19"/>
      <c r="AE1753" s="18"/>
      <c r="AF1753" s="18"/>
      <c r="AG1753" s="18"/>
      <c r="AH1753" s="18"/>
      <c r="AI1753" s="18"/>
      <c r="AJ1753" s="97"/>
      <c r="AK1753" s="18"/>
      <c r="AL1753" s="18"/>
    </row>
    <row r="1754" spans="4:38" x14ac:dyDescent="0.2">
      <c r="D1754" s="19"/>
      <c r="E1754" s="19"/>
      <c r="F1754" s="19"/>
      <c r="G1754" s="18"/>
      <c r="H1754" s="18"/>
      <c r="I1754" s="18"/>
      <c r="J1754" s="18"/>
      <c r="K1754" s="18"/>
      <c r="L1754" s="18"/>
      <c r="M1754" s="18"/>
      <c r="N1754" s="18"/>
      <c r="O1754" s="18"/>
      <c r="P1754" s="18"/>
      <c r="Q1754" s="18"/>
      <c r="R1754" s="18"/>
      <c r="S1754" s="18"/>
      <c r="T1754" s="18"/>
      <c r="U1754" s="18"/>
      <c r="V1754" s="18"/>
      <c r="W1754" s="18"/>
      <c r="X1754" s="18"/>
      <c r="Y1754" s="18"/>
      <c r="Z1754" s="18"/>
      <c r="AA1754" s="18"/>
      <c r="AB1754" s="18"/>
      <c r="AC1754" s="18"/>
      <c r="AD1754" s="19"/>
      <c r="AE1754" s="18"/>
      <c r="AF1754" s="18"/>
      <c r="AG1754" s="18"/>
      <c r="AH1754" s="18"/>
      <c r="AI1754" s="18"/>
      <c r="AJ1754" s="97"/>
      <c r="AK1754" s="18"/>
      <c r="AL1754" s="18"/>
    </row>
    <row r="1755" spans="4:38" x14ac:dyDescent="0.2">
      <c r="D1755" s="19"/>
      <c r="E1755" s="19"/>
      <c r="F1755" s="19"/>
      <c r="G1755" s="18"/>
      <c r="H1755" s="18"/>
      <c r="I1755" s="18"/>
      <c r="J1755" s="18"/>
      <c r="K1755" s="18"/>
      <c r="L1755" s="18"/>
      <c r="M1755" s="18"/>
      <c r="N1755" s="18"/>
      <c r="O1755" s="18"/>
      <c r="P1755" s="18"/>
      <c r="Q1755" s="18"/>
      <c r="R1755" s="18"/>
      <c r="S1755" s="18"/>
      <c r="T1755" s="18"/>
      <c r="U1755" s="18"/>
      <c r="V1755" s="18"/>
      <c r="W1755" s="18"/>
      <c r="X1755" s="18"/>
      <c r="Y1755" s="18"/>
      <c r="Z1755" s="18"/>
      <c r="AA1755" s="18"/>
      <c r="AB1755" s="18"/>
      <c r="AC1755" s="18"/>
      <c r="AD1755" s="19"/>
      <c r="AE1755" s="18"/>
      <c r="AF1755" s="18"/>
      <c r="AG1755" s="18"/>
      <c r="AH1755" s="18"/>
      <c r="AI1755" s="18"/>
      <c r="AJ1755" s="97"/>
      <c r="AK1755" s="18"/>
      <c r="AL1755" s="18"/>
    </row>
    <row r="1756" spans="4:38" x14ac:dyDescent="0.2">
      <c r="D1756" s="19"/>
      <c r="E1756" s="19"/>
      <c r="F1756" s="19"/>
      <c r="G1756" s="18"/>
      <c r="H1756" s="18"/>
      <c r="I1756" s="18"/>
      <c r="J1756" s="18"/>
      <c r="K1756" s="18"/>
      <c r="L1756" s="18"/>
      <c r="M1756" s="18"/>
      <c r="N1756" s="18"/>
      <c r="O1756" s="18"/>
      <c r="P1756" s="18"/>
      <c r="Q1756" s="18"/>
      <c r="R1756" s="18"/>
      <c r="S1756" s="18"/>
      <c r="T1756" s="18"/>
      <c r="U1756" s="18"/>
      <c r="V1756" s="18"/>
      <c r="W1756" s="18"/>
      <c r="X1756" s="18"/>
      <c r="Y1756" s="18"/>
      <c r="Z1756" s="18"/>
      <c r="AA1756" s="18"/>
      <c r="AB1756" s="18"/>
      <c r="AC1756" s="18"/>
      <c r="AD1756" s="19"/>
      <c r="AE1756" s="18"/>
      <c r="AF1756" s="18"/>
      <c r="AG1756" s="18"/>
      <c r="AH1756" s="18"/>
      <c r="AI1756" s="18"/>
      <c r="AJ1756" s="97"/>
      <c r="AK1756" s="18"/>
      <c r="AL1756" s="18"/>
    </row>
    <row r="1757" spans="4:38" x14ac:dyDescent="0.2">
      <c r="D1757" s="19"/>
      <c r="E1757" s="19"/>
      <c r="F1757" s="19"/>
      <c r="G1757" s="18"/>
      <c r="H1757" s="18"/>
      <c r="I1757" s="18"/>
      <c r="J1757" s="18"/>
      <c r="K1757" s="18"/>
      <c r="L1757" s="18"/>
      <c r="M1757" s="18"/>
      <c r="N1757" s="18"/>
      <c r="O1757" s="18"/>
      <c r="P1757" s="18"/>
      <c r="Q1757" s="18"/>
      <c r="R1757" s="18"/>
      <c r="S1757" s="18"/>
      <c r="T1757" s="18"/>
      <c r="U1757" s="18"/>
      <c r="V1757" s="18"/>
      <c r="W1757" s="18"/>
      <c r="X1757" s="18"/>
      <c r="Y1757" s="18"/>
      <c r="Z1757" s="18"/>
      <c r="AA1757" s="18"/>
      <c r="AB1757" s="18"/>
      <c r="AC1757" s="18"/>
      <c r="AD1757" s="19"/>
      <c r="AE1757" s="18"/>
      <c r="AF1757" s="18"/>
      <c r="AG1757" s="18"/>
      <c r="AH1757" s="18"/>
      <c r="AI1757" s="18"/>
      <c r="AJ1757" s="97"/>
      <c r="AK1757" s="18"/>
      <c r="AL1757" s="18"/>
    </row>
    <row r="1758" spans="4:38" x14ac:dyDescent="0.2">
      <c r="D1758" s="19"/>
      <c r="E1758" s="19"/>
      <c r="F1758" s="19"/>
      <c r="G1758" s="18"/>
      <c r="H1758" s="18"/>
      <c r="I1758" s="18"/>
      <c r="J1758" s="18"/>
      <c r="K1758" s="18"/>
      <c r="L1758" s="18"/>
      <c r="M1758" s="18"/>
      <c r="N1758" s="18"/>
      <c r="O1758" s="18"/>
      <c r="P1758" s="18"/>
      <c r="Q1758" s="18"/>
      <c r="R1758" s="18"/>
      <c r="S1758" s="18"/>
      <c r="T1758" s="18"/>
      <c r="U1758" s="18"/>
      <c r="V1758" s="18"/>
      <c r="W1758" s="18"/>
      <c r="X1758" s="18"/>
      <c r="Y1758" s="18"/>
      <c r="Z1758" s="18"/>
      <c r="AA1758" s="18"/>
      <c r="AB1758" s="18"/>
      <c r="AC1758" s="18"/>
      <c r="AD1758" s="19"/>
      <c r="AE1758" s="18"/>
      <c r="AF1758" s="18"/>
      <c r="AG1758" s="18"/>
      <c r="AH1758" s="18"/>
      <c r="AI1758" s="18"/>
      <c r="AJ1758" s="97"/>
      <c r="AK1758" s="18"/>
      <c r="AL1758" s="18"/>
    </row>
    <row r="1759" spans="4:38" x14ac:dyDescent="0.2">
      <c r="D1759" s="19"/>
      <c r="E1759" s="19"/>
      <c r="F1759" s="19"/>
      <c r="G1759" s="18"/>
      <c r="H1759" s="18"/>
      <c r="I1759" s="18"/>
      <c r="J1759" s="18"/>
      <c r="K1759" s="18"/>
      <c r="L1759" s="18"/>
      <c r="M1759" s="18"/>
      <c r="N1759" s="18"/>
      <c r="O1759" s="18"/>
      <c r="P1759" s="18"/>
      <c r="Q1759" s="18"/>
      <c r="R1759" s="18"/>
      <c r="S1759" s="18"/>
      <c r="T1759" s="18"/>
      <c r="U1759" s="18"/>
      <c r="V1759" s="18"/>
      <c r="W1759" s="18"/>
      <c r="X1759" s="18"/>
      <c r="Y1759" s="18"/>
      <c r="Z1759" s="18"/>
      <c r="AA1759" s="18"/>
      <c r="AB1759" s="18"/>
      <c r="AC1759" s="18"/>
      <c r="AD1759" s="19"/>
      <c r="AE1759" s="18"/>
      <c r="AF1759" s="18"/>
      <c r="AG1759" s="18"/>
      <c r="AH1759" s="18"/>
      <c r="AI1759" s="18"/>
      <c r="AJ1759" s="97"/>
      <c r="AK1759" s="18"/>
      <c r="AL1759" s="18"/>
    </row>
    <row r="1760" spans="4:38" x14ac:dyDescent="0.2">
      <c r="D1760" s="19"/>
      <c r="E1760" s="19"/>
      <c r="F1760" s="19"/>
      <c r="G1760" s="18"/>
      <c r="H1760" s="18"/>
      <c r="I1760" s="18"/>
      <c r="J1760" s="18"/>
      <c r="K1760" s="18"/>
      <c r="L1760" s="18"/>
      <c r="M1760" s="18"/>
      <c r="N1760" s="18"/>
      <c r="O1760" s="18"/>
      <c r="P1760" s="18"/>
      <c r="Q1760" s="18"/>
      <c r="R1760" s="18"/>
      <c r="S1760" s="18"/>
      <c r="T1760" s="18"/>
      <c r="U1760" s="18"/>
      <c r="V1760" s="18"/>
      <c r="W1760" s="18"/>
      <c r="X1760" s="18"/>
      <c r="Y1760" s="18"/>
      <c r="Z1760" s="18"/>
      <c r="AA1760" s="18"/>
      <c r="AB1760" s="18"/>
      <c r="AC1760" s="18"/>
      <c r="AD1760" s="19"/>
      <c r="AE1760" s="18"/>
      <c r="AF1760" s="18"/>
      <c r="AG1760" s="18"/>
      <c r="AH1760" s="18"/>
      <c r="AI1760" s="18"/>
      <c r="AJ1760" s="97"/>
      <c r="AK1760" s="18"/>
      <c r="AL1760" s="18"/>
    </row>
    <row r="1761" spans="4:38" x14ac:dyDescent="0.2">
      <c r="D1761" s="19"/>
      <c r="E1761" s="19"/>
      <c r="F1761" s="19"/>
      <c r="G1761" s="18"/>
      <c r="H1761" s="18"/>
      <c r="I1761" s="18"/>
      <c r="J1761" s="18"/>
      <c r="K1761" s="18"/>
      <c r="L1761" s="18"/>
      <c r="M1761" s="18"/>
      <c r="N1761" s="18"/>
      <c r="O1761" s="18"/>
      <c r="P1761" s="18"/>
      <c r="Q1761" s="18"/>
      <c r="R1761" s="18"/>
      <c r="S1761" s="18"/>
      <c r="T1761" s="18"/>
      <c r="U1761" s="18"/>
      <c r="V1761" s="18"/>
      <c r="W1761" s="18"/>
      <c r="X1761" s="18"/>
      <c r="Y1761" s="18"/>
      <c r="Z1761" s="18"/>
      <c r="AA1761" s="18"/>
      <c r="AB1761" s="18"/>
      <c r="AC1761" s="18"/>
      <c r="AD1761" s="19"/>
      <c r="AE1761" s="18"/>
      <c r="AF1761" s="18"/>
      <c r="AG1761" s="18"/>
      <c r="AH1761" s="18"/>
      <c r="AI1761" s="18"/>
      <c r="AJ1761" s="97"/>
      <c r="AK1761" s="18"/>
      <c r="AL1761" s="18"/>
    </row>
    <row r="1762" spans="4:38" x14ac:dyDescent="0.2">
      <c r="D1762" s="19"/>
      <c r="E1762" s="19"/>
      <c r="F1762" s="19"/>
      <c r="G1762" s="18"/>
      <c r="H1762" s="18"/>
      <c r="I1762" s="18"/>
      <c r="J1762" s="18"/>
      <c r="K1762" s="18"/>
      <c r="L1762" s="18"/>
      <c r="M1762" s="18"/>
      <c r="N1762" s="18"/>
      <c r="O1762" s="18"/>
      <c r="P1762" s="18"/>
      <c r="Q1762" s="18"/>
      <c r="R1762" s="18"/>
      <c r="S1762" s="18"/>
      <c r="T1762" s="18"/>
      <c r="U1762" s="18"/>
      <c r="V1762" s="18"/>
      <c r="W1762" s="18"/>
      <c r="X1762" s="18"/>
      <c r="Y1762" s="18"/>
      <c r="Z1762" s="18"/>
      <c r="AA1762" s="18"/>
      <c r="AB1762" s="18"/>
      <c r="AC1762" s="18"/>
      <c r="AD1762" s="19"/>
      <c r="AE1762" s="18"/>
      <c r="AF1762" s="18"/>
      <c r="AG1762" s="18"/>
      <c r="AH1762" s="18"/>
      <c r="AI1762" s="18"/>
      <c r="AJ1762" s="97"/>
      <c r="AK1762" s="18"/>
      <c r="AL1762" s="18"/>
    </row>
    <row r="1763" spans="4:38" x14ac:dyDescent="0.2">
      <c r="D1763" s="19"/>
      <c r="E1763" s="19"/>
      <c r="F1763" s="19"/>
      <c r="G1763" s="18"/>
      <c r="H1763" s="18"/>
      <c r="I1763" s="18"/>
      <c r="J1763" s="18"/>
      <c r="K1763" s="18"/>
      <c r="L1763" s="18"/>
      <c r="M1763" s="18"/>
      <c r="N1763" s="18"/>
      <c r="O1763" s="18"/>
      <c r="P1763" s="18"/>
      <c r="Q1763" s="18"/>
      <c r="R1763" s="18"/>
      <c r="S1763" s="18"/>
      <c r="T1763" s="18"/>
      <c r="U1763" s="18"/>
      <c r="V1763" s="18"/>
      <c r="W1763" s="18"/>
      <c r="X1763" s="18"/>
      <c r="Y1763" s="18"/>
      <c r="Z1763" s="18"/>
      <c r="AA1763" s="18"/>
      <c r="AB1763" s="18"/>
      <c r="AC1763" s="18"/>
      <c r="AD1763" s="19"/>
      <c r="AE1763" s="18"/>
      <c r="AF1763" s="18"/>
      <c r="AG1763" s="18"/>
      <c r="AH1763" s="18"/>
      <c r="AI1763" s="18"/>
      <c r="AJ1763" s="97"/>
      <c r="AK1763" s="18"/>
      <c r="AL1763" s="18"/>
    </row>
    <row r="1764" spans="4:38" x14ac:dyDescent="0.2">
      <c r="D1764" s="19"/>
      <c r="E1764" s="19"/>
      <c r="F1764" s="19"/>
      <c r="G1764" s="18"/>
      <c r="H1764" s="18"/>
      <c r="I1764" s="18"/>
      <c r="J1764" s="18"/>
      <c r="K1764" s="18"/>
      <c r="L1764" s="18"/>
      <c r="M1764" s="18"/>
      <c r="N1764" s="18"/>
      <c r="O1764" s="18"/>
      <c r="P1764" s="18"/>
      <c r="Q1764" s="18"/>
      <c r="R1764" s="18"/>
      <c r="S1764" s="18"/>
      <c r="T1764" s="18"/>
      <c r="U1764" s="18"/>
      <c r="V1764" s="18"/>
      <c r="W1764" s="18"/>
      <c r="X1764" s="18"/>
      <c r="Y1764" s="18"/>
      <c r="Z1764" s="18"/>
      <c r="AA1764" s="18"/>
      <c r="AB1764" s="18"/>
      <c r="AC1764" s="18"/>
      <c r="AD1764" s="19"/>
      <c r="AE1764" s="18"/>
      <c r="AF1764" s="18"/>
      <c r="AG1764" s="18"/>
      <c r="AH1764" s="18"/>
      <c r="AI1764" s="18"/>
      <c r="AJ1764" s="97"/>
      <c r="AK1764" s="18"/>
      <c r="AL1764" s="18"/>
    </row>
    <row r="1765" spans="4:38" x14ac:dyDescent="0.2">
      <c r="D1765" s="19"/>
      <c r="E1765" s="19"/>
      <c r="F1765" s="19"/>
      <c r="G1765" s="18"/>
      <c r="H1765" s="18"/>
      <c r="I1765" s="18"/>
      <c r="J1765" s="18"/>
      <c r="K1765" s="18"/>
      <c r="L1765" s="18"/>
      <c r="M1765" s="18"/>
      <c r="N1765" s="18"/>
      <c r="O1765" s="18"/>
      <c r="P1765" s="18"/>
      <c r="Q1765" s="18"/>
      <c r="R1765" s="18"/>
      <c r="S1765" s="18"/>
      <c r="T1765" s="18"/>
      <c r="U1765" s="18"/>
      <c r="V1765" s="18"/>
      <c r="W1765" s="18"/>
      <c r="X1765" s="18"/>
      <c r="Y1765" s="18"/>
      <c r="Z1765" s="18"/>
      <c r="AA1765" s="18"/>
      <c r="AB1765" s="18"/>
      <c r="AC1765" s="18"/>
      <c r="AD1765" s="19"/>
      <c r="AE1765" s="18"/>
      <c r="AF1765" s="18"/>
      <c r="AG1765" s="18"/>
      <c r="AH1765" s="18"/>
      <c r="AI1765" s="18"/>
      <c r="AJ1765" s="97"/>
      <c r="AK1765" s="18"/>
      <c r="AL1765" s="18"/>
    </row>
    <row r="1766" spans="4:38" x14ac:dyDescent="0.2">
      <c r="D1766" s="19"/>
      <c r="E1766" s="19"/>
      <c r="F1766" s="19"/>
      <c r="G1766" s="18"/>
      <c r="H1766" s="18"/>
      <c r="I1766" s="18"/>
      <c r="J1766" s="18"/>
      <c r="K1766" s="18"/>
      <c r="L1766" s="18"/>
      <c r="M1766" s="18"/>
      <c r="N1766" s="18"/>
      <c r="O1766" s="18"/>
      <c r="P1766" s="18"/>
      <c r="Q1766" s="18"/>
      <c r="R1766" s="18"/>
      <c r="S1766" s="18"/>
      <c r="T1766" s="18"/>
      <c r="U1766" s="18"/>
      <c r="V1766" s="18"/>
      <c r="W1766" s="18"/>
      <c r="X1766" s="18"/>
      <c r="Y1766" s="18"/>
      <c r="Z1766" s="18"/>
      <c r="AA1766" s="18"/>
      <c r="AB1766" s="18"/>
      <c r="AC1766" s="18"/>
      <c r="AD1766" s="19"/>
      <c r="AE1766" s="18"/>
      <c r="AF1766" s="18"/>
      <c r="AG1766" s="18"/>
      <c r="AH1766" s="18"/>
      <c r="AI1766" s="18"/>
      <c r="AJ1766" s="97"/>
      <c r="AK1766" s="18"/>
      <c r="AL1766" s="18"/>
    </row>
    <row r="1767" spans="4:38" x14ac:dyDescent="0.2">
      <c r="D1767" s="19"/>
      <c r="E1767" s="19"/>
      <c r="F1767" s="19"/>
      <c r="G1767" s="18"/>
      <c r="H1767" s="18"/>
      <c r="I1767" s="18"/>
      <c r="J1767" s="18"/>
      <c r="K1767" s="18"/>
      <c r="L1767" s="18"/>
      <c r="M1767" s="18"/>
      <c r="N1767" s="18"/>
      <c r="O1767" s="18"/>
      <c r="P1767" s="18"/>
      <c r="Q1767" s="18"/>
      <c r="R1767" s="18"/>
      <c r="S1767" s="18"/>
      <c r="T1767" s="18"/>
      <c r="U1767" s="18"/>
      <c r="V1767" s="18"/>
      <c r="W1767" s="18"/>
      <c r="X1767" s="18"/>
      <c r="Y1767" s="18"/>
      <c r="Z1767" s="18"/>
      <c r="AA1767" s="18"/>
      <c r="AB1767" s="18"/>
      <c r="AC1767" s="18"/>
      <c r="AD1767" s="19"/>
      <c r="AE1767" s="18"/>
      <c r="AF1767" s="18"/>
      <c r="AG1767" s="18"/>
      <c r="AH1767" s="18"/>
      <c r="AI1767" s="18"/>
      <c r="AJ1767" s="97"/>
      <c r="AK1767" s="18"/>
      <c r="AL1767" s="18"/>
    </row>
    <row r="1768" spans="4:38" x14ac:dyDescent="0.2">
      <c r="D1768" s="19"/>
      <c r="E1768" s="19"/>
      <c r="F1768" s="19"/>
      <c r="G1768" s="18"/>
      <c r="H1768" s="18"/>
      <c r="I1768" s="18"/>
      <c r="J1768" s="18"/>
      <c r="K1768" s="18"/>
      <c r="L1768" s="18"/>
      <c r="M1768" s="18"/>
      <c r="N1768" s="18"/>
      <c r="O1768" s="18"/>
      <c r="P1768" s="18"/>
      <c r="Q1768" s="18"/>
      <c r="R1768" s="18"/>
      <c r="S1768" s="18"/>
      <c r="T1768" s="18"/>
      <c r="U1768" s="18"/>
      <c r="V1768" s="18"/>
      <c r="W1768" s="18"/>
      <c r="X1768" s="18"/>
      <c r="Y1768" s="18"/>
      <c r="Z1768" s="18"/>
      <c r="AA1768" s="18"/>
      <c r="AB1768" s="18"/>
      <c r="AC1768" s="18"/>
      <c r="AD1768" s="19"/>
      <c r="AE1768" s="18"/>
      <c r="AF1768" s="18"/>
      <c r="AG1768" s="18"/>
      <c r="AH1768" s="18"/>
      <c r="AI1768" s="18"/>
      <c r="AJ1768" s="97"/>
      <c r="AK1768" s="18"/>
      <c r="AL1768" s="18"/>
    </row>
    <row r="1769" spans="4:38" x14ac:dyDescent="0.2">
      <c r="D1769" s="19"/>
      <c r="E1769" s="19"/>
      <c r="F1769" s="19"/>
      <c r="G1769" s="18"/>
      <c r="H1769" s="18"/>
      <c r="I1769" s="18"/>
      <c r="J1769" s="18"/>
      <c r="K1769" s="18"/>
      <c r="L1769" s="18"/>
      <c r="M1769" s="18"/>
      <c r="N1769" s="18"/>
      <c r="O1769" s="18"/>
      <c r="P1769" s="18"/>
      <c r="Q1769" s="18"/>
      <c r="R1769" s="18"/>
      <c r="S1769" s="18"/>
      <c r="T1769" s="18"/>
      <c r="U1769" s="18"/>
      <c r="V1769" s="18"/>
      <c r="W1769" s="18"/>
      <c r="X1769" s="18"/>
      <c r="Y1769" s="18"/>
      <c r="Z1769" s="18"/>
      <c r="AA1769" s="18"/>
      <c r="AB1769" s="18"/>
      <c r="AC1769" s="18"/>
      <c r="AD1769" s="19"/>
      <c r="AE1769" s="18"/>
      <c r="AF1769" s="18"/>
      <c r="AG1769" s="18"/>
      <c r="AH1769" s="18"/>
      <c r="AI1769" s="18"/>
      <c r="AJ1769" s="97"/>
      <c r="AK1769" s="18"/>
      <c r="AL1769" s="18"/>
    </row>
    <row r="1770" spans="4:38" x14ac:dyDescent="0.2">
      <c r="D1770" s="19"/>
      <c r="E1770" s="19"/>
      <c r="F1770" s="19"/>
      <c r="G1770" s="18"/>
      <c r="H1770" s="18"/>
      <c r="I1770" s="18"/>
      <c r="J1770" s="18"/>
      <c r="K1770" s="18"/>
      <c r="L1770" s="18"/>
      <c r="M1770" s="18"/>
      <c r="N1770" s="18"/>
      <c r="O1770" s="18"/>
      <c r="P1770" s="18"/>
      <c r="Q1770" s="18"/>
      <c r="R1770" s="18"/>
      <c r="S1770" s="18"/>
      <c r="T1770" s="18"/>
      <c r="U1770" s="18"/>
      <c r="V1770" s="18"/>
      <c r="W1770" s="18"/>
      <c r="X1770" s="18"/>
      <c r="Y1770" s="18"/>
      <c r="Z1770" s="18"/>
      <c r="AA1770" s="18"/>
      <c r="AB1770" s="18"/>
      <c r="AC1770" s="18"/>
      <c r="AD1770" s="19"/>
      <c r="AE1770" s="18"/>
      <c r="AF1770" s="18"/>
      <c r="AG1770" s="18"/>
      <c r="AH1770" s="18"/>
      <c r="AI1770" s="18"/>
      <c r="AJ1770" s="97"/>
      <c r="AK1770" s="18"/>
      <c r="AL1770" s="18"/>
    </row>
    <row r="1771" spans="4:38" x14ac:dyDescent="0.2">
      <c r="D1771" s="19"/>
      <c r="E1771" s="19"/>
      <c r="F1771" s="19"/>
      <c r="G1771" s="18"/>
      <c r="H1771" s="18"/>
      <c r="I1771" s="18"/>
      <c r="J1771" s="18"/>
      <c r="K1771" s="18"/>
      <c r="L1771" s="18"/>
      <c r="M1771" s="18"/>
      <c r="N1771" s="18"/>
      <c r="O1771" s="18"/>
      <c r="P1771" s="18"/>
      <c r="Q1771" s="18"/>
      <c r="R1771" s="18"/>
      <c r="S1771" s="18"/>
      <c r="T1771" s="18"/>
      <c r="U1771" s="18"/>
      <c r="V1771" s="18"/>
      <c r="W1771" s="18"/>
      <c r="X1771" s="18"/>
      <c r="Y1771" s="18"/>
      <c r="Z1771" s="18"/>
      <c r="AA1771" s="18"/>
      <c r="AB1771" s="18"/>
      <c r="AC1771" s="18"/>
      <c r="AD1771" s="19"/>
      <c r="AE1771" s="18"/>
      <c r="AF1771" s="18"/>
      <c r="AG1771" s="18"/>
      <c r="AH1771" s="18"/>
      <c r="AI1771" s="18"/>
      <c r="AJ1771" s="97"/>
      <c r="AK1771" s="18"/>
      <c r="AL1771" s="18"/>
    </row>
    <row r="1772" spans="4:38" x14ac:dyDescent="0.2">
      <c r="D1772" s="19"/>
      <c r="E1772" s="19"/>
      <c r="F1772" s="19"/>
      <c r="G1772" s="18"/>
      <c r="H1772" s="18"/>
      <c r="I1772" s="18"/>
      <c r="J1772" s="18"/>
      <c r="K1772" s="18"/>
      <c r="L1772" s="18"/>
      <c r="M1772" s="18"/>
      <c r="N1772" s="18"/>
      <c r="O1772" s="18"/>
      <c r="P1772" s="18"/>
      <c r="Q1772" s="18"/>
      <c r="R1772" s="18"/>
      <c r="S1772" s="18"/>
      <c r="T1772" s="18"/>
      <c r="U1772" s="18"/>
      <c r="V1772" s="18"/>
      <c r="W1772" s="18"/>
      <c r="X1772" s="18"/>
      <c r="Y1772" s="18"/>
      <c r="Z1772" s="18"/>
      <c r="AA1772" s="18"/>
      <c r="AB1772" s="18"/>
      <c r="AC1772" s="18"/>
      <c r="AD1772" s="19"/>
      <c r="AE1772" s="18"/>
      <c r="AF1772" s="18"/>
      <c r="AG1772" s="18"/>
      <c r="AH1772" s="18"/>
      <c r="AI1772" s="18"/>
      <c r="AJ1772" s="97"/>
      <c r="AK1772" s="18"/>
      <c r="AL1772" s="18"/>
    </row>
    <row r="1773" spans="4:38" x14ac:dyDescent="0.2">
      <c r="D1773" s="19"/>
      <c r="E1773" s="19"/>
      <c r="F1773" s="19"/>
      <c r="G1773" s="18"/>
      <c r="H1773" s="18"/>
      <c r="I1773" s="18"/>
      <c r="J1773" s="18"/>
      <c r="K1773" s="18"/>
      <c r="L1773" s="18"/>
      <c r="M1773" s="18"/>
      <c r="N1773" s="18"/>
      <c r="O1773" s="18"/>
      <c r="P1773" s="18"/>
      <c r="Q1773" s="18"/>
      <c r="R1773" s="18"/>
      <c r="S1773" s="18"/>
      <c r="T1773" s="18"/>
      <c r="U1773" s="18"/>
      <c r="V1773" s="18"/>
      <c r="W1773" s="18"/>
      <c r="X1773" s="18"/>
      <c r="Y1773" s="18"/>
      <c r="Z1773" s="18"/>
      <c r="AA1773" s="18"/>
      <c r="AB1773" s="18"/>
      <c r="AC1773" s="18"/>
      <c r="AD1773" s="19"/>
      <c r="AE1773" s="18"/>
      <c r="AF1773" s="18"/>
      <c r="AG1773" s="18"/>
      <c r="AH1773" s="18"/>
      <c r="AI1773" s="18"/>
      <c r="AJ1773" s="97"/>
      <c r="AK1773" s="18"/>
      <c r="AL1773" s="18"/>
    </row>
    <row r="1774" spans="4:38" x14ac:dyDescent="0.2">
      <c r="D1774" s="19"/>
      <c r="E1774" s="19"/>
      <c r="F1774" s="19"/>
      <c r="G1774" s="18"/>
      <c r="H1774" s="18"/>
      <c r="I1774" s="18"/>
      <c r="J1774" s="18"/>
      <c r="K1774" s="18"/>
      <c r="L1774" s="18"/>
      <c r="M1774" s="18"/>
      <c r="N1774" s="18"/>
      <c r="O1774" s="18"/>
      <c r="P1774" s="18"/>
      <c r="Q1774" s="18"/>
      <c r="R1774" s="18"/>
      <c r="S1774" s="18"/>
      <c r="T1774" s="18"/>
      <c r="U1774" s="18"/>
      <c r="V1774" s="18"/>
      <c r="W1774" s="18"/>
      <c r="X1774" s="18"/>
      <c r="Y1774" s="18"/>
      <c r="Z1774" s="18"/>
      <c r="AA1774" s="18"/>
      <c r="AB1774" s="18"/>
      <c r="AC1774" s="18"/>
      <c r="AD1774" s="19"/>
      <c r="AE1774" s="18"/>
      <c r="AF1774" s="18"/>
      <c r="AG1774" s="18"/>
      <c r="AH1774" s="18"/>
      <c r="AI1774" s="18"/>
      <c r="AJ1774" s="97"/>
      <c r="AK1774" s="18"/>
      <c r="AL1774" s="18"/>
    </row>
    <row r="1775" spans="4:38" x14ac:dyDescent="0.2">
      <c r="D1775" s="19"/>
      <c r="E1775" s="19"/>
      <c r="F1775" s="19"/>
      <c r="G1775" s="18"/>
      <c r="H1775" s="18"/>
      <c r="I1775" s="18"/>
      <c r="J1775" s="18"/>
      <c r="K1775" s="18"/>
      <c r="L1775" s="18"/>
      <c r="M1775" s="18"/>
      <c r="N1775" s="18"/>
      <c r="O1775" s="18"/>
      <c r="P1775" s="18"/>
      <c r="Q1775" s="18"/>
      <c r="R1775" s="18"/>
      <c r="S1775" s="18"/>
      <c r="T1775" s="18"/>
      <c r="U1775" s="18"/>
      <c r="V1775" s="18"/>
      <c r="W1775" s="18"/>
      <c r="X1775" s="18"/>
      <c r="Y1775" s="18"/>
      <c r="Z1775" s="18"/>
      <c r="AA1775" s="18"/>
      <c r="AB1775" s="18"/>
      <c r="AC1775" s="18"/>
      <c r="AD1775" s="19"/>
      <c r="AE1775" s="18"/>
      <c r="AF1775" s="18"/>
      <c r="AG1775" s="18"/>
      <c r="AH1775" s="18"/>
      <c r="AI1775" s="18"/>
      <c r="AJ1775" s="97"/>
      <c r="AK1775" s="18"/>
      <c r="AL1775" s="18"/>
    </row>
    <row r="1776" spans="4:38" x14ac:dyDescent="0.2">
      <c r="D1776" s="19"/>
      <c r="E1776" s="19"/>
      <c r="F1776" s="19"/>
      <c r="G1776" s="18"/>
      <c r="H1776" s="18"/>
      <c r="I1776" s="18"/>
      <c r="J1776" s="18"/>
      <c r="K1776" s="18"/>
      <c r="L1776" s="18"/>
      <c r="M1776" s="18"/>
      <c r="N1776" s="18"/>
      <c r="O1776" s="18"/>
      <c r="P1776" s="18"/>
      <c r="Q1776" s="18"/>
      <c r="R1776" s="18"/>
      <c r="S1776" s="18"/>
      <c r="T1776" s="18"/>
      <c r="U1776" s="18"/>
      <c r="V1776" s="18"/>
      <c r="W1776" s="18"/>
      <c r="X1776" s="18"/>
      <c r="Y1776" s="18"/>
      <c r="Z1776" s="18"/>
      <c r="AA1776" s="18"/>
      <c r="AB1776" s="18"/>
      <c r="AC1776" s="18"/>
      <c r="AD1776" s="19"/>
      <c r="AE1776" s="18"/>
      <c r="AF1776" s="18"/>
      <c r="AG1776" s="18"/>
      <c r="AH1776" s="18"/>
      <c r="AI1776" s="18"/>
      <c r="AJ1776" s="97"/>
      <c r="AK1776" s="18"/>
      <c r="AL1776" s="18"/>
    </row>
    <row r="1777" spans="4:38" x14ac:dyDescent="0.2">
      <c r="D1777" s="19"/>
      <c r="E1777" s="19"/>
      <c r="F1777" s="19"/>
      <c r="G1777" s="18"/>
      <c r="H1777" s="18"/>
      <c r="I1777" s="18"/>
      <c r="J1777" s="18"/>
      <c r="K1777" s="18"/>
      <c r="L1777" s="18"/>
      <c r="M1777" s="18"/>
      <c r="N1777" s="18"/>
      <c r="O1777" s="18"/>
      <c r="P1777" s="18"/>
      <c r="Q1777" s="18"/>
      <c r="R1777" s="18"/>
      <c r="S1777" s="18"/>
      <c r="T1777" s="18"/>
      <c r="U1777" s="18"/>
      <c r="V1777" s="18"/>
      <c r="W1777" s="18"/>
      <c r="X1777" s="18"/>
      <c r="Y1777" s="18"/>
      <c r="Z1777" s="18"/>
      <c r="AA1777" s="18"/>
      <c r="AB1777" s="18"/>
      <c r="AC1777" s="18"/>
      <c r="AD1777" s="19"/>
      <c r="AE1777" s="18"/>
      <c r="AF1777" s="18"/>
      <c r="AG1777" s="18"/>
      <c r="AH1777" s="18"/>
      <c r="AI1777" s="18"/>
      <c r="AJ1777" s="97"/>
      <c r="AK1777" s="18"/>
      <c r="AL1777" s="18"/>
    </row>
    <row r="1778" spans="4:38" x14ac:dyDescent="0.2">
      <c r="D1778" s="19"/>
      <c r="E1778" s="19"/>
      <c r="F1778" s="19"/>
      <c r="G1778" s="18"/>
      <c r="H1778" s="18"/>
      <c r="I1778" s="18"/>
      <c r="J1778" s="18"/>
      <c r="K1778" s="18"/>
      <c r="L1778" s="18"/>
      <c r="M1778" s="18"/>
      <c r="N1778" s="18"/>
      <c r="O1778" s="18"/>
      <c r="P1778" s="18"/>
      <c r="Q1778" s="18"/>
      <c r="R1778" s="18"/>
      <c r="S1778" s="18"/>
      <c r="T1778" s="18"/>
      <c r="U1778" s="18"/>
      <c r="V1778" s="18"/>
      <c r="W1778" s="18"/>
      <c r="X1778" s="18"/>
      <c r="Y1778" s="18"/>
      <c r="Z1778" s="18"/>
      <c r="AA1778" s="18"/>
      <c r="AB1778" s="18"/>
      <c r="AC1778" s="18"/>
      <c r="AD1778" s="19"/>
      <c r="AE1778" s="18"/>
      <c r="AF1778" s="18"/>
      <c r="AG1778" s="18"/>
      <c r="AH1778" s="18"/>
      <c r="AI1778" s="18"/>
      <c r="AJ1778" s="97"/>
      <c r="AK1778" s="18"/>
      <c r="AL1778" s="18"/>
    </row>
    <row r="1779" spans="4:38" x14ac:dyDescent="0.2">
      <c r="D1779" s="19"/>
      <c r="E1779" s="19"/>
      <c r="F1779" s="19"/>
      <c r="G1779" s="18"/>
      <c r="H1779" s="18"/>
      <c r="I1779" s="18"/>
      <c r="J1779" s="18"/>
      <c r="K1779" s="18"/>
      <c r="L1779" s="18"/>
      <c r="M1779" s="18"/>
      <c r="N1779" s="18"/>
      <c r="O1779" s="18"/>
      <c r="P1779" s="18"/>
      <c r="Q1779" s="18"/>
      <c r="R1779" s="18"/>
      <c r="S1779" s="18"/>
      <c r="T1779" s="18"/>
      <c r="U1779" s="18"/>
      <c r="V1779" s="18"/>
      <c r="W1779" s="18"/>
      <c r="X1779" s="18"/>
      <c r="Y1779" s="18"/>
      <c r="Z1779" s="18"/>
      <c r="AA1779" s="18"/>
      <c r="AB1779" s="18"/>
      <c r="AC1779" s="18"/>
      <c r="AD1779" s="19"/>
      <c r="AE1779" s="18"/>
      <c r="AF1779" s="18"/>
      <c r="AG1779" s="18"/>
      <c r="AH1779" s="18"/>
      <c r="AI1779" s="18"/>
      <c r="AJ1779" s="97"/>
      <c r="AK1779" s="18"/>
      <c r="AL1779" s="18"/>
    </row>
    <row r="1780" spans="4:38" x14ac:dyDescent="0.2">
      <c r="D1780" s="19"/>
      <c r="E1780" s="19"/>
      <c r="F1780" s="19"/>
      <c r="G1780" s="18"/>
      <c r="H1780" s="18"/>
      <c r="I1780" s="18"/>
      <c r="J1780" s="18"/>
      <c r="K1780" s="18"/>
      <c r="L1780" s="18"/>
      <c r="M1780" s="18"/>
      <c r="N1780" s="18"/>
      <c r="O1780" s="18"/>
      <c r="P1780" s="18"/>
      <c r="Q1780" s="18"/>
      <c r="R1780" s="18"/>
      <c r="S1780" s="18"/>
      <c r="T1780" s="18"/>
      <c r="U1780" s="18"/>
      <c r="V1780" s="18"/>
      <c r="W1780" s="18"/>
      <c r="X1780" s="18"/>
      <c r="Y1780" s="18"/>
      <c r="Z1780" s="18"/>
      <c r="AA1780" s="18"/>
      <c r="AB1780" s="18"/>
      <c r="AC1780" s="18"/>
      <c r="AD1780" s="19"/>
      <c r="AE1780" s="18"/>
      <c r="AF1780" s="18"/>
      <c r="AG1780" s="18"/>
      <c r="AH1780" s="18"/>
      <c r="AI1780" s="18"/>
      <c r="AJ1780" s="97"/>
      <c r="AK1780" s="18"/>
      <c r="AL1780" s="18"/>
    </row>
    <row r="1781" spans="4:38" x14ac:dyDescent="0.2">
      <c r="D1781" s="19"/>
      <c r="E1781" s="19"/>
      <c r="F1781" s="19"/>
      <c r="G1781" s="18"/>
      <c r="H1781" s="18"/>
      <c r="I1781" s="18"/>
      <c r="J1781" s="18"/>
      <c r="K1781" s="18"/>
      <c r="L1781" s="18"/>
      <c r="M1781" s="18"/>
      <c r="N1781" s="18"/>
      <c r="O1781" s="18"/>
      <c r="P1781" s="18"/>
      <c r="Q1781" s="18"/>
      <c r="R1781" s="18"/>
      <c r="S1781" s="18"/>
      <c r="T1781" s="18"/>
      <c r="U1781" s="18"/>
      <c r="V1781" s="18"/>
      <c r="W1781" s="18"/>
      <c r="X1781" s="18"/>
      <c r="Y1781" s="18"/>
      <c r="Z1781" s="18"/>
      <c r="AA1781" s="18"/>
      <c r="AB1781" s="18"/>
      <c r="AC1781" s="18"/>
      <c r="AD1781" s="19"/>
      <c r="AE1781" s="18"/>
      <c r="AF1781" s="18"/>
      <c r="AG1781" s="18"/>
      <c r="AH1781" s="18"/>
      <c r="AI1781" s="18"/>
      <c r="AJ1781" s="97"/>
      <c r="AK1781" s="18"/>
      <c r="AL1781" s="18"/>
    </row>
    <row r="1782" spans="4:38" x14ac:dyDescent="0.2">
      <c r="D1782" s="19"/>
      <c r="E1782" s="19"/>
      <c r="F1782" s="19"/>
      <c r="G1782" s="18"/>
      <c r="H1782" s="18"/>
      <c r="I1782" s="18"/>
      <c r="J1782" s="18"/>
      <c r="K1782" s="18"/>
      <c r="L1782" s="18"/>
      <c r="M1782" s="18"/>
      <c r="N1782" s="18"/>
      <c r="O1782" s="18"/>
      <c r="P1782" s="18"/>
      <c r="Q1782" s="18"/>
      <c r="R1782" s="18"/>
      <c r="S1782" s="18"/>
      <c r="T1782" s="18"/>
      <c r="U1782" s="18"/>
      <c r="V1782" s="18"/>
      <c r="W1782" s="18"/>
      <c r="X1782" s="18"/>
      <c r="Y1782" s="18"/>
      <c r="Z1782" s="18"/>
      <c r="AA1782" s="18"/>
      <c r="AB1782" s="18"/>
      <c r="AC1782" s="18"/>
      <c r="AD1782" s="19"/>
      <c r="AE1782" s="18"/>
      <c r="AF1782" s="18"/>
      <c r="AG1782" s="18"/>
      <c r="AH1782" s="18"/>
      <c r="AI1782" s="18"/>
      <c r="AJ1782" s="97"/>
      <c r="AK1782" s="18"/>
      <c r="AL1782" s="18"/>
    </row>
    <row r="1783" spans="4:38" x14ac:dyDescent="0.2">
      <c r="D1783" s="19"/>
      <c r="E1783" s="19"/>
      <c r="F1783" s="19"/>
      <c r="G1783" s="18"/>
      <c r="H1783" s="18"/>
      <c r="I1783" s="18"/>
      <c r="J1783" s="18"/>
      <c r="K1783" s="18"/>
      <c r="L1783" s="18"/>
      <c r="M1783" s="18"/>
      <c r="N1783" s="18"/>
      <c r="O1783" s="18"/>
      <c r="P1783" s="18"/>
      <c r="Q1783" s="18"/>
      <c r="R1783" s="18"/>
      <c r="S1783" s="18"/>
      <c r="T1783" s="18"/>
      <c r="U1783" s="18"/>
      <c r="V1783" s="18"/>
      <c r="W1783" s="18"/>
      <c r="X1783" s="18"/>
      <c r="Y1783" s="18"/>
      <c r="Z1783" s="18"/>
      <c r="AA1783" s="18"/>
      <c r="AB1783" s="18"/>
      <c r="AC1783" s="18"/>
      <c r="AD1783" s="19"/>
      <c r="AE1783" s="18"/>
      <c r="AF1783" s="18"/>
      <c r="AG1783" s="18"/>
      <c r="AH1783" s="18"/>
      <c r="AI1783" s="18"/>
      <c r="AJ1783" s="97"/>
      <c r="AK1783" s="18"/>
      <c r="AL1783" s="18"/>
    </row>
    <row r="1784" spans="4:38" x14ac:dyDescent="0.2">
      <c r="D1784" s="19"/>
      <c r="E1784" s="19"/>
      <c r="F1784" s="19"/>
      <c r="G1784" s="18"/>
      <c r="H1784" s="18"/>
      <c r="I1784" s="18"/>
      <c r="J1784" s="18"/>
      <c r="K1784" s="18"/>
      <c r="L1784" s="18"/>
      <c r="M1784" s="18"/>
      <c r="N1784" s="18"/>
      <c r="O1784" s="18"/>
      <c r="P1784" s="18"/>
      <c r="Q1784" s="18"/>
      <c r="R1784" s="18"/>
      <c r="S1784" s="18"/>
      <c r="T1784" s="18"/>
      <c r="U1784" s="18"/>
      <c r="V1784" s="18"/>
      <c r="W1784" s="18"/>
      <c r="X1784" s="18"/>
      <c r="Y1784" s="18"/>
      <c r="Z1784" s="18"/>
      <c r="AA1784" s="18"/>
      <c r="AB1784" s="18"/>
      <c r="AC1784" s="18"/>
      <c r="AD1784" s="19"/>
      <c r="AE1784" s="18"/>
      <c r="AF1784" s="18"/>
      <c r="AG1784" s="18"/>
      <c r="AH1784" s="18"/>
      <c r="AI1784" s="18"/>
      <c r="AJ1784" s="97"/>
      <c r="AK1784" s="18"/>
      <c r="AL1784" s="18"/>
    </row>
    <row r="1785" spans="4:38" x14ac:dyDescent="0.2">
      <c r="D1785" s="19"/>
      <c r="E1785" s="19"/>
      <c r="F1785" s="19"/>
      <c r="G1785" s="18"/>
      <c r="H1785" s="18"/>
      <c r="I1785" s="18"/>
      <c r="J1785" s="18"/>
      <c r="K1785" s="18"/>
      <c r="L1785" s="18"/>
      <c r="M1785" s="18"/>
      <c r="N1785" s="18"/>
      <c r="O1785" s="18"/>
      <c r="P1785" s="18"/>
      <c r="Q1785" s="18"/>
      <c r="R1785" s="18"/>
      <c r="S1785" s="18"/>
      <c r="T1785" s="18"/>
      <c r="U1785" s="18"/>
      <c r="V1785" s="18"/>
      <c r="W1785" s="18"/>
      <c r="X1785" s="18"/>
      <c r="Y1785" s="18"/>
      <c r="Z1785" s="18"/>
      <c r="AA1785" s="18"/>
      <c r="AB1785" s="18"/>
      <c r="AC1785" s="18"/>
      <c r="AD1785" s="19"/>
      <c r="AE1785" s="18"/>
      <c r="AF1785" s="18"/>
      <c r="AG1785" s="18"/>
      <c r="AH1785" s="18"/>
      <c r="AI1785" s="18"/>
      <c r="AJ1785" s="97"/>
      <c r="AK1785" s="18"/>
      <c r="AL1785" s="18"/>
    </row>
    <row r="1786" spans="4:38" x14ac:dyDescent="0.2">
      <c r="D1786" s="19"/>
      <c r="E1786" s="19"/>
      <c r="F1786" s="19"/>
      <c r="G1786" s="18"/>
      <c r="H1786" s="18"/>
      <c r="I1786" s="18"/>
      <c r="J1786" s="18"/>
      <c r="K1786" s="18"/>
      <c r="L1786" s="18"/>
      <c r="M1786" s="18"/>
      <c r="N1786" s="18"/>
      <c r="O1786" s="18"/>
      <c r="P1786" s="18"/>
      <c r="Q1786" s="18"/>
      <c r="R1786" s="18"/>
      <c r="S1786" s="18"/>
      <c r="T1786" s="18"/>
      <c r="U1786" s="18"/>
      <c r="V1786" s="18"/>
      <c r="W1786" s="18"/>
      <c r="X1786" s="18"/>
      <c r="Y1786" s="18"/>
      <c r="Z1786" s="18"/>
      <c r="AA1786" s="18"/>
      <c r="AB1786" s="18"/>
      <c r="AC1786" s="18"/>
      <c r="AD1786" s="19"/>
      <c r="AE1786" s="18"/>
      <c r="AF1786" s="18"/>
      <c r="AG1786" s="18"/>
      <c r="AH1786" s="18"/>
      <c r="AI1786" s="18"/>
      <c r="AJ1786" s="97"/>
      <c r="AK1786" s="18"/>
      <c r="AL1786" s="18"/>
    </row>
    <row r="1787" spans="4:38" x14ac:dyDescent="0.2">
      <c r="D1787" s="19"/>
      <c r="E1787" s="19"/>
      <c r="F1787" s="19"/>
      <c r="G1787" s="18"/>
      <c r="H1787" s="18"/>
      <c r="I1787" s="18"/>
      <c r="J1787" s="18"/>
      <c r="K1787" s="18"/>
      <c r="L1787" s="18"/>
      <c r="M1787" s="18"/>
      <c r="N1787" s="18"/>
      <c r="O1787" s="18"/>
      <c r="P1787" s="18"/>
      <c r="Q1787" s="18"/>
      <c r="R1787" s="18"/>
      <c r="S1787" s="18"/>
      <c r="T1787" s="18"/>
      <c r="U1787" s="18"/>
      <c r="V1787" s="18"/>
      <c r="W1787" s="18"/>
      <c r="X1787" s="18"/>
      <c r="Y1787" s="18"/>
      <c r="Z1787" s="18"/>
      <c r="AA1787" s="18"/>
      <c r="AB1787" s="18"/>
      <c r="AC1787" s="18"/>
      <c r="AD1787" s="19"/>
      <c r="AE1787" s="18"/>
      <c r="AF1787" s="18"/>
      <c r="AG1787" s="18"/>
      <c r="AH1787" s="18"/>
      <c r="AI1787" s="18"/>
      <c r="AJ1787" s="97"/>
      <c r="AK1787" s="18"/>
      <c r="AL1787" s="18"/>
    </row>
    <row r="1788" spans="4:38" x14ac:dyDescent="0.2">
      <c r="D1788" s="19"/>
      <c r="E1788" s="19"/>
      <c r="F1788" s="19"/>
      <c r="G1788" s="18"/>
      <c r="H1788" s="18"/>
      <c r="I1788" s="18"/>
      <c r="J1788" s="18"/>
      <c r="K1788" s="18"/>
      <c r="L1788" s="18"/>
      <c r="M1788" s="18"/>
      <c r="N1788" s="18"/>
      <c r="O1788" s="18"/>
      <c r="P1788" s="18"/>
      <c r="Q1788" s="18"/>
      <c r="R1788" s="18"/>
      <c r="S1788" s="18"/>
      <c r="T1788" s="18"/>
      <c r="U1788" s="18"/>
      <c r="V1788" s="18"/>
      <c r="W1788" s="18"/>
      <c r="X1788" s="18"/>
      <c r="Y1788" s="18"/>
      <c r="Z1788" s="18"/>
      <c r="AA1788" s="18"/>
      <c r="AB1788" s="18"/>
      <c r="AC1788" s="18"/>
      <c r="AD1788" s="19"/>
      <c r="AE1788" s="18"/>
      <c r="AF1788" s="18"/>
      <c r="AG1788" s="18"/>
      <c r="AH1788" s="18"/>
      <c r="AI1788" s="18"/>
      <c r="AJ1788" s="97"/>
      <c r="AK1788" s="18"/>
      <c r="AL1788" s="18"/>
    </row>
    <row r="1789" spans="4:38" x14ac:dyDescent="0.2">
      <c r="D1789" s="19"/>
      <c r="E1789" s="19"/>
      <c r="F1789" s="19"/>
      <c r="G1789" s="18"/>
      <c r="H1789" s="18"/>
      <c r="I1789" s="18"/>
      <c r="J1789" s="18"/>
      <c r="K1789" s="18"/>
      <c r="L1789" s="18"/>
      <c r="M1789" s="18"/>
      <c r="N1789" s="18"/>
      <c r="O1789" s="18"/>
      <c r="P1789" s="18"/>
      <c r="Q1789" s="18"/>
      <c r="R1789" s="18"/>
      <c r="S1789" s="18"/>
      <c r="T1789" s="18"/>
      <c r="U1789" s="18"/>
      <c r="V1789" s="18"/>
      <c r="W1789" s="18"/>
      <c r="X1789" s="18"/>
      <c r="Y1789" s="18"/>
      <c r="Z1789" s="18"/>
      <c r="AA1789" s="18"/>
      <c r="AB1789" s="18"/>
      <c r="AC1789" s="18"/>
      <c r="AD1789" s="19"/>
      <c r="AE1789" s="18"/>
      <c r="AF1789" s="18"/>
      <c r="AG1789" s="18"/>
      <c r="AH1789" s="18"/>
      <c r="AI1789" s="18"/>
      <c r="AJ1789" s="97"/>
      <c r="AK1789" s="18"/>
      <c r="AL1789" s="18"/>
    </row>
    <row r="1790" spans="4:38" x14ac:dyDescent="0.2">
      <c r="D1790" s="19"/>
      <c r="E1790" s="19"/>
      <c r="F1790" s="19"/>
      <c r="G1790" s="18"/>
      <c r="H1790" s="18"/>
      <c r="I1790" s="18"/>
      <c r="J1790" s="18"/>
      <c r="K1790" s="18"/>
      <c r="L1790" s="18"/>
      <c r="M1790" s="18"/>
      <c r="N1790" s="18"/>
      <c r="O1790" s="18"/>
      <c r="P1790" s="18"/>
      <c r="Q1790" s="18"/>
      <c r="R1790" s="18"/>
      <c r="S1790" s="18"/>
      <c r="T1790" s="18"/>
      <c r="U1790" s="18"/>
      <c r="V1790" s="18"/>
      <c r="W1790" s="18"/>
      <c r="X1790" s="18"/>
      <c r="Y1790" s="18"/>
      <c r="Z1790" s="18"/>
      <c r="AA1790" s="18"/>
      <c r="AB1790" s="18"/>
      <c r="AC1790" s="18"/>
      <c r="AD1790" s="19"/>
      <c r="AE1790" s="18"/>
      <c r="AF1790" s="18"/>
      <c r="AG1790" s="18"/>
      <c r="AH1790" s="18"/>
      <c r="AI1790" s="18"/>
      <c r="AJ1790" s="97"/>
      <c r="AK1790" s="18"/>
      <c r="AL1790" s="18"/>
    </row>
    <row r="1791" spans="4:38" x14ac:dyDescent="0.2">
      <c r="D1791" s="19"/>
      <c r="E1791" s="19"/>
      <c r="F1791" s="19"/>
      <c r="G1791" s="18"/>
      <c r="H1791" s="18"/>
      <c r="I1791" s="18"/>
      <c r="J1791" s="18"/>
      <c r="K1791" s="18"/>
      <c r="L1791" s="18"/>
      <c r="M1791" s="18"/>
      <c r="N1791" s="18"/>
      <c r="O1791" s="18"/>
      <c r="P1791" s="18"/>
      <c r="Q1791" s="18"/>
      <c r="R1791" s="18"/>
      <c r="S1791" s="18"/>
      <c r="T1791" s="18"/>
      <c r="U1791" s="18"/>
      <c r="V1791" s="18"/>
      <c r="W1791" s="18"/>
      <c r="X1791" s="18"/>
      <c r="Y1791" s="18"/>
      <c r="Z1791" s="18"/>
      <c r="AA1791" s="18"/>
      <c r="AB1791" s="18"/>
      <c r="AC1791" s="18"/>
      <c r="AD1791" s="19"/>
      <c r="AE1791" s="18"/>
      <c r="AF1791" s="18"/>
      <c r="AG1791" s="18"/>
      <c r="AH1791" s="18"/>
      <c r="AI1791" s="18"/>
      <c r="AJ1791" s="97"/>
      <c r="AK1791" s="18"/>
      <c r="AL1791" s="18"/>
    </row>
    <row r="1792" spans="4:38" x14ac:dyDescent="0.2">
      <c r="D1792" s="19"/>
      <c r="E1792" s="19"/>
      <c r="F1792" s="19"/>
      <c r="G1792" s="18"/>
      <c r="H1792" s="18"/>
      <c r="I1792" s="18"/>
      <c r="J1792" s="18"/>
      <c r="K1792" s="18"/>
      <c r="L1792" s="18"/>
      <c r="M1792" s="18"/>
      <c r="N1792" s="18"/>
      <c r="O1792" s="18"/>
      <c r="P1792" s="18"/>
      <c r="Q1792" s="18"/>
      <c r="R1792" s="18"/>
      <c r="S1792" s="18"/>
      <c r="T1792" s="18"/>
      <c r="U1792" s="18"/>
      <c r="V1792" s="18"/>
      <c r="W1792" s="18"/>
      <c r="X1792" s="18"/>
      <c r="Y1792" s="18"/>
      <c r="Z1792" s="18"/>
      <c r="AA1792" s="18"/>
      <c r="AB1792" s="18"/>
      <c r="AC1792" s="18"/>
      <c r="AD1792" s="19"/>
      <c r="AE1792" s="18"/>
      <c r="AF1792" s="18"/>
      <c r="AG1792" s="18"/>
      <c r="AH1792" s="18"/>
      <c r="AI1792" s="18"/>
      <c r="AJ1792" s="97"/>
      <c r="AK1792" s="18"/>
      <c r="AL1792" s="18"/>
    </row>
    <row r="1793" spans="4:38" x14ac:dyDescent="0.2">
      <c r="D1793" s="19"/>
      <c r="E1793" s="19"/>
      <c r="F1793" s="19"/>
      <c r="G1793" s="18"/>
      <c r="H1793" s="18"/>
      <c r="I1793" s="18"/>
      <c r="J1793" s="18"/>
      <c r="K1793" s="18"/>
      <c r="L1793" s="18"/>
      <c r="M1793" s="18"/>
      <c r="N1793" s="18"/>
      <c r="O1793" s="18"/>
      <c r="P1793" s="18"/>
      <c r="Q1793" s="18"/>
      <c r="R1793" s="18"/>
      <c r="S1793" s="18"/>
      <c r="T1793" s="18"/>
      <c r="U1793" s="18"/>
      <c r="V1793" s="18"/>
      <c r="W1793" s="18"/>
      <c r="X1793" s="18"/>
      <c r="Y1793" s="18"/>
      <c r="Z1793" s="18"/>
      <c r="AA1793" s="18"/>
      <c r="AB1793" s="18"/>
      <c r="AC1793" s="18"/>
      <c r="AD1793" s="19"/>
      <c r="AE1793" s="18"/>
      <c r="AF1793" s="18"/>
      <c r="AG1793" s="18"/>
      <c r="AH1793" s="18"/>
      <c r="AI1793" s="18"/>
      <c r="AJ1793" s="97"/>
      <c r="AK1793" s="18"/>
      <c r="AL1793" s="18"/>
    </row>
    <row r="1794" spans="4:38" x14ac:dyDescent="0.2">
      <c r="D1794" s="19"/>
      <c r="E1794" s="19"/>
      <c r="F1794" s="19"/>
      <c r="G1794" s="18"/>
      <c r="H1794" s="18"/>
      <c r="I1794" s="18"/>
      <c r="J1794" s="18"/>
      <c r="K1794" s="18"/>
      <c r="L1794" s="18"/>
      <c r="M1794" s="18"/>
      <c r="N1794" s="18"/>
      <c r="O1794" s="18"/>
      <c r="P1794" s="18"/>
      <c r="Q1794" s="18"/>
      <c r="R1794" s="18"/>
      <c r="S1794" s="18"/>
      <c r="T1794" s="18"/>
      <c r="U1794" s="18"/>
      <c r="V1794" s="18"/>
      <c r="W1794" s="18"/>
      <c r="X1794" s="18"/>
      <c r="Y1794" s="18"/>
      <c r="Z1794" s="18"/>
      <c r="AA1794" s="18"/>
      <c r="AB1794" s="18"/>
      <c r="AC1794" s="18"/>
      <c r="AD1794" s="19"/>
      <c r="AE1794" s="18"/>
      <c r="AF1794" s="18"/>
      <c r="AG1794" s="18"/>
      <c r="AH1794" s="18"/>
      <c r="AI1794" s="18"/>
      <c r="AJ1794" s="97"/>
      <c r="AK1794" s="18"/>
      <c r="AL1794" s="18"/>
    </row>
    <row r="1795" spans="4:38" x14ac:dyDescent="0.2">
      <c r="D1795" s="19"/>
      <c r="E1795" s="19"/>
      <c r="F1795" s="19"/>
      <c r="G1795" s="18"/>
      <c r="H1795" s="18"/>
      <c r="I1795" s="18"/>
      <c r="J1795" s="18"/>
      <c r="K1795" s="18"/>
      <c r="L1795" s="18"/>
      <c r="M1795" s="18"/>
      <c r="N1795" s="18"/>
      <c r="O1795" s="18"/>
      <c r="P1795" s="18"/>
      <c r="Q1795" s="18"/>
      <c r="R1795" s="18"/>
      <c r="S1795" s="18"/>
      <c r="T1795" s="18"/>
      <c r="U1795" s="18"/>
      <c r="V1795" s="18"/>
      <c r="W1795" s="18"/>
      <c r="X1795" s="18"/>
      <c r="Y1795" s="18"/>
      <c r="Z1795" s="18"/>
      <c r="AA1795" s="18"/>
      <c r="AB1795" s="18"/>
      <c r="AC1795" s="18"/>
      <c r="AD1795" s="19"/>
      <c r="AE1795" s="18"/>
      <c r="AF1795" s="18"/>
      <c r="AG1795" s="18"/>
      <c r="AH1795" s="18"/>
      <c r="AI1795" s="18"/>
      <c r="AJ1795" s="97"/>
      <c r="AK1795" s="18"/>
      <c r="AL1795" s="18"/>
    </row>
    <row r="1796" spans="4:38" x14ac:dyDescent="0.2">
      <c r="D1796" s="19"/>
      <c r="E1796" s="19"/>
      <c r="F1796" s="19"/>
      <c r="G1796" s="18"/>
      <c r="H1796" s="18"/>
      <c r="I1796" s="18"/>
      <c r="J1796" s="18"/>
      <c r="K1796" s="18"/>
      <c r="L1796" s="18"/>
      <c r="M1796" s="18"/>
      <c r="N1796" s="18"/>
      <c r="O1796" s="18"/>
      <c r="P1796" s="18"/>
      <c r="Q1796" s="18"/>
      <c r="R1796" s="18"/>
      <c r="S1796" s="18"/>
      <c r="T1796" s="18"/>
      <c r="U1796" s="18"/>
      <c r="V1796" s="18"/>
      <c r="W1796" s="18"/>
      <c r="X1796" s="18"/>
      <c r="Y1796" s="18"/>
      <c r="Z1796" s="18"/>
      <c r="AA1796" s="18"/>
      <c r="AB1796" s="18"/>
      <c r="AC1796" s="18"/>
      <c r="AD1796" s="19"/>
      <c r="AE1796" s="18"/>
      <c r="AF1796" s="18"/>
      <c r="AG1796" s="18"/>
      <c r="AH1796" s="18"/>
      <c r="AI1796" s="18"/>
      <c r="AJ1796" s="97"/>
      <c r="AK1796" s="18"/>
      <c r="AL1796" s="18"/>
    </row>
    <row r="1797" spans="4:38" x14ac:dyDescent="0.2">
      <c r="D1797" s="19"/>
      <c r="E1797" s="19"/>
      <c r="F1797" s="19"/>
      <c r="G1797" s="18"/>
      <c r="H1797" s="18"/>
      <c r="I1797" s="18"/>
      <c r="J1797" s="18"/>
      <c r="K1797" s="18"/>
      <c r="L1797" s="18"/>
      <c r="M1797" s="18"/>
      <c r="N1797" s="18"/>
      <c r="O1797" s="18"/>
      <c r="P1797" s="18"/>
      <c r="Q1797" s="18"/>
      <c r="R1797" s="18"/>
      <c r="S1797" s="18"/>
      <c r="T1797" s="18"/>
      <c r="U1797" s="18"/>
      <c r="V1797" s="18"/>
      <c r="W1797" s="18"/>
      <c r="X1797" s="18"/>
      <c r="Y1797" s="18"/>
      <c r="Z1797" s="18"/>
      <c r="AA1797" s="18"/>
      <c r="AB1797" s="18"/>
      <c r="AC1797" s="18"/>
      <c r="AD1797" s="19"/>
      <c r="AE1797" s="18"/>
      <c r="AF1797" s="18"/>
      <c r="AG1797" s="18"/>
      <c r="AH1797" s="18"/>
      <c r="AI1797" s="18"/>
      <c r="AJ1797" s="97"/>
      <c r="AK1797" s="18"/>
      <c r="AL1797" s="18"/>
    </row>
    <row r="1798" spans="4:38" x14ac:dyDescent="0.2">
      <c r="D1798" s="19"/>
      <c r="E1798" s="19"/>
      <c r="F1798" s="19"/>
      <c r="G1798" s="18"/>
      <c r="H1798" s="18"/>
      <c r="I1798" s="18"/>
      <c r="J1798" s="18"/>
      <c r="K1798" s="18"/>
      <c r="L1798" s="18"/>
      <c r="M1798" s="18"/>
      <c r="N1798" s="18"/>
      <c r="O1798" s="18"/>
      <c r="P1798" s="18"/>
      <c r="Q1798" s="18"/>
      <c r="R1798" s="18"/>
      <c r="S1798" s="18"/>
      <c r="T1798" s="18"/>
      <c r="U1798" s="18"/>
      <c r="V1798" s="18"/>
      <c r="W1798" s="18"/>
      <c r="X1798" s="18"/>
      <c r="Y1798" s="18"/>
      <c r="Z1798" s="18"/>
      <c r="AA1798" s="18"/>
      <c r="AB1798" s="18"/>
      <c r="AC1798" s="18"/>
      <c r="AD1798" s="19"/>
      <c r="AE1798" s="18"/>
      <c r="AF1798" s="18"/>
      <c r="AG1798" s="18"/>
      <c r="AH1798" s="18"/>
      <c r="AI1798" s="18"/>
      <c r="AJ1798" s="97"/>
      <c r="AK1798" s="18"/>
      <c r="AL1798" s="18"/>
    </row>
    <row r="1799" spans="4:38" x14ac:dyDescent="0.2">
      <c r="D1799" s="19"/>
      <c r="E1799" s="19"/>
      <c r="F1799" s="19"/>
      <c r="G1799" s="18"/>
      <c r="H1799" s="18"/>
      <c r="I1799" s="18"/>
      <c r="J1799" s="18"/>
      <c r="K1799" s="18"/>
      <c r="L1799" s="18"/>
      <c r="M1799" s="18"/>
      <c r="N1799" s="18"/>
      <c r="O1799" s="18"/>
      <c r="P1799" s="18"/>
      <c r="Q1799" s="18"/>
      <c r="R1799" s="18"/>
      <c r="S1799" s="18"/>
      <c r="T1799" s="18"/>
      <c r="U1799" s="18"/>
      <c r="V1799" s="18"/>
      <c r="W1799" s="18"/>
      <c r="X1799" s="18"/>
      <c r="Y1799" s="18"/>
      <c r="Z1799" s="18"/>
      <c r="AA1799" s="18"/>
      <c r="AB1799" s="18"/>
      <c r="AC1799" s="18"/>
      <c r="AD1799" s="19"/>
      <c r="AE1799" s="18"/>
      <c r="AF1799" s="18"/>
      <c r="AG1799" s="18"/>
      <c r="AH1799" s="18"/>
      <c r="AI1799" s="18"/>
      <c r="AJ1799" s="97"/>
      <c r="AK1799" s="18"/>
      <c r="AL1799" s="18"/>
    </row>
    <row r="1800" spans="4:38" x14ac:dyDescent="0.2">
      <c r="D1800" s="19"/>
      <c r="E1800" s="19"/>
      <c r="F1800" s="19"/>
      <c r="G1800" s="18"/>
      <c r="H1800" s="18"/>
      <c r="I1800" s="18"/>
      <c r="J1800" s="18"/>
      <c r="K1800" s="18"/>
      <c r="L1800" s="18"/>
      <c r="M1800" s="18"/>
      <c r="N1800" s="18"/>
      <c r="O1800" s="18"/>
      <c r="P1800" s="18"/>
      <c r="Q1800" s="18"/>
      <c r="R1800" s="18"/>
      <c r="S1800" s="18"/>
      <c r="T1800" s="18"/>
      <c r="U1800" s="18"/>
      <c r="V1800" s="18"/>
      <c r="W1800" s="18"/>
      <c r="X1800" s="18"/>
      <c r="Y1800" s="18"/>
      <c r="Z1800" s="18"/>
      <c r="AA1800" s="18"/>
      <c r="AB1800" s="18"/>
      <c r="AC1800" s="18"/>
      <c r="AD1800" s="19"/>
      <c r="AE1800" s="18"/>
      <c r="AF1800" s="18"/>
      <c r="AG1800" s="18"/>
      <c r="AH1800" s="18"/>
      <c r="AI1800" s="18"/>
      <c r="AJ1800" s="97"/>
      <c r="AK1800" s="18"/>
      <c r="AL1800" s="18"/>
    </row>
    <row r="1801" spans="4:38" x14ac:dyDescent="0.2">
      <c r="D1801" s="19"/>
      <c r="E1801" s="19"/>
      <c r="F1801" s="19"/>
      <c r="G1801" s="18"/>
      <c r="H1801" s="18"/>
      <c r="I1801" s="18"/>
      <c r="J1801" s="18"/>
      <c r="K1801" s="18"/>
      <c r="L1801" s="18"/>
      <c r="M1801" s="18"/>
      <c r="N1801" s="18"/>
      <c r="O1801" s="18"/>
      <c r="P1801" s="18"/>
      <c r="Q1801" s="18"/>
      <c r="R1801" s="18"/>
      <c r="S1801" s="18"/>
      <c r="T1801" s="18"/>
      <c r="U1801" s="18"/>
      <c r="V1801" s="18"/>
      <c r="W1801" s="18"/>
      <c r="X1801" s="18"/>
      <c r="Y1801" s="18"/>
      <c r="Z1801" s="18"/>
      <c r="AA1801" s="18"/>
      <c r="AB1801" s="18"/>
      <c r="AC1801" s="18"/>
      <c r="AD1801" s="19"/>
      <c r="AE1801" s="18"/>
      <c r="AF1801" s="18"/>
      <c r="AG1801" s="18"/>
      <c r="AH1801" s="18"/>
      <c r="AI1801" s="18"/>
      <c r="AJ1801" s="97"/>
      <c r="AK1801" s="18"/>
      <c r="AL1801" s="18"/>
    </row>
    <row r="1802" spans="4:38" x14ac:dyDescent="0.2">
      <c r="D1802" s="19"/>
      <c r="E1802" s="19"/>
      <c r="F1802" s="19"/>
      <c r="G1802" s="18"/>
      <c r="H1802" s="18"/>
      <c r="I1802" s="18"/>
      <c r="J1802" s="18"/>
      <c r="K1802" s="18"/>
      <c r="L1802" s="18"/>
      <c r="M1802" s="18"/>
      <c r="N1802" s="18"/>
      <c r="O1802" s="18"/>
      <c r="P1802" s="18"/>
      <c r="Q1802" s="18"/>
      <c r="R1802" s="18"/>
      <c r="S1802" s="18"/>
      <c r="T1802" s="18"/>
      <c r="U1802" s="18"/>
      <c r="V1802" s="18"/>
      <c r="W1802" s="18"/>
      <c r="X1802" s="18"/>
      <c r="Y1802" s="18"/>
      <c r="Z1802" s="18"/>
      <c r="AA1802" s="18"/>
      <c r="AB1802" s="18"/>
      <c r="AC1802" s="18"/>
      <c r="AD1802" s="19"/>
      <c r="AE1802" s="18"/>
      <c r="AF1802" s="18"/>
      <c r="AG1802" s="18"/>
      <c r="AH1802" s="18"/>
      <c r="AI1802" s="18"/>
      <c r="AJ1802" s="97"/>
      <c r="AK1802" s="18"/>
      <c r="AL1802" s="18"/>
    </row>
    <row r="1803" spans="4:38" x14ac:dyDescent="0.2">
      <c r="D1803" s="19"/>
      <c r="E1803" s="19"/>
      <c r="F1803" s="19"/>
      <c r="G1803" s="18"/>
      <c r="H1803" s="18"/>
      <c r="I1803" s="18"/>
      <c r="J1803" s="18"/>
      <c r="K1803" s="18"/>
      <c r="L1803" s="18"/>
      <c r="M1803" s="18"/>
      <c r="N1803" s="18"/>
      <c r="O1803" s="18"/>
      <c r="P1803" s="18"/>
      <c r="Q1803" s="18"/>
      <c r="R1803" s="18"/>
      <c r="S1803" s="18"/>
      <c r="T1803" s="18"/>
      <c r="U1803" s="18"/>
      <c r="V1803" s="18"/>
      <c r="W1803" s="18"/>
      <c r="X1803" s="18"/>
      <c r="Y1803" s="18"/>
      <c r="Z1803" s="18"/>
      <c r="AA1803" s="18"/>
      <c r="AB1803" s="18"/>
      <c r="AC1803" s="18"/>
      <c r="AD1803" s="19"/>
      <c r="AE1803" s="18"/>
      <c r="AF1803" s="18"/>
      <c r="AG1803" s="18"/>
      <c r="AH1803" s="18"/>
      <c r="AI1803" s="18"/>
      <c r="AJ1803" s="97"/>
      <c r="AK1803" s="18"/>
      <c r="AL1803" s="18"/>
    </row>
    <row r="1804" spans="4:38" x14ac:dyDescent="0.2">
      <c r="D1804" s="19"/>
      <c r="E1804" s="19"/>
      <c r="F1804" s="19"/>
      <c r="G1804" s="18"/>
      <c r="H1804" s="18"/>
      <c r="I1804" s="18"/>
      <c r="J1804" s="18"/>
      <c r="K1804" s="18"/>
      <c r="L1804" s="18"/>
      <c r="M1804" s="18"/>
      <c r="N1804" s="18"/>
      <c r="O1804" s="18"/>
      <c r="P1804" s="18"/>
      <c r="Q1804" s="18"/>
      <c r="R1804" s="18"/>
      <c r="S1804" s="18"/>
      <c r="T1804" s="18"/>
      <c r="U1804" s="18"/>
      <c r="V1804" s="18"/>
      <c r="W1804" s="18"/>
      <c r="X1804" s="18"/>
      <c r="Y1804" s="18"/>
      <c r="Z1804" s="18"/>
      <c r="AA1804" s="18"/>
      <c r="AB1804" s="18"/>
      <c r="AC1804" s="18"/>
      <c r="AD1804" s="19"/>
      <c r="AE1804" s="18"/>
      <c r="AF1804" s="18"/>
      <c r="AG1804" s="18"/>
      <c r="AH1804" s="18"/>
      <c r="AI1804" s="18"/>
      <c r="AJ1804" s="97"/>
      <c r="AK1804" s="18"/>
      <c r="AL1804" s="18"/>
    </row>
    <row r="1805" spans="4:38" x14ac:dyDescent="0.2">
      <c r="D1805" s="19"/>
      <c r="E1805" s="19"/>
      <c r="F1805" s="19"/>
      <c r="G1805" s="18"/>
      <c r="H1805" s="18"/>
      <c r="I1805" s="18"/>
      <c r="J1805" s="18"/>
      <c r="K1805" s="18"/>
      <c r="L1805" s="18"/>
      <c r="M1805" s="18"/>
      <c r="N1805" s="18"/>
      <c r="O1805" s="18"/>
      <c r="P1805" s="18"/>
      <c r="Q1805" s="18"/>
      <c r="R1805" s="18"/>
      <c r="S1805" s="18"/>
      <c r="T1805" s="18"/>
      <c r="U1805" s="18"/>
      <c r="V1805" s="18"/>
      <c r="W1805" s="18"/>
      <c r="X1805" s="18"/>
      <c r="Y1805" s="18"/>
      <c r="Z1805" s="18"/>
      <c r="AA1805" s="18"/>
      <c r="AB1805" s="18"/>
      <c r="AC1805" s="18"/>
      <c r="AD1805" s="19"/>
      <c r="AE1805" s="18"/>
      <c r="AF1805" s="18"/>
      <c r="AG1805" s="18"/>
      <c r="AH1805" s="18"/>
      <c r="AI1805" s="18"/>
      <c r="AJ1805" s="97"/>
      <c r="AK1805" s="18"/>
      <c r="AL1805" s="18"/>
    </row>
    <row r="1806" spans="4:38" x14ac:dyDescent="0.2">
      <c r="D1806" s="19"/>
      <c r="E1806" s="19"/>
      <c r="F1806" s="19"/>
      <c r="G1806" s="18"/>
      <c r="H1806" s="18"/>
      <c r="I1806" s="18"/>
      <c r="J1806" s="18"/>
      <c r="K1806" s="18"/>
      <c r="L1806" s="18"/>
      <c r="M1806" s="18"/>
      <c r="N1806" s="18"/>
      <c r="O1806" s="18"/>
      <c r="P1806" s="18"/>
      <c r="Q1806" s="18"/>
      <c r="R1806" s="18"/>
      <c r="S1806" s="18"/>
      <c r="T1806" s="18"/>
      <c r="U1806" s="18"/>
      <c r="V1806" s="18"/>
      <c r="W1806" s="18"/>
      <c r="X1806" s="18"/>
      <c r="Y1806" s="18"/>
      <c r="Z1806" s="18"/>
      <c r="AA1806" s="18"/>
      <c r="AB1806" s="18"/>
      <c r="AC1806" s="18"/>
      <c r="AD1806" s="19"/>
      <c r="AE1806" s="18"/>
      <c r="AF1806" s="18"/>
      <c r="AG1806" s="18"/>
      <c r="AH1806" s="18"/>
      <c r="AI1806" s="18"/>
      <c r="AJ1806" s="97"/>
      <c r="AK1806" s="18"/>
      <c r="AL1806" s="18"/>
    </row>
    <row r="1807" spans="4:38" x14ac:dyDescent="0.2">
      <c r="D1807" s="19"/>
      <c r="E1807" s="19"/>
      <c r="F1807" s="19"/>
      <c r="G1807" s="18"/>
      <c r="H1807" s="18"/>
      <c r="I1807" s="18"/>
      <c r="J1807" s="18"/>
      <c r="K1807" s="18"/>
      <c r="L1807" s="18"/>
      <c r="M1807" s="18"/>
      <c r="N1807" s="18"/>
      <c r="O1807" s="18"/>
      <c r="P1807" s="18"/>
      <c r="Q1807" s="18"/>
      <c r="R1807" s="18"/>
      <c r="S1807" s="18"/>
      <c r="T1807" s="18"/>
      <c r="U1807" s="18"/>
      <c r="V1807" s="18"/>
      <c r="W1807" s="18"/>
      <c r="X1807" s="18"/>
      <c r="Y1807" s="18"/>
      <c r="Z1807" s="18"/>
      <c r="AA1807" s="18"/>
      <c r="AB1807" s="18"/>
      <c r="AC1807" s="18"/>
      <c r="AD1807" s="19"/>
      <c r="AE1807" s="18"/>
      <c r="AF1807" s="18"/>
      <c r="AG1807" s="18"/>
      <c r="AH1807" s="18"/>
      <c r="AI1807" s="18"/>
      <c r="AJ1807" s="97"/>
      <c r="AK1807" s="18"/>
      <c r="AL1807" s="18"/>
    </row>
    <row r="1808" spans="4:38" x14ac:dyDescent="0.2">
      <c r="D1808" s="19"/>
      <c r="E1808" s="19"/>
      <c r="F1808" s="19"/>
      <c r="G1808" s="18"/>
      <c r="H1808" s="18"/>
      <c r="I1808" s="18"/>
      <c r="J1808" s="18"/>
      <c r="K1808" s="18"/>
      <c r="L1808" s="18"/>
      <c r="M1808" s="18"/>
      <c r="N1808" s="18"/>
      <c r="O1808" s="18"/>
      <c r="P1808" s="18"/>
      <c r="Q1808" s="18"/>
      <c r="R1808" s="18"/>
      <c r="S1808" s="18"/>
      <c r="T1808" s="18"/>
      <c r="U1808" s="18"/>
      <c r="V1808" s="18"/>
      <c r="W1808" s="18"/>
      <c r="X1808" s="18"/>
      <c r="Y1808" s="18"/>
      <c r="Z1808" s="18"/>
      <c r="AA1808" s="18"/>
      <c r="AB1808" s="18"/>
      <c r="AC1808" s="18"/>
      <c r="AD1808" s="19"/>
      <c r="AE1808" s="18"/>
      <c r="AF1808" s="18"/>
      <c r="AG1808" s="18"/>
      <c r="AH1808" s="18"/>
      <c r="AI1808" s="18"/>
      <c r="AJ1808" s="97"/>
      <c r="AK1808" s="18"/>
      <c r="AL1808" s="18"/>
    </row>
    <row r="1809" spans="4:38" x14ac:dyDescent="0.2">
      <c r="D1809" s="19"/>
      <c r="E1809" s="19"/>
      <c r="F1809" s="19"/>
      <c r="G1809" s="18"/>
      <c r="H1809" s="18"/>
      <c r="I1809" s="18"/>
      <c r="J1809" s="18"/>
      <c r="K1809" s="18"/>
      <c r="L1809" s="18"/>
      <c r="M1809" s="18"/>
      <c r="N1809" s="18"/>
      <c r="O1809" s="18"/>
      <c r="P1809" s="18"/>
      <c r="Q1809" s="18"/>
      <c r="R1809" s="18"/>
      <c r="S1809" s="18"/>
      <c r="T1809" s="18"/>
      <c r="U1809" s="18"/>
      <c r="V1809" s="18"/>
      <c r="W1809" s="18"/>
      <c r="X1809" s="18"/>
      <c r="Y1809" s="18"/>
      <c r="Z1809" s="18"/>
      <c r="AA1809" s="18"/>
      <c r="AB1809" s="18"/>
      <c r="AC1809" s="18"/>
      <c r="AD1809" s="19"/>
      <c r="AE1809" s="18"/>
      <c r="AF1809" s="18"/>
      <c r="AG1809" s="18"/>
      <c r="AH1809" s="18"/>
      <c r="AI1809" s="18"/>
      <c r="AJ1809" s="97"/>
      <c r="AK1809" s="18"/>
      <c r="AL1809" s="18"/>
    </row>
    <row r="1810" spans="4:38" x14ac:dyDescent="0.2">
      <c r="D1810" s="19"/>
      <c r="E1810" s="19"/>
      <c r="F1810" s="19"/>
      <c r="G1810" s="18"/>
      <c r="H1810" s="18"/>
      <c r="I1810" s="18"/>
      <c r="J1810" s="18"/>
      <c r="K1810" s="18"/>
      <c r="L1810" s="18"/>
      <c r="M1810" s="18"/>
      <c r="N1810" s="18"/>
      <c r="O1810" s="18"/>
      <c r="P1810" s="18"/>
      <c r="Q1810" s="18"/>
      <c r="R1810" s="18"/>
      <c r="S1810" s="18"/>
      <c r="T1810" s="18"/>
      <c r="U1810" s="18"/>
      <c r="V1810" s="18"/>
      <c r="W1810" s="18"/>
      <c r="X1810" s="18"/>
      <c r="Y1810" s="18"/>
      <c r="Z1810" s="18"/>
      <c r="AA1810" s="18"/>
      <c r="AB1810" s="18"/>
      <c r="AC1810" s="18"/>
      <c r="AD1810" s="19"/>
      <c r="AE1810" s="18"/>
      <c r="AF1810" s="18"/>
      <c r="AG1810" s="18"/>
      <c r="AH1810" s="18"/>
      <c r="AI1810" s="18"/>
      <c r="AJ1810" s="97"/>
      <c r="AK1810" s="18"/>
      <c r="AL1810" s="18"/>
    </row>
    <row r="1811" spans="4:38" x14ac:dyDescent="0.2">
      <c r="D1811" s="19"/>
      <c r="E1811" s="19"/>
      <c r="F1811" s="19"/>
      <c r="G1811" s="18"/>
      <c r="H1811" s="18"/>
      <c r="I1811" s="18"/>
      <c r="J1811" s="18"/>
      <c r="K1811" s="18"/>
      <c r="L1811" s="18"/>
      <c r="M1811" s="18"/>
      <c r="N1811" s="18"/>
      <c r="O1811" s="18"/>
      <c r="P1811" s="18"/>
      <c r="Q1811" s="18"/>
      <c r="R1811" s="18"/>
      <c r="S1811" s="18"/>
      <c r="T1811" s="18"/>
      <c r="U1811" s="18"/>
      <c r="V1811" s="18"/>
      <c r="W1811" s="18"/>
      <c r="X1811" s="18"/>
      <c r="Y1811" s="18"/>
      <c r="Z1811" s="18"/>
      <c r="AA1811" s="18"/>
      <c r="AB1811" s="18"/>
      <c r="AC1811" s="18"/>
      <c r="AD1811" s="19"/>
      <c r="AE1811" s="18"/>
      <c r="AF1811" s="18"/>
      <c r="AG1811" s="18"/>
      <c r="AH1811" s="18"/>
      <c r="AI1811" s="18"/>
      <c r="AJ1811" s="97"/>
      <c r="AK1811" s="18"/>
      <c r="AL1811" s="18"/>
    </row>
    <row r="1812" spans="4:38" x14ac:dyDescent="0.2">
      <c r="D1812" s="19"/>
      <c r="E1812" s="19"/>
      <c r="F1812" s="19"/>
      <c r="G1812" s="18"/>
      <c r="H1812" s="18"/>
      <c r="I1812" s="18"/>
      <c r="J1812" s="18"/>
      <c r="K1812" s="18"/>
      <c r="L1812" s="18"/>
      <c r="M1812" s="18"/>
      <c r="N1812" s="18"/>
      <c r="O1812" s="18"/>
      <c r="P1812" s="18"/>
      <c r="Q1812" s="18"/>
      <c r="R1812" s="18"/>
      <c r="S1812" s="18"/>
      <c r="T1812" s="18"/>
      <c r="U1812" s="18"/>
      <c r="V1812" s="18"/>
      <c r="W1812" s="18"/>
      <c r="X1812" s="18"/>
      <c r="Y1812" s="18"/>
      <c r="Z1812" s="18"/>
      <c r="AA1812" s="18"/>
      <c r="AB1812" s="18"/>
      <c r="AC1812" s="18"/>
      <c r="AD1812" s="19"/>
      <c r="AE1812" s="18"/>
      <c r="AF1812" s="18"/>
      <c r="AG1812" s="18"/>
      <c r="AH1812" s="18"/>
      <c r="AI1812" s="18"/>
      <c r="AJ1812" s="97"/>
      <c r="AK1812" s="18"/>
      <c r="AL1812" s="18"/>
    </row>
    <row r="1813" spans="4:38" x14ac:dyDescent="0.2">
      <c r="D1813" s="19"/>
      <c r="E1813" s="19"/>
      <c r="F1813" s="19"/>
      <c r="G1813" s="18"/>
      <c r="H1813" s="18"/>
      <c r="I1813" s="18"/>
      <c r="J1813" s="18"/>
      <c r="K1813" s="18"/>
      <c r="L1813" s="18"/>
      <c r="M1813" s="18"/>
      <c r="N1813" s="18"/>
      <c r="O1813" s="18"/>
      <c r="P1813" s="18"/>
      <c r="Q1813" s="18"/>
      <c r="R1813" s="18"/>
      <c r="S1813" s="18"/>
      <c r="T1813" s="18"/>
      <c r="U1813" s="18"/>
      <c r="V1813" s="18"/>
      <c r="W1813" s="18"/>
      <c r="X1813" s="18"/>
      <c r="Y1813" s="18"/>
      <c r="Z1813" s="18"/>
      <c r="AA1813" s="18"/>
      <c r="AB1813" s="18"/>
      <c r="AC1813" s="18"/>
      <c r="AD1813" s="19"/>
      <c r="AE1813" s="18"/>
      <c r="AF1813" s="18"/>
      <c r="AG1813" s="18"/>
      <c r="AH1813" s="18"/>
      <c r="AI1813" s="18"/>
      <c r="AJ1813" s="97"/>
      <c r="AK1813" s="18"/>
      <c r="AL1813" s="18"/>
    </row>
    <row r="1814" spans="4:38" x14ac:dyDescent="0.2">
      <c r="D1814" s="19"/>
      <c r="E1814" s="19"/>
      <c r="F1814" s="19"/>
      <c r="G1814" s="18"/>
      <c r="H1814" s="18"/>
      <c r="I1814" s="18"/>
      <c r="J1814" s="18"/>
      <c r="K1814" s="18"/>
      <c r="L1814" s="18"/>
      <c r="M1814" s="18"/>
      <c r="N1814" s="18"/>
      <c r="O1814" s="18"/>
      <c r="P1814" s="18"/>
      <c r="Q1814" s="18"/>
      <c r="R1814" s="18"/>
      <c r="S1814" s="18"/>
      <c r="T1814" s="18"/>
      <c r="U1814" s="18"/>
      <c r="V1814" s="18"/>
      <c r="W1814" s="18"/>
      <c r="X1814" s="18"/>
      <c r="Y1814" s="18"/>
      <c r="Z1814" s="18"/>
      <c r="AA1814" s="18"/>
      <c r="AB1814" s="18"/>
      <c r="AC1814" s="18"/>
      <c r="AD1814" s="19"/>
      <c r="AE1814" s="18"/>
      <c r="AF1814" s="18"/>
      <c r="AG1814" s="18"/>
      <c r="AH1814" s="18"/>
      <c r="AI1814" s="18"/>
      <c r="AJ1814" s="97"/>
      <c r="AK1814" s="18"/>
      <c r="AL1814" s="18"/>
    </row>
    <row r="1815" spans="4:38" x14ac:dyDescent="0.2">
      <c r="D1815" s="19"/>
      <c r="E1815" s="19"/>
      <c r="F1815" s="19"/>
      <c r="G1815" s="18"/>
      <c r="H1815" s="18"/>
      <c r="I1815" s="18"/>
      <c r="J1815" s="18"/>
      <c r="K1815" s="18"/>
      <c r="L1815" s="18"/>
      <c r="M1815" s="18"/>
      <c r="N1815" s="18"/>
      <c r="O1815" s="18"/>
      <c r="P1815" s="18"/>
      <c r="Q1815" s="18"/>
      <c r="R1815" s="18"/>
      <c r="S1815" s="18"/>
      <c r="T1815" s="18"/>
      <c r="U1815" s="18"/>
      <c r="V1815" s="18"/>
      <c r="W1815" s="18"/>
      <c r="X1815" s="18"/>
      <c r="Y1815" s="18"/>
      <c r="Z1815" s="18"/>
      <c r="AA1815" s="18"/>
      <c r="AB1815" s="18"/>
      <c r="AC1815" s="18"/>
      <c r="AD1815" s="19"/>
      <c r="AE1815" s="18"/>
      <c r="AF1815" s="18"/>
      <c r="AG1815" s="18"/>
      <c r="AH1815" s="18"/>
      <c r="AI1815" s="18"/>
      <c r="AJ1815" s="97"/>
      <c r="AK1815" s="18"/>
      <c r="AL1815" s="18"/>
    </row>
    <row r="1816" spans="4:38" x14ac:dyDescent="0.2">
      <c r="D1816" s="19"/>
      <c r="E1816" s="19"/>
      <c r="F1816" s="19"/>
      <c r="G1816" s="18"/>
      <c r="H1816" s="18"/>
      <c r="I1816" s="18"/>
      <c r="J1816" s="18"/>
      <c r="K1816" s="18"/>
      <c r="L1816" s="18"/>
      <c r="M1816" s="18"/>
      <c r="N1816" s="18"/>
      <c r="O1816" s="18"/>
      <c r="P1816" s="18"/>
      <c r="Q1816" s="18"/>
      <c r="R1816" s="18"/>
      <c r="S1816" s="18"/>
      <c r="T1816" s="18"/>
      <c r="U1816" s="18"/>
      <c r="V1816" s="18"/>
      <c r="W1816" s="18"/>
      <c r="X1816" s="18"/>
      <c r="Y1816" s="18"/>
      <c r="Z1816" s="18"/>
      <c r="AA1816" s="18"/>
      <c r="AB1816" s="18"/>
      <c r="AC1816" s="18"/>
      <c r="AD1816" s="19"/>
      <c r="AE1816" s="18"/>
      <c r="AF1816" s="18"/>
      <c r="AG1816" s="18"/>
      <c r="AH1816" s="18"/>
      <c r="AI1816" s="18"/>
      <c r="AJ1816" s="97"/>
      <c r="AK1816" s="18"/>
      <c r="AL1816" s="18"/>
    </row>
    <row r="1817" spans="4:38" x14ac:dyDescent="0.2">
      <c r="D1817" s="19"/>
      <c r="E1817" s="19"/>
      <c r="F1817" s="19"/>
      <c r="G1817" s="18"/>
      <c r="H1817" s="18"/>
      <c r="I1817" s="18"/>
      <c r="J1817" s="18"/>
      <c r="K1817" s="18"/>
      <c r="L1817" s="18"/>
      <c r="M1817" s="18"/>
      <c r="N1817" s="18"/>
      <c r="O1817" s="18"/>
      <c r="P1817" s="18"/>
      <c r="Q1817" s="18"/>
      <c r="R1817" s="18"/>
      <c r="S1817" s="18"/>
      <c r="T1817" s="18"/>
      <c r="U1817" s="18"/>
      <c r="V1817" s="18"/>
      <c r="W1817" s="18"/>
      <c r="X1817" s="18"/>
      <c r="Y1817" s="18"/>
      <c r="Z1817" s="18"/>
      <c r="AA1817" s="18"/>
      <c r="AB1817" s="18"/>
      <c r="AC1817" s="18"/>
      <c r="AD1817" s="19"/>
      <c r="AE1817" s="18"/>
      <c r="AF1817" s="18"/>
      <c r="AG1817" s="18"/>
      <c r="AH1817" s="18"/>
      <c r="AI1817" s="18"/>
      <c r="AJ1817" s="97"/>
      <c r="AK1817" s="18"/>
      <c r="AL1817" s="18"/>
    </row>
    <row r="1818" spans="4:38" x14ac:dyDescent="0.2">
      <c r="D1818" s="19"/>
      <c r="E1818" s="19"/>
      <c r="F1818" s="19"/>
      <c r="G1818" s="18"/>
      <c r="H1818" s="18"/>
      <c r="I1818" s="18"/>
      <c r="J1818" s="18"/>
      <c r="K1818" s="18"/>
      <c r="L1818" s="18"/>
      <c r="M1818" s="18"/>
      <c r="N1818" s="18"/>
      <c r="O1818" s="18"/>
      <c r="P1818" s="18"/>
      <c r="Q1818" s="18"/>
      <c r="R1818" s="18"/>
      <c r="S1818" s="18"/>
      <c r="T1818" s="18"/>
      <c r="U1818" s="18"/>
      <c r="V1818" s="18"/>
      <c r="W1818" s="18"/>
      <c r="X1818" s="18"/>
      <c r="Y1818" s="18"/>
      <c r="Z1818" s="18"/>
      <c r="AA1818" s="18"/>
      <c r="AB1818" s="18"/>
      <c r="AC1818" s="18"/>
      <c r="AD1818" s="19"/>
      <c r="AE1818" s="18"/>
      <c r="AF1818" s="18"/>
      <c r="AG1818" s="18"/>
      <c r="AH1818" s="18"/>
      <c r="AI1818" s="18"/>
      <c r="AJ1818" s="97"/>
      <c r="AK1818" s="18"/>
      <c r="AL1818" s="18"/>
    </row>
    <row r="1819" spans="4:38" x14ac:dyDescent="0.2">
      <c r="D1819" s="19"/>
      <c r="E1819" s="19"/>
      <c r="F1819" s="19"/>
      <c r="G1819" s="18"/>
      <c r="H1819" s="18"/>
      <c r="I1819" s="18"/>
      <c r="J1819" s="18"/>
      <c r="K1819" s="18"/>
      <c r="L1819" s="18"/>
      <c r="M1819" s="18"/>
      <c r="N1819" s="18"/>
      <c r="O1819" s="18"/>
      <c r="P1819" s="18"/>
      <c r="Q1819" s="18"/>
      <c r="R1819" s="18"/>
      <c r="S1819" s="18"/>
      <c r="T1819" s="18"/>
      <c r="U1819" s="18"/>
      <c r="V1819" s="18"/>
      <c r="W1819" s="18"/>
      <c r="X1819" s="18"/>
      <c r="Y1819" s="18"/>
      <c r="Z1819" s="18"/>
      <c r="AA1819" s="18"/>
      <c r="AB1819" s="18"/>
      <c r="AC1819" s="18"/>
      <c r="AD1819" s="19"/>
      <c r="AE1819" s="18"/>
      <c r="AF1819" s="18"/>
      <c r="AG1819" s="18"/>
      <c r="AH1819" s="18"/>
      <c r="AI1819" s="18"/>
      <c r="AJ1819" s="97"/>
      <c r="AK1819" s="18"/>
      <c r="AL1819" s="18"/>
    </row>
    <row r="1820" spans="4:38" x14ac:dyDescent="0.2">
      <c r="D1820" s="19"/>
      <c r="E1820" s="19"/>
      <c r="F1820" s="19"/>
      <c r="G1820" s="18"/>
      <c r="H1820" s="18"/>
      <c r="I1820" s="18"/>
      <c r="J1820" s="18"/>
      <c r="K1820" s="18"/>
      <c r="L1820" s="18"/>
      <c r="M1820" s="18"/>
      <c r="N1820" s="18"/>
      <c r="O1820" s="18"/>
      <c r="P1820" s="18"/>
      <c r="Q1820" s="18"/>
      <c r="R1820" s="18"/>
      <c r="S1820" s="18"/>
      <c r="T1820" s="18"/>
      <c r="U1820" s="18"/>
      <c r="V1820" s="18"/>
      <c r="W1820" s="18"/>
      <c r="X1820" s="18"/>
      <c r="Y1820" s="18"/>
      <c r="Z1820" s="18"/>
      <c r="AA1820" s="18"/>
      <c r="AB1820" s="18"/>
      <c r="AC1820" s="18"/>
      <c r="AD1820" s="19"/>
      <c r="AE1820" s="18"/>
      <c r="AF1820" s="18"/>
      <c r="AG1820" s="18"/>
      <c r="AH1820" s="18"/>
      <c r="AI1820" s="18"/>
      <c r="AJ1820" s="97"/>
      <c r="AK1820" s="18"/>
      <c r="AL1820" s="18"/>
    </row>
    <row r="1821" spans="4:38" x14ac:dyDescent="0.2">
      <c r="D1821" s="19"/>
      <c r="E1821" s="19"/>
      <c r="F1821" s="19"/>
      <c r="G1821" s="18"/>
      <c r="H1821" s="18"/>
      <c r="I1821" s="18"/>
      <c r="J1821" s="18"/>
      <c r="K1821" s="18"/>
      <c r="L1821" s="18"/>
      <c r="M1821" s="18"/>
      <c r="N1821" s="18"/>
      <c r="O1821" s="18"/>
      <c r="P1821" s="18"/>
      <c r="Q1821" s="18"/>
      <c r="R1821" s="18"/>
      <c r="S1821" s="18"/>
      <c r="T1821" s="18"/>
      <c r="U1821" s="18"/>
      <c r="V1821" s="18"/>
      <c r="W1821" s="18"/>
      <c r="X1821" s="18"/>
      <c r="Y1821" s="18"/>
      <c r="Z1821" s="18"/>
      <c r="AA1821" s="18"/>
      <c r="AB1821" s="18"/>
      <c r="AC1821" s="18"/>
      <c r="AD1821" s="19"/>
      <c r="AE1821" s="18"/>
      <c r="AF1821" s="18"/>
      <c r="AG1821" s="18"/>
      <c r="AH1821" s="18"/>
      <c r="AI1821" s="18"/>
      <c r="AJ1821" s="97"/>
      <c r="AK1821" s="18"/>
      <c r="AL1821" s="18"/>
    </row>
    <row r="1822" spans="4:38" x14ac:dyDescent="0.2">
      <c r="D1822" s="19"/>
      <c r="E1822" s="19"/>
      <c r="F1822" s="19"/>
      <c r="G1822" s="18"/>
      <c r="H1822" s="18"/>
      <c r="I1822" s="18"/>
      <c r="J1822" s="18"/>
      <c r="K1822" s="18"/>
      <c r="L1822" s="18"/>
      <c r="M1822" s="18"/>
      <c r="N1822" s="18"/>
      <c r="O1822" s="18"/>
      <c r="P1822" s="18"/>
      <c r="Q1822" s="18"/>
      <c r="R1822" s="18"/>
      <c r="S1822" s="18"/>
      <c r="T1822" s="18"/>
      <c r="U1822" s="18"/>
      <c r="V1822" s="18"/>
      <c r="W1822" s="18"/>
      <c r="X1822" s="18"/>
      <c r="Y1822" s="18"/>
      <c r="Z1822" s="18"/>
      <c r="AA1822" s="18"/>
      <c r="AB1822" s="18"/>
      <c r="AC1822" s="18"/>
      <c r="AD1822" s="19"/>
      <c r="AE1822" s="18"/>
      <c r="AF1822" s="18"/>
      <c r="AG1822" s="18"/>
      <c r="AH1822" s="18"/>
      <c r="AI1822" s="18"/>
      <c r="AJ1822" s="97"/>
      <c r="AK1822" s="18"/>
      <c r="AL1822" s="18"/>
    </row>
    <row r="1823" spans="4:38" x14ac:dyDescent="0.2">
      <c r="D1823" s="19"/>
      <c r="E1823" s="19"/>
      <c r="F1823" s="19"/>
      <c r="G1823" s="18"/>
      <c r="H1823" s="18"/>
      <c r="I1823" s="18"/>
      <c r="J1823" s="18"/>
      <c r="K1823" s="18"/>
      <c r="L1823" s="18"/>
      <c r="M1823" s="18"/>
      <c r="N1823" s="18"/>
      <c r="O1823" s="18"/>
      <c r="P1823" s="18"/>
      <c r="Q1823" s="18"/>
      <c r="R1823" s="18"/>
      <c r="S1823" s="18"/>
      <c r="T1823" s="18"/>
      <c r="U1823" s="18"/>
      <c r="V1823" s="18"/>
      <c r="W1823" s="18"/>
      <c r="X1823" s="18"/>
      <c r="Y1823" s="18"/>
      <c r="Z1823" s="18"/>
      <c r="AA1823" s="18"/>
      <c r="AB1823" s="18"/>
      <c r="AC1823" s="18"/>
      <c r="AD1823" s="19"/>
      <c r="AE1823" s="18"/>
      <c r="AF1823" s="18"/>
      <c r="AG1823" s="18"/>
      <c r="AH1823" s="18"/>
      <c r="AI1823" s="18"/>
      <c r="AJ1823" s="97"/>
      <c r="AK1823" s="18"/>
      <c r="AL1823" s="18"/>
    </row>
    <row r="1824" spans="4:38" x14ac:dyDescent="0.2">
      <c r="D1824" s="19"/>
      <c r="E1824" s="19"/>
      <c r="F1824" s="19"/>
      <c r="G1824" s="18"/>
      <c r="H1824" s="18"/>
      <c r="I1824" s="18"/>
      <c r="J1824" s="18"/>
      <c r="K1824" s="18"/>
      <c r="L1824" s="18"/>
      <c r="M1824" s="18"/>
      <c r="N1824" s="18"/>
      <c r="O1824" s="18"/>
      <c r="P1824" s="18"/>
      <c r="Q1824" s="18"/>
      <c r="R1824" s="18"/>
      <c r="S1824" s="18"/>
      <c r="T1824" s="18"/>
      <c r="U1824" s="18"/>
      <c r="V1824" s="18"/>
      <c r="W1824" s="18"/>
      <c r="X1824" s="18"/>
      <c r="Y1824" s="18"/>
      <c r="Z1824" s="18"/>
      <c r="AA1824" s="18"/>
      <c r="AB1824" s="18"/>
      <c r="AC1824" s="18"/>
      <c r="AD1824" s="19"/>
      <c r="AE1824" s="18"/>
      <c r="AF1824" s="18"/>
      <c r="AG1824" s="18"/>
      <c r="AH1824" s="18"/>
      <c r="AI1824" s="18"/>
      <c r="AJ1824" s="97"/>
      <c r="AK1824" s="18"/>
      <c r="AL1824" s="18"/>
    </row>
    <row r="1825" spans="4:38" x14ac:dyDescent="0.2">
      <c r="D1825" s="19"/>
      <c r="E1825" s="19"/>
      <c r="F1825" s="19"/>
      <c r="G1825" s="18"/>
      <c r="H1825" s="18"/>
      <c r="I1825" s="18"/>
      <c r="J1825" s="18"/>
      <c r="K1825" s="18"/>
      <c r="L1825" s="18"/>
      <c r="M1825" s="18"/>
      <c r="N1825" s="18"/>
      <c r="O1825" s="18"/>
      <c r="P1825" s="18"/>
      <c r="Q1825" s="18"/>
      <c r="R1825" s="18"/>
      <c r="S1825" s="18"/>
      <c r="T1825" s="18"/>
      <c r="U1825" s="18"/>
      <c r="V1825" s="18"/>
      <c r="W1825" s="18"/>
      <c r="X1825" s="18"/>
      <c r="Y1825" s="18"/>
      <c r="Z1825" s="18"/>
      <c r="AA1825" s="18"/>
      <c r="AB1825" s="18"/>
      <c r="AC1825" s="18"/>
      <c r="AD1825" s="19"/>
      <c r="AE1825" s="18"/>
      <c r="AF1825" s="18"/>
      <c r="AG1825" s="18"/>
      <c r="AH1825" s="18"/>
      <c r="AI1825" s="18"/>
      <c r="AJ1825" s="97"/>
      <c r="AK1825" s="18"/>
      <c r="AL1825" s="18"/>
    </row>
    <row r="1826" spans="4:38" x14ac:dyDescent="0.2">
      <c r="D1826" s="19"/>
      <c r="E1826" s="19"/>
      <c r="F1826" s="19"/>
      <c r="G1826" s="18"/>
      <c r="H1826" s="18"/>
      <c r="I1826" s="18"/>
      <c r="J1826" s="18"/>
      <c r="K1826" s="18"/>
      <c r="L1826" s="18"/>
      <c r="M1826" s="18"/>
      <c r="N1826" s="18"/>
      <c r="O1826" s="18"/>
      <c r="P1826" s="18"/>
      <c r="Q1826" s="18"/>
      <c r="R1826" s="18"/>
      <c r="S1826" s="18"/>
      <c r="T1826" s="18"/>
      <c r="U1826" s="18"/>
      <c r="V1826" s="18"/>
      <c r="W1826" s="18"/>
      <c r="X1826" s="18"/>
      <c r="Y1826" s="18"/>
      <c r="Z1826" s="18"/>
      <c r="AA1826" s="18"/>
      <c r="AB1826" s="18"/>
      <c r="AC1826" s="18"/>
      <c r="AD1826" s="19"/>
      <c r="AE1826" s="18"/>
      <c r="AF1826" s="18"/>
      <c r="AG1826" s="18"/>
      <c r="AH1826" s="18"/>
      <c r="AI1826" s="18"/>
      <c r="AJ1826" s="97"/>
      <c r="AK1826" s="18"/>
      <c r="AL1826" s="18"/>
    </row>
    <row r="1827" spans="4:38" x14ac:dyDescent="0.2">
      <c r="D1827" s="19"/>
      <c r="E1827" s="19"/>
      <c r="F1827" s="19"/>
      <c r="G1827" s="18"/>
      <c r="H1827" s="18"/>
      <c r="I1827" s="18"/>
      <c r="J1827" s="18"/>
      <c r="K1827" s="18"/>
      <c r="L1827" s="18"/>
      <c r="M1827" s="18"/>
      <c r="N1827" s="18"/>
      <c r="O1827" s="18"/>
      <c r="P1827" s="18"/>
      <c r="Q1827" s="18"/>
      <c r="R1827" s="18"/>
      <c r="S1827" s="18"/>
      <c r="T1827" s="18"/>
      <c r="U1827" s="18"/>
      <c r="V1827" s="18"/>
      <c r="W1827" s="18"/>
      <c r="X1827" s="18"/>
      <c r="Y1827" s="18"/>
      <c r="Z1827" s="18"/>
      <c r="AA1827" s="18"/>
      <c r="AB1827" s="18"/>
      <c r="AC1827" s="18"/>
      <c r="AD1827" s="19"/>
      <c r="AE1827" s="18"/>
      <c r="AF1827" s="18"/>
      <c r="AG1827" s="18"/>
      <c r="AH1827" s="18"/>
      <c r="AI1827" s="18"/>
      <c r="AJ1827" s="97"/>
      <c r="AK1827" s="18"/>
      <c r="AL1827" s="18"/>
    </row>
    <row r="1828" spans="4:38" x14ac:dyDescent="0.2">
      <c r="D1828" s="19"/>
      <c r="E1828" s="19"/>
      <c r="F1828" s="19"/>
      <c r="G1828" s="18"/>
      <c r="H1828" s="18"/>
      <c r="I1828" s="18"/>
      <c r="J1828" s="18"/>
      <c r="K1828" s="18"/>
      <c r="L1828" s="18"/>
      <c r="M1828" s="18"/>
      <c r="N1828" s="18"/>
      <c r="O1828" s="18"/>
      <c r="P1828" s="18"/>
      <c r="Q1828" s="18"/>
      <c r="R1828" s="18"/>
      <c r="S1828" s="18"/>
      <c r="T1828" s="18"/>
      <c r="U1828" s="18"/>
      <c r="V1828" s="18"/>
      <c r="W1828" s="18"/>
      <c r="X1828" s="18"/>
      <c r="Y1828" s="18"/>
      <c r="Z1828" s="18"/>
      <c r="AA1828" s="18"/>
      <c r="AB1828" s="18"/>
      <c r="AC1828" s="18"/>
      <c r="AD1828" s="19"/>
      <c r="AE1828" s="18"/>
      <c r="AF1828" s="18"/>
      <c r="AG1828" s="18"/>
      <c r="AH1828" s="18"/>
      <c r="AI1828" s="18"/>
      <c r="AJ1828" s="97"/>
      <c r="AK1828" s="18"/>
      <c r="AL1828" s="18"/>
    </row>
    <row r="1829" spans="4:38" x14ac:dyDescent="0.2">
      <c r="D1829" s="19"/>
      <c r="E1829" s="19"/>
      <c r="F1829" s="19"/>
      <c r="G1829" s="18"/>
      <c r="H1829" s="18"/>
      <c r="I1829" s="18"/>
      <c r="J1829" s="18"/>
      <c r="K1829" s="18"/>
      <c r="L1829" s="18"/>
      <c r="M1829" s="18"/>
      <c r="N1829" s="18"/>
      <c r="O1829" s="18"/>
      <c r="P1829" s="18"/>
      <c r="Q1829" s="18"/>
      <c r="R1829" s="18"/>
      <c r="S1829" s="18"/>
      <c r="T1829" s="18"/>
      <c r="U1829" s="18"/>
      <c r="V1829" s="18"/>
      <c r="W1829" s="18"/>
      <c r="X1829" s="18"/>
      <c r="Y1829" s="18"/>
      <c r="Z1829" s="18"/>
      <c r="AA1829" s="18"/>
      <c r="AB1829" s="18"/>
      <c r="AC1829" s="18"/>
      <c r="AD1829" s="19"/>
      <c r="AE1829" s="18"/>
      <c r="AF1829" s="18"/>
      <c r="AG1829" s="18"/>
      <c r="AH1829" s="18"/>
      <c r="AI1829" s="18"/>
      <c r="AJ1829" s="97"/>
      <c r="AK1829" s="18"/>
      <c r="AL1829" s="18"/>
    </row>
    <row r="1830" spans="4:38" x14ac:dyDescent="0.2">
      <c r="D1830" s="19"/>
      <c r="E1830" s="19"/>
      <c r="F1830" s="19"/>
      <c r="G1830" s="18"/>
      <c r="H1830" s="18"/>
      <c r="I1830" s="18"/>
      <c r="J1830" s="18"/>
      <c r="K1830" s="18"/>
      <c r="L1830" s="18"/>
      <c r="M1830" s="18"/>
      <c r="N1830" s="18"/>
      <c r="O1830" s="18"/>
      <c r="P1830" s="18"/>
      <c r="Q1830" s="18"/>
      <c r="R1830" s="18"/>
      <c r="S1830" s="18"/>
      <c r="T1830" s="18"/>
      <c r="U1830" s="18"/>
      <c r="V1830" s="18"/>
      <c r="W1830" s="18"/>
      <c r="X1830" s="18"/>
      <c r="Y1830" s="18"/>
      <c r="Z1830" s="18"/>
      <c r="AA1830" s="18"/>
      <c r="AB1830" s="18"/>
      <c r="AC1830" s="18"/>
      <c r="AD1830" s="19"/>
      <c r="AE1830" s="18"/>
      <c r="AF1830" s="18"/>
      <c r="AG1830" s="18"/>
      <c r="AH1830" s="18"/>
      <c r="AI1830" s="18"/>
      <c r="AJ1830" s="97"/>
      <c r="AK1830" s="18"/>
      <c r="AL1830" s="18"/>
    </row>
    <row r="1831" spans="4:38" x14ac:dyDescent="0.2">
      <c r="D1831" s="19"/>
      <c r="E1831" s="19"/>
      <c r="F1831" s="19"/>
      <c r="G1831" s="18"/>
      <c r="H1831" s="18"/>
      <c r="I1831" s="18"/>
      <c r="J1831" s="18"/>
      <c r="K1831" s="18"/>
      <c r="L1831" s="18"/>
      <c r="M1831" s="18"/>
      <c r="N1831" s="18"/>
      <c r="O1831" s="18"/>
      <c r="P1831" s="18"/>
      <c r="Q1831" s="18"/>
      <c r="R1831" s="18"/>
      <c r="S1831" s="18"/>
      <c r="T1831" s="18"/>
      <c r="U1831" s="18"/>
      <c r="V1831" s="18"/>
      <c r="W1831" s="18"/>
      <c r="X1831" s="18"/>
      <c r="Y1831" s="18"/>
      <c r="Z1831" s="18"/>
      <c r="AA1831" s="18"/>
      <c r="AB1831" s="18"/>
      <c r="AC1831" s="18"/>
      <c r="AD1831" s="19"/>
      <c r="AE1831" s="18"/>
      <c r="AF1831" s="18"/>
      <c r="AG1831" s="18"/>
      <c r="AH1831" s="18"/>
      <c r="AI1831" s="18"/>
      <c r="AJ1831" s="97"/>
      <c r="AK1831" s="18"/>
      <c r="AL1831" s="18"/>
    </row>
    <row r="1832" spans="4:38" x14ac:dyDescent="0.2">
      <c r="D1832" s="19"/>
      <c r="E1832" s="19"/>
      <c r="F1832" s="19"/>
      <c r="G1832" s="18"/>
      <c r="H1832" s="18"/>
      <c r="I1832" s="18"/>
      <c r="J1832" s="18"/>
      <c r="K1832" s="18"/>
      <c r="L1832" s="18"/>
      <c r="M1832" s="18"/>
      <c r="N1832" s="18"/>
      <c r="O1832" s="18"/>
      <c r="P1832" s="18"/>
      <c r="Q1832" s="18"/>
      <c r="R1832" s="18"/>
      <c r="S1832" s="18"/>
      <c r="T1832" s="18"/>
      <c r="U1832" s="18"/>
      <c r="V1832" s="18"/>
      <c r="W1832" s="18"/>
      <c r="X1832" s="18"/>
      <c r="Y1832" s="18"/>
      <c r="Z1832" s="18"/>
      <c r="AA1832" s="18"/>
      <c r="AB1832" s="18"/>
      <c r="AC1832" s="18"/>
      <c r="AD1832" s="19"/>
      <c r="AE1832" s="18"/>
      <c r="AF1832" s="18"/>
      <c r="AG1832" s="18"/>
      <c r="AH1832" s="18"/>
      <c r="AI1832" s="18"/>
      <c r="AJ1832" s="97"/>
      <c r="AK1832" s="18"/>
      <c r="AL1832" s="18"/>
    </row>
    <row r="1833" spans="4:38" x14ac:dyDescent="0.2">
      <c r="D1833" s="19"/>
      <c r="E1833" s="19"/>
      <c r="F1833" s="19"/>
      <c r="G1833" s="18"/>
      <c r="H1833" s="18"/>
      <c r="I1833" s="18"/>
      <c r="J1833" s="18"/>
      <c r="K1833" s="18"/>
      <c r="L1833" s="18"/>
      <c r="M1833" s="18"/>
      <c r="N1833" s="18"/>
      <c r="O1833" s="18"/>
      <c r="P1833" s="18"/>
      <c r="Q1833" s="18"/>
      <c r="R1833" s="18"/>
      <c r="S1833" s="18"/>
      <c r="T1833" s="18"/>
      <c r="U1833" s="18"/>
      <c r="V1833" s="18"/>
      <c r="W1833" s="18"/>
      <c r="X1833" s="18"/>
      <c r="Y1833" s="18"/>
      <c r="Z1833" s="18"/>
      <c r="AA1833" s="18"/>
      <c r="AB1833" s="18"/>
      <c r="AC1833" s="18"/>
      <c r="AD1833" s="19"/>
      <c r="AE1833" s="18"/>
      <c r="AF1833" s="18"/>
      <c r="AG1833" s="18"/>
      <c r="AH1833" s="18"/>
      <c r="AI1833" s="18"/>
      <c r="AJ1833" s="97"/>
      <c r="AK1833" s="18"/>
      <c r="AL1833" s="18"/>
    </row>
    <row r="1834" spans="4:38" x14ac:dyDescent="0.2">
      <c r="D1834" s="19"/>
      <c r="E1834" s="19"/>
      <c r="F1834" s="19"/>
      <c r="G1834" s="18"/>
      <c r="H1834" s="18"/>
      <c r="I1834" s="18"/>
      <c r="J1834" s="18"/>
      <c r="K1834" s="18"/>
      <c r="L1834" s="18"/>
      <c r="M1834" s="18"/>
      <c r="N1834" s="18"/>
      <c r="O1834" s="18"/>
      <c r="P1834" s="18"/>
      <c r="Q1834" s="18"/>
      <c r="R1834" s="18"/>
      <c r="S1834" s="18"/>
      <c r="T1834" s="18"/>
      <c r="U1834" s="18"/>
      <c r="V1834" s="18"/>
      <c r="W1834" s="18"/>
      <c r="X1834" s="18"/>
      <c r="Y1834" s="18"/>
      <c r="Z1834" s="18"/>
      <c r="AA1834" s="18"/>
      <c r="AB1834" s="18"/>
      <c r="AC1834" s="18"/>
      <c r="AD1834" s="19"/>
      <c r="AE1834" s="18"/>
      <c r="AF1834" s="18"/>
      <c r="AG1834" s="18"/>
      <c r="AH1834" s="18"/>
      <c r="AI1834" s="18"/>
      <c r="AJ1834" s="97"/>
      <c r="AK1834" s="18"/>
      <c r="AL1834" s="18"/>
    </row>
    <row r="1835" spans="4:38" x14ac:dyDescent="0.2">
      <c r="D1835" s="19"/>
      <c r="E1835" s="19"/>
      <c r="F1835" s="19"/>
      <c r="G1835" s="18"/>
      <c r="H1835" s="18"/>
      <c r="I1835" s="18"/>
      <c r="J1835" s="18"/>
      <c r="K1835" s="18"/>
      <c r="L1835" s="18"/>
      <c r="M1835" s="18"/>
      <c r="N1835" s="18"/>
      <c r="O1835" s="18"/>
      <c r="P1835" s="18"/>
      <c r="Q1835" s="18"/>
      <c r="R1835" s="18"/>
      <c r="S1835" s="18"/>
      <c r="T1835" s="18"/>
      <c r="U1835" s="18"/>
      <c r="V1835" s="18"/>
      <c r="W1835" s="18"/>
      <c r="X1835" s="18"/>
      <c r="Y1835" s="18"/>
      <c r="Z1835" s="18"/>
      <c r="AA1835" s="18"/>
      <c r="AB1835" s="18"/>
      <c r="AC1835" s="18"/>
      <c r="AD1835" s="19"/>
      <c r="AE1835" s="18"/>
      <c r="AF1835" s="18"/>
      <c r="AG1835" s="18"/>
      <c r="AH1835" s="18"/>
      <c r="AI1835" s="18"/>
      <c r="AJ1835" s="97"/>
      <c r="AK1835" s="18"/>
      <c r="AL1835" s="18"/>
    </row>
    <row r="1836" spans="4:38" x14ac:dyDescent="0.2">
      <c r="D1836" s="19"/>
      <c r="E1836" s="19"/>
      <c r="F1836" s="19"/>
      <c r="G1836" s="18"/>
      <c r="H1836" s="18"/>
      <c r="I1836" s="18"/>
      <c r="J1836" s="18"/>
      <c r="K1836" s="18"/>
      <c r="L1836" s="18"/>
      <c r="M1836" s="18"/>
      <c r="N1836" s="18"/>
      <c r="O1836" s="18"/>
      <c r="P1836" s="18"/>
      <c r="Q1836" s="18"/>
      <c r="R1836" s="18"/>
      <c r="S1836" s="18"/>
      <c r="T1836" s="18"/>
      <c r="U1836" s="18"/>
      <c r="V1836" s="18"/>
      <c r="W1836" s="18"/>
      <c r="X1836" s="18"/>
      <c r="Y1836" s="18"/>
      <c r="Z1836" s="18"/>
      <c r="AA1836" s="18"/>
      <c r="AB1836" s="18"/>
      <c r="AC1836" s="18"/>
      <c r="AD1836" s="19"/>
      <c r="AE1836" s="18"/>
      <c r="AF1836" s="18"/>
      <c r="AG1836" s="18"/>
      <c r="AH1836" s="18"/>
      <c r="AI1836" s="18"/>
      <c r="AJ1836" s="97"/>
      <c r="AK1836" s="18"/>
      <c r="AL1836" s="18"/>
    </row>
    <row r="1837" spans="4:38" x14ac:dyDescent="0.2">
      <c r="D1837" s="19"/>
      <c r="E1837" s="19"/>
      <c r="F1837" s="19"/>
      <c r="G1837" s="18"/>
      <c r="H1837" s="18"/>
      <c r="I1837" s="18"/>
      <c r="J1837" s="18"/>
      <c r="K1837" s="18"/>
      <c r="L1837" s="18"/>
      <c r="M1837" s="18"/>
      <c r="N1837" s="18"/>
      <c r="O1837" s="18"/>
      <c r="P1837" s="18"/>
      <c r="Q1837" s="18"/>
      <c r="R1837" s="18"/>
      <c r="S1837" s="18"/>
      <c r="T1837" s="18"/>
      <c r="U1837" s="18"/>
      <c r="V1837" s="18"/>
      <c r="W1837" s="18"/>
      <c r="X1837" s="18"/>
      <c r="Y1837" s="18"/>
      <c r="Z1837" s="18"/>
      <c r="AA1837" s="18"/>
      <c r="AB1837" s="18"/>
      <c r="AC1837" s="18"/>
      <c r="AD1837" s="19"/>
      <c r="AE1837" s="18"/>
      <c r="AF1837" s="18"/>
      <c r="AG1837" s="18"/>
      <c r="AH1837" s="18"/>
      <c r="AI1837" s="18"/>
      <c r="AJ1837" s="97"/>
      <c r="AK1837" s="18"/>
      <c r="AL1837" s="18"/>
    </row>
    <row r="1838" spans="4:38" x14ac:dyDescent="0.2">
      <c r="D1838" s="19"/>
      <c r="E1838" s="19"/>
      <c r="F1838" s="19"/>
      <c r="G1838" s="18"/>
      <c r="H1838" s="18"/>
      <c r="I1838" s="18"/>
      <c r="J1838" s="18"/>
      <c r="K1838" s="18"/>
      <c r="L1838" s="18"/>
      <c r="M1838" s="18"/>
      <c r="N1838" s="18"/>
      <c r="O1838" s="18"/>
      <c r="P1838" s="18"/>
      <c r="Q1838" s="18"/>
      <c r="R1838" s="18"/>
      <c r="S1838" s="18"/>
      <c r="T1838" s="18"/>
      <c r="U1838" s="18"/>
      <c r="V1838" s="18"/>
      <c r="W1838" s="18"/>
      <c r="X1838" s="18"/>
      <c r="Y1838" s="18"/>
      <c r="Z1838" s="18"/>
      <c r="AA1838" s="18"/>
      <c r="AB1838" s="18"/>
      <c r="AC1838" s="18"/>
      <c r="AD1838" s="19"/>
      <c r="AE1838" s="18"/>
      <c r="AF1838" s="18"/>
      <c r="AG1838" s="18"/>
      <c r="AH1838" s="18"/>
      <c r="AI1838" s="18"/>
      <c r="AJ1838" s="97"/>
      <c r="AK1838" s="18"/>
      <c r="AL1838" s="18"/>
    </row>
    <row r="1839" spans="4:38" x14ac:dyDescent="0.2">
      <c r="D1839" s="19"/>
      <c r="E1839" s="19"/>
      <c r="F1839" s="19"/>
      <c r="G1839" s="18"/>
      <c r="H1839" s="18"/>
      <c r="I1839" s="18"/>
      <c r="J1839" s="18"/>
      <c r="K1839" s="18"/>
      <c r="L1839" s="18"/>
      <c r="M1839" s="18"/>
      <c r="N1839" s="18"/>
      <c r="O1839" s="18"/>
      <c r="P1839" s="18"/>
      <c r="Q1839" s="18"/>
      <c r="R1839" s="18"/>
      <c r="S1839" s="18"/>
      <c r="T1839" s="18"/>
      <c r="U1839" s="18"/>
      <c r="V1839" s="18"/>
      <c r="W1839" s="18"/>
      <c r="X1839" s="18"/>
      <c r="Y1839" s="18"/>
      <c r="Z1839" s="18"/>
      <c r="AA1839" s="18"/>
      <c r="AB1839" s="18"/>
      <c r="AC1839" s="18"/>
      <c r="AD1839" s="19"/>
      <c r="AE1839" s="18"/>
      <c r="AF1839" s="18"/>
      <c r="AG1839" s="18"/>
      <c r="AH1839" s="18"/>
      <c r="AI1839" s="18"/>
      <c r="AJ1839" s="97"/>
      <c r="AK1839" s="18"/>
      <c r="AL1839" s="18"/>
    </row>
    <row r="1840" spans="4:38" x14ac:dyDescent="0.2">
      <c r="D1840" s="19"/>
      <c r="E1840" s="19"/>
      <c r="F1840" s="19"/>
      <c r="G1840" s="18"/>
      <c r="H1840" s="18"/>
      <c r="I1840" s="18"/>
      <c r="J1840" s="18"/>
      <c r="K1840" s="18"/>
      <c r="L1840" s="18"/>
      <c r="M1840" s="18"/>
      <c r="N1840" s="18"/>
      <c r="O1840" s="18"/>
      <c r="P1840" s="18"/>
      <c r="Q1840" s="18"/>
      <c r="R1840" s="18"/>
      <c r="S1840" s="18"/>
      <c r="T1840" s="18"/>
      <c r="U1840" s="18"/>
      <c r="V1840" s="18"/>
      <c r="W1840" s="18"/>
      <c r="X1840" s="18"/>
      <c r="Y1840" s="18"/>
      <c r="Z1840" s="18"/>
      <c r="AA1840" s="18"/>
      <c r="AB1840" s="18"/>
      <c r="AC1840" s="18"/>
      <c r="AD1840" s="19"/>
      <c r="AE1840" s="18"/>
      <c r="AF1840" s="18"/>
      <c r="AG1840" s="18"/>
      <c r="AH1840" s="18"/>
      <c r="AI1840" s="18"/>
      <c r="AJ1840" s="97"/>
      <c r="AK1840" s="18"/>
      <c r="AL1840" s="18"/>
    </row>
    <row r="1841" spans="4:38" x14ac:dyDescent="0.2">
      <c r="D1841" s="19"/>
      <c r="E1841" s="19"/>
      <c r="F1841" s="19"/>
      <c r="G1841" s="18"/>
      <c r="H1841" s="18"/>
      <c r="I1841" s="18"/>
      <c r="J1841" s="18"/>
      <c r="K1841" s="18"/>
      <c r="L1841" s="18"/>
      <c r="M1841" s="18"/>
      <c r="N1841" s="18"/>
      <c r="O1841" s="18"/>
      <c r="P1841" s="18"/>
      <c r="Q1841" s="18"/>
      <c r="R1841" s="18"/>
      <c r="S1841" s="18"/>
      <c r="T1841" s="18"/>
      <c r="U1841" s="18"/>
      <c r="V1841" s="18"/>
      <c r="W1841" s="18"/>
      <c r="X1841" s="18"/>
      <c r="Y1841" s="18"/>
      <c r="Z1841" s="18"/>
      <c r="AA1841" s="18"/>
      <c r="AB1841" s="18"/>
      <c r="AC1841" s="18"/>
      <c r="AD1841" s="19"/>
      <c r="AE1841" s="18"/>
      <c r="AF1841" s="18"/>
      <c r="AG1841" s="18"/>
      <c r="AH1841" s="18"/>
      <c r="AI1841" s="18"/>
      <c r="AJ1841" s="97"/>
      <c r="AK1841" s="18"/>
      <c r="AL1841" s="18"/>
    </row>
    <row r="1842" spans="4:38" x14ac:dyDescent="0.2">
      <c r="D1842" s="19"/>
      <c r="E1842" s="19"/>
      <c r="F1842" s="19"/>
      <c r="G1842" s="18"/>
      <c r="H1842" s="18"/>
      <c r="I1842" s="18"/>
      <c r="J1842" s="18"/>
      <c r="K1842" s="18"/>
      <c r="L1842" s="18"/>
      <c r="M1842" s="18"/>
      <c r="N1842" s="18"/>
      <c r="O1842" s="18"/>
      <c r="P1842" s="18"/>
      <c r="Q1842" s="18"/>
      <c r="R1842" s="18"/>
      <c r="S1842" s="18"/>
      <c r="T1842" s="18"/>
      <c r="U1842" s="18"/>
      <c r="V1842" s="18"/>
      <c r="W1842" s="18"/>
      <c r="X1842" s="18"/>
      <c r="Y1842" s="18"/>
      <c r="Z1842" s="18"/>
      <c r="AA1842" s="18"/>
      <c r="AB1842" s="18"/>
      <c r="AC1842" s="18"/>
      <c r="AD1842" s="19"/>
      <c r="AE1842" s="18"/>
      <c r="AF1842" s="18"/>
      <c r="AG1842" s="18"/>
      <c r="AH1842" s="18"/>
      <c r="AI1842" s="18"/>
      <c r="AJ1842" s="97"/>
      <c r="AK1842" s="18"/>
      <c r="AL1842" s="18"/>
    </row>
    <row r="1843" spans="4:38" x14ac:dyDescent="0.2">
      <c r="D1843" s="19"/>
      <c r="E1843" s="19"/>
      <c r="F1843" s="19"/>
      <c r="G1843" s="18"/>
      <c r="H1843" s="18"/>
      <c r="I1843" s="18"/>
      <c r="J1843" s="18"/>
      <c r="K1843" s="18"/>
      <c r="L1843" s="18"/>
      <c r="M1843" s="18"/>
      <c r="N1843" s="18"/>
      <c r="O1843" s="18"/>
      <c r="P1843" s="18"/>
      <c r="Q1843" s="18"/>
      <c r="R1843" s="18"/>
      <c r="S1843" s="18"/>
      <c r="T1843" s="18"/>
      <c r="U1843" s="18"/>
      <c r="V1843" s="18"/>
      <c r="W1843" s="18"/>
      <c r="X1843" s="18"/>
      <c r="Y1843" s="18"/>
      <c r="Z1843" s="18"/>
      <c r="AA1843" s="18"/>
      <c r="AB1843" s="18"/>
      <c r="AC1843" s="18"/>
      <c r="AD1843" s="19"/>
      <c r="AE1843" s="18"/>
      <c r="AF1843" s="18"/>
      <c r="AG1843" s="18"/>
      <c r="AH1843" s="18"/>
      <c r="AI1843" s="18"/>
      <c r="AJ1843" s="97"/>
      <c r="AK1843" s="18"/>
      <c r="AL1843" s="18"/>
    </row>
    <row r="1844" spans="4:38" x14ac:dyDescent="0.2">
      <c r="D1844" s="19"/>
      <c r="E1844" s="19"/>
      <c r="F1844" s="19"/>
      <c r="G1844" s="18"/>
      <c r="H1844" s="18"/>
      <c r="I1844" s="18"/>
      <c r="J1844" s="18"/>
      <c r="K1844" s="18"/>
      <c r="L1844" s="18"/>
      <c r="M1844" s="18"/>
      <c r="N1844" s="18"/>
      <c r="O1844" s="18"/>
      <c r="P1844" s="18"/>
      <c r="Q1844" s="18"/>
      <c r="R1844" s="18"/>
      <c r="S1844" s="18"/>
      <c r="T1844" s="18"/>
      <c r="U1844" s="18"/>
      <c r="V1844" s="18"/>
      <c r="W1844" s="18"/>
      <c r="X1844" s="18"/>
      <c r="Y1844" s="18"/>
      <c r="Z1844" s="18"/>
      <c r="AA1844" s="18"/>
      <c r="AB1844" s="18"/>
      <c r="AC1844" s="18"/>
      <c r="AD1844" s="19"/>
      <c r="AE1844" s="18"/>
      <c r="AF1844" s="18"/>
      <c r="AG1844" s="18"/>
      <c r="AH1844" s="18"/>
      <c r="AI1844" s="18"/>
      <c r="AJ1844" s="97"/>
      <c r="AK1844" s="18"/>
      <c r="AL1844" s="18"/>
    </row>
    <row r="1845" spans="4:38" x14ac:dyDescent="0.2">
      <c r="D1845" s="19"/>
      <c r="E1845" s="19"/>
      <c r="F1845" s="19"/>
      <c r="G1845" s="18"/>
      <c r="H1845" s="18"/>
      <c r="I1845" s="18"/>
      <c r="J1845" s="18"/>
      <c r="K1845" s="18"/>
      <c r="L1845" s="18"/>
      <c r="M1845" s="18"/>
      <c r="N1845" s="18"/>
      <c r="O1845" s="18"/>
      <c r="P1845" s="18"/>
      <c r="Q1845" s="18"/>
      <c r="R1845" s="18"/>
      <c r="S1845" s="18"/>
      <c r="T1845" s="18"/>
      <c r="U1845" s="18"/>
      <c r="V1845" s="18"/>
      <c r="W1845" s="18"/>
      <c r="X1845" s="18"/>
      <c r="Y1845" s="18"/>
      <c r="Z1845" s="18"/>
      <c r="AA1845" s="18"/>
      <c r="AB1845" s="18"/>
      <c r="AC1845" s="18"/>
      <c r="AD1845" s="19"/>
      <c r="AE1845" s="18"/>
      <c r="AF1845" s="18"/>
      <c r="AG1845" s="18"/>
      <c r="AH1845" s="18"/>
      <c r="AI1845" s="18"/>
      <c r="AJ1845" s="97"/>
      <c r="AK1845" s="18"/>
      <c r="AL1845" s="18"/>
    </row>
    <row r="1846" spans="4:38" x14ac:dyDescent="0.2">
      <c r="D1846" s="19"/>
      <c r="E1846" s="19"/>
      <c r="F1846" s="19"/>
      <c r="G1846" s="18"/>
      <c r="H1846" s="18"/>
      <c r="I1846" s="18"/>
      <c r="J1846" s="18"/>
      <c r="K1846" s="18"/>
      <c r="L1846" s="18"/>
      <c r="M1846" s="18"/>
      <c r="N1846" s="18"/>
      <c r="O1846" s="18"/>
      <c r="P1846" s="18"/>
      <c r="Q1846" s="18"/>
      <c r="R1846" s="18"/>
      <c r="S1846" s="18"/>
      <c r="T1846" s="18"/>
      <c r="U1846" s="18"/>
      <c r="V1846" s="18"/>
      <c r="W1846" s="18"/>
      <c r="X1846" s="18"/>
      <c r="Y1846" s="18"/>
      <c r="Z1846" s="18"/>
      <c r="AA1846" s="18"/>
      <c r="AB1846" s="18"/>
      <c r="AC1846" s="18"/>
      <c r="AD1846" s="19"/>
      <c r="AE1846" s="18"/>
      <c r="AF1846" s="18"/>
      <c r="AG1846" s="18"/>
      <c r="AH1846" s="18"/>
      <c r="AI1846" s="18"/>
      <c r="AJ1846" s="97"/>
      <c r="AK1846" s="18"/>
      <c r="AL1846" s="18"/>
    </row>
    <row r="1847" spans="4:38" x14ac:dyDescent="0.2">
      <c r="D1847" s="19"/>
      <c r="E1847" s="19"/>
      <c r="F1847" s="19"/>
      <c r="G1847" s="18"/>
      <c r="H1847" s="18"/>
      <c r="I1847" s="18"/>
      <c r="J1847" s="18"/>
      <c r="K1847" s="18"/>
      <c r="L1847" s="18"/>
      <c r="M1847" s="18"/>
      <c r="N1847" s="18"/>
      <c r="O1847" s="18"/>
      <c r="P1847" s="18"/>
      <c r="Q1847" s="18"/>
      <c r="R1847" s="18"/>
      <c r="S1847" s="18"/>
      <c r="T1847" s="18"/>
      <c r="U1847" s="18"/>
      <c r="V1847" s="18"/>
      <c r="W1847" s="18"/>
      <c r="X1847" s="18"/>
      <c r="Y1847" s="18"/>
      <c r="Z1847" s="18"/>
      <c r="AA1847" s="18"/>
      <c r="AB1847" s="18"/>
      <c r="AC1847" s="18"/>
      <c r="AD1847" s="19"/>
      <c r="AE1847" s="18"/>
      <c r="AF1847" s="18"/>
      <c r="AG1847" s="18"/>
      <c r="AH1847" s="18"/>
      <c r="AI1847" s="18"/>
      <c r="AJ1847" s="97"/>
      <c r="AK1847" s="18"/>
      <c r="AL1847" s="18"/>
    </row>
    <row r="1848" spans="4:38" x14ac:dyDescent="0.2">
      <c r="D1848" s="19"/>
      <c r="E1848" s="19"/>
      <c r="F1848" s="19"/>
      <c r="G1848" s="18"/>
      <c r="H1848" s="18"/>
      <c r="I1848" s="18"/>
      <c r="J1848" s="18"/>
      <c r="K1848" s="18"/>
      <c r="L1848" s="18"/>
      <c r="M1848" s="18"/>
      <c r="N1848" s="18"/>
      <c r="O1848" s="18"/>
      <c r="P1848" s="18"/>
      <c r="Q1848" s="18"/>
      <c r="R1848" s="18"/>
      <c r="S1848" s="18"/>
      <c r="T1848" s="18"/>
      <c r="U1848" s="18"/>
      <c r="V1848" s="18"/>
      <c r="W1848" s="18"/>
      <c r="X1848" s="18"/>
      <c r="Y1848" s="18"/>
      <c r="Z1848" s="18"/>
      <c r="AA1848" s="18"/>
      <c r="AB1848" s="18"/>
      <c r="AC1848" s="18"/>
      <c r="AD1848" s="19"/>
      <c r="AE1848" s="18"/>
      <c r="AF1848" s="18"/>
      <c r="AG1848" s="18"/>
      <c r="AH1848" s="18"/>
      <c r="AI1848" s="18"/>
      <c r="AJ1848" s="97"/>
      <c r="AK1848" s="18"/>
      <c r="AL1848" s="18"/>
    </row>
    <row r="1849" spans="4:38" x14ac:dyDescent="0.2">
      <c r="D1849" s="19"/>
      <c r="E1849" s="19"/>
      <c r="F1849" s="19"/>
      <c r="G1849" s="18"/>
      <c r="H1849" s="18"/>
      <c r="I1849" s="18"/>
      <c r="J1849" s="18"/>
      <c r="K1849" s="18"/>
      <c r="L1849" s="18"/>
      <c r="M1849" s="18"/>
      <c r="N1849" s="18"/>
      <c r="O1849" s="18"/>
      <c r="P1849" s="18"/>
      <c r="Q1849" s="18"/>
      <c r="R1849" s="18"/>
      <c r="S1849" s="18"/>
      <c r="T1849" s="18"/>
      <c r="U1849" s="18"/>
      <c r="V1849" s="18"/>
      <c r="W1849" s="18"/>
      <c r="X1849" s="18"/>
      <c r="Y1849" s="18"/>
      <c r="Z1849" s="18"/>
      <c r="AA1849" s="18"/>
      <c r="AB1849" s="18"/>
      <c r="AC1849" s="18"/>
      <c r="AD1849" s="19"/>
      <c r="AE1849" s="18"/>
      <c r="AF1849" s="18"/>
      <c r="AG1849" s="18"/>
      <c r="AH1849" s="18"/>
      <c r="AI1849" s="18"/>
      <c r="AJ1849" s="97"/>
      <c r="AK1849" s="18"/>
      <c r="AL1849" s="18"/>
    </row>
    <row r="1850" spans="4:38" x14ac:dyDescent="0.2">
      <c r="D1850" s="19"/>
      <c r="E1850" s="19"/>
      <c r="F1850" s="19"/>
      <c r="G1850" s="18"/>
      <c r="H1850" s="18"/>
      <c r="I1850" s="18"/>
      <c r="J1850" s="18"/>
      <c r="K1850" s="18"/>
      <c r="L1850" s="18"/>
      <c r="M1850" s="18"/>
      <c r="N1850" s="18"/>
      <c r="O1850" s="18"/>
      <c r="P1850" s="18"/>
      <c r="Q1850" s="18"/>
      <c r="R1850" s="18"/>
      <c r="S1850" s="18"/>
      <c r="T1850" s="18"/>
      <c r="U1850" s="18"/>
      <c r="V1850" s="18"/>
      <c r="W1850" s="18"/>
      <c r="X1850" s="18"/>
      <c r="Y1850" s="18"/>
      <c r="Z1850" s="18"/>
      <c r="AA1850" s="18"/>
      <c r="AB1850" s="18"/>
      <c r="AC1850" s="18"/>
      <c r="AD1850" s="19"/>
      <c r="AE1850" s="18"/>
      <c r="AF1850" s="18"/>
      <c r="AG1850" s="18"/>
      <c r="AH1850" s="18"/>
      <c r="AI1850" s="18"/>
      <c r="AJ1850" s="97"/>
      <c r="AK1850" s="18"/>
      <c r="AL1850" s="18"/>
    </row>
    <row r="1851" spans="4:38" x14ac:dyDescent="0.2">
      <c r="D1851" s="19"/>
      <c r="E1851" s="19"/>
      <c r="F1851" s="19"/>
      <c r="G1851" s="18"/>
      <c r="H1851" s="18"/>
      <c r="I1851" s="18"/>
      <c r="J1851" s="18"/>
      <c r="K1851" s="18"/>
      <c r="L1851" s="18"/>
      <c r="M1851" s="18"/>
      <c r="N1851" s="18"/>
      <c r="O1851" s="18"/>
      <c r="P1851" s="18"/>
      <c r="Q1851" s="18"/>
      <c r="R1851" s="18"/>
      <c r="S1851" s="18"/>
      <c r="T1851" s="18"/>
      <c r="U1851" s="18"/>
      <c r="V1851" s="18"/>
      <c r="W1851" s="18"/>
      <c r="X1851" s="18"/>
      <c r="Y1851" s="18"/>
      <c r="Z1851" s="18"/>
      <c r="AA1851" s="18"/>
      <c r="AB1851" s="18"/>
      <c r="AC1851" s="18"/>
      <c r="AD1851" s="19"/>
      <c r="AE1851" s="18"/>
      <c r="AF1851" s="18"/>
      <c r="AG1851" s="18"/>
      <c r="AH1851" s="18"/>
      <c r="AI1851" s="18"/>
      <c r="AJ1851" s="97"/>
      <c r="AK1851" s="18"/>
      <c r="AL1851" s="18"/>
    </row>
    <row r="1852" spans="4:38" x14ac:dyDescent="0.2">
      <c r="D1852" s="19"/>
      <c r="E1852" s="19"/>
      <c r="F1852" s="19"/>
      <c r="G1852" s="18"/>
      <c r="H1852" s="18"/>
      <c r="I1852" s="18"/>
      <c r="J1852" s="18"/>
      <c r="K1852" s="18"/>
      <c r="L1852" s="18"/>
      <c r="M1852" s="18"/>
      <c r="N1852" s="18"/>
      <c r="O1852" s="18"/>
      <c r="P1852" s="18"/>
      <c r="Q1852" s="18"/>
      <c r="R1852" s="18"/>
      <c r="S1852" s="18"/>
      <c r="T1852" s="18"/>
      <c r="U1852" s="18"/>
      <c r="V1852" s="18"/>
      <c r="W1852" s="18"/>
      <c r="X1852" s="18"/>
      <c r="Y1852" s="18"/>
      <c r="Z1852" s="18"/>
      <c r="AA1852" s="18"/>
      <c r="AB1852" s="18"/>
      <c r="AC1852" s="18"/>
      <c r="AD1852" s="19"/>
      <c r="AE1852" s="18"/>
      <c r="AF1852" s="18"/>
      <c r="AG1852" s="18"/>
      <c r="AH1852" s="18"/>
      <c r="AI1852" s="18"/>
      <c r="AJ1852" s="97"/>
      <c r="AK1852" s="18"/>
      <c r="AL1852" s="18"/>
    </row>
    <row r="1853" spans="4:38" x14ac:dyDescent="0.2">
      <c r="D1853" s="19"/>
      <c r="E1853" s="19"/>
      <c r="F1853" s="19"/>
      <c r="G1853" s="18"/>
      <c r="H1853" s="18"/>
      <c r="I1853" s="18"/>
      <c r="J1853" s="18"/>
      <c r="K1853" s="18"/>
      <c r="L1853" s="18"/>
      <c r="M1853" s="18"/>
      <c r="N1853" s="18"/>
      <c r="O1853" s="18"/>
      <c r="P1853" s="18"/>
      <c r="Q1853" s="18"/>
      <c r="R1853" s="18"/>
      <c r="S1853" s="18"/>
      <c r="T1853" s="18"/>
      <c r="U1853" s="18"/>
      <c r="V1853" s="18"/>
      <c r="W1853" s="18"/>
      <c r="X1853" s="18"/>
      <c r="Y1853" s="18"/>
      <c r="Z1853" s="18"/>
      <c r="AA1853" s="18"/>
      <c r="AB1853" s="18"/>
      <c r="AC1853" s="18"/>
      <c r="AD1853" s="19"/>
      <c r="AE1853" s="18"/>
      <c r="AF1853" s="18"/>
      <c r="AG1853" s="18"/>
      <c r="AH1853" s="18"/>
      <c r="AI1853" s="18"/>
      <c r="AJ1853" s="97"/>
      <c r="AK1853" s="18"/>
      <c r="AL1853" s="18"/>
    </row>
    <row r="1854" spans="4:38" x14ac:dyDescent="0.2">
      <c r="D1854" s="19"/>
      <c r="E1854" s="19"/>
      <c r="F1854" s="19"/>
      <c r="G1854" s="18"/>
      <c r="H1854" s="18"/>
      <c r="I1854" s="18"/>
      <c r="J1854" s="18"/>
      <c r="K1854" s="18"/>
      <c r="L1854" s="18"/>
      <c r="M1854" s="18"/>
      <c r="N1854" s="18"/>
      <c r="O1854" s="18"/>
      <c r="P1854" s="18"/>
      <c r="Q1854" s="18"/>
      <c r="R1854" s="18"/>
      <c r="S1854" s="18"/>
      <c r="T1854" s="18"/>
      <c r="U1854" s="18"/>
      <c r="V1854" s="18"/>
      <c r="W1854" s="18"/>
      <c r="X1854" s="18"/>
      <c r="Y1854" s="18"/>
      <c r="Z1854" s="18"/>
      <c r="AA1854" s="18"/>
      <c r="AB1854" s="18"/>
      <c r="AC1854" s="18"/>
      <c r="AD1854" s="19"/>
      <c r="AE1854" s="18"/>
      <c r="AF1854" s="18"/>
      <c r="AG1854" s="18"/>
      <c r="AH1854" s="18"/>
      <c r="AI1854" s="18"/>
      <c r="AJ1854" s="97"/>
      <c r="AK1854" s="18"/>
      <c r="AL1854" s="18"/>
    </row>
    <row r="1855" spans="4:38" x14ac:dyDescent="0.2">
      <c r="D1855" s="19"/>
      <c r="E1855" s="19"/>
      <c r="F1855" s="19"/>
      <c r="G1855" s="18"/>
      <c r="H1855" s="18"/>
      <c r="I1855" s="18"/>
      <c r="J1855" s="18"/>
      <c r="K1855" s="18"/>
      <c r="L1855" s="18"/>
      <c r="M1855" s="18"/>
      <c r="N1855" s="18"/>
      <c r="O1855" s="18"/>
      <c r="P1855" s="18"/>
      <c r="Q1855" s="18"/>
      <c r="R1855" s="18"/>
      <c r="S1855" s="18"/>
      <c r="T1855" s="18"/>
      <c r="U1855" s="18"/>
      <c r="V1855" s="18"/>
      <c r="W1855" s="18"/>
      <c r="X1855" s="18"/>
      <c r="Y1855" s="18"/>
      <c r="Z1855" s="18"/>
      <c r="AA1855" s="18"/>
      <c r="AB1855" s="18"/>
      <c r="AC1855" s="18"/>
      <c r="AD1855" s="19"/>
      <c r="AE1855" s="18"/>
      <c r="AF1855" s="18"/>
      <c r="AG1855" s="18"/>
      <c r="AH1855" s="18"/>
      <c r="AI1855" s="18"/>
      <c r="AJ1855" s="97"/>
      <c r="AK1855" s="18"/>
      <c r="AL1855" s="18"/>
    </row>
    <row r="1856" spans="4:38" x14ac:dyDescent="0.2">
      <c r="D1856" s="19"/>
      <c r="E1856" s="19"/>
      <c r="F1856" s="19"/>
      <c r="G1856" s="18"/>
      <c r="H1856" s="18"/>
      <c r="I1856" s="18"/>
      <c r="J1856" s="18"/>
      <c r="K1856" s="18"/>
      <c r="L1856" s="18"/>
      <c r="M1856" s="18"/>
      <c r="N1856" s="18"/>
      <c r="O1856" s="18"/>
      <c r="P1856" s="18"/>
      <c r="Q1856" s="18"/>
      <c r="R1856" s="18"/>
      <c r="S1856" s="18"/>
      <c r="T1856" s="18"/>
      <c r="U1856" s="18"/>
      <c r="V1856" s="18"/>
      <c r="W1856" s="18"/>
      <c r="X1856" s="18"/>
      <c r="Y1856" s="18"/>
      <c r="Z1856" s="18"/>
      <c r="AA1856" s="18"/>
      <c r="AB1856" s="18"/>
      <c r="AC1856" s="18"/>
      <c r="AD1856" s="19"/>
      <c r="AE1856" s="18"/>
      <c r="AF1856" s="18"/>
      <c r="AG1856" s="18"/>
      <c r="AH1856" s="18"/>
      <c r="AI1856" s="18"/>
      <c r="AJ1856" s="97"/>
      <c r="AK1856" s="18"/>
      <c r="AL1856" s="18"/>
    </row>
    <row r="1857" spans="4:38" x14ac:dyDescent="0.2">
      <c r="D1857" s="19"/>
      <c r="E1857" s="19"/>
      <c r="F1857" s="19"/>
      <c r="G1857" s="18"/>
      <c r="H1857" s="18"/>
      <c r="I1857" s="18"/>
      <c r="J1857" s="18"/>
      <c r="K1857" s="18"/>
      <c r="L1857" s="18"/>
      <c r="M1857" s="18"/>
      <c r="N1857" s="18"/>
      <c r="O1857" s="18"/>
      <c r="P1857" s="18"/>
      <c r="Q1857" s="18"/>
      <c r="R1857" s="18"/>
      <c r="S1857" s="18"/>
      <c r="T1857" s="18"/>
      <c r="U1857" s="18"/>
      <c r="V1857" s="18"/>
      <c r="W1857" s="18"/>
      <c r="X1857" s="18"/>
      <c r="Y1857" s="18"/>
      <c r="Z1857" s="18"/>
      <c r="AA1857" s="18"/>
      <c r="AB1857" s="18"/>
      <c r="AC1857" s="18"/>
      <c r="AD1857" s="19"/>
      <c r="AE1857" s="18"/>
      <c r="AF1857" s="18"/>
      <c r="AG1857" s="18"/>
      <c r="AH1857" s="18"/>
      <c r="AI1857" s="18"/>
      <c r="AJ1857" s="97"/>
      <c r="AK1857" s="18"/>
      <c r="AL1857" s="18"/>
    </row>
    <row r="1858" spans="4:38" x14ac:dyDescent="0.2">
      <c r="D1858" s="19"/>
      <c r="E1858" s="19"/>
      <c r="F1858" s="19"/>
      <c r="G1858" s="18"/>
      <c r="H1858" s="18"/>
      <c r="I1858" s="18"/>
      <c r="J1858" s="18"/>
      <c r="K1858" s="18"/>
      <c r="L1858" s="18"/>
      <c r="M1858" s="18"/>
      <c r="N1858" s="18"/>
      <c r="O1858" s="18"/>
      <c r="P1858" s="18"/>
      <c r="Q1858" s="18"/>
      <c r="R1858" s="18"/>
      <c r="S1858" s="18"/>
      <c r="T1858" s="18"/>
      <c r="U1858" s="18"/>
      <c r="V1858" s="18"/>
      <c r="W1858" s="18"/>
      <c r="X1858" s="18"/>
      <c r="Y1858" s="18"/>
      <c r="Z1858" s="18"/>
      <c r="AA1858" s="18"/>
      <c r="AB1858" s="18"/>
      <c r="AC1858" s="18"/>
      <c r="AD1858" s="19"/>
      <c r="AE1858" s="18"/>
      <c r="AF1858" s="18"/>
      <c r="AG1858" s="18"/>
      <c r="AH1858" s="18"/>
      <c r="AI1858" s="18"/>
      <c r="AJ1858" s="97"/>
      <c r="AK1858" s="18"/>
      <c r="AL1858" s="18"/>
    </row>
    <row r="1859" spans="4:38" x14ac:dyDescent="0.2">
      <c r="D1859" s="19"/>
      <c r="E1859" s="19"/>
      <c r="F1859" s="19"/>
      <c r="G1859" s="18"/>
      <c r="H1859" s="18"/>
      <c r="I1859" s="18"/>
      <c r="J1859" s="18"/>
      <c r="K1859" s="18"/>
      <c r="L1859" s="18"/>
      <c r="M1859" s="18"/>
      <c r="N1859" s="18"/>
      <c r="O1859" s="18"/>
      <c r="P1859" s="18"/>
      <c r="Q1859" s="18"/>
      <c r="R1859" s="18"/>
      <c r="S1859" s="18"/>
      <c r="T1859" s="18"/>
      <c r="U1859" s="18"/>
      <c r="V1859" s="18"/>
      <c r="W1859" s="18"/>
      <c r="X1859" s="18"/>
      <c r="Y1859" s="18"/>
      <c r="Z1859" s="18"/>
      <c r="AA1859" s="18"/>
      <c r="AB1859" s="18"/>
      <c r="AC1859" s="18"/>
      <c r="AD1859" s="19"/>
      <c r="AE1859" s="18"/>
      <c r="AF1859" s="18"/>
      <c r="AG1859" s="18"/>
      <c r="AH1859" s="18"/>
      <c r="AI1859" s="18"/>
      <c r="AJ1859" s="97"/>
      <c r="AK1859" s="18"/>
      <c r="AL1859" s="18"/>
    </row>
    <row r="1860" spans="4:38" x14ac:dyDescent="0.2">
      <c r="D1860" s="19"/>
      <c r="E1860" s="19"/>
      <c r="F1860" s="19"/>
      <c r="G1860" s="18"/>
      <c r="H1860" s="18"/>
      <c r="I1860" s="18"/>
      <c r="J1860" s="18"/>
      <c r="K1860" s="18"/>
      <c r="L1860" s="18"/>
      <c r="M1860" s="18"/>
      <c r="N1860" s="18"/>
      <c r="O1860" s="18"/>
      <c r="P1860" s="18"/>
      <c r="Q1860" s="18"/>
      <c r="R1860" s="18"/>
      <c r="S1860" s="18"/>
      <c r="T1860" s="18"/>
      <c r="U1860" s="18"/>
      <c r="V1860" s="18"/>
      <c r="W1860" s="18"/>
      <c r="X1860" s="18"/>
      <c r="Y1860" s="18"/>
      <c r="Z1860" s="18"/>
      <c r="AA1860" s="18"/>
      <c r="AB1860" s="18"/>
      <c r="AC1860" s="18"/>
      <c r="AD1860" s="19"/>
      <c r="AE1860" s="18"/>
      <c r="AF1860" s="18"/>
      <c r="AG1860" s="18"/>
      <c r="AH1860" s="18"/>
      <c r="AI1860" s="18"/>
      <c r="AJ1860" s="97"/>
      <c r="AK1860" s="18"/>
      <c r="AL1860" s="18"/>
    </row>
    <row r="1861" spans="4:38" x14ac:dyDescent="0.2">
      <c r="D1861" s="19"/>
      <c r="E1861" s="19"/>
      <c r="F1861" s="19"/>
      <c r="G1861" s="18"/>
      <c r="H1861" s="18"/>
      <c r="I1861" s="18"/>
      <c r="J1861" s="18"/>
      <c r="K1861" s="18"/>
      <c r="L1861" s="18"/>
      <c r="M1861" s="18"/>
      <c r="N1861" s="18"/>
      <c r="O1861" s="18"/>
      <c r="P1861" s="18"/>
      <c r="Q1861" s="18"/>
      <c r="R1861" s="18"/>
      <c r="S1861" s="18"/>
      <c r="T1861" s="18"/>
      <c r="U1861" s="18"/>
      <c r="V1861" s="18"/>
      <c r="W1861" s="18"/>
      <c r="X1861" s="18"/>
      <c r="Y1861" s="18"/>
      <c r="Z1861" s="18"/>
      <c r="AA1861" s="18"/>
      <c r="AB1861" s="18"/>
      <c r="AC1861" s="18"/>
      <c r="AD1861" s="19"/>
      <c r="AE1861" s="18"/>
      <c r="AF1861" s="18"/>
      <c r="AG1861" s="18"/>
      <c r="AH1861" s="18"/>
      <c r="AI1861" s="18"/>
      <c r="AJ1861" s="97"/>
      <c r="AK1861" s="18"/>
      <c r="AL1861" s="18"/>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DA31-26FF-A545-A39D-BA6E03B33FC8}">
  <sheetPr>
    <tabColor theme="6"/>
  </sheetPr>
  <dimension ref="A1:AZ177"/>
  <sheetViews>
    <sheetView zoomScale="75" zoomScaleNormal="84" workbookViewId="0">
      <selection activeCell="D67" sqref="D67"/>
    </sheetView>
  </sheetViews>
  <sheetFormatPr baseColWidth="10" defaultRowHeight="16" x14ac:dyDescent="0.2"/>
  <cols>
    <col min="1" max="1" width="17.83203125" style="154" bestFit="1" customWidth="1"/>
    <col min="2" max="5" width="17" style="154" bestFit="1" customWidth="1"/>
    <col min="6" max="6" width="20.5" style="154" bestFit="1" customWidth="1"/>
    <col min="7" max="7" width="21.5" style="154" bestFit="1" customWidth="1"/>
    <col min="8" max="11" width="17" style="154" bestFit="1" customWidth="1"/>
    <col min="12" max="12" width="20.33203125" style="154" bestFit="1" customWidth="1"/>
    <col min="13" max="13" width="21.5" style="154" bestFit="1" customWidth="1"/>
    <col min="14" max="14" width="15.5" style="154" bestFit="1" customWidth="1"/>
    <col min="15" max="15" width="14.33203125" style="154" bestFit="1" customWidth="1"/>
    <col min="16" max="17" width="13.83203125" style="154" bestFit="1" customWidth="1"/>
    <col min="18" max="18" width="12.1640625" style="154" bestFit="1" customWidth="1"/>
    <col min="19" max="19" width="17" style="154" bestFit="1" customWidth="1"/>
    <col min="20" max="20" width="20.83203125" style="154" bestFit="1" customWidth="1"/>
    <col min="21" max="21" width="21.83203125" style="154" bestFit="1" customWidth="1"/>
    <col min="22" max="23" width="16.6640625" style="154" bestFit="1" customWidth="1"/>
    <col min="24" max="24" width="19.83203125" style="154" bestFit="1" customWidth="1"/>
    <col min="25" max="25" width="20.83203125" style="154" bestFit="1" customWidth="1"/>
    <col min="26" max="161" width="12.1640625" style="154" bestFit="1" customWidth="1"/>
    <col min="162" max="16384" width="10.83203125" style="154"/>
  </cols>
  <sheetData>
    <row r="1" spans="1:25" x14ac:dyDescent="0.2">
      <c r="A1" s="151" t="s">
        <v>1085</v>
      </c>
      <c r="B1" s="152"/>
      <c r="C1" s="152"/>
      <c r="D1" s="152"/>
      <c r="E1" s="153"/>
      <c r="F1" s="152"/>
      <c r="G1" s="152"/>
      <c r="H1" s="152"/>
      <c r="I1" s="152"/>
      <c r="J1" s="152"/>
      <c r="K1" s="152"/>
      <c r="L1" s="152"/>
    </row>
    <row r="2" spans="1:25" x14ac:dyDescent="0.2">
      <c r="A2" s="151"/>
      <c r="B2" s="152"/>
      <c r="C2" s="152"/>
      <c r="D2" s="152"/>
      <c r="E2" s="153"/>
      <c r="F2" s="152"/>
      <c r="G2" s="152"/>
      <c r="H2" s="152"/>
      <c r="I2" s="152"/>
      <c r="J2" s="152"/>
      <c r="K2" s="152"/>
      <c r="L2" s="152"/>
    </row>
    <row r="3" spans="1:25" x14ac:dyDescent="0.2">
      <c r="A3" s="153" t="s">
        <v>1088</v>
      </c>
      <c r="B3" s="152"/>
      <c r="C3" s="152"/>
      <c r="D3" s="152"/>
      <c r="E3" s="153"/>
      <c r="F3" s="152"/>
      <c r="G3" s="152"/>
      <c r="H3" s="152"/>
      <c r="I3" s="152"/>
      <c r="J3" s="152"/>
      <c r="K3" s="152"/>
      <c r="L3" s="152"/>
    </row>
    <row r="4" spans="1:25" x14ac:dyDescent="0.2">
      <c r="A4" s="155" t="s">
        <v>14</v>
      </c>
      <c r="B4" s="152" t="s">
        <v>1097</v>
      </c>
      <c r="C4" s="152" t="s">
        <v>1087</v>
      </c>
      <c r="N4" s="152"/>
      <c r="O4" s="152"/>
      <c r="P4" s="152"/>
      <c r="Q4" s="152"/>
      <c r="R4" s="152"/>
      <c r="S4" s="152"/>
      <c r="T4" s="152"/>
      <c r="U4" s="152"/>
      <c r="V4" s="152"/>
      <c r="W4" s="152"/>
      <c r="X4" s="152"/>
      <c r="Y4" s="152"/>
    </row>
    <row r="5" spans="1:25" x14ac:dyDescent="0.2">
      <c r="A5" s="152" t="s">
        <v>483</v>
      </c>
      <c r="B5" s="152">
        <v>0.70129870129870131</v>
      </c>
      <c r="C5" s="152">
        <v>78</v>
      </c>
      <c r="N5" s="152"/>
      <c r="O5" s="152"/>
      <c r="P5" s="152"/>
      <c r="Q5" s="152"/>
      <c r="R5" s="152"/>
      <c r="S5" s="152"/>
      <c r="T5" s="152"/>
      <c r="U5" s="152"/>
      <c r="V5" s="152"/>
      <c r="W5" s="152"/>
      <c r="X5" s="152"/>
      <c r="Y5" s="152"/>
    </row>
    <row r="6" spans="1:25" x14ac:dyDescent="0.2">
      <c r="A6" s="152" t="s">
        <v>462</v>
      </c>
      <c r="B6" s="152">
        <v>0</v>
      </c>
      <c r="C6" s="152">
        <v>2</v>
      </c>
      <c r="N6" s="152"/>
      <c r="O6" s="152"/>
      <c r="P6" s="152"/>
      <c r="Q6" s="152"/>
      <c r="R6" s="152"/>
      <c r="S6" s="152"/>
      <c r="T6" s="152"/>
      <c r="U6" s="152"/>
      <c r="V6" s="152"/>
      <c r="W6" s="152"/>
      <c r="X6" s="152"/>
      <c r="Y6" s="152"/>
    </row>
    <row r="7" spans="1:25" x14ac:dyDescent="0.2">
      <c r="A7" s="152" t="s">
        <v>461</v>
      </c>
      <c r="B7" s="152">
        <v>1.4210526315789473</v>
      </c>
      <c r="C7" s="152">
        <v>56</v>
      </c>
      <c r="N7" s="152"/>
      <c r="O7" s="152"/>
      <c r="P7" s="152"/>
      <c r="Q7" s="152"/>
      <c r="R7" s="152"/>
      <c r="S7" s="152"/>
      <c r="T7" s="152"/>
      <c r="U7" s="152"/>
      <c r="V7" s="152"/>
      <c r="W7" s="152"/>
      <c r="X7" s="152"/>
      <c r="Y7" s="152"/>
    </row>
    <row r="8" spans="1:25" x14ac:dyDescent="0.2">
      <c r="A8" s="152" t="s">
        <v>459</v>
      </c>
      <c r="B8" s="152">
        <v>0.75</v>
      </c>
      <c r="C8" s="152">
        <v>4</v>
      </c>
      <c r="N8" s="152"/>
      <c r="O8" s="152"/>
      <c r="P8" s="152"/>
      <c r="Q8" s="152"/>
      <c r="R8" s="152"/>
      <c r="S8" s="152"/>
      <c r="T8" s="152"/>
      <c r="U8" s="152"/>
      <c r="V8" s="152"/>
      <c r="W8" s="152"/>
      <c r="X8" s="152"/>
      <c r="Y8" s="152"/>
    </row>
    <row r="9" spans="1:25" x14ac:dyDescent="0.2">
      <c r="A9" s="152" t="s">
        <v>508</v>
      </c>
      <c r="B9" s="152">
        <v>0.72727272727272729</v>
      </c>
      <c r="C9" s="152">
        <v>11</v>
      </c>
      <c r="N9" s="152"/>
      <c r="O9" s="152"/>
      <c r="P9" s="152"/>
      <c r="Q9" s="152"/>
      <c r="R9" s="152"/>
      <c r="S9" s="152"/>
      <c r="T9" s="152"/>
      <c r="U9" s="152"/>
      <c r="V9" s="152"/>
      <c r="W9" s="152"/>
      <c r="X9" s="152"/>
      <c r="Y9" s="152"/>
    </row>
    <row r="10" spans="1:25" x14ac:dyDescent="0.2">
      <c r="A10" s="152" t="s">
        <v>527</v>
      </c>
      <c r="B10" s="152">
        <v>1</v>
      </c>
      <c r="C10" s="152">
        <v>1</v>
      </c>
      <c r="N10" s="152"/>
      <c r="O10" s="152"/>
      <c r="P10" s="152"/>
      <c r="Q10" s="152"/>
      <c r="R10" s="152"/>
      <c r="S10" s="152"/>
      <c r="T10" s="152"/>
      <c r="U10" s="152"/>
      <c r="V10" s="152"/>
      <c r="W10" s="152"/>
      <c r="X10" s="152"/>
      <c r="Y10" s="152"/>
    </row>
    <row r="11" spans="1:25" x14ac:dyDescent="0.2">
      <c r="A11" s="152" t="s">
        <v>1045</v>
      </c>
      <c r="B11" s="152">
        <v>0.96710526315789469</v>
      </c>
      <c r="C11" s="152">
        <v>152</v>
      </c>
      <c r="N11" s="152"/>
      <c r="O11" s="152"/>
      <c r="P11" s="152"/>
      <c r="Q11" s="152"/>
      <c r="R11" s="152"/>
      <c r="S11" s="152"/>
      <c r="T11" s="152"/>
      <c r="U11" s="152"/>
      <c r="V11" s="152"/>
      <c r="W11" s="152"/>
      <c r="X11" s="152"/>
      <c r="Y11" s="152"/>
    </row>
    <row r="12" spans="1:25" x14ac:dyDescent="0.2">
      <c r="N12" s="152"/>
      <c r="O12" s="152"/>
      <c r="P12" s="152"/>
      <c r="Q12" s="152"/>
      <c r="R12" s="152"/>
      <c r="S12" s="152"/>
      <c r="T12" s="152"/>
      <c r="U12" s="152"/>
      <c r="V12" s="152"/>
      <c r="W12" s="152"/>
      <c r="X12" s="152"/>
      <c r="Y12" s="152"/>
    </row>
    <row r="13" spans="1:25" x14ac:dyDescent="0.2">
      <c r="N13" s="152"/>
      <c r="O13" s="152"/>
      <c r="P13" s="152"/>
      <c r="Q13" s="152"/>
      <c r="R13" s="152"/>
      <c r="S13" s="152"/>
      <c r="T13" s="152"/>
      <c r="U13" s="152"/>
      <c r="V13" s="152"/>
      <c r="W13" s="152"/>
      <c r="X13" s="152"/>
      <c r="Y13" s="152"/>
    </row>
    <row r="14" spans="1:25" x14ac:dyDescent="0.2">
      <c r="N14" s="152"/>
      <c r="O14" s="152"/>
      <c r="P14" s="152"/>
      <c r="Q14" s="152"/>
      <c r="R14" s="152"/>
      <c r="S14" s="152"/>
      <c r="T14" s="152"/>
      <c r="U14" s="152"/>
      <c r="V14" s="152"/>
      <c r="W14" s="152"/>
      <c r="X14" s="152"/>
      <c r="Y14" s="152"/>
    </row>
    <row r="15" spans="1:25" x14ac:dyDescent="0.2">
      <c r="D15" s="153"/>
      <c r="E15" s="152"/>
      <c r="F15" s="152"/>
      <c r="G15" s="152"/>
      <c r="H15" s="152"/>
      <c r="I15" s="152"/>
      <c r="J15" s="152"/>
      <c r="K15" s="152"/>
      <c r="L15" s="152"/>
    </row>
    <row r="16" spans="1:25" x14ac:dyDescent="0.2">
      <c r="A16" s="155" t="s">
        <v>11</v>
      </c>
      <c r="B16" s="152" t="s">
        <v>1097</v>
      </c>
      <c r="C16" s="152"/>
      <c r="D16" s="152"/>
      <c r="E16" s="152"/>
      <c r="F16" s="152"/>
      <c r="G16" s="152"/>
      <c r="H16" s="152"/>
      <c r="I16" s="152"/>
      <c r="J16" s="152"/>
      <c r="K16" s="152"/>
      <c r="L16" s="152"/>
    </row>
    <row r="17" spans="1:12" x14ac:dyDescent="0.2">
      <c r="A17" s="152" t="s">
        <v>455</v>
      </c>
      <c r="B17" s="152">
        <v>1.0714285714285714</v>
      </c>
      <c r="C17" s="152"/>
      <c r="D17" s="155" t="s">
        <v>5</v>
      </c>
      <c r="E17" s="152" t="s">
        <v>1097</v>
      </c>
      <c r="F17" s="152"/>
      <c r="G17" s="155" t="s">
        <v>1084</v>
      </c>
      <c r="H17" s="155" t="s">
        <v>5</v>
      </c>
      <c r="I17" s="152"/>
      <c r="J17" s="152"/>
      <c r="K17" s="152"/>
    </row>
    <row r="18" spans="1:12" x14ac:dyDescent="0.2">
      <c r="A18" s="152" t="s">
        <v>483</v>
      </c>
      <c r="B18" s="152">
        <v>0</v>
      </c>
      <c r="C18" s="152"/>
      <c r="D18" s="152" t="s">
        <v>443</v>
      </c>
      <c r="E18" s="152">
        <v>1.5</v>
      </c>
      <c r="F18" s="152"/>
      <c r="G18" s="155" t="s">
        <v>6</v>
      </c>
      <c r="H18" s="152" t="s">
        <v>443</v>
      </c>
      <c r="I18" s="152" t="s">
        <v>442</v>
      </c>
      <c r="J18" s="152" t="s">
        <v>441</v>
      </c>
      <c r="K18" s="152" t="s">
        <v>1045</v>
      </c>
    </row>
    <row r="19" spans="1:12" x14ac:dyDescent="0.2">
      <c r="A19" s="152" t="s">
        <v>457</v>
      </c>
      <c r="B19" s="152">
        <v>1</v>
      </c>
      <c r="C19" s="152"/>
      <c r="D19" s="152" t="s">
        <v>442</v>
      </c>
      <c r="E19" s="152">
        <v>0.71764705882352942</v>
      </c>
      <c r="F19" s="152"/>
      <c r="G19" s="152" t="s">
        <v>528</v>
      </c>
      <c r="H19" s="152"/>
      <c r="I19" s="152">
        <v>12</v>
      </c>
      <c r="J19" s="156">
        <v>32</v>
      </c>
      <c r="K19" s="152">
        <v>44</v>
      </c>
    </row>
    <row r="20" spans="1:12" x14ac:dyDescent="0.2">
      <c r="A20" s="152" t="s">
        <v>697</v>
      </c>
      <c r="B20" s="152">
        <v>2</v>
      </c>
      <c r="C20" s="152"/>
      <c r="D20" s="152" t="s">
        <v>441</v>
      </c>
      <c r="E20" s="156">
        <v>1.2727272727272727</v>
      </c>
      <c r="F20" s="152"/>
      <c r="G20" s="152" t="s">
        <v>450</v>
      </c>
      <c r="H20" s="152"/>
      <c r="I20" s="152">
        <v>2</v>
      </c>
      <c r="J20" s="152"/>
      <c r="K20" s="152">
        <v>2</v>
      </c>
    </row>
    <row r="21" spans="1:12" x14ac:dyDescent="0.2">
      <c r="A21" s="152" t="s">
        <v>520</v>
      </c>
      <c r="B21" s="152">
        <v>2</v>
      </c>
      <c r="C21" s="152"/>
      <c r="D21" s="152" t="s">
        <v>1044</v>
      </c>
      <c r="E21" s="152">
        <v>0.98701298701298701</v>
      </c>
      <c r="F21" s="152"/>
      <c r="G21" s="152" t="s">
        <v>448</v>
      </c>
      <c r="H21" s="152">
        <v>1</v>
      </c>
      <c r="I21" s="152">
        <v>1</v>
      </c>
      <c r="J21" s="152">
        <v>4</v>
      </c>
      <c r="K21" s="157">
        <v>6</v>
      </c>
    </row>
    <row r="22" spans="1:12" x14ac:dyDescent="0.2">
      <c r="A22" s="152" t="s">
        <v>464</v>
      </c>
      <c r="B22" s="156">
        <v>1.0333333333333334</v>
      </c>
      <c r="C22" s="152"/>
      <c r="D22" s="152" t="s">
        <v>1045</v>
      </c>
      <c r="E22" s="152">
        <v>0.96757436112274819</v>
      </c>
      <c r="F22" s="152"/>
      <c r="G22" s="152" t="s">
        <v>446</v>
      </c>
      <c r="H22" s="152"/>
      <c r="I22" s="152">
        <v>2</v>
      </c>
      <c r="J22" s="152">
        <v>3</v>
      </c>
      <c r="K22" s="152">
        <v>5</v>
      </c>
    </row>
    <row r="23" spans="1:12" x14ac:dyDescent="0.2">
      <c r="A23" s="152" t="s">
        <v>510</v>
      </c>
      <c r="B23" s="152">
        <v>1</v>
      </c>
      <c r="C23" s="152"/>
      <c r="D23" s="152"/>
      <c r="E23" s="152"/>
      <c r="F23" s="152"/>
      <c r="G23" s="152" t="s">
        <v>445</v>
      </c>
      <c r="H23" s="152">
        <v>2</v>
      </c>
      <c r="I23" s="152">
        <v>18</v>
      </c>
      <c r="J23" s="156">
        <v>31</v>
      </c>
      <c r="K23" s="152">
        <v>51</v>
      </c>
    </row>
    <row r="24" spans="1:12" x14ac:dyDescent="0.2">
      <c r="A24" s="152" t="s">
        <v>458</v>
      </c>
      <c r="B24" s="156">
        <v>2</v>
      </c>
      <c r="C24" s="152"/>
      <c r="D24" s="152"/>
      <c r="E24" s="152"/>
      <c r="F24" s="152"/>
      <c r="G24" s="152" t="s">
        <v>449</v>
      </c>
      <c r="H24" s="152"/>
      <c r="I24" s="152">
        <v>0</v>
      </c>
      <c r="J24" s="152">
        <v>6</v>
      </c>
      <c r="K24" s="152">
        <v>6</v>
      </c>
    </row>
    <row r="25" spans="1:12" x14ac:dyDescent="0.2">
      <c r="A25" s="152" t="s">
        <v>700</v>
      </c>
      <c r="B25" s="152">
        <v>2</v>
      </c>
      <c r="C25" s="152"/>
      <c r="D25" s="152"/>
      <c r="E25" s="152"/>
      <c r="F25" s="152"/>
      <c r="G25" s="152" t="s">
        <v>447</v>
      </c>
      <c r="H25" s="152"/>
      <c r="I25" s="152">
        <v>4</v>
      </c>
      <c r="J25" s="152">
        <v>4</v>
      </c>
      <c r="K25" s="152">
        <v>8</v>
      </c>
    </row>
    <row r="26" spans="1:12" x14ac:dyDescent="0.2">
      <c r="A26" s="152" t="s">
        <v>594</v>
      </c>
      <c r="B26" s="152">
        <v>3</v>
      </c>
      <c r="C26" s="152"/>
      <c r="D26" s="152"/>
      <c r="E26" s="152"/>
      <c r="F26" s="152"/>
      <c r="G26" s="152" t="s">
        <v>444</v>
      </c>
      <c r="H26" s="152"/>
      <c r="I26" s="156">
        <v>22</v>
      </c>
      <c r="J26" s="152">
        <v>4</v>
      </c>
      <c r="K26" s="152">
        <v>26</v>
      </c>
    </row>
    <row r="27" spans="1:12" x14ac:dyDescent="0.2">
      <c r="A27" s="152" t="s">
        <v>456</v>
      </c>
      <c r="B27" s="156">
        <v>1</v>
      </c>
      <c r="C27" s="152"/>
      <c r="D27" s="152"/>
      <c r="E27" s="152"/>
      <c r="F27" s="152"/>
      <c r="G27" s="152" t="s">
        <v>1045</v>
      </c>
      <c r="H27" s="152">
        <v>3</v>
      </c>
      <c r="I27" s="152">
        <v>61</v>
      </c>
      <c r="J27" s="152">
        <v>84</v>
      </c>
      <c r="K27" s="152">
        <v>148</v>
      </c>
    </row>
    <row r="28" spans="1:12" x14ac:dyDescent="0.2">
      <c r="A28" s="152" t="s">
        <v>1044</v>
      </c>
      <c r="B28" s="152">
        <v>0.97402597402597402</v>
      </c>
      <c r="C28" s="152"/>
      <c r="D28" s="152"/>
      <c r="E28" s="152"/>
      <c r="F28" s="152"/>
    </row>
    <row r="29" spans="1:12" x14ac:dyDescent="0.2">
      <c r="A29" s="152" t="s">
        <v>1045</v>
      </c>
      <c r="B29" s="152">
        <v>0.96757436112274819</v>
      </c>
      <c r="C29" s="152"/>
      <c r="D29" s="152"/>
      <c r="E29" s="152"/>
      <c r="F29" s="152"/>
      <c r="G29" s="152"/>
      <c r="H29" s="152"/>
      <c r="I29" s="152"/>
      <c r="J29" s="152"/>
      <c r="K29" s="152"/>
      <c r="L29" s="152"/>
    </row>
    <row r="31" spans="1:12" s="189" customFormat="1" x14ac:dyDescent="0.2"/>
    <row r="33" spans="1:16" x14ac:dyDescent="0.2">
      <c r="A33" s="158" t="s">
        <v>1086</v>
      </c>
      <c r="B33" s="159"/>
      <c r="D33" s="160"/>
      <c r="O33" s="160" t="s">
        <v>1090</v>
      </c>
    </row>
    <row r="34" spans="1:16" x14ac:dyDescent="0.2">
      <c r="A34" s="158"/>
      <c r="B34" s="159"/>
      <c r="D34" s="160"/>
      <c r="O34" s="160"/>
    </row>
    <row r="35" spans="1:16" x14ac:dyDescent="0.2">
      <c r="A35" s="160" t="s">
        <v>1089</v>
      </c>
      <c r="B35" s="159"/>
      <c r="D35" s="160"/>
      <c r="O35" s="160"/>
    </row>
    <row r="36" spans="1:16" x14ac:dyDescent="0.2">
      <c r="A36" s="161" t="s">
        <v>1097</v>
      </c>
      <c r="B36" s="161" t="s">
        <v>20</v>
      </c>
      <c r="H36" s="161" t="s">
        <v>1097</v>
      </c>
      <c r="I36" s="161" t="s">
        <v>21</v>
      </c>
      <c r="O36" s="161" t="s">
        <v>21</v>
      </c>
      <c r="P36" s="154" t="s">
        <v>1097</v>
      </c>
    </row>
    <row r="37" spans="1:16" x14ac:dyDescent="0.2">
      <c r="A37" s="161" t="s">
        <v>11</v>
      </c>
      <c r="B37" s="154">
        <v>0</v>
      </c>
      <c r="C37" s="154">
        <v>1</v>
      </c>
      <c r="D37" s="154" t="s">
        <v>1045</v>
      </c>
      <c r="H37" s="161" t="s">
        <v>11</v>
      </c>
      <c r="I37" s="154">
        <v>0</v>
      </c>
      <c r="J37" s="154">
        <v>1</v>
      </c>
      <c r="K37" s="154" t="s">
        <v>1045</v>
      </c>
      <c r="O37" s="154">
        <v>0</v>
      </c>
      <c r="P37" s="154">
        <v>1.0491803278688525</v>
      </c>
    </row>
    <row r="38" spans="1:16" x14ac:dyDescent="0.2">
      <c r="A38" s="154" t="s">
        <v>455</v>
      </c>
      <c r="B38" s="152">
        <v>1.0769230769230769</v>
      </c>
      <c r="C38" s="152">
        <v>1</v>
      </c>
      <c r="D38" s="152">
        <v>1.0714285714285714</v>
      </c>
      <c r="H38" s="154" t="s">
        <v>455</v>
      </c>
      <c r="I38" s="152">
        <v>1.0909090909090908</v>
      </c>
      <c r="J38" s="152">
        <v>1</v>
      </c>
      <c r="K38" s="152">
        <v>1.0714285714285714</v>
      </c>
      <c r="O38" s="154">
        <v>1</v>
      </c>
      <c r="P38" s="154">
        <v>0.65625</v>
      </c>
    </row>
    <row r="39" spans="1:16" x14ac:dyDescent="0.2">
      <c r="A39" s="154" t="s">
        <v>457</v>
      </c>
      <c r="B39" s="152">
        <v>1</v>
      </c>
      <c r="C39" s="152"/>
      <c r="D39" s="152">
        <v>1</v>
      </c>
      <c r="H39" s="154" t="s">
        <v>457</v>
      </c>
      <c r="I39" s="152">
        <v>1</v>
      </c>
      <c r="J39" s="152">
        <v>1</v>
      </c>
      <c r="K39" s="152">
        <v>1</v>
      </c>
      <c r="O39" s="154">
        <v>32</v>
      </c>
      <c r="P39" s="154">
        <v>0.97402597402597402</v>
      </c>
    </row>
    <row r="40" spans="1:16" x14ac:dyDescent="0.2">
      <c r="A40" s="154" t="s">
        <v>697</v>
      </c>
      <c r="B40" s="152"/>
      <c r="C40" s="152">
        <v>2</v>
      </c>
      <c r="D40" s="152">
        <v>2</v>
      </c>
      <c r="H40" s="154" t="s">
        <v>697</v>
      </c>
      <c r="I40" s="152">
        <v>2</v>
      </c>
      <c r="J40" s="152"/>
      <c r="K40" s="152">
        <v>2</v>
      </c>
      <c r="O40" s="154" t="s">
        <v>1044</v>
      </c>
    </row>
    <row r="41" spans="1:16" x14ac:dyDescent="0.2">
      <c r="A41" s="154" t="s">
        <v>520</v>
      </c>
      <c r="B41" s="152">
        <v>2</v>
      </c>
      <c r="C41" s="152"/>
      <c r="D41" s="152">
        <v>2</v>
      </c>
      <c r="H41" s="154" t="s">
        <v>520</v>
      </c>
      <c r="I41" s="152">
        <v>2</v>
      </c>
      <c r="J41" s="152">
        <v>2</v>
      </c>
      <c r="K41" s="152">
        <v>2</v>
      </c>
      <c r="O41" s="154" t="s">
        <v>1045</v>
      </c>
      <c r="P41" s="154">
        <v>0.96757436112274819</v>
      </c>
    </row>
    <row r="42" spans="1:16" x14ac:dyDescent="0.2">
      <c r="A42" s="154" t="s">
        <v>464</v>
      </c>
      <c r="B42" s="152">
        <v>1.0344827586206897</v>
      </c>
      <c r="C42" s="152">
        <v>1</v>
      </c>
      <c r="D42" s="152">
        <v>1.0333333333333334</v>
      </c>
      <c r="H42" s="154" t="s">
        <v>464</v>
      </c>
      <c r="I42" s="156">
        <v>1.0555555555555556</v>
      </c>
      <c r="J42" s="152">
        <v>1</v>
      </c>
      <c r="K42" s="152">
        <v>1.0333333333333334</v>
      </c>
    </row>
    <row r="43" spans="1:16" x14ac:dyDescent="0.2">
      <c r="A43" s="154" t="s">
        <v>510</v>
      </c>
      <c r="B43" s="152">
        <v>1</v>
      </c>
      <c r="C43" s="152"/>
      <c r="D43" s="152">
        <v>1</v>
      </c>
      <c r="H43" s="154" t="s">
        <v>510</v>
      </c>
      <c r="I43" s="152">
        <v>1</v>
      </c>
      <c r="J43" s="152"/>
      <c r="K43" s="152">
        <v>1</v>
      </c>
      <c r="O43" s="161" t="s">
        <v>20</v>
      </c>
      <c r="P43" s="154" t="s">
        <v>1097</v>
      </c>
    </row>
    <row r="44" spans="1:16" x14ac:dyDescent="0.2">
      <c r="A44" s="154" t="s">
        <v>458</v>
      </c>
      <c r="B44" s="152">
        <v>2</v>
      </c>
      <c r="C44" s="156">
        <v>2</v>
      </c>
      <c r="D44" s="152">
        <v>2</v>
      </c>
      <c r="H44" s="154" t="s">
        <v>458</v>
      </c>
      <c r="I44" s="156">
        <v>2</v>
      </c>
      <c r="J44" s="152"/>
      <c r="K44" s="152">
        <v>2</v>
      </c>
      <c r="O44" s="154">
        <v>0</v>
      </c>
      <c r="P44" s="154">
        <v>0.92592592592592593</v>
      </c>
    </row>
    <row r="45" spans="1:16" x14ac:dyDescent="0.2">
      <c r="A45" s="154" t="s">
        <v>700</v>
      </c>
      <c r="B45" s="152"/>
      <c r="C45" s="152">
        <v>2</v>
      </c>
      <c r="D45" s="152">
        <v>2</v>
      </c>
      <c r="H45" s="154" t="s">
        <v>700</v>
      </c>
      <c r="I45" s="152">
        <v>2</v>
      </c>
      <c r="J45" s="152"/>
      <c r="K45" s="152">
        <v>2</v>
      </c>
      <c r="O45" s="154">
        <v>1</v>
      </c>
      <c r="P45" s="154">
        <v>1.263157894736842</v>
      </c>
    </row>
    <row r="46" spans="1:16" x14ac:dyDescent="0.2">
      <c r="A46" s="154" t="s">
        <v>594</v>
      </c>
      <c r="B46" s="152">
        <v>3</v>
      </c>
      <c r="C46" s="152"/>
      <c r="D46" s="152">
        <v>3</v>
      </c>
      <c r="H46" s="154" t="s">
        <v>594</v>
      </c>
      <c r="I46" s="152">
        <v>3</v>
      </c>
      <c r="J46" s="152"/>
      <c r="K46" s="152">
        <v>3</v>
      </c>
      <c r="O46" s="154">
        <v>19</v>
      </c>
      <c r="P46" s="154">
        <v>0.97402597402597402</v>
      </c>
    </row>
    <row r="47" spans="1:16" x14ac:dyDescent="0.2">
      <c r="A47" s="154" t="s">
        <v>456</v>
      </c>
      <c r="B47" s="152">
        <v>1</v>
      </c>
      <c r="C47" s="156">
        <v>1</v>
      </c>
      <c r="D47" s="152">
        <v>1</v>
      </c>
      <c r="H47" s="154" t="s">
        <v>456</v>
      </c>
      <c r="I47" s="156">
        <v>1</v>
      </c>
      <c r="J47" s="152"/>
      <c r="K47" s="152">
        <v>1</v>
      </c>
      <c r="O47" s="154" t="s">
        <v>1044</v>
      </c>
    </row>
    <row r="48" spans="1:16" x14ac:dyDescent="0.2">
      <c r="A48" s="154" t="s">
        <v>1045</v>
      </c>
      <c r="B48" s="152">
        <v>1.1904761904761905</v>
      </c>
      <c r="C48" s="152">
        <v>1.263157894736842</v>
      </c>
      <c r="D48" s="152">
        <v>1.2016129032258065</v>
      </c>
      <c r="H48" s="154" t="s">
        <v>1045</v>
      </c>
      <c r="I48" s="152">
        <v>1.2307692307692308</v>
      </c>
      <c r="J48" s="152">
        <v>1.05</v>
      </c>
      <c r="K48" s="152">
        <v>1.2016129032258065</v>
      </c>
      <c r="O48" s="154" t="s">
        <v>1045</v>
      </c>
      <c r="P48" s="154">
        <v>0.96757436112274819</v>
      </c>
    </row>
    <row r="52" spans="1:21" ht="17" thickBot="1" x14ac:dyDescent="0.25"/>
    <row r="53" spans="1:21" x14ac:dyDescent="0.2">
      <c r="A53" s="162"/>
      <c r="B53" s="163" t="s">
        <v>21</v>
      </c>
      <c r="C53" s="163" t="s">
        <v>1105</v>
      </c>
      <c r="D53" s="164"/>
      <c r="E53" s="164"/>
      <c r="F53" s="164"/>
      <c r="G53" s="165"/>
      <c r="O53" s="161" t="s">
        <v>1097</v>
      </c>
      <c r="P53" s="161" t="s">
        <v>1098</v>
      </c>
    </row>
    <row r="54" spans="1:21" x14ac:dyDescent="0.2">
      <c r="A54" s="166"/>
      <c r="B54" s="154">
        <v>0</v>
      </c>
      <c r="D54" s="154">
        <v>1</v>
      </c>
      <c r="F54" s="154" t="s">
        <v>1107</v>
      </c>
      <c r="G54" s="167" t="s">
        <v>1136</v>
      </c>
      <c r="O54" s="161" t="s">
        <v>21</v>
      </c>
      <c r="P54" s="154" t="s">
        <v>1100</v>
      </c>
      <c r="Q54" s="154" t="s">
        <v>1099</v>
      </c>
      <c r="R54" s="154" t="s">
        <v>1045</v>
      </c>
    </row>
    <row r="55" spans="1:21" x14ac:dyDescent="0.2">
      <c r="A55" s="168" t="s">
        <v>24</v>
      </c>
      <c r="B55" s="154" t="s">
        <v>1087</v>
      </c>
      <c r="C55" s="154" t="s">
        <v>1137</v>
      </c>
      <c r="D55" s="154" t="s">
        <v>1087</v>
      </c>
      <c r="E55" s="154" t="s">
        <v>1137</v>
      </c>
      <c r="G55" s="167"/>
      <c r="O55" s="154">
        <v>0</v>
      </c>
      <c r="P55" s="152">
        <v>1</v>
      </c>
      <c r="Q55" s="156">
        <v>1.0495867768595042</v>
      </c>
      <c r="R55" s="152">
        <v>1.0491803278688525</v>
      </c>
    </row>
    <row r="56" spans="1:21" x14ac:dyDescent="0.2">
      <c r="A56" s="169" t="s">
        <v>493</v>
      </c>
      <c r="B56" s="170">
        <v>0.86842105263157898</v>
      </c>
      <c r="C56" s="171">
        <v>66</v>
      </c>
      <c r="D56" s="172">
        <v>0.13157894736842105</v>
      </c>
      <c r="E56" s="173">
        <v>10</v>
      </c>
      <c r="F56" s="172">
        <v>1</v>
      </c>
      <c r="G56" s="174">
        <v>76</v>
      </c>
      <c r="O56" s="154">
        <v>1</v>
      </c>
      <c r="P56" s="152"/>
      <c r="Q56" s="152">
        <v>0.65625</v>
      </c>
      <c r="R56" s="152">
        <v>0.65625</v>
      </c>
    </row>
    <row r="57" spans="1:21" x14ac:dyDescent="0.2">
      <c r="A57" s="169" t="s">
        <v>491</v>
      </c>
      <c r="B57" s="170">
        <v>0.72</v>
      </c>
      <c r="C57" s="171">
        <v>54</v>
      </c>
      <c r="D57" s="172">
        <v>0.28000000000000003</v>
      </c>
      <c r="E57" s="173">
        <v>21</v>
      </c>
      <c r="F57" s="172">
        <v>1</v>
      </c>
      <c r="G57" s="174">
        <v>75</v>
      </c>
      <c r="O57" s="154" t="s">
        <v>1045</v>
      </c>
      <c r="P57" s="154">
        <v>1</v>
      </c>
      <c r="Q57" s="154">
        <v>0.9673202614379085</v>
      </c>
      <c r="R57" s="154">
        <v>0.96753246753246758</v>
      </c>
    </row>
    <row r="58" spans="1:21" ht="17" thickBot="1" x14ac:dyDescent="0.25">
      <c r="A58" s="175" t="s">
        <v>1045</v>
      </c>
      <c r="B58" s="176">
        <v>0.79470198675496684</v>
      </c>
      <c r="C58" s="177">
        <v>120</v>
      </c>
      <c r="D58" s="176">
        <v>0.20529801324503311</v>
      </c>
      <c r="E58" s="177">
        <v>31</v>
      </c>
      <c r="F58" s="176">
        <v>1</v>
      </c>
      <c r="G58" s="178">
        <v>151</v>
      </c>
    </row>
    <row r="62" spans="1:21" x14ac:dyDescent="0.2">
      <c r="P62" s="161" t="s">
        <v>21</v>
      </c>
      <c r="Q62" s="161" t="s">
        <v>1105</v>
      </c>
    </row>
    <row r="63" spans="1:21" x14ac:dyDescent="0.2">
      <c r="H63" s="161" t="s">
        <v>1087</v>
      </c>
      <c r="I63" s="161" t="s">
        <v>21</v>
      </c>
      <c r="P63" s="154">
        <v>0</v>
      </c>
      <c r="R63" s="154">
        <v>1</v>
      </c>
      <c r="T63" s="154" t="s">
        <v>1107</v>
      </c>
      <c r="U63" s="154" t="s">
        <v>1136</v>
      </c>
    </row>
    <row r="64" spans="1:21" x14ac:dyDescent="0.2">
      <c r="H64" s="161" t="s">
        <v>26</v>
      </c>
      <c r="I64" s="154">
        <v>0</v>
      </c>
      <c r="J64" s="154">
        <v>1</v>
      </c>
      <c r="K64" s="154" t="s">
        <v>1045</v>
      </c>
      <c r="O64" s="161" t="s">
        <v>25</v>
      </c>
      <c r="P64" s="179" t="s">
        <v>1087</v>
      </c>
      <c r="Q64" s="154" t="s">
        <v>1137</v>
      </c>
      <c r="R64" s="154" t="s">
        <v>1087</v>
      </c>
      <c r="S64" s="154" t="s">
        <v>1137</v>
      </c>
    </row>
    <row r="65" spans="1:21" x14ac:dyDescent="0.2">
      <c r="H65" s="154" t="s">
        <v>511</v>
      </c>
      <c r="I65" s="154">
        <v>8</v>
      </c>
      <c r="J65" s="154">
        <v>1</v>
      </c>
      <c r="K65" s="154">
        <v>9</v>
      </c>
      <c r="O65" s="154" t="s">
        <v>486</v>
      </c>
      <c r="P65" s="179">
        <v>0.90909090909090906</v>
      </c>
      <c r="Q65" s="154">
        <v>10</v>
      </c>
      <c r="R65" s="179">
        <v>9.0909090909090912E-2</v>
      </c>
      <c r="S65" s="154">
        <v>1</v>
      </c>
      <c r="T65" s="179">
        <v>1</v>
      </c>
      <c r="U65" s="154">
        <v>11</v>
      </c>
    </row>
    <row r="66" spans="1:21" x14ac:dyDescent="0.2">
      <c r="H66" s="154" t="s">
        <v>484</v>
      </c>
      <c r="I66" s="154">
        <v>99</v>
      </c>
      <c r="J66" s="154">
        <v>17</v>
      </c>
      <c r="K66" s="154">
        <v>116</v>
      </c>
      <c r="O66" s="154" t="s">
        <v>507</v>
      </c>
      <c r="P66" s="180">
        <v>0.75454545454545452</v>
      </c>
      <c r="Q66" s="181">
        <v>83</v>
      </c>
      <c r="R66" s="180">
        <v>0.24545454545454545</v>
      </c>
      <c r="S66" s="181">
        <v>27</v>
      </c>
      <c r="T66" s="179">
        <v>1</v>
      </c>
      <c r="U66" s="154">
        <v>110</v>
      </c>
    </row>
    <row r="67" spans="1:21" x14ac:dyDescent="0.2">
      <c r="H67" s="154" t="s">
        <v>473</v>
      </c>
      <c r="I67" s="154">
        <v>16</v>
      </c>
      <c r="J67" s="154">
        <v>13</v>
      </c>
      <c r="K67" s="154">
        <v>29</v>
      </c>
      <c r="O67" s="154" t="s">
        <v>485</v>
      </c>
      <c r="P67" s="179">
        <v>0.90909090909090906</v>
      </c>
      <c r="Q67" s="154">
        <v>10</v>
      </c>
      <c r="R67" s="179">
        <v>9.0909090909090912E-2</v>
      </c>
      <c r="S67" s="154">
        <v>1</v>
      </c>
      <c r="T67" s="179">
        <v>1</v>
      </c>
      <c r="U67" s="154">
        <v>11</v>
      </c>
    </row>
    <row r="68" spans="1:21" x14ac:dyDescent="0.2">
      <c r="H68" s="154" t="s">
        <v>1045</v>
      </c>
      <c r="I68" s="154">
        <v>123</v>
      </c>
      <c r="J68" s="154">
        <v>31</v>
      </c>
      <c r="K68" s="154">
        <v>154</v>
      </c>
      <c r="O68" s="154" t="s">
        <v>492</v>
      </c>
      <c r="P68" s="179">
        <v>0.90909090909090906</v>
      </c>
      <c r="Q68" s="154">
        <v>20</v>
      </c>
      <c r="R68" s="179">
        <v>9.0909090909090912E-2</v>
      </c>
      <c r="S68" s="154">
        <v>2</v>
      </c>
      <c r="T68" s="179">
        <v>1</v>
      </c>
      <c r="U68" s="154">
        <v>22</v>
      </c>
    </row>
    <row r="69" spans="1:21" x14ac:dyDescent="0.2">
      <c r="O69" s="154" t="s">
        <v>1045</v>
      </c>
      <c r="P69" s="179">
        <v>0.79870129870129869</v>
      </c>
      <c r="Q69" s="154">
        <v>123</v>
      </c>
      <c r="R69" s="179">
        <v>0.20129870129870131</v>
      </c>
      <c r="S69" s="154">
        <v>31</v>
      </c>
      <c r="T69" s="179">
        <v>1</v>
      </c>
      <c r="U69" s="154">
        <v>154</v>
      </c>
    </row>
    <row r="70" spans="1:21" s="189" customFormat="1" x14ac:dyDescent="0.2"/>
    <row r="71" spans="1:21" x14ac:dyDescent="0.2">
      <c r="A71" s="158" t="s">
        <v>1091</v>
      </c>
    </row>
    <row r="72" spans="1:21" x14ac:dyDescent="0.2">
      <c r="A72" s="158" t="s">
        <v>1095</v>
      </c>
    </row>
    <row r="73" spans="1:21" x14ac:dyDescent="0.2">
      <c r="B73" s="161" t="s">
        <v>1093</v>
      </c>
      <c r="C73" s="161" t="s">
        <v>1105</v>
      </c>
    </row>
    <row r="74" spans="1:21" x14ac:dyDescent="0.2">
      <c r="B74" s="154" t="s">
        <v>493</v>
      </c>
      <c r="D74" s="154" t="s">
        <v>491</v>
      </c>
      <c r="F74" s="154" t="s">
        <v>1107</v>
      </c>
      <c r="G74" s="154" t="s">
        <v>1136</v>
      </c>
    </row>
    <row r="75" spans="1:21" x14ac:dyDescent="0.2">
      <c r="A75" s="161" t="s">
        <v>19</v>
      </c>
      <c r="B75" s="154" t="s">
        <v>1087</v>
      </c>
      <c r="C75" s="154" t="s">
        <v>1137</v>
      </c>
      <c r="D75" s="154" t="s">
        <v>1087</v>
      </c>
      <c r="E75" s="154" t="s">
        <v>1137</v>
      </c>
    </row>
    <row r="76" spans="1:21" x14ac:dyDescent="0.2">
      <c r="A76" s="154" t="s">
        <v>1042</v>
      </c>
      <c r="B76" s="170">
        <v>0.5714285714285714</v>
      </c>
      <c r="C76" s="171">
        <v>4</v>
      </c>
      <c r="D76" s="170">
        <v>0.42857142857142855</v>
      </c>
      <c r="E76" s="171">
        <v>3</v>
      </c>
      <c r="F76" s="170">
        <v>1</v>
      </c>
      <c r="G76" s="171">
        <v>7</v>
      </c>
    </row>
    <row r="77" spans="1:21" x14ac:dyDescent="0.2">
      <c r="A77" s="154" t="s">
        <v>517</v>
      </c>
      <c r="B77" s="170">
        <v>0</v>
      </c>
      <c r="C77" s="171"/>
      <c r="D77" s="170">
        <v>1</v>
      </c>
      <c r="E77" s="171">
        <v>6</v>
      </c>
      <c r="F77" s="170">
        <v>1</v>
      </c>
      <c r="G77" s="171">
        <v>6</v>
      </c>
    </row>
    <row r="78" spans="1:21" x14ac:dyDescent="0.2">
      <c r="A78" s="154" t="s">
        <v>466</v>
      </c>
      <c r="B78" s="170">
        <v>0.65</v>
      </c>
      <c r="C78" s="171">
        <v>26</v>
      </c>
      <c r="D78" s="170">
        <v>0.35</v>
      </c>
      <c r="E78" s="171">
        <v>14</v>
      </c>
      <c r="F78" s="170">
        <v>1</v>
      </c>
      <c r="G78" s="171">
        <v>40</v>
      </c>
    </row>
    <row r="79" spans="1:21" x14ac:dyDescent="0.2">
      <c r="A79" s="154" t="s">
        <v>467</v>
      </c>
      <c r="B79" s="170">
        <v>0.5</v>
      </c>
      <c r="C79" s="171">
        <v>1</v>
      </c>
      <c r="D79" s="170">
        <v>0.5</v>
      </c>
      <c r="E79" s="171">
        <v>1</v>
      </c>
      <c r="F79" s="170">
        <v>1</v>
      </c>
      <c r="G79" s="171">
        <v>2</v>
      </c>
    </row>
    <row r="80" spans="1:21" x14ac:dyDescent="0.2">
      <c r="A80" s="154" t="s">
        <v>439</v>
      </c>
      <c r="B80" s="170">
        <v>1</v>
      </c>
      <c r="C80" s="171">
        <v>1</v>
      </c>
      <c r="D80" s="170">
        <v>0</v>
      </c>
      <c r="E80" s="171"/>
      <c r="F80" s="170">
        <v>1</v>
      </c>
      <c r="G80" s="171">
        <v>1</v>
      </c>
    </row>
    <row r="81" spans="1:13" x14ac:dyDescent="0.2">
      <c r="A81" s="154" t="s">
        <v>465</v>
      </c>
      <c r="B81" s="170">
        <v>0.55000000000000004</v>
      </c>
      <c r="C81" s="171">
        <v>11</v>
      </c>
      <c r="D81" s="170">
        <v>0.45</v>
      </c>
      <c r="E81" s="171">
        <v>9</v>
      </c>
      <c r="F81" s="170">
        <v>1</v>
      </c>
      <c r="G81" s="171">
        <v>20</v>
      </c>
    </row>
    <row r="82" spans="1:13" x14ac:dyDescent="0.2">
      <c r="A82" s="154" t="s">
        <v>487</v>
      </c>
      <c r="B82" s="170">
        <v>0.625</v>
      </c>
      <c r="C82" s="171">
        <v>25</v>
      </c>
      <c r="D82" s="170">
        <v>0.375</v>
      </c>
      <c r="E82" s="171">
        <v>15</v>
      </c>
      <c r="F82" s="170">
        <v>1</v>
      </c>
      <c r="G82" s="171">
        <v>40</v>
      </c>
    </row>
    <row r="83" spans="1:13" x14ac:dyDescent="0.2">
      <c r="A83" s="154" t="s">
        <v>515</v>
      </c>
      <c r="B83" s="170">
        <v>0.19354838709677419</v>
      </c>
      <c r="C83" s="171">
        <v>6</v>
      </c>
      <c r="D83" s="170">
        <v>0.80645161290322576</v>
      </c>
      <c r="E83" s="171">
        <v>25</v>
      </c>
      <c r="F83" s="170">
        <v>1</v>
      </c>
      <c r="G83" s="171">
        <v>31</v>
      </c>
    </row>
    <row r="84" spans="1:13" x14ac:dyDescent="0.2">
      <c r="A84" s="154" t="s">
        <v>1045</v>
      </c>
      <c r="B84" s="179">
        <v>0.50340136054421769</v>
      </c>
      <c r="C84" s="154">
        <v>74</v>
      </c>
      <c r="D84" s="179">
        <v>0.49659863945578231</v>
      </c>
      <c r="E84" s="154">
        <v>73</v>
      </c>
      <c r="F84" s="179">
        <v>1</v>
      </c>
      <c r="G84" s="154">
        <v>147</v>
      </c>
    </row>
    <row r="87" spans="1:13" x14ac:dyDescent="0.2">
      <c r="A87" s="158" t="s">
        <v>1096</v>
      </c>
    </row>
    <row r="88" spans="1:13" x14ac:dyDescent="0.2">
      <c r="B88" s="161" t="s">
        <v>13</v>
      </c>
      <c r="C88" s="161" t="s">
        <v>1105</v>
      </c>
    </row>
    <row r="89" spans="1:13" x14ac:dyDescent="0.2">
      <c r="B89" s="154" t="s">
        <v>461</v>
      </c>
      <c r="D89" s="154" t="s">
        <v>460</v>
      </c>
      <c r="F89" s="154" t="s">
        <v>459</v>
      </c>
      <c r="H89" s="154" t="s">
        <v>508</v>
      </c>
      <c r="J89" s="154" t="s">
        <v>527</v>
      </c>
      <c r="L89" s="154" t="s">
        <v>1107</v>
      </c>
      <c r="M89" s="154" t="s">
        <v>1136</v>
      </c>
    </row>
    <row r="90" spans="1:13" x14ac:dyDescent="0.2">
      <c r="A90" s="161" t="s">
        <v>19</v>
      </c>
      <c r="B90" s="154" t="s">
        <v>1087</v>
      </c>
      <c r="C90" s="154" t="s">
        <v>1137</v>
      </c>
      <c r="D90" s="154" t="s">
        <v>1087</v>
      </c>
      <c r="E90" s="154" t="s">
        <v>1137</v>
      </c>
      <c r="F90" s="154" t="s">
        <v>1087</v>
      </c>
      <c r="G90" s="154" t="s">
        <v>1137</v>
      </c>
      <c r="H90" s="154" t="s">
        <v>1087</v>
      </c>
      <c r="I90" s="154" t="s">
        <v>1137</v>
      </c>
      <c r="J90" s="154" t="s">
        <v>1087</v>
      </c>
      <c r="K90" s="154" t="s">
        <v>1137</v>
      </c>
    </row>
    <row r="91" spans="1:13" x14ac:dyDescent="0.2">
      <c r="A91" s="154" t="s">
        <v>1042</v>
      </c>
      <c r="B91" s="182">
        <v>0.5</v>
      </c>
      <c r="C91" s="154">
        <v>4</v>
      </c>
      <c r="D91" s="182">
        <v>0.125</v>
      </c>
      <c r="E91" s="154">
        <v>1</v>
      </c>
      <c r="F91" s="182">
        <v>0.125</v>
      </c>
      <c r="G91" s="154">
        <v>1</v>
      </c>
      <c r="H91" s="182">
        <v>0.25</v>
      </c>
      <c r="I91" s="154">
        <v>2</v>
      </c>
      <c r="J91" s="182">
        <v>0</v>
      </c>
      <c r="L91" s="182">
        <v>1</v>
      </c>
      <c r="M91" s="154">
        <v>8</v>
      </c>
    </row>
    <row r="92" spans="1:13" x14ac:dyDescent="0.2">
      <c r="A92" s="154" t="s">
        <v>517</v>
      </c>
      <c r="B92" s="182">
        <v>0.33333333333333331</v>
      </c>
      <c r="C92" s="154">
        <v>2</v>
      </c>
      <c r="D92" s="182">
        <v>0.16666666666666666</v>
      </c>
      <c r="E92" s="154">
        <v>1</v>
      </c>
      <c r="F92" s="182">
        <v>0</v>
      </c>
      <c r="H92" s="182">
        <v>0.5</v>
      </c>
      <c r="I92" s="154">
        <v>3</v>
      </c>
      <c r="J92" s="182">
        <v>0</v>
      </c>
      <c r="L92" s="182">
        <v>1</v>
      </c>
      <c r="M92" s="154">
        <v>6</v>
      </c>
    </row>
    <row r="93" spans="1:13" x14ac:dyDescent="0.2">
      <c r="A93" s="154" t="s">
        <v>466</v>
      </c>
      <c r="B93" s="183">
        <v>0.52380952380952384</v>
      </c>
      <c r="C93" s="184">
        <v>22</v>
      </c>
      <c r="D93" s="182">
        <v>0.21428571428571427</v>
      </c>
      <c r="E93" s="154">
        <v>9</v>
      </c>
      <c r="F93" s="182">
        <v>7.1428571428571425E-2</v>
      </c>
      <c r="G93" s="154">
        <v>3</v>
      </c>
      <c r="H93" s="182">
        <v>0.16666666666666666</v>
      </c>
      <c r="I93" s="154">
        <v>7</v>
      </c>
      <c r="J93" s="182">
        <v>2.3809523809523808E-2</v>
      </c>
      <c r="K93" s="154">
        <v>1</v>
      </c>
      <c r="L93" s="182">
        <v>1</v>
      </c>
      <c r="M93" s="154">
        <v>42</v>
      </c>
    </row>
    <row r="94" spans="1:13" x14ac:dyDescent="0.2">
      <c r="A94" s="154" t="s">
        <v>467</v>
      </c>
      <c r="B94" s="182">
        <v>1</v>
      </c>
      <c r="C94" s="154">
        <v>2</v>
      </c>
      <c r="D94" s="182">
        <v>0</v>
      </c>
      <c r="F94" s="182">
        <v>0</v>
      </c>
      <c r="H94" s="182">
        <v>0</v>
      </c>
      <c r="J94" s="182">
        <v>0</v>
      </c>
      <c r="L94" s="182">
        <v>1</v>
      </c>
      <c r="M94" s="154">
        <v>2</v>
      </c>
    </row>
    <row r="95" spans="1:13" x14ac:dyDescent="0.2">
      <c r="A95" s="154" t="s">
        <v>465</v>
      </c>
      <c r="B95" s="183">
        <v>0.45454545454545453</v>
      </c>
      <c r="C95" s="184">
        <v>10</v>
      </c>
      <c r="D95" s="182">
        <v>9.0909090909090912E-2</v>
      </c>
      <c r="E95" s="154">
        <v>2</v>
      </c>
      <c r="F95" s="182">
        <v>4.5454545454545456E-2</v>
      </c>
      <c r="G95" s="154">
        <v>1</v>
      </c>
      <c r="H95" s="182">
        <v>0.40909090909090912</v>
      </c>
      <c r="I95" s="154">
        <v>9</v>
      </c>
      <c r="J95" s="182">
        <v>0</v>
      </c>
      <c r="L95" s="182">
        <v>1</v>
      </c>
      <c r="M95" s="154">
        <v>22</v>
      </c>
    </row>
    <row r="96" spans="1:13" x14ac:dyDescent="0.2">
      <c r="A96" s="154" t="s">
        <v>487</v>
      </c>
      <c r="B96" s="183">
        <v>0.48780487804878048</v>
      </c>
      <c r="C96" s="184">
        <v>20</v>
      </c>
      <c r="D96" s="182">
        <v>0.21951219512195122</v>
      </c>
      <c r="E96" s="154">
        <v>9</v>
      </c>
      <c r="F96" s="182">
        <v>2.4390243902439025E-2</v>
      </c>
      <c r="G96" s="154">
        <v>1</v>
      </c>
      <c r="H96" s="182">
        <v>0.24390243902439024</v>
      </c>
      <c r="I96" s="154">
        <v>10</v>
      </c>
      <c r="J96" s="182">
        <v>2.4390243902439025E-2</v>
      </c>
      <c r="K96" s="154">
        <v>1</v>
      </c>
      <c r="L96" s="182">
        <v>1</v>
      </c>
      <c r="M96" s="154">
        <v>41</v>
      </c>
    </row>
    <row r="97" spans="1:52" x14ac:dyDescent="0.2">
      <c r="A97" s="154" t="s">
        <v>515</v>
      </c>
      <c r="B97" s="182">
        <v>0.28125</v>
      </c>
      <c r="C97" s="154">
        <v>9</v>
      </c>
      <c r="D97" s="182">
        <v>0.1875</v>
      </c>
      <c r="E97" s="154">
        <v>6</v>
      </c>
      <c r="F97" s="182">
        <v>3.125E-2</v>
      </c>
      <c r="G97" s="154">
        <v>1</v>
      </c>
      <c r="H97" s="183">
        <v>0.46875</v>
      </c>
      <c r="I97" s="184">
        <v>15</v>
      </c>
      <c r="J97" s="182">
        <v>3.125E-2</v>
      </c>
      <c r="K97" s="154">
        <v>1</v>
      </c>
      <c r="L97" s="182">
        <v>1</v>
      </c>
      <c r="M97" s="154">
        <v>32</v>
      </c>
    </row>
    <row r="98" spans="1:52" x14ac:dyDescent="0.2">
      <c r="A98" s="154" t="s">
        <v>1045</v>
      </c>
      <c r="B98" s="182">
        <v>0.45098039215686275</v>
      </c>
      <c r="C98" s="154">
        <v>69</v>
      </c>
      <c r="D98" s="182">
        <v>0.18300653594771241</v>
      </c>
      <c r="E98" s="154">
        <v>28</v>
      </c>
      <c r="F98" s="182">
        <v>4.5751633986928102E-2</v>
      </c>
      <c r="G98" s="154">
        <v>7</v>
      </c>
      <c r="H98" s="182">
        <v>0.30065359477124182</v>
      </c>
      <c r="I98" s="154">
        <v>46</v>
      </c>
      <c r="J98" s="182">
        <v>1.9607843137254902E-2</v>
      </c>
      <c r="K98" s="154">
        <v>3</v>
      </c>
      <c r="L98" s="182">
        <v>1</v>
      </c>
      <c r="M98" s="154">
        <v>153</v>
      </c>
    </row>
    <row r="102" spans="1:52" x14ac:dyDescent="0.2">
      <c r="A102" s="158" t="s">
        <v>1102</v>
      </c>
    </row>
    <row r="103" spans="1:52" x14ac:dyDescent="0.2">
      <c r="A103" s="161" t="s">
        <v>435</v>
      </c>
      <c r="B103" s="154" t="s">
        <v>1097</v>
      </c>
      <c r="I103" s="154" t="s">
        <v>1104</v>
      </c>
      <c r="O103" s="154" t="s">
        <v>0</v>
      </c>
      <c r="P103" s="154" t="s">
        <v>1</v>
      </c>
      <c r="Q103" s="154" t="s">
        <v>2</v>
      </c>
      <c r="R103" s="154" t="s">
        <v>3</v>
      </c>
      <c r="S103" s="154" t="s">
        <v>690</v>
      </c>
      <c r="T103" s="154" t="s">
        <v>6</v>
      </c>
      <c r="U103" s="154" t="s">
        <v>4</v>
      </c>
      <c r="V103" s="154" t="s">
        <v>5</v>
      </c>
      <c r="W103" s="154" t="s">
        <v>7</v>
      </c>
      <c r="X103" s="154" t="s">
        <v>8</v>
      </c>
      <c r="Y103" s="154" t="s">
        <v>9</v>
      </c>
      <c r="Z103" s="154" t="s">
        <v>10</v>
      </c>
      <c r="AA103" s="154" t="s">
        <v>11</v>
      </c>
      <c r="AB103" s="154" t="s">
        <v>12</v>
      </c>
      <c r="AC103" s="154" t="s">
        <v>13</v>
      </c>
      <c r="AD103" s="154" t="s">
        <v>490</v>
      </c>
      <c r="AE103" s="154" t="s">
        <v>14</v>
      </c>
      <c r="AF103" s="154" t="s">
        <v>15</v>
      </c>
      <c r="AG103" s="154" t="s">
        <v>16</v>
      </c>
      <c r="AH103" s="154" t="s">
        <v>17</v>
      </c>
      <c r="AI103" s="154" t="s">
        <v>1040</v>
      </c>
      <c r="AJ103" s="154" t="s">
        <v>19</v>
      </c>
      <c r="AK103" s="154" t="s">
        <v>20</v>
      </c>
      <c r="AL103" s="154" t="s">
        <v>21</v>
      </c>
      <c r="AM103" s="154" t="s">
        <v>496</v>
      </c>
      <c r="AN103" s="154" t="s">
        <v>495</v>
      </c>
      <c r="AO103" s="154" t="s">
        <v>22</v>
      </c>
      <c r="AP103" s="154" t="s">
        <v>23</v>
      </c>
      <c r="AQ103" s="154" t="s">
        <v>1092</v>
      </c>
      <c r="AR103" s="154" t="s">
        <v>24</v>
      </c>
      <c r="AS103" s="154" t="s">
        <v>1093</v>
      </c>
      <c r="AT103" s="154" t="s">
        <v>25</v>
      </c>
      <c r="AU103" s="154" t="s">
        <v>26</v>
      </c>
      <c r="AV103" s="154" t="s">
        <v>27</v>
      </c>
      <c r="AW103" s="154" t="s">
        <v>1103</v>
      </c>
      <c r="AX103" s="154" t="s">
        <v>701</v>
      </c>
      <c r="AY103" s="154" t="s">
        <v>435</v>
      </c>
      <c r="AZ103" s="154" t="s">
        <v>1098</v>
      </c>
    </row>
    <row r="104" spans="1:52" x14ac:dyDescent="0.2">
      <c r="A104" s="154" t="s">
        <v>435</v>
      </c>
      <c r="B104" s="185">
        <v>0.82352941176470584</v>
      </c>
      <c r="D104" s="161" t="s">
        <v>1097</v>
      </c>
      <c r="E104" s="161" t="s">
        <v>435</v>
      </c>
      <c r="I104" s="161" t="s">
        <v>1087</v>
      </c>
      <c r="J104" s="161" t="s">
        <v>435</v>
      </c>
      <c r="O104" s="154" t="s">
        <v>148</v>
      </c>
      <c r="P104" s="154" t="s">
        <v>607</v>
      </c>
      <c r="Q104" s="154" t="s">
        <v>606</v>
      </c>
      <c r="R104" s="154" t="s">
        <v>604</v>
      </c>
      <c r="S104" s="154" t="s">
        <v>691</v>
      </c>
      <c r="T104" s="154" t="s">
        <v>528</v>
      </c>
      <c r="U104" s="154" t="s">
        <v>435</v>
      </c>
      <c r="V104" s="154" t="s">
        <v>442</v>
      </c>
      <c r="W104" s="154" t="s">
        <v>452</v>
      </c>
      <c r="X104" s="154" t="s">
        <v>453</v>
      </c>
      <c r="Y104" s="154">
        <v>1</v>
      </c>
      <c r="Z104" s="154">
        <v>0</v>
      </c>
      <c r="AA104" s="154" t="s">
        <v>483</v>
      </c>
      <c r="AB104" s="154">
        <v>0</v>
      </c>
      <c r="AC104" s="154" t="s">
        <v>508</v>
      </c>
      <c r="AD104" s="154">
        <v>3</v>
      </c>
      <c r="AE104" s="154" t="s">
        <v>483</v>
      </c>
      <c r="AF104" s="154" t="s">
        <v>483</v>
      </c>
      <c r="AG104" s="154">
        <v>0</v>
      </c>
      <c r="AH104" s="154">
        <v>1</v>
      </c>
      <c r="AI104" s="154" t="s">
        <v>463</v>
      </c>
      <c r="AJ104" s="154" t="s">
        <v>465</v>
      </c>
      <c r="AK104" s="154">
        <v>0</v>
      </c>
      <c r="AL104" s="154">
        <v>0</v>
      </c>
      <c r="AM104" s="154" t="s">
        <v>483</v>
      </c>
      <c r="AN104" s="154" t="s">
        <v>483</v>
      </c>
      <c r="AO104" s="154">
        <v>0</v>
      </c>
      <c r="AP104" s="154" t="s">
        <v>439</v>
      </c>
      <c r="AQ104" s="154" t="s">
        <v>515</v>
      </c>
      <c r="AR104" s="154" t="s">
        <v>491</v>
      </c>
      <c r="AS104" s="154" t="s">
        <v>493</v>
      </c>
      <c r="AT104" s="154" t="s">
        <v>507</v>
      </c>
      <c r="AU104" s="154" t="s">
        <v>473</v>
      </c>
      <c r="AX104" s="154">
        <v>0</v>
      </c>
      <c r="AY104" s="154" t="s">
        <v>435</v>
      </c>
      <c r="AZ104" s="154" t="s">
        <v>1099</v>
      </c>
    </row>
    <row r="105" spans="1:52" x14ac:dyDescent="0.2">
      <c r="A105" s="154" t="s">
        <v>1101</v>
      </c>
      <c r="B105" s="185">
        <v>0.98540145985401462</v>
      </c>
      <c r="D105" s="161" t="s">
        <v>5</v>
      </c>
      <c r="E105" s="154" t="s">
        <v>435</v>
      </c>
      <c r="F105" s="154" t="s">
        <v>1101</v>
      </c>
      <c r="G105" s="154" t="s">
        <v>1045</v>
      </c>
      <c r="I105" s="161" t="s">
        <v>5</v>
      </c>
      <c r="J105" s="154" t="s">
        <v>435</v>
      </c>
      <c r="K105" s="154" t="s">
        <v>1101</v>
      </c>
      <c r="L105" s="154" t="s">
        <v>1045</v>
      </c>
      <c r="O105" s="154" t="s">
        <v>145</v>
      </c>
      <c r="P105" s="154" t="s">
        <v>228</v>
      </c>
      <c r="Q105" s="154" t="s">
        <v>319</v>
      </c>
      <c r="R105" s="154" t="s">
        <v>420</v>
      </c>
      <c r="S105" s="154" t="s">
        <v>1034</v>
      </c>
      <c r="T105" s="154" t="s">
        <v>445</v>
      </c>
      <c r="U105" s="154" t="s">
        <v>435</v>
      </c>
      <c r="V105" s="154" t="s">
        <v>442</v>
      </c>
      <c r="W105" s="154" t="s">
        <v>451</v>
      </c>
      <c r="X105" s="154" t="s">
        <v>453</v>
      </c>
      <c r="Y105" s="154">
        <v>1</v>
      </c>
      <c r="Z105" s="154">
        <v>1</v>
      </c>
      <c r="AA105" s="154" t="s">
        <v>456</v>
      </c>
      <c r="AB105" s="154">
        <v>1</v>
      </c>
      <c r="AC105" s="154" t="s">
        <v>461</v>
      </c>
      <c r="AD105" s="154">
        <v>3</v>
      </c>
      <c r="AE105" s="154" t="s">
        <v>483</v>
      </c>
      <c r="AF105" s="154" t="s">
        <v>483</v>
      </c>
      <c r="AG105" s="154">
        <v>0</v>
      </c>
      <c r="AH105" s="154">
        <v>0</v>
      </c>
      <c r="AI105" s="154" t="s">
        <v>483</v>
      </c>
      <c r="AJ105" s="154" t="s">
        <v>517</v>
      </c>
      <c r="AK105" s="154">
        <v>0</v>
      </c>
      <c r="AL105" s="154">
        <v>0</v>
      </c>
      <c r="AM105" s="154" t="s">
        <v>483</v>
      </c>
      <c r="AN105" s="154" t="s">
        <v>483</v>
      </c>
      <c r="AO105" s="154">
        <v>0</v>
      </c>
      <c r="AP105" s="154" t="s">
        <v>439</v>
      </c>
      <c r="AQ105" s="154" t="s">
        <v>466</v>
      </c>
      <c r="AR105" s="154" t="s">
        <v>493</v>
      </c>
      <c r="AS105" s="154" t="s">
        <v>491</v>
      </c>
      <c r="AT105" s="154" t="s">
        <v>507</v>
      </c>
      <c r="AU105" s="154" t="s">
        <v>511</v>
      </c>
      <c r="AX105" s="154">
        <v>1</v>
      </c>
      <c r="AY105" s="154" t="s">
        <v>435</v>
      </c>
      <c r="AZ105" s="154" t="s">
        <v>1099</v>
      </c>
    </row>
    <row r="106" spans="1:52" x14ac:dyDescent="0.2">
      <c r="A106" s="154" t="s">
        <v>1045</v>
      </c>
      <c r="B106" s="185">
        <v>0.96753246753246758</v>
      </c>
      <c r="D106" s="154" t="s">
        <v>443</v>
      </c>
      <c r="E106" s="185"/>
      <c r="F106" s="185">
        <v>1.5</v>
      </c>
      <c r="G106" s="185">
        <v>1.5</v>
      </c>
      <c r="I106" s="154" t="s">
        <v>442</v>
      </c>
      <c r="J106" s="186">
        <v>7</v>
      </c>
      <c r="K106" s="187">
        <v>79</v>
      </c>
      <c r="L106" s="186">
        <v>86</v>
      </c>
      <c r="O106" s="154" t="s">
        <v>133</v>
      </c>
      <c r="P106" s="154" t="s">
        <v>578</v>
      </c>
      <c r="Q106" s="154" t="s">
        <v>569</v>
      </c>
      <c r="R106" s="154" t="s">
        <v>573</v>
      </c>
      <c r="S106" s="154" t="s">
        <v>1034</v>
      </c>
      <c r="T106" s="154" t="s">
        <v>446</v>
      </c>
      <c r="U106" s="154" t="s">
        <v>435</v>
      </c>
      <c r="V106" s="154" t="s">
        <v>442</v>
      </c>
      <c r="W106" s="154" t="s">
        <v>451</v>
      </c>
      <c r="X106" s="154" t="s">
        <v>453</v>
      </c>
      <c r="Y106" s="154">
        <v>1</v>
      </c>
      <c r="Z106" s="154">
        <v>1</v>
      </c>
      <c r="AA106" s="154" t="s">
        <v>455</v>
      </c>
      <c r="AB106" s="154">
        <v>0</v>
      </c>
      <c r="AC106" s="154" t="s">
        <v>508</v>
      </c>
      <c r="AD106" s="154">
        <v>3</v>
      </c>
      <c r="AE106" s="154" t="s">
        <v>439</v>
      </c>
      <c r="AF106" s="154" t="s">
        <v>461</v>
      </c>
      <c r="AG106" s="154">
        <v>0</v>
      </c>
      <c r="AH106" s="154">
        <v>0</v>
      </c>
      <c r="AI106" s="154" t="s">
        <v>483</v>
      </c>
      <c r="AJ106" s="154" t="s">
        <v>515</v>
      </c>
      <c r="AK106" s="154">
        <v>0</v>
      </c>
      <c r="AL106" s="154">
        <v>0</v>
      </c>
      <c r="AM106" s="154" t="s">
        <v>483</v>
      </c>
      <c r="AN106" s="154" t="s">
        <v>483</v>
      </c>
      <c r="AO106" s="154">
        <v>0</v>
      </c>
      <c r="AP106" s="154" t="s">
        <v>439</v>
      </c>
      <c r="AQ106" s="154" t="s">
        <v>515</v>
      </c>
      <c r="AR106" s="154" t="s">
        <v>491</v>
      </c>
      <c r="AS106" s="154" t="s">
        <v>491</v>
      </c>
      <c r="AT106" s="154" t="s">
        <v>507</v>
      </c>
      <c r="AU106" s="154" t="s">
        <v>484</v>
      </c>
      <c r="AX106" s="154">
        <v>1</v>
      </c>
      <c r="AY106" s="154" t="s">
        <v>435</v>
      </c>
      <c r="AZ106" s="154" t="s">
        <v>1099</v>
      </c>
    </row>
    <row r="107" spans="1:52" x14ac:dyDescent="0.2">
      <c r="D107" s="154" t="s">
        <v>442</v>
      </c>
      <c r="E107" s="185">
        <v>0.7142857142857143</v>
      </c>
      <c r="F107" s="185">
        <v>0.71794871794871795</v>
      </c>
      <c r="G107" s="185">
        <v>0.71764705882352942</v>
      </c>
      <c r="I107" s="154" t="s">
        <v>441</v>
      </c>
      <c r="J107" s="187">
        <v>9</v>
      </c>
      <c r="K107" s="186">
        <v>56</v>
      </c>
      <c r="L107" s="186">
        <v>65</v>
      </c>
      <c r="O107" s="154" t="s">
        <v>94</v>
      </c>
      <c r="P107" s="154" t="s">
        <v>533</v>
      </c>
      <c r="Q107" s="154" t="s">
        <v>295</v>
      </c>
      <c r="R107" s="154" t="s">
        <v>534</v>
      </c>
      <c r="S107" s="154" t="s">
        <v>1034</v>
      </c>
      <c r="T107" s="154" t="s">
        <v>445</v>
      </c>
      <c r="U107" s="154" t="s">
        <v>695</v>
      </c>
      <c r="V107" s="154" t="s">
        <v>442</v>
      </c>
      <c r="W107" s="154" t="s">
        <v>451</v>
      </c>
      <c r="X107" s="154" t="s">
        <v>453</v>
      </c>
      <c r="Y107" s="154">
        <v>1</v>
      </c>
      <c r="Z107" s="154">
        <v>0</v>
      </c>
      <c r="AA107" s="154" t="s">
        <v>483</v>
      </c>
      <c r="AB107" s="154">
        <v>1</v>
      </c>
      <c r="AC107" s="154" t="s">
        <v>508</v>
      </c>
      <c r="AD107" s="154">
        <v>3</v>
      </c>
      <c r="AE107" s="154" t="s">
        <v>483</v>
      </c>
      <c r="AF107" s="154" t="s">
        <v>483</v>
      </c>
      <c r="AG107" s="154">
        <v>0</v>
      </c>
      <c r="AH107" s="154">
        <v>0</v>
      </c>
      <c r="AI107" s="154" t="s">
        <v>483</v>
      </c>
      <c r="AJ107" s="154" t="s">
        <v>515</v>
      </c>
      <c r="AK107" s="154">
        <v>0</v>
      </c>
      <c r="AL107" s="154">
        <v>0</v>
      </c>
      <c r="AM107" s="154" t="s">
        <v>483</v>
      </c>
      <c r="AN107" s="154" t="s">
        <v>483</v>
      </c>
      <c r="AO107" s="154">
        <v>0</v>
      </c>
      <c r="AP107" s="154" t="s">
        <v>469</v>
      </c>
      <c r="AQ107" s="154" t="s">
        <v>487</v>
      </c>
      <c r="AR107" s="154" t="s">
        <v>491</v>
      </c>
      <c r="AS107" s="154" t="s">
        <v>493</v>
      </c>
      <c r="AT107" s="154" t="s">
        <v>507</v>
      </c>
      <c r="AU107" s="154" t="s">
        <v>473</v>
      </c>
      <c r="AX107" s="154">
        <v>0</v>
      </c>
      <c r="AY107" s="154" t="s">
        <v>435</v>
      </c>
      <c r="AZ107" s="154" t="s">
        <v>1099</v>
      </c>
    </row>
    <row r="108" spans="1:52" x14ac:dyDescent="0.2">
      <c r="D108" s="154" t="s">
        <v>441</v>
      </c>
      <c r="E108" s="185">
        <v>0.88888888888888884</v>
      </c>
      <c r="F108" s="185">
        <v>1.3333333333333333</v>
      </c>
      <c r="G108" s="185">
        <v>1.2727272727272727</v>
      </c>
      <c r="I108" s="154" t="s">
        <v>1045</v>
      </c>
      <c r="J108" s="186">
        <v>16</v>
      </c>
      <c r="K108" s="186">
        <v>135</v>
      </c>
      <c r="L108" s="186">
        <v>151</v>
      </c>
      <c r="O108" s="154" t="s">
        <v>71</v>
      </c>
      <c r="P108" s="154" t="s">
        <v>195</v>
      </c>
      <c r="Q108" s="154" t="s">
        <v>524</v>
      </c>
      <c r="R108" s="154" t="s">
        <v>373</v>
      </c>
      <c r="S108" s="154" t="s">
        <v>1034</v>
      </c>
      <c r="T108" s="154" t="s">
        <v>445</v>
      </c>
      <c r="U108" s="154" t="s">
        <v>435</v>
      </c>
      <c r="V108" s="154" t="s">
        <v>442</v>
      </c>
      <c r="W108" s="154" t="s">
        <v>452</v>
      </c>
      <c r="X108" s="154" t="s">
        <v>453</v>
      </c>
      <c r="Y108" s="154">
        <v>1</v>
      </c>
      <c r="Z108" s="154">
        <v>1</v>
      </c>
      <c r="AA108" s="154" t="s">
        <v>456</v>
      </c>
      <c r="AB108" s="154">
        <v>1</v>
      </c>
      <c r="AC108" s="154" t="s">
        <v>461</v>
      </c>
      <c r="AD108" s="154">
        <v>3</v>
      </c>
      <c r="AE108" s="154" t="s">
        <v>483</v>
      </c>
      <c r="AF108" s="154" t="s">
        <v>483</v>
      </c>
      <c r="AG108" s="154">
        <v>0</v>
      </c>
      <c r="AH108" s="154">
        <v>1</v>
      </c>
      <c r="AI108" s="154" t="s">
        <v>463</v>
      </c>
      <c r="AJ108" s="154" t="s">
        <v>465</v>
      </c>
      <c r="AK108" s="154">
        <v>1</v>
      </c>
      <c r="AL108" s="154">
        <v>0</v>
      </c>
      <c r="AM108" s="154" t="s">
        <v>503</v>
      </c>
      <c r="AN108" s="154" t="s">
        <v>497</v>
      </c>
      <c r="AO108" s="154">
        <v>0</v>
      </c>
      <c r="AP108" s="154" t="s">
        <v>439</v>
      </c>
      <c r="AQ108" s="154" t="s">
        <v>487</v>
      </c>
      <c r="AR108" s="154" t="s">
        <v>493</v>
      </c>
      <c r="AS108" s="154" t="s">
        <v>491</v>
      </c>
      <c r="AT108" s="154" t="s">
        <v>492</v>
      </c>
      <c r="AU108" s="154" t="s">
        <v>484</v>
      </c>
      <c r="AX108" s="154">
        <v>1</v>
      </c>
      <c r="AY108" s="154" t="s">
        <v>435</v>
      </c>
      <c r="AZ108" s="154" t="s">
        <v>1099</v>
      </c>
    </row>
    <row r="109" spans="1:52" x14ac:dyDescent="0.2">
      <c r="D109" s="154" t="s">
        <v>1045</v>
      </c>
      <c r="E109" s="185">
        <v>0.8125</v>
      </c>
      <c r="F109" s="185">
        <v>0.98540145985401462</v>
      </c>
      <c r="G109" s="185">
        <v>0.9673202614379085</v>
      </c>
      <c r="O109" s="154" t="s">
        <v>41</v>
      </c>
      <c r="P109" s="154" t="s">
        <v>170</v>
      </c>
      <c r="Q109" s="154" t="s">
        <v>247</v>
      </c>
      <c r="R109" s="154" t="s">
        <v>347</v>
      </c>
      <c r="S109" s="154" t="s">
        <v>1034</v>
      </c>
      <c r="T109" s="154" t="s">
        <v>448</v>
      </c>
      <c r="U109" s="154" t="s">
        <v>435</v>
      </c>
      <c r="V109" s="154" t="s">
        <v>442</v>
      </c>
      <c r="W109" s="154" t="s">
        <v>452</v>
      </c>
      <c r="X109" s="154" t="s">
        <v>453</v>
      </c>
      <c r="Y109" s="154">
        <v>1</v>
      </c>
      <c r="Z109" s="154">
        <v>1</v>
      </c>
      <c r="AA109" s="154" t="s">
        <v>510</v>
      </c>
      <c r="AB109" s="154">
        <v>0</v>
      </c>
      <c r="AC109" s="154" t="s">
        <v>461</v>
      </c>
      <c r="AD109" s="154" t="s">
        <v>483</v>
      </c>
      <c r="AE109" s="154" t="s">
        <v>483</v>
      </c>
      <c r="AF109" s="154" t="s">
        <v>483</v>
      </c>
      <c r="AG109" s="154">
        <v>0</v>
      </c>
      <c r="AH109" s="154">
        <v>0</v>
      </c>
      <c r="AI109" s="154" t="s">
        <v>483</v>
      </c>
      <c r="AJ109" s="154" t="s">
        <v>466</v>
      </c>
      <c r="AK109" s="154">
        <v>0</v>
      </c>
      <c r="AL109" s="154">
        <v>0</v>
      </c>
      <c r="AM109" s="154" t="s">
        <v>483</v>
      </c>
      <c r="AN109" s="154" t="s">
        <v>483</v>
      </c>
      <c r="AO109" s="154">
        <v>0</v>
      </c>
      <c r="AP109" s="154" t="s">
        <v>439</v>
      </c>
      <c r="AQ109" s="154" t="s">
        <v>1042</v>
      </c>
      <c r="AR109" s="154" t="s">
        <v>493</v>
      </c>
      <c r="AS109" s="154" t="s">
        <v>493</v>
      </c>
      <c r="AT109" s="154" t="s">
        <v>507</v>
      </c>
      <c r="AU109" s="154" t="s">
        <v>511</v>
      </c>
      <c r="AX109" s="154">
        <v>1</v>
      </c>
      <c r="AY109" s="154" t="s">
        <v>435</v>
      </c>
      <c r="AZ109" s="154" t="s">
        <v>1099</v>
      </c>
    </row>
    <row r="110" spans="1:52" x14ac:dyDescent="0.2">
      <c r="I110" s="154" t="s">
        <v>1087</v>
      </c>
      <c r="J110" s="154" t="s">
        <v>435</v>
      </c>
      <c r="O110" s="154" t="s">
        <v>38</v>
      </c>
      <c r="P110" s="154" t="s">
        <v>167</v>
      </c>
      <c r="Q110" s="154" t="s">
        <v>244</v>
      </c>
      <c r="R110" s="154" t="s">
        <v>344</v>
      </c>
      <c r="S110" s="154" t="s">
        <v>1034</v>
      </c>
      <c r="T110" s="154" t="s">
        <v>446</v>
      </c>
      <c r="U110" s="154" t="s">
        <v>435</v>
      </c>
      <c r="V110" s="154" t="s">
        <v>442</v>
      </c>
      <c r="W110" s="154" t="s">
        <v>451</v>
      </c>
      <c r="X110" s="154" t="s">
        <v>453</v>
      </c>
      <c r="Y110" s="154">
        <v>1</v>
      </c>
      <c r="Z110" s="154">
        <v>1</v>
      </c>
      <c r="AA110" s="154" t="s">
        <v>456</v>
      </c>
      <c r="AB110" s="154">
        <v>2</v>
      </c>
      <c r="AC110" s="154" t="s">
        <v>461</v>
      </c>
      <c r="AD110" s="154">
        <v>3</v>
      </c>
      <c r="AE110" s="154" t="s">
        <v>461</v>
      </c>
      <c r="AF110" s="154" t="s">
        <v>483</v>
      </c>
      <c r="AG110" s="154">
        <v>0</v>
      </c>
      <c r="AH110" s="154">
        <v>0</v>
      </c>
      <c r="AI110" s="154" t="s">
        <v>483</v>
      </c>
      <c r="AJ110" s="154" t="s">
        <v>466</v>
      </c>
      <c r="AK110" s="154">
        <v>0</v>
      </c>
      <c r="AL110" s="154">
        <v>0</v>
      </c>
      <c r="AM110" s="154" t="s">
        <v>483</v>
      </c>
      <c r="AN110" s="154" t="s">
        <v>483</v>
      </c>
      <c r="AO110" s="154">
        <v>0</v>
      </c>
      <c r="AP110" s="154" t="s">
        <v>439</v>
      </c>
      <c r="AQ110" s="154" t="s">
        <v>465</v>
      </c>
      <c r="AR110" s="154" t="s">
        <v>493</v>
      </c>
      <c r="AS110" s="154" t="s">
        <v>493</v>
      </c>
      <c r="AT110" s="154" t="s">
        <v>486</v>
      </c>
      <c r="AU110" s="154" t="s">
        <v>484</v>
      </c>
      <c r="AX110" s="154">
        <v>1</v>
      </c>
      <c r="AY110" s="154" t="s">
        <v>435</v>
      </c>
      <c r="AZ110" s="154" t="s">
        <v>1099</v>
      </c>
    </row>
    <row r="111" spans="1:52" x14ac:dyDescent="0.2">
      <c r="I111" s="154" t="s">
        <v>5</v>
      </c>
      <c r="J111" s="154" t="s">
        <v>435</v>
      </c>
      <c r="K111" s="154" t="s">
        <v>1101</v>
      </c>
      <c r="L111" s="154" t="s">
        <v>1045</v>
      </c>
    </row>
    <row r="112" spans="1:52" x14ac:dyDescent="0.2">
      <c r="I112" s="154" t="s">
        <v>442</v>
      </c>
      <c r="J112" s="154">
        <v>4</v>
      </c>
      <c r="K112" s="154">
        <v>79</v>
      </c>
      <c r="L112" s="154">
        <v>86</v>
      </c>
    </row>
    <row r="113" spans="1:12" x14ac:dyDescent="0.2">
      <c r="I113" s="154" t="s">
        <v>441</v>
      </c>
      <c r="J113" s="154">
        <v>10</v>
      </c>
      <c r="K113" s="154">
        <v>56</v>
      </c>
      <c r="L113" s="154">
        <v>65</v>
      </c>
    </row>
    <row r="114" spans="1:12" x14ac:dyDescent="0.2">
      <c r="A114" s="161" t="s">
        <v>1087</v>
      </c>
      <c r="B114" s="161" t="s">
        <v>435</v>
      </c>
      <c r="I114" s="154" t="s">
        <v>1045</v>
      </c>
      <c r="J114" s="154">
        <v>14</v>
      </c>
      <c r="K114" s="154">
        <v>135</v>
      </c>
      <c r="L114" s="154">
        <v>151</v>
      </c>
    </row>
    <row r="115" spans="1:12" x14ac:dyDescent="0.2">
      <c r="A115" s="161" t="s">
        <v>19</v>
      </c>
      <c r="B115" s="154" t="s">
        <v>435</v>
      </c>
      <c r="C115" s="154" t="s">
        <v>1101</v>
      </c>
      <c r="D115" s="154" t="s">
        <v>1044</v>
      </c>
      <c r="E115" s="154" t="s">
        <v>1045</v>
      </c>
      <c r="J115" s="186"/>
      <c r="K115" s="186"/>
      <c r="L115" s="186"/>
    </row>
    <row r="116" spans="1:12" x14ac:dyDescent="0.2">
      <c r="A116" s="154">
        <v>0</v>
      </c>
      <c r="B116" s="186"/>
      <c r="C116" s="186"/>
      <c r="D116" s="186">
        <v>1</v>
      </c>
      <c r="E116" s="186">
        <v>1</v>
      </c>
      <c r="J116" s="186"/>
      <c r="K116" s="186"/>
      <c r="L116" s="186"/>
    </row>
    <row r="117" spans="1:12" x14ac:dyDescent="0.2">
      <c r="A117" s="154" t="s">
        <v>1042</v>
      </c>
      <c r="B117" s="186">
        <v>1</v>
      </c>
      <c r="C117" s="186">
        <v>7</v>
      </c>
      <c r="D117" s="186"/>
      <c r="E117" s="186">
        <v>8</v>
      </c>
    </row>
    <row r="118" spans="1:12" x14ac:dyDescent="0.2">
      <c r="A118" s="154" t="s">
        <v>517</v>
      </c>
      <c r="B118" s="186">
        <v>2</v>
      </c>
      <c r="C118" s="186">
        <v>4</v>
      </c>
      <c r="D118" s="186"/>
      <c r="E118" s="186">
        <v>6</v>
      </c>
    </row>
    <row r="119" spans="1:12" x14ac:dyDescent="0.2">
      <c r="A119" s="154" t="s">
        <v>466</v>
      </c>
      <c r="B119" s="186">
        <v>3</v>
      </c>
      <c r="C119" s="186">
        <v>39</v>
      </c>
      <c r="D119" s="186"/>
      <c r="E119" s="186">
        <v>42</v>
      </c>
    </row>
    <row r="120" spans="1:12" x14ac:dyDescent="0.2">
      <c r="A120" s="154" t="s">
        <v>467</v>
      </c>
      <c r="B120" s="186"/>
      <c r="C120" s="186">
        <v>2</v>
      </c>
      <c r="D120" s="186"/>
      <c r="E120" s="186">
        <v>2</v>
      </c>
    </row>
    <row r="121" spans="1:12" x14ac:dyDescent="0.2">
      <c r="A121" s="154" t="s">
        <v>439</v>
      </c>
      <c r="B121" s="186"/>
      <c r="C121" s="186">
        <v>1</v>
      </c>
      <c r="D121" s="186"/>
      <c r="E121" s="186">
        <v>1</v>
      </c>
    </row>
    <row r="122" spans="1:12" x14ac:dyDescent="0.2">
      <c r="A122" s="154" t="s">
        <v>465</v>
      </c>
      <c r="B122" s="186">
        <v>4</v>
      </c>
      <c r="C122" s="186">
        <v>18</v>
      </c>
      <c r="D122" s="186"/>
      <c r="E122" s="186">
        <v>22</v>
      </c>
    </row>
    <row r="123" spans="1:12" x14ac:dyDescent="0.2">
      <c r="A123" s="154" t="s">
        <v>487</v>
      </c>
      <c r="B123" s="186">
        <v>2</v>
      </c>
      <c r="C123" s="186">
        <v>39</v>
      </c>
      <c r="D123" s="186"/>
      <c r="E123" s="186">
        <v>41</v>
      </c>
    </row>
    <row r="124" spans="1:12" x14ac:dyDescent="0.2">
      <c r="A124" s="154" t="s">
        <v>515</v>
      </c>
      <c r="B124" s="186">
        <v>5</v>
      </c>
      <c r="C124" s="186">
        <v>27</v>
      </c>
      <c r="D124" s="186"/>
      <c r="E124" s="186">
        <v>32</v>
      </c>
    </row>
    <row r="125" spans="1:12" x14ac:dyDescent="0.2">
      <c r="A125" s="154" t="s">
        <v>1044</v>
      </c>
      <c r="B125" s="186"/>
      <c r="C125" s="186">
        <v>3</v>
      </c>
      <c r="D125" s="186">
        <v>5</v>
      </c>
      <c r="E125" s="186">
        <v>8</v>
      </c>
    </row>
    <row r="126" spans="1:12" x14ac:dyDescent="0.2">
      <c r="A126" s="154" t="s">
        <v>1045</v>
      </c>
      <c r="B126" s="186">
        <v>17</v>
      </c>
      <c r="C126" s="186">
        <v>140</v>
      </c>
      <c r="D126" s="186">
        <v>6</v>
      </c>
      <c r="E126" s="186">
        <v>163</v>
      </c>
    </row>
    <row r="127" spans="1:12" x14ac:dyDescent="0.2">
      <c r="B127" s="188">
        <f>17/157</f>
        <v>0.10828025477707007</v>
      </c>
      <c r="C127" s="188">
        <f>140/157</f>
        <v>0.89171974522292996</v>
      </c>
    </row>
    <row r="142" ht="9" customHeight="1" x14ac:dyDescent="0.2"/>
    <row r="145" spans="8:19" x14ac:dyDescent="0.2">
      <c r="H145" s="185"/>
      <c r="I145" s="185"/>
      <c r="J145" s="185"/>
      <c r="K145" s="185"/>
      <c r="L145" s="185"/>
      <c r="M145" s="185"/>
      <c r="N145" s="185"/>
      <c r="O145" s="185"/>
      <c r="P145" s="185"/>
      <c r="Q145" s="185"/>
      <c r="R145" s="185"/>
      <c r="S145" s="185"/>
    </row>
    <row r="146" spans="8:19" x14ac:dyDescent="0.2">
      <c r="H146" s="152"/>
      <c r="I146" s="152"/>
      <c r="J146" s="152"/>
      <c r="K146" s="152"/>
      <c r="L146" s="152"/>
      <c r="M146" s="152"/>
      <c r="N146" s="152"/>
      <c r="O146" s="152"/>
      <c r="P146" s="152"/>
      <c r="Q146" s="152"/>
      <c r="R146" s="152"/>
      <c r="S146" s="152"/>
    </row>
    <row r="147" spans="8:19" x14ac:dyDescent="0.2">
      <c r="H147" s="152"/>
      <c r="I147" s="152"/>
      <c r="J147" s="152"/>
      <c r="K147" s="152"/>
      <c r="L147" s="152"/>
      <c r="M147" s="152"/>
      <c r="N147" s="152"/>
      <c r="O147" s="152"/>
      <c r="P147" s="152"/>
      <c r="Q147" s="152"/>
      <c r="R147" s="152"/>
      <c r="S147" s="152"/>
    </row>
    <row r="148" spans="8:19" x14ac:dyDescent="0.2">
      <c r="H148" s="152"/>
      <c r="I148" s="152"/>
      <c r="J148" s="152"/>
      <c r="K148" s="152"/>
      <c r="L148" s="152"/>
      <c r="M148" s="152"/>
      <c r="N148" s="152"/>
      <c r="O148" s="152"/>
      <c r="P148" s="152"/>
      <c r="Q148" s="152"/>
      <c r="R148" s="152"/>
      <c r="S148" s="152"/>
    </row>
    <row r="149" spans="8:19" x14ac:dyDescent="0.2">
      <c r="H149" s="152"/>
      <c r="I149" s="152"/>
      <c r="J149" s="152"/>
      <c r="K149" s="152"/>
      <c r="L149" s="152"/>
      <c r="M149" s="152"/>
      <c r="N149" s="152"/>
      <c r="O149" s="152"/>
      <c r="P149" s="152"/>
      <c r="Q149" s="152"/>
      <c r="R149" s="152"/>
      <c r="S149" s="152"/>
    </row>
    <row r="150" spans="8:19" x14ac:dyDescent="0.2">
      <c r="H150" s="152"/>
      <c r="I150" s="152"/>
      <c r="J150" s="152"/>
      <c r="K150" s="152"/>
      <c r="L150" s="152"/>
      <c r="M150" s="152"/>
      <c r="N150" s="152"/>
      <c r="O150" s="152"/>
      <c r="P150" s="152"/>
      <c r="Q150" s="152"/>
      <c r="R150" s="152"/>
      <c r="S150" s="152"/>
    </row>
    <row r="151" spans="8:19" x14ac:dyDescent="0.2">
      <c r="H151" s="152"/>
      <c r="I151" s="152"/>
      <c r="J151" s="152"/>
      <c r="K151" s="152"/>
      <c r="L151" s="152"/>
      <c r="M151" s="152"/>
      <c r="N151" s="152"/>
      <c r="O151" s="152"/>
      <c r="P151" s="152"/>
      <c r="Q151" s="152"/>
      <c r="R151" s="152"/>
      <c r="S151" s="152"/>
    </row>
    <row r="168" spans="1:23" x14ac:dyDescent="0.2">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row>
    <row r="169" spans="1:23" x14ac:dyDescent="0.2">
      <c r="A169" s="152"/>
      <c r="B169" s="152"/>
      <c r="C169" s="152"/>
      <c r="D169" s="152"/>
      <c r="E169" s="152"/>
      <c r="F169" s="152"/>
      <c r="G169" s="152"/>
      <c r="H169" s="152"/>
      <c r="I169" s="152"/>
      <c r="J169" s="152"/>
      <c r="K169" s="152"/>
      <c r="L169" s="152"/>
      <c r="M169" s="152"/>
      <c r="N169" s="152"/>
      <c r="O169" s="152"/>
      <c r="P169" s="152"/>
      <c r="Q169" s="152"/>
      <c r="R169" s="152"/>
      <c r="S169" s="152"/>
    </row>
    <row r="170" spans="1:23" x14ac:dyDescent="0.2">
      <c r="A170" s="152"/>
      <c r="B170" s="152"/>
      <c r="C170" s="152"/>
      <c r="D170" s="152"/>
      <c r="E170" s="152"/>
      <c r="F170" s="152"/>
      <c r="G170" s="152"/>
      <c r="H170" s="152"/>
      <c r="I170" s="152"/>
      <c r="J170" s="152"/>
      <c r="K170" s="152"/>
      <c r="L170" s="152"/>
      <c r="M170" s="152"/>
      <c r="N170" s="152"/>
      <c r="O170" s="152"/>
      <c r="P170" s="152"/>
      <c r="Q170" s="152"/>
      <c r="R170" s="152"/>
      <c r="S170" s="152"/>
    </row>
    <row r="171" spans="1:23" x14ac:dyDescent="0.2">
      <c r="A171" s="152"/>
      <c r="B171" s="152"/>
      <c r="C171" s="152"/>
      <c r="D171" s="152"/>
      <c r="E171" s="152"/>
      <c r="F171" s="152"/>
      <c r="G171" s="152"/>
      <c r="H171" s="152"/>
      <c r="I171" s="152"/>
      <c r="J171" s="152"/>
      <c r="K171" s="152"/>
      <c r="L171" s="152"/>
      <c r="M171" s="152"/>
      <c r="N171" s="152"/>
      <c r="O171" s="152"/>
      <c r="P171" s="152"/>
      <c r="Q171" s="152"/>
      <c r="R171" s="152"/>
      <c r="S171" s="152"/>
    </row>
    <row r="172" spans="1:23" x14ac:dyDescent="0.2">
      <c r="A172" s="152"/>
      <c r="B172" s="152"/>
      <c r="C172" s="152"/>
      <c r="D172" s="152"/>
      <c r="E172" s="152"/>
      <c r="F172" s="152"/>
      <c r="G172" s="152"/>
      <c r="H172" s="152"/>
      <c r="I172" s="152"/>
      <c r="J172" s="152"/>
      <c r="K172" s="152"/>
      <c r="L172" s="152"/>
      <c r="M172" s="152"/>
      <c r="N172" s="152"/>
      <c r="O172" s="152"/>
      <c r="P172" s="152"/>
      <c r="Q172" s="152"/>
      <c r="R172" s="152"/>
      <c r="S172" s="152"/>
    </row>
    <row r="173" spans="1:23" x14ac:dyDescent="0.2">
      <c r="A173" s="152"/>
      <c r="B173" s="152"/>
      <c r="C173" s="152"/>
      <c r="D173" s="152"/>
      <c r="E173" s="152"/>
      <c r="F173" s="152"/>
      <c r="G173" s="152"/>
      <c r="H173" s="152"/>
      <c r="I173" s="152"/>
      <c r="J173" s="152"/>
      <c r="K173" s="152"/>
      <c r="L173" s="152"/>
      <c r="M173" s="152"/>
      <c r="N173" s="152"/>
      <c r="O173" s="152"/>
      <c r="P173" s="152"/>
      <c r="Q173" s="152"/>
      <c r="R173" s="152"/>
      <c r="S173" s="152"/>
    </row>
    <row r="174" spans="1:23" x14ac:dyDescent="0.2">
      <c r="A174" s="152"/>
      <c r="B174" s="152"/>
      <c r="C174" s="152"/>
      <c r="D174" s="152"/>
      <c r="E174" s="152"/>
      <c r="F174" s="152"/>
      <c r="G174" s="152"/>
      <c r="H174" s="152"/>
      <c r="I174" s="152"/>
      <c r="J174" s="152"/>
      <c r="K174" s="152"/>
      <c r="L174" s="152"/>
      <c r="M174" s="152"/>
      <c r="N174" s="152"/>
      <c r="O174" s="152"/>
      <c r="P174" s="152"/>
      <c r="Q174" s="152"/>
      <c r="R174" s="152"/>
      <c r="S174" s="152"/>
    </row>
    <row r="175" spans="1:23" x14ac:dyDescent="0.2">
      <c r="A175" s="152"/>
      <c r="B175" s="152"/>
      <c r="C175" s="152"/>
      <c r="D175" s="152"/>
      <c r="E175" s="152"/>
      <c r="F175" s="152"/>
      <c r="G175" s="152"/>
      <c r="H175" s="152"/>
      <c r="I175" s="152"/>
      <c r="J175" s="152"/>
      <c r="K175" s="152"/>
      <c r="L175" s="152"/>
      <c r="M175" s="152"/>
      <c r="N175" s="152"/>
      <c r="O175" s="152"/>
      <c r="P175" s="152"/>
      <c r="Q175" s="152"/>
      <c r="R175" s="152"/>
      <c r="S175" s="152"/>
    </row>
    <row r="176" spans="1:23" x14ac:dyDescent="0.2">
      <c r="A176" s="152"/>
      <c r="B176" s="152"/>
      <c r="C176" s="152"/>
      <c r="D176" s="152"/>
      <c r="E176" s="152"/>
      <c r="F176" s="152"/>
      <c r="G176" s="152"/>
      <c r="H176" s="152"/>
      <c r="I176" s="152"/>
      <c r="J176" s="152"/>
      <c r="K176" s="152"/>
      <c r="L176" s="152"/>
      <c r="M176" s="152"/>
      <c r="N176" s="152"/>
      <c r="O176" s="152"/>
      <c r="P176" s="152"/>
      <c r="Q176" s="152"/>
      <c r="R176" s="152"/>
      <c r="S176" s="152"/>
    </row>
    <row r="177" spans="1:19" x14ac:dyDescent="0.2">
      <c r="A177" s="152"/>
      <c r="B177" s="152"/>
      <c r="C177" s="152"/>
      <c r="D177" s="152"/>
      <c r="E177" s="152"/>
      <c r="F177" s="152"/>
      <c r="G177" s="152"/>
      <c r="H177" s="152"/>
      <c r="I177" s="152"/>
      <c r="J177" s="152"/>
      <c r="K177" s="152"/>
      <c r="L177" s="152"/>
      <c r="M177" s="152"/>
      <c r="N177" s="152"/>
      <c r="O177" s="152"/>
      <c r="P177" s="152"/>
      <c r="Q177" s="152"/>
      <c r="R177" s="152"/>
      <c r="S177" s="152"/>
    </row>
  </sheetData>
  <pageMargins left="0.7" right="0.7" top="0.75" bottom="0.75" header="0.3" footer="0.3"/>
  <pageSetup paperSize="9" orientation="portrait" horizontalDpi="0" verticalDpi="0"/>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5B75E-1EDD-014E-9CCB-11A8E758FEA7}">
  <sheetPr>
    <tabColor theme="6"/>
  </sheetPr>
  <dimension ref="A1:AB78"/>
  <sheetViews>
    <sheetView zoomScale="116" zoomScaleNormal="125" workbookViewId="0">
      <selection activeCell="D45" sqref="D45"/>
    </sheetView>
  </sheetViews>
  <sheetFormatPr baseColWidth="10" defaultRowHeight="16" x14ac:dyDescent="0.2"/>
  <cols>
    <col min="1" max="1" width="19.33203125" style="154" bestFit="1" customWidth="1"/>
    <col min="2" max="5" width="17.6640625" style="154" bestFit="1" customWidth="1"/>
    <col min="6" max="6" width="20" style="154" bestFit="1" customWidth="1"/>
    <col min="7" max="7" width="22" style="154" bestFit="1" customWidth="1"/>
    <col min="8" max="8" width="19.83203125" style="154" bestFit="1" customWidth="1"/>
    <col min="9" max="9" width="21.83203125" style="154" bestFit="1" customWidth="1"/>
    <col min="10" max="10" width="19.83203125" style="154" bestFit="1" customWidth="1"/>
    <col min="11" max="11" width="21.83203125" style="154" bestFit="1" customWidth="1"/>
    <col min="12" max="12" width="20.33203125" style="154" bestFit="1" customWidth="1"/>
    <col min="13" max="13" width="22.33203125" style="154" bestFit="1" customWidth="1"/>
    <col min="14" max="21" width="10.83203125" style="154"/>
    <col min="22" max="22" width="13.1640625" style="154" bestFit="1" customWidth="1"/>
    <col min="23" max="23" width="12.83203125" style="154" bestFit="1" customWidth="1"/>
    <col min="24" max="24" width="15.5" style="154" bestFit="1" customWidth="1"/>
    <col min="25" max="25" width="10.83203125" style="154"/>
    <col min="26" max="27" width="13.1640625" style="154" bestFit="1" customWidth="1"/>
    <col min="28" max="28" width="15.83203125" style="154" bestFit="1" customWidth="1"/>
    <col min="29" max="16384" width="10.83203125" style="154"/>
  </cols>
  <sheetData>
    <row r="1" spans="1:28" x14ac:dyDescent="0.2">
      <c r="A1" s="159" t="s">
        <v>1085</v>
      </c>
    </row>
    <row r="2" spans="1:28" x14ac:dyDescent="0.2">
      <c r="A2" s="159" t="s">
        <v>1108</v>
      </c>
    </row>
    <row r="3" spans="1:28" x14ac:dyDescent="0.2">
      <c r="A3" s="173"/>
      <c r="B3" s="173" t="s">
        <v>19</v>
      </c>
      <c r="C3" s="173" t="s">
        <v>1105</v>
      </c>
      <c r="D3" s="173"/>
      <c r="E3" s="173"/>
      <c r="F3" s="173"/>
      <c r="G3" s="173"/>
      <c r="H3" s="173"/>
      <c r="I3" s="173"/>
      <c r="J3" s="173"/>
      <c r="K3" s="173"/>
      <c r="L3" s="173"/>
      <c r="M3" s="173"/>
      <c r="N3" s="173"/>
      <c r="O3" s="173"/>
      <c r="P3" s="173"/>
      <c r="Q3" s="173"/>
      <c r="R3" s="173"/>
      <c r="S3" s="173"/>
      <c r="V3" s="192" t="s">
        <v>19</v>
      </c>
      <c r="W3" s="192" t="s">
        <v>1135</v>
      </c>
      <c r="X3" s="192" t="s">
        <v>1134</v>
      </c>
      <c r="Z3" s="155" t="s">
        <v>19</v>
      </c>
      <c r="AA3" s="152" t="s">
        <v>1097</v>
      </c>
      <c r="AB3" s="152" t="s">
        <v>1087</v>
      </c>
    </row>
    <row r="4" spans="1:28" x14ac:dyDescent="0.2">
      <c r="A4" s="173"/>
      <c r="B4" s="173" t="s">
        <v>1042</v>
      </c>
      <c r="C4" s="173"/>
      <c r="D4" s="173" t="s">
        <v>517</v>
      </c>
      <c r="E4" s="173"/>
      <c r="F4" s="173" t="s">
        <v>466</v>
      </c>
      <c r="G4" s="173"/>
      <c r="H4" s="173" t="s">
        <v>467</v>
      </c>
      <c r="I4" s="173"/>
      <c r="J4" s="173" t="s">
        <v>439</v>
      </c>
      <c r="K4" s="173"/>
      <c r="L4" s="173" t="s">
        <v>465</v>
      </c>
      <c r="M4" s="173"/>
      <c r="N4" s="173" t="s">
        <v>487</v>
      </c>
      <c r="O4" s="173"/>
      <c r="P4" s="173" t="s">
        <v>515</v>
      </c>
      <c r="Q4" s="173"/>
      <c r="R4" s="173" t="s">
        <v>1107</v>
      </c>
      <c r="S4" s="173" t="s">
        <v>1106</v>
      </c>
      <c r="V4" s="152" t="s">
        <v>1042</v>
      </c>
      <c r="W4" s="152">
        <v>1</v>
      </c>
      <c r="X4" s="186">
        <v>8</v>
      </c>
      <c r="Z4" s="152">
        <v>0</v>
      </c>
      <c r="AA4" s="152">
        <v>0.97402597402597402</v>
      </c>
      <c r="AB4" s="152">
        <v>1</v>
      </c>
    </row>
    <row r="5" spans="1:28" x14ac:dyDescent="0.2">
      <c r="A5" s="173" t="s">
        <v>13</v>
      </c>
      <c r="B5" s="193" t="s">
        <v>1087</v>
      </c>
      <c r="C5" s="193" t="s">
        <v>1097</v>
      </c>
      <c r="D5" s="193" t="s">
        <v>1087</v>
      </c>
      <c r="E5" s="193" t="s">
        <v>1097</v>
      </c>
      <c r="F5" s="193" t="s">
        <v>1087</v>
      </c>
      <c r="G5" s="193" t="s">
        <v>1097</v>
      </c>
      <c r="H5" s="193" t="s">
        <v>1087</v>
      </c>
      <c r="I5" s="193" t="s">
        <v>1097</v>
      </c>
      <c r="J5" s="193" t="s">
        <v>1087</v>
      </c>
      <c r="K5" s="193" t="s">
        <v>1097</v>
      </c>
      <c r="L5" s="193" t="s">
        <v>1087</v>
      </c>
      <c r="M5" s="193" t="s">
        <v>1097</v>
      </c>
      <c r="N5" s="193" t="s">
        <v>1087</v>
      </c>
      <c r="O5" s="193" t="s">
        <v>1097</v>
      </c>
      <c r="P5" s="193" t="s">
        <v>1087</v>
      </c>
      <c r="Q5" s="193" t="s">
        <v>1097</v>
      </c>
      <c r="R5" s="193"/>
      <c r="S5" s="193"/>
      <c r="V5" s="152" t="s">
        <v>517</v>
      </c>
      <c r="W5" s="152">
        <v>1.3333333333333333</v>
      </c>
      <c r="X5" s="186">
        <v>6</v>
      </c>
      <c r="Z5" s="152" t="s">
        <v>1042</v>
      </c>
      <c r="AA5" s="152">
        <v>1</v>
      </c>
      <c r="AB5" s="152">
        <v>8</v>
      </c>
    </row>
    <row r="6" spans="1:28" x14ac:dyDescent="0.2">
      <c r="A6" s="173" t="s">
        <v>461</v>
      </c>
      <c r="B6" s="194">
        <v>4</v>
      </c>
      <c r="C6" s="194">
        <v>1.5</v>
      </c>
      <c r="D6" s="194">
        <v>2</v>
      </c>
      <c r="E6" s="194">
        <v>1.5</v>
      </c>
      <c r="F6" s="194">
        <v>22</v>
      </c>
      <c r="G6" s="194">
        <v>1.1428571428571428</v>
      </c>
      <c r="H6" s="194">
        <v>2</v>
      </c>
      <c r="I6" s="194">
        <v>1</v>
      </c>
      <c r="J6" s="194"/>
      <c r="K6" s="194"/>
      <c r="L6" s="194">
        <v>10</v>
      </c>
      <c r="M6" s="194">
        <v>1.2</v>
      </c>
      <c r="N6" s="194">
        <v>20</v>
      </c>
      <c r="O6" s="194">
        <v>1.1499999999999999</v>
      </c>
      <c r="P6" s="194">
        <v>9</v>
      </c>
      <c r="Q6" s="194">
        <v>1.8888888888888899</v>
      </c>
      <c r="R6" s="194">
        <f t="shared" ref="R6:R11" si="0">SUM(B6,D6,F6,H6,J6,L6,N6,P6)</f>
        <v>69</v>
      </c>
      <c r="S6" s="194">
        <f>AVERAGE(Q6,O6,M6,K6,I6,G6,E6,C6)</f>
        <v>1.3402494331065762</v>
      </c>
      <c r="V6" s="152" t="s">
        <v>466</v>
      </c>
      <c r="W6" s="152">
        <v>0.8571428571428571</v>
      </c>
      <c r="X6" s="186">
        <v>42</v>
      </c>
      <c r="Z6" s="152" t="s">
        <v>517</v>
      </c>
      <c r="AA6" s="152">
        <v>1.3333333333333333</v>
      </c>
      <c r="AB6" s="152">
        <v>6</v>
      </c>
    </row>
    <row r="7" spans="1:28" x14ac:dyDescent="0.2">
      <c r="A7" s="173" t="s">
        <v>460</v>
      </c>
      <c r="B7" s="194">
        <v>1</v>
      </c>
      <c r="C7" s="194">
        <v>1</v>
      </c>
      <c r="D7" s="194">
        <v>1</v>
      </c>
      <c r="E7" s="194">
        <v>2</v>
      </c>
      <c r="F7" s="194">
        <v>9</v>
      </c>
      <c r="G7" s="194">
        <v>0.6</v>
      </c>
      <c r="H7" s="194"/>
      <c r="I7" s="194"/>
      <c r="J7" s="194"/>
      <c r="K7" s="194"/>
      <c r="L7" s="194">
        <v>2</v>
      </c>
      <c r="M7" s="194">
        <v>0.5</v>
      </c>
      <c r="N7" s="194">
        <v>9</v>
      </c>
      <c r="O7" s="194">
        <v>0.44444444444444442</v>
      </c>
      <c r="P7" s="194">
        <v>6</v>
      </c>
      <c r="Q7" s="194">
        <v>1</v>
      </c>
      <c r="R7" s="194">
        <f t="shared" si="0"/>
        <v>28</v>
      </c>
      <c r="S7" s="194">
        <f t="shared" ref="S7:S11" si="1">AVERAGE(Q7,O7,M7,K7,I7,G7,E7,C7)</f>
        <v>0.92407407407407405</v>
      </c>
      <c r="V7" s="152" t="s">
        <v>467</v>
      </c>
      <c r="W7" s="152">
        <v>1</v>
      </c>
      <c r="X7" s="186">
        <v>2</v>
      </c>
      <c r="Z7" s="152" t="s">
        <v>466</v>
      </c>
      <c r="AA7" s="152">
        <v>0.8571428571428571</v>
      </c>
      <c r="AB7" s="152">
        <v>42</v>
      </c>
    </row>
    <row r="8" spans="1:28" x14ac:dyDescent="0.2">
      <c r="A8" s="173" t="s">
        <v>459</v>
      </c>
      <c r="B8" s="194">
        <v>1</v>
      </c>
      <c r="C8" s="194">
        <v>0</v>
      </c>
      <c r="D8" s="194"/>
      <c r="E8" s="194"/>
      <c r="F8" s="194">
        <v>3</v>
      </c>
      <c r="G8" s="194">
        <v>0.33333333333333331</v>
      </c>
      <c r="H8" s="194"/>
      <c r="I8" s="194"/>
      <c r="J8" s="194"/>
      <c r="K8" s="194"/>
      <c r="L8" s="194">
        <v>1</v>
      </c>
      <c r="M8" s="194">
        <v>0</v>
      </c>
      <c r="N8" s="194">
        <v>1</v>
      </c>
      <c r="O8" s="194">
        <v>0</v>
      </c>
      <c r="P8" s="194">
        <v>1</v>
      </c>
      <c r="Q8" s="194">
        <v>1</v>
      </c>
      <c r="R8" s="194">
        <f t="shared" si="0"/>
        <v>7</v>
      </c>
      <c r="S8" s="194">
        <f t="shared" si="1"/>
        <v>0.26666666666666666</v>
      </c>
      <c r="V8" s="152" t="s">
        <v>439</v>
      </c>
      <c r="W8" s="152">
        <v>0</v>
      </c>
      <c r="X8" s="186">
        <v>1</v>
      </c>
      <c r="Z8" s="152" t="s">
        <v>467</v>
      </c>
      <c r="AA8" s="152">
        <v>1</v>
      </c>
      <c r="AB8" s="152">
        <v>2</v>
      </c>
    </row>
    <row r="9" spans="1:28" x14ac:dyDescent="0.2">
      <c r="A9" s="173" t="s">
        <v>508</v>
      </c>
      <c r="B9" s="194">
        <v>2</v>
      </c>
      <c r="C9" s="194">
        <v>0.5</v>
      </c>
      <c r="D9" s="194">
        <v>3</v>
      </c>
      <c r="E9" s="194">
        <v>1</v>
      </c>
      <c r="F9" s="194">
        <v>7</v>
      </c>
      <c r="G9" s="194">
        <v>0.7142857142857143</v>
      </c>
      <c r="H9" s="194"/>
      <c r="I9" s="194"/>
      <c r="J9" s="194"/>
      <c r="K9" s="194"/>
      <c r="L9" s="194">
        <v>9</v>
      </c>
      <c r="M9" s="194">
        <v>0.66666666666666663</v>
      </c>
      <c r="N9" s="194">
        <v>10</v>
      </c>
      <c r="O9" s="194">
        <v>0.9</v>
      </c>
      <c r="P9" s="194">
        <v>15</v>
      </c>
      <c r="Q9" s="194">
        <v>1</v>
      </c>
      <c r="R9" s="194">
        <f t="shared" si="0"/>
        <v>46</v>
      </c>
      <c r="S9" s="194">
        <f t="shared" si="1"/>
        <v>0.79682539682539677</v>
      </c>
      <c r="V9" s="152" t="s">
        <v>465</v>
      </c>
      <c r="W9" s="152">
        <v>0.86363636363636365</v>
      </c>
      <c r="X9" s="186">
        <v>22</v>
      </c>
      <c r="Z9" s="152" t="s">
        <v>439</v>
      </c>
      <c r="AA9" s="152">
        <v>0</v>
      </c>
      <c r="AB9" s="152">
        <v>1</v>
      </c>
    </row>
    <row r="10" spans="1:28" x14ac:dyDescent="0.2">
      <c r="A10" s="173" t="s">
        <v>527</v>
      </c>
      <c r="B10" s="194"/>
      <c r="C10" s="194"/>
      <c r="D10" s="194"/>
      <c r="E10" s="194"/>
      <c r="F10" s="194">
        <v>1</v>
      </c>
      <c r="G10" s="194">
        <v>0</v>
      </c>
      <c r="H10" s="194"/>
      <c r="I10" s="194"/>
      <c r="J10" s="194"/>
      <c r="K10" s="194"/>
      <c r="L10" s="194"/>
      <c r="M10" s="194"/>
      <c r="N10" s="194">
        <v>1</v>
      </c>
      <c r="O10" s="194">
        <v>0</v>
      </c>
      <c r="P10" s="194">
        <v>1</v>
      </c>
      <c r="Q10" s="194">
        <v>1</v>
      </c>
      <c r="R10" s="194">
        <f t="shared" si="0"/>
        <v>3</v>
      </c>
      <c r="S10" s="194">
        <f t="shared" si="1"/>
        <v>0.33333333333333331</v>
      </c>
      <c r="V10" s="152" t="s">
        <v>487</v>
      </c>
      <c r="W10" s="152">
        <v>0.87804878048780488</v>
      </c>
      <c r="X10" s="186">
        <v>41</v>
      </c>
      <c r="Z10" s="152" t="s">
        <v>465</v>
      </c>
      <c r="AA10" s="152">
        <v>0.86363636363636365</v>
      </c>
      <c r="AB10" s="152">
        <v>22</v>
      </c>
    </row>
    <row r="11" spans="1:28" x14ac:dyDescent="0.2">
      <c r="A11" s="173" t="s">
        <v>1045</v>
      </c>
      <c r="B11" s="194">
        <f>SUM(B6:B10)</f>
        <v>8</v>
      </c>
      <c r="C11" s="194">
        <f>AVERAGE(C6:C10)</f>
        <v>0.75</v>
      </c>
      <c r="D11" s="194">
        <f t="shared" ref="D11:P11" si="2">SUM(D6:D10)</f>
        <v>6</v>
      </c>
      <c r="E11" s="194">
        <f>AVERAGE(E6:E10)</f>
        <v>1.5</v>
      </c>
      <c r="F11" s="194">
        <f t="shared" si="2"/>
        <v>42</v>
      </c>
      <c r="G11" s="194">
        <f>AVERAGE(G6:G10)</f>
        <v>0.5580952380952382</v>
      </c>
      <c r="H11" s="194">
        <f t="shared" si="2"/>
        <v>2</v>
      </c>
      <c r="I11" s="194">
        <f>AVERAGE(I6:I10)</f>
        <v>1</v>
      </c>
      <c r="J11" s="194">
        <f t="shared" si="2"/>
        <v>0</v>
      </c>
      <c r="K11" s="194">
        <f t="shared" si="2"/>
        <v>0</v>
      </c>
      <c r="L11" s="194">
        <f t="shared" si="2"/>
        <v>22</v>
      </c>
      <c r="M11" s="194">
        <f>AVERAGE(M6:M10)</f>
        <v>0.59166666666666667</v>
      </c>
      <c r="N11" s="194">
        <f t="shared" si="2"/>
        <v>41</v>
      </c>
      <c r="O11" s="194">
        <f>AVERAGE(O6:O10)</f>
        <v>0.49888888888888888</v>
      </c>
      <c r="P11" s="194">
        <f t="shared" si="2"/>
        <v>32</v>
      </c>
      <c r="Q11" s="194">
        <f>AVERAGE(Q6:Q10)</f>
        <v>1.177777777777778</v>
      </c>
      <c r="R11" s="194">
        <f t="shared" si="0"/>
        <v>153</v>
      </c>
      <c r="S11" s="194">
        <f t="shared" si="1"/>
        <v>0.75955357142857149</v>
      </c>
      <c r="V11" s="152" t="s">
        <v>515</v>
      </c>
      <c r="W11" s="195">
        <v>1.25</v>
      </c>
      <c r="X11" s="186">
        <v>32</v>
      </c>
      <c r="Z11" s="152" t="s">
        <v>487</v>
      </c>
      <c r="AA11" s="152">
        <v>0.87804878048780488</v>
      </c>
      <c r="AB11" s="152">
        <v>41</v>
      </c>
    </row>
    <row r="12" spans="1:28" x14ac:dyDescent="0.2">
      <c r="Z12" s="152" t="s">
        <v>515</v>
      </c>
      <c r="AA12" s="152">
        <v>1.25</v>
      </c>
      <c r="AB12" s="152">
        <v>32</v>
      </c>
    </row>
    <row r="13" spans="1:28" x14ac:dyDescent="0.2">
      <c r="A13" s="159" t="s">
        <v>1109</v>
      </c>
      <c r="Z13" s="152" t="s">
        <v>1044</v>
      </c>
      <c r="AA13" s="152"/>
      <c r="AB13" s="152">
        <v>3</v>
      </c>
    </row>
    <row r="14" spans="1:28" x14ac:dyDescent="0.2">
      <c r="A14" s="194"/>
      <c r="B14" s="194" t="s">
        <v>19</v>
      </c>
      <c r="C14" s="194" t="s">
        <v>1105</v>
      </c>
      <c r="D14" s="194"/>
      <c r="E14" s="194"/>
      <c r="F14" s="194"/>
      <c r="G14" s="194"/>
      <c r="H14" s="194"/>
      <c r="I14" s="194"/>
      <c r="J14" s="194"/>
      <c r="K14" s="194"/>
      <c r="L14" s="194"/>
      <c r="M14" s="194"/>
      <c r="N14" s="194"/>
      <c r="O14" s="194"/>
      <c r="P14" s="194"/>
      <c r="Q14" s="194"/>
      <c r="R14" s="194"/>
      <c r="S14" s="194"/>
      <c r="V14" s="154" t="s">
        <v>19</v>
      </c>
      <c r="W14" s="154" t="s">
        <v>1097</v>
      </c>
      <c r="X14" s="154" t="s">
        <v>1087</v>
      </c>
      <c r="Z14" s="152" t="s">
        <v>1045</v>
      </c>
      <c r="AA14" s="152">
        <v>0.96757436112274819</v>
      </c>
      <c r="AB14" s="152">
        <v>158</v>
      </c>
    </row>
    <row r="15" spans="1:28" x14ac:dyDescent="0.2">
      <c r="A15" s="194"/>
      <c r="B15" s="194" t="s">
        <v>1042</v>
      </c>
      <c r="C15" s="194"/>
      <c r="D15" s="194" t="s">
        <v>517</v>
      </c>
      <c r="E15" s="194"/>
      <c r="F15" s="194" t="s">
        <v>466</v>
      </c>
      <c r="G15" s="194"/>
      <c r="H15" s="194" t="s">
        <v>467</v>
      </c>
      <c r="I15" s="194"/>
      <c r="J15" s="194" t="s">
        <v>439</v>
      </c>
      <c r="K15" s="194"/>
      <c r="L15" s="194" t="s">
        <v>465</v>
      </c>
      <c r="M15" s="194"/>
      <c r="N15" s="194" t="s">
        <v>487</v>
      </c>
      <c r="O15" s="194"/>
      <c r="P15" s="194" t="s">
        <v>515</v>
      </c>
      <c r="Q15" s="194"/>
      <c r="R15" s="194" t="s">
        <v>1106</v>
      </c>
      <c r="S15" s="194" t="s">
        <v>1107</v>
      </c>
    </row>
    <row r="16" spans="1:28" x14ac:dyDescent="0.2">
      <c r="A16" s="194" t="s">
        <v>14</v>
      </c>
      <c r="B16" s="194" t="s">
        <v>1097</v>
      </c>
      <c r="C16" s="194" t="s">
        <v>1087</v>
      </c>
      <c r="D16" s="194" t="s">
        <v>1097</v>
      </c>
      <c r="E16" s="194" t="s">
        <v>1087</v>
      </c>
      <c r="F16" s="194" t="s">
        <v>1097</v>
      </c>
      <c r="G16" s="194" t="s">
        <v>1087</v>
      </c>
      <c r="H16" s="194" t="s">
        <v>1097</v>
      </c>
      <c r="I16" s="194" t="s">
        <v>1087</v>
      </c>
      <c r="J16" s="194" t="s">
        <v>1097</v>
      </c>
      <c r="K16" s="194" t="s">
        <v>1087</v>
      </c>
      <c r="L16" s="194" t="s">
        <v>1097</v>
      </c>
      <c r="M16" s="194" t="s">
        <v>1087</v>
      </c>
      <c r="N16" s="194" t="s">
        <v>1097</v>
      </c>
      <c r="O16" s="194" t="s">
        <v>1087</v>
      </c>
      <c r="P16" s="194" t="s">
        <v>1097</v>
      </c>
      <c r="Q16" s="194" t="s">
        <v>1087</v>
      </c>
      <c r="R16" s="194"/>
      <c r="S16" s="194"/>
      <c r="V16" s="154" t="s">
        <v>1042</v>
      </c>
      <c r="W16" s="154">
        <v>1</v>
      </c>
      <c r="X16" s="154">
        <v>8</v>
      </c>
    </row>
    <row r="17" spans="1:28" x14ac:dyDescent="0.2">
      <c r="A17" s="194" t="s">
        <v>461</v>
      </c>
      <c r="B17" s="194">
        <v>1.6666666666666667</v>
      </c>
      <c r="C17" s="194">
        <v>3</v>
      </c>
      <c r="D17" s="194">
        <v>1.5</v>
      </c>
      <c r="E17" s="194">
        <v>4</v>
      </c>
      <c r="F17" s="194">
        <v>1.4166666666666667</v>
      </c>
      <c r="G17" s="194">
        <v>11</v>
      </c>
      <c r="H17" s="194"/>
      <c r="I17" s="194"/>
      <c r="J17" s="194"/>
      <c r="K17" s="194"/>
      <c r="L17" s="194">
        <v>1.3333333333333333</v>
      </c>
      <c r="M17" s="194">
        <v>6</v>
      </c>
      <c r="N17" s="194">
        <v>1.3333333333333333</v>
      </c>
      <c r="O17" s="194">
        <v>12</v>
      </c>
      <c r="P17" s="194">
        <v>1.45</v>
      </c>
      <c r="Q17" s="194">
        <v>20</v>
      </c>
      <c r="R17" s="194">
        <f>AVERAGE(B17,D17,F17,L17,N17,P17)</f>
        <v>1.45</v>
      </c>
      <c r="S17" s="194">
        <f>SUM(C17,E17,G17,M17,O17,Q17)</f>
        <v>56</v>
      </c>
      <c r="V17" s="154" t="s">
        <v>517</v>
      </c>
      <c r="W17" s="154">
        <v>1.3333333333333333</v>
      </c>
      <c r="X17" s="154">
        <v>6</v>
      </c>
      <c r="AB17" s="190">
        <v>1</v>
      </c>
    </row>
    <row r="18" spans="1:28" x14ac:dyDescent="0.2">
      <c r="A18" s="194" t="s">
        <v>459</v>
      </c>
      <c r="B18" s="194"/>
      <c r="C18" s="194"/>
      <c r="D18" s="194"/>
      <c r="E18" s="194"/>
      <c r="F18" s="194"/>
      <c r="G18" s="194"/>
      <c r="H18" s="194"/>
      <c r="I18" s="194"/>
      <c r="J18" s="194"/>
      <c r="K18" s="194"/>
      <c r="L18" s="194">
        <v>1</v>
      </c>
      <c r="M18" s="194">
        <v>1</v>
      </c>
      <c r="N18" s="194">
        <v>0.66666666666666663</v>
      </c>
      <c r="O18" s="194">
        <v>3</v>
      </c>
      <c r="P18" s="194"/>
      <c r="Q18" s="194"/>
      <c r="R18" s="194">
        <f t="shared" ref="R18:R21" si="3">AVERAGE(B18,D18,F18,L18,N18,P18)</f>
        <v>0.83333333333333326</v>
      </c>
      <c r="S18" s="194">
        <f t="shared" ref="S18:S21" si="4">SUM(C18,E18,G18,M18,O18,Q18)</f>
        <v>4</v>
      </c>
      <c r="V18" s="154" t="s">
        <v>466</v>
      </c>
      <c r="W18" s="154">
        <v>0.8571428571428571</v>
      </c>
      <c r="X18" s="154">
        <v>42</v>
      </c>
      <c r="AB18" s="190">
        <v>1.3</v>
      </c>
    </row>
    <row r="19" spans="1:28" x14ac:dyDescent="0.2">
      <c r="A19" s="194" t="s">
        <v>508</v>
      </c>
      <c r="B19" s="194"/>
      <c r="C19" s="194"/>
      <c r="D19" s="194">
        <v>1</v>
      </c>
      <c r="E19" s="194">
        <v>1</v>
      </c>
      <c r="F19" s="194">
        <v>0.5</v>
      </c>
      <c r="G19" s="194">
        <v>2</v>
      </c>
      <c r="H19" s="194"/>
      <c r="I19" s="194"/>
      <c r="J19" s="194"/>
      <c r="K19" s="194"/>
      <c r="L19" s="194">
        <v>1</v>
      </c>
      <c r="M19" s="194">
        <v>1</v>
      </c>
      <c r="N19" s="194">
        <v>0.33333333333333331</v>
      </c>
      <c r="O19" s="194">
        <v>3</v>
      </c>
      <c r="P19" s="194">
        <v>1</v>
      </c>
      <c r="Q19" s="194">
        <v>4</v>
      </c>
      <c r="R19" s="194">
        <f t="shared" si="3"/>
        <v>0.76666666666666672</v>
      </c>
      <c r="S19" s="194">
        <f t="shared" si="4"/>
        <v>11</v>
      </c>
      <c r="V19" s="154" t="s">
        <v>467</v>
      </c>
      <c r="W19" s="154">
        <v>1</v>
      </c>
      <c r="X19" s="154">
        <v>2</v>
      </c>
      <c r="AB19" s="190">
        <v>0.9</v>
      </c>
    </row>
    <row r="20" spans="1:28" x14ac:dyDescent="0.2">
      <c r="A20" s="194" t="s">
        <v>527</v>
      </c>
      <c r="B20" s="194"/>
      <c r="C20" s="194"/>
      <c r="D20" s="194"/>
      <c r="E20" s="194"/>
      <c r="F20" s="194"/>
      <c r="G20" s="194"/>
      <c r="H20" s="194"/>
      <c r="I20" s="194"/>
      <c r="J20" s="194"/>
      <c r="K20" s="194"/>
      <c r="L20" s="194"/>
      <c r="M20" s="194"/>
      <c r="N20" s="194"/>
      <c r="O20" s="194"/>
      <c r="P20" s="194">
        <v>1</v>
      </c>
      <c r="Q20" s="194">
        <v>1</v>
      </c>
      <c r="R20" s="194">
        <f t="shared" si="3"/>
        <v>1</v>
      </c>
      <c r="S20" s="194">
        <f t="shared" si="4"/>
        <v>1</v>
      </c>
      <c r="V20" s="154" t="s">
        <v>439</v>
      </c>
      <c r="W20" s="154">
        <v>0</v>
      </c>
      <c r="X20" s="154">
        <v>1</v>
      </c>
      <c r="AB20" s="190">
        <v>1</v>
      </c>
    </row>
    <row r="21" spans="1:28" x14ac:dyDescent="0.2">
      <c r="A21" s="194" t="s">
        <v>1045</v>
      </c>
      <c r="B21" s="194">
        <f>AVERAGE(B17:B20)</f>
        <v>1.6666666666666667</v>
      </c>
      <c r="C21" s="194">
        <f>SUM(C17:C20)</f>
        <v>3</v>
      </c>
      <c r="D21" s="194">
        <f>AVERAGE(D17:D20)</f>
        <v>1.25</v>
      </c>
      <c r="E21" s="194">
        <f>SUM(E17:E20)</f>
        <v>5</v>
      </c>
      <c r="F21" s="194">
        <f>AVERAGE(F17:F20)</f>
        <v>0.95833333333333337</v>
      </c>
      <c r="G21" s="194">
        <f>SUM(G17:G20)</f>
        <v>13</v>
      </c>
      <c r="H21" s="194">
        <v>0</v>
      </c>
      <c r="I21" s="194">
        <f>SUM(I17:I20)</f>
        <v>0</v>
      </c>
      <c r="J21" s="194">
        <v>0</v>
      </c>
      <c r="K21" s="194">
        <f>SUM(K17:K20)</f>
        <v>0</v>
      </c>
      <c r="L21" s="194">
        <f>AVERAGE(L17:L20)</f>
        <v>1.1111111111111109</v>
      </c>
      <c r="M21" s="194">
        <f>SUM(M17:M20)</f>
        <v>8</v>
      </c>
      <c r="N21" s="194">
        <f>AVERAGE(N17:N20)</f>
        <v>0.77777777777777779</v>
      </c>
      <c r="O21" s="194">
        <f>SUM(O17:O19)</f>
        <v>18</v>
      </c>
      <c r="P21" s="194">
        <f>AVERAGE(P17:P20)</f>
        <v>1.1500000000000001</v>
      </c>
      <c r="Q21" s="194">
        <f>SUM(Q17:Q20)</f>
        <v>25</v>
      </c>
      <c r="R21" s="194">
        <f t="shared" si="3"/>
        <v>1.152314814814815</v>
      </c>
      <c r="S21" s="194">
        <f t="shared" si="4"/>
        <v>72</v>
      </c>
      <c r="V21" s="154" t="s">
        <v>465</v>
      </c>
      <c r="W21" s="154">
        <v>0.86363636363636365</v>
      </c>
      <c r="X21" s="154">
        <v>22</v>
      </c>
      <c r="AB21" s="190">
        <v>0.9</v>
      </c>
    </row>
    <row r="22" spans="1:28" x14ac:dyDescent="0.2">
      <c r="V22" s="154" t="s">
        <v>487</v>
      </c>
      <c r="W22" s="154">
        <v>0.87804878048780488</v>
      </c>
      <c r="X22" s="154">
        <v>41</v>
      </c>
      <c r="AB22" s="190">
        <v>0.9</v>
      </c>
    </row>
    <row r="23" spans="1:28" x14ac:dyDescent="0.2">
      <c r="A23" s="160"/>
      <c r="V23" s="154" t="s">
        <v>515</v>
      </c>
      <c r="W23" s="154">
        <v>1.25</v>
      </c>
      <c r="X23" s="154">
        <v>32</v>
      </c>
      <c r="AB23" s="191">
        <v>1.3</v>
      </c>
    </row>
    <row r="24" spans="1:28" x14ac:dyDescent="0.2">
      <c r="AB24" s="154">
        <f>AVERAGE(AB17:AB23)</f>
        <v>1.0428571428571429</v>
      </c>
    </row>
    <row r="25" spans="1:28" x14ac:dyDescent="0.2">
      <c r="B25" s="161" t="s">
        <v>13</v>
      </c>
      <c r="C25" s="161" t="s">
        <v>1105</v>
      </c>
      <c r="V25" s="154" t="s">
        <v>1045</v>
      </c>
      <c r="W25" s="154">
        <f>AVERAGE(W16:W23)</f>
        <v>0.89777016682504474</v>
      </c>
      <c r="X25" s="154">
        <f>SUM(X16:X23)</f>
        <v>154</v>
      </c>
    </row>
    <row r="26" spans="1:28" x14ac:dyDescent="0.2">
      <c r="B26" s="154" t="s">
        <v>461</v>
      </c>
      <c r="D26" s="154" t="s">
        <v>460</v>
      </c>
      <c r="F26" s="154" t="s">
        <v>459</v>
      </c>
      <c r="H26" s="154" t="s">
        <v>508</v>
      </c>
      <c r="J26" s="154" t="s">
        <v>527</v>
      </c>
      <c r="L26" s="154" t="s">
        <v>1131</v>
      </c>
      <c r="M26" s="154" t="s">
        <v>1132</v>
      </c>
    </row>
    <row r="27" spans="1:28" x14ac:dyDescent="0.2">
      <c r="A27" s="161" t="s">
        <v>1117</v>
      </c>
      <c r="B27" s="154" t="s">
        <v>1118</v>
      </c>
      <c r="C27" s="154" t="s">
        <v>1133</v>
      </c>
      <c r="D27" s="154" t="s">
        <v>1118</v>
      </c>
      <c r="E27" s="154" t="s">
        <v>1133</v>
      </c>
      <c r="F27" s="154" t="s">
        <v>1118</v>
      </c>
      <c r="G27" s="154" t="s">
        <v>1133</v>
      </c>
      <c r="H27" s="154" t="s">
        <v>1118</v>
      </c>
      <c r="I27" s="154" t="s">
        <v>1133</v>
      </c>
      <c r="J27" s="154" t="s">
        <v>1118</v>
      </c>
      <c r="K27" s="154" t="s">
        <v>1133</v>
      </c>
    </row>
    <row r="28" spans="1:28" x14ac:dyDescent="0.2">
      <c r="A28" s="196">
        <v>0</v>
      </c>
      <c r="B28" s="197">
        <v>0.41599999999999998</v>
      </c>
      <c r="C28" s="196">
        <v>52</v>
      </c>
      <c r="D28" s="197">
        <v>0.184</v>
      </c>
      <c r="E28" s="196">
        <v>23</v>
      </c>
      <c r="F28" s="197">
        <v>4.8000000000000001E-2</v>
      </c>
      <c r="G28" s="196">
        <v>6</v>
      </c>
      <c r="H28" s="197">
        <v>0.33600000000000002</v>
      </c>
      <c r="I28" s="196">
        <v>42</v>
      </c>
      <c r="J28" s="197">
        <v>1.6E-2</v>
      </c>
      <c r="K28" s="196">
        <v>2</v>
      </c>
      <c r="L28" s="197">
        <v>1</v>
      </c>
      <c r="M28" s="196">
        <v>125</v>
      </c>
    </row>
    <row r="29" spans="1:28" x14ac:dyDescent="0.2">
      <c r="A29" s="196">
        <v>1</v>
      </c>
      <c r="B29" s="197">
        <v>0.6071428571428571</v>
      </c>
      <c r="C29" s="196">
        <v>17</v>
      </c>
      <c r="D29" s="197">
        <v>0.17857142857142858</v>
      </c>
      <c r="E29" s="196">
        <v>5</v>
      </c>
      <c r="F29" s="197">
        <v>3.5714285714285712E-2</v>
      </c>
      <c r="G29" s="196">
        <v>1</v>
      </c>
      <c r="H29" s="197">
        <v>0.14285714285714285</v>
      </c>
      <c r="I29" s="196">
        <v>4</v>
      </c>
      <c r="J29" s="197">
        <v>3.5714285714285712E-2</v>
      </c>
      <c r="K29" s="196">
        <v>1</v>
      </c>
      <c r="L29" s="197">
        <v>1</v>
      </c>
      <c r="M29" s="196">
        <v>28</v>
      </c>
    </row>
    <row r="30" spans="1:28" x14ac:dyDescent="0.2">
      <c r="A30" s="196" t="s">
        <v>1045</v>
      </c>
      <c r="B30" s="197">
        <v>0.45098039215686275</v>
      </c>
      <c r="C30" s="196">
        <v>69</v>
      </c>
      <c r="D30" s="197">
        <v>0.18300653594771241</v>
      </c>
      <c r="E30" s="196">
        <v>28</v>
      </c>
      <c r="F30" s="197">
        <v>4.5751633986928102E-2</v>
      </c>
      <c r="G30" s="196">
        <v>7</v>
      </c>
      <c r="H30" s="197">
        <v>0.30065359477124182</v>
      </c>
      <c r="I30" s="196">
        <v>46</v>
      </c>
      <c r="J30" s="197">
        <v>1.9607843137254902E-2</v>
      </c>
      <c r="K30" s="196">
        <v>3</v>
      </c>
      <c r="L30" s="197">
        <v>1</v>
      </c>
      <c r="M30" s="196">
        <v>153</v>
      </c>
    </row>
    <row r="31" spans="1:28" x14ac:dyDescent="0.2">
      <c r="A31" s="161" t="s">
        <v>1118</v>
      </c>
      <c r="B31" s="161" t="s">
        <v>14</v>
      </c>
    </row>
    <row r="32" spans="1:28" x14ac:dyDescent="0.2">
      <c r="A32" s="161" t="s">
        <v>1117</v>
      </c>
      <c r="B32" s="154" t="s">
        <v>461</v>
      </c>
      <c r="C32" s="154" t="s">
        <v>459</v>
      </c>
      <c r="D32" s="154" t="s">
        <v>508</v>
      </c>
      <c r="E32" s="154" t="s">
        <v>527</v>
      </c>
      <c r="F32" s="154" t="s">
        <v>1045</v>
      </c>
    </row>
    <row r="33" spans="1:14" x14ac:dyDescent="0.2">
      <c r="A33" s="154">
        <v>0</v>
      </c>
      <c r="B33" s="154">
        <v>45</v>
      </c>
      <c r="C33" s="154">
        <v>3</v>
      </c>
      <c r="D33" s="154">
        <v>10</v>
      </c>
      <c r="E33" s="154">
        <v>1</v>
      </c>
      <c r="F33" s="154">
        <v>59</v>
      </c>
    </row>
    <row r="34" spans="1:14" x14ac:dyDescent="0.2">
      <c r="A34" s="154">
        <v>1</v>
      </c>
      <c r="B34" s="154">
        <v>11</v>
      </c>
      <c r="C34" s="154">
        <v>1</v>
      </c>
      <c r="D34" s="154">
        <v>1</v>
      </c>
      <c r="F34" s="154">
        <v>13</v>
      </c>
    </row>
    <row r="35" spans="1:14" x14ac:dyDescent="0.2">
      <c r="A35" s="154" t="s">
        <v>1045</v>
      </c>
      <c r="B35" s="154">
        <v>56</v>
      </c>
      <c r="C35" s="154">
        <v>4</v>
      </c>
      <c r="D35" s="154">
        <v>11</v>
      </c>
      <c r="E35" s="154">
        <v>1</v>
      </c>
      <c r="F35" s="154">
        <v>72</v>
      </c>
    </row>
    <row r="37" spans="1:14" x14ac:dyDescent="0.2">
      <c r="C37" s="188"/>
      <c r="D37" s="188"/>
      <c r="E37" s="188"/>
      <c r="F37" s="188"/>
      <c r="G37" s="188"/>
    </row>
    <row r="38" spans="1:14" x14ac:dyDescent="0.2">
      <c r="A38" s="198" t="s">
        <v>1117</v>
      </c>
      <c r="B38" s="173" t="s">
        <v>1099</v>
      </c>
      <c r="C38" s="199" t="s">
        <v>1100</v>
      </c>
      <c r="E38" s="173" t="s">
        <v>1117</v>
      </c>
      <c r="F38" s="173" t="s">
        <v>1099</v>
      </c>
      <c r="G38" s="199" t="s">
        <v>1100</v>
      </c>
    </row>
    <row r="39" spans="1:14" x14ac:dyDescent="0.2">
      <c r="A39" s="200" t="s">
        <v>1119</v>
      </c>
      <c r="B39" s="201">
        <f>GETPIVOTDATA("HeikeCh2",$A$25,"Subject_Class","overt","Is_First_ChainClause",1)/GETPIVOTDATA("HeikeCh2",$A$25,"Is_First_ChainClause",1)</f>
        <v>0.6071428571428571</v>
      </c>
      <c r="C39" s="201">
        <f>GETPIVOTDATA("HeikeCh2",$A$25,"Subject_Class","overt","Is_First_ChainClause",0)/GETPIVOTDATA("HeikeCh2",$A$25,"Is_First_ChainClause",0)</f>
        <v>0.41599999999999998</v>
      </c>
      <c r="E39" s="173" t="s">
        <v>1119</v>
      </c>
      <c r="F39" s="172" t="s">
        <v>1121</v>
      </c>
      <c r="G39" s="172" t="s">
        <v>1124</v>
      </c>
    </row>
    <row r="40" spans="1:14" x14ac:dyDescent="0.2">
      <c r="A40" s="173" t="s">
        <v>1120</v>
      </c>
      <c r="B40" s="172">
        <f>GETPIVOTDATA("HeikeCh2",$A$31,"Object_Class","overt","Is_First_ChainClause",1)/GETPIVOTDATA("HeikeCh2",$A$31,"Is_First_ChainClause",1)</f>
        <v>0.84615384615384615</v>
      </c>
      <c r="C40" s="172">
        <f>GETPIVOTDATA("HeikeCh2",$A$31,"Object_Class","overt","Is_First_ChainClause",0)/GETPIVOTDATA("HeikeCh2",$A$31,"Is_First_ChainClause",0)</f>
        <v>0.76271186440677963</v>
      </c>
      <c r="E40" s="173" t="s">
        <v>1120</v>
      </c>
      <c r="F40" s="172" t="s">
        <v>1122</v>
      </c>
      <c r="G40" s="172" t="s">
        <v>1123</v>
      </c>
    </row>
    <row r="41" spans="1:14" x14ac:dyDescent="0.2">
      <c r="A41" s="160"/>
    </row>
    <row r="42" spans="1:14" x14ac:dyDescent="0.2">
      <c r="A42" s="158" t="s">
        <v>1146</v>
      </c>
    </row>
    <row r="44" spans="1:14" x14ac:dyDescent="0.2">
      <c r="A44" s="173" t="s">
        <v>1093</v>
      </c>
      <c r="B44" s="173" t="s">
        <v>1130</v>
      </c>
      <c r="C44" s="173"/>
      <c r="D44" s="173"/>
      <c r="F44" s="173" t="s">
        <v>1093</v>
      </c>
      <c r="G44" s="173" t="s">
        <v>491</v>
      </c>
      <c r="H44" s="173"/>
      <c r="I44" s="173"/>
      <c r="K44" s="173" t="s">
        <v>1093</v>
      </c>
      <c r="L44" s="173" t="s">
        <v>493</v>
      </c>
      <c r="M44" s="173"/>
      <c r="N44" s="173"/>
    </row>
    <row r="45" spans="1:14" x14ac:dyDescent="0.2">
      <c r="A45" s="173"/>
      <c r="B45" s="173"/>
      <c r="C45" s="173"/>
      <c r="D45" s="173"/>
      <c r="F45" s="173"/>
      <c r="G45" s="173"/>
      <c r="H45" s="173"/>
      <c r="I45" s="173"/>
      <c r="K45" s="173"/>
      <c r="L45" s="173"/>
      <c r="M45" s="173"/>
      <c r="N45" s="173"/>
    </row>
    <row r="46" spans="1:14" x14ac:dyDescent="0.2">
      <c r="A46" s="173" t="s">
        <v>1118</v>
      </c>
      <c r="B46" s="173" t="s">
        <v>1117</v>
      </c>
      <c r="C46" s="173"/>
      <c r="D46" s="173"/>
      <c r="F46" s="173" t="s">
        <v>1118</v>
      </c>
      <c r="G46" s="173" t="s">
        <v>1117</v>
      </c>
      <c r="H46" s="173"/>
      <c r="I46" s="173"/>
      <c r="K46" s="173" t="s">
        <v>1118</v>
      </c>
      <c r="L46" s="173" t="s">
        <v>1117</v>
      </c>
      <c r="M46" s="173"/>
      <c r="N46" s="173"/>
    </row>
    <row r="47" spans="1:14" x14ac:dyDescent="0.2">
      <c r="A47" s="173" t="s">
        <v>1127</v>
      </c>
      <c r="B47" s="173">
        <v>0</v>
      </c>
      <c r="C47" s="173">
        <v>1</v>
      </c>
      <c r="D47" s="173" t="s">
        <v>1045</v>
      </c>
      <c r="F47" s="173" t="s">
        <v>1127</v>
      </c>
      <c r="G47" s="173">
        <v>0</v>
      </c>
      <c r="H47" s="173">
        <v>1</v>
      </c>
      <c r="I47" s="173" t="s">
        <v>1045</v>
      </c>
      <c r="K47" s="173" t="s">
        <v>1127</v>
      </c>
      <c r="L47" s="173">
        <v>0</v>
      </c>
      <c r="M47" s="173">
        <v>1</v>
      </c>
      <c r="N47" s="173" t="s">
        <v>1045</v>
      </c>
    </row>
    <row r="48" spans="1:14" x14ac:dyDescent="0.2">
      <c r="A48" s="173">
        <v>0</v>
      </c>
      <c r="B48" s="173">
        <v>95</v>
      </c>
      <c r="C48" s="173">
        <v>20</v>
      </c>
      <c r="D48" s="173">
        <v>115</v>
      </c>
      <c r="F48" s="173">
        <v>0</v>
      </c>
      <c r="G48" s="173">
        <v>49</v>
      </c>
      <c r="H48" s="173">
        <v>5</v>
      </c>
      <c r="I48" s="173">
        <v>54</v>
      </c>
      <c r="K48" s="173">
        <v>0</v>
      </c>
      <c r="L48" s="173">
        <v>46</v>
      </c>
      <c r="M48" s="173">
        <v>15</v>
      </c>
      <c r="N48" s="173">
        <v>61</v>
      </c>
    </row>
    <row r="49" spans="1:14" x14ac:dyDescent="0.2">
      <c r="A49" s="200">
        <v>1</v>
      </c>
      <c r="B49" s="173">
        <v>27</v>
      </c>
      <c r="C49" s="173">
        <v>8</v>
      </c>
      <c r="D49" s="173">
        <v>35</v>
      </c>
      <c r="F49" s="173">
        <v>1</v>
      </c>
      <c r="G49" s="173">
        <v>14</v>
      </c>
      <c r="H49" s="173">
        <v>6</v>
      </c>
      <c r="I49" s="173">
        <v>20</v>
      </c>
      <c r="K49" s="173">
        <v>1</v>
      </c>
      <c r="L49" s="173">
        <v>13</v>
      </c>
      <c r="M49" s="173">
        <v>2</v>
      </c>
      <c r="N49" s="173">
        <v>15</v>
      </c>
    </row>
    <row r="50" spans="1:14" x14ac:dyDescent="0.2">
      <c r="A50" s="173" t="s">
        <v>1045</v>
      </c>
      <c r="B50" s="173">
        <v>122</v>
      </c>
      <c r="C50" s="173">
        <v>28</v>
      </c>
      <c r="D50" s="173">
        <v>150</v>
      </c>
      <c r="F50" s="173" t="s">
        <v>1045</v>
      </c>
      <c r="G50" s="173">
        <v>63</v>
      </c>
      <c r="H50" s="173">
        <v>11</v>
      </c>
      <c r="I50" s="173">
        <v>74</v>
      </c>
      <c r="K50" s="173" t="s">
        <v>1045</v>
      </c>
      <c r="L50" s="173">
        <v>59</v>
      </c>
      <c r="M50" s="173">
        <v>17</v>
      </c>
      <c r="N50" s="173">
        <v>76</v>
      </c>
    </row>
    <row r="52" spans="1:14" x14ac:dyDescent="0.2">
      <c r="A52" s="160"/>
    </row>
    <row r="54" spans="1:14" x14ac:dyDescent="0.2">
      <c r="A54" s="161" t="s">
        <v>1093</v>
      </c>
      <c r="B54" s="154" t="s">
        <v>493</v>
      </c>
    </row>
    <row r="56" spans="1:14" x14ac:dyDescent="0.2">
      <c r="B56" s="161" t="s">
        <v>1126</v>
      </c>
      <c r="C56" s="161" t="s">
        <v>1105</v>
      </c>
    </row>
    <row r="57" spans="1:14" x14ac:dyDescent="0.2">
      <c r="B57" s="154" t="s">
        <v>461</v>
      </c>
      <c r="D57" s="154" t="s">
        <v>460</v>
      </c>
      <c r="F57" s="154" t="s">
        <v>459</v>
      </c>
      <c r="H57" s="154" t="s">
        <v>508</v>
      </c>
      <c r="J57" s="154" t="s">
        <v>527</v>
      </c>
      <c r="L57" s="154" t="s">
        <v>1131</v>
      </c>
      <c r="M57" s="154" t="s">
        <v>1132</v>
      </c>
    </row>
    <row r="58" spans="1:14" x14ac:dyDescent="0.2">
      <c r="A58" s="161" t="s">
        <v>1117</v>
      </c>
      <c r="B58" s="154" t="s">
        <v>1118</v>
      </c>
      <c r="C58" s="154" t="s">
        <v>1133</v>
      </c>
      <c r="D58" s="154" t="s">
        <v>1118</v>
      </c>
      <c r="E58" s="154" t="s">
        <v>1133</v>
      </c>
      <c r="F58" s="154" t="s">
        <v>1118</v>
      </c>
      <c r="G58" s="154" t="s">
        <v>1133</v>
      </c>
      <c r="H58" s="154" t="s">
        <v>1118</v>
      </c>
      <c r="I58" s="154" t="s">
        <v>1133</v>
      </c>
      <c r="J58" s="154" t="s">
        <v>1118</v>
      </c>
      <c r="K58" s="154" t="s">
        <v>1133</v>
      </c>
    </row>
    <row r="59" spans="1:14" x14ac:dyDescent="0.2">
      <c r="A59" s="154">
        <v>0</v>
      </c>
      <c r="B59" s="182">
        <v>0.67796610169491522</v>
      </c>
      <c r="C59" s="154">
        <v>40</v>
      </c>
      <c r="D59" s="182">
        <v>0.11864406779661017</v>
      </c>
      <c r="E59" s="154">
        <v>7</v>
      </c>
      <c r="F59" s="182">
        <v>1.6949152542372881E-2</v>
      </c>
      <c r="G59" s="154">
        <v>1</v>
      </c>
      <c r="H59" s="182">
        <v>0.13559322033898305</v>
      </c>
      <c r="I59" s="154">
        <v>8</v>
      </c>
      <c r="J59" s="182">
        <v>5.0847457627118647E-2</v>
      </c>
      <c r="K59" s="154">
        <v>3</v>
      </c>
      <c r="L59" s="182">
        <v>1</v>
      </c>
      <c r="M59" s="154">
        <v>59</v>
      </c>
    </row>
    <row r="60" spans="1:14" x14ac:dyDescent="0.2">
      <c r="A60" s="154">
        <v>1</v>
      </c>
      <c r="B60" s="182">
        <v>0.82352941176470584</v>
      </c>
      <c r="C60" s="154">
        <v>14</v>
      </c>
      <c r="D60" s="182">
        <v>0.17647058823529413</v>
      </c>
      <c r="E60" s="154">
        <v>3</v>
      </c>
      <c r="F60" s="182">
        <v>0</v>
      </c>
      <c r="H60" s="182">
        <v>0</v>
      </c>
      <c r="J60" s="182">
        <v>0</v>
      </c>
      <c r="L60" s="182">
        <v>1</v>
      </c>
      <c r="M60" s="154">
        <v>17</v>
      </c>
    </row>
    <row r="61" spans="1:14" x14ac:dyDescent="0.2">
      <c r="A61" s="154" t="s">
        <v>1045</v>
      </c>
      <c r="B61" s="182">
        <v>0.71052631578947367</v>
      </c>
      <c r="C61" s="154">
        <v>54</v>
      </c>
      <c r="D61" s="182">
        <v>0.13157894736842105</v>
      </c>
      <c r="E61" s="154">
        <v>10</v>
      </c>
      <c r="F61" s="182">
        <v>1.3157894736842105E-2</v>
      </c>
      <c r="G61" s="154">
        <v>1</v>
      </c>
      <c r="H61" s="182">
        <v>0.10526315789473684</v>
      </c>
      <c r="I61" s="154">
        <v>8</v>
      </c>
      <c r="J61" s="182">
        <v>3.9473684210526314E-2</v>
      </c>
      <c r="K61" s="154">
        <v>3</v>
      </c>
      <c r="L61" s="182">
        <v>1</v>
      </c>
      <c r="M61" s="154">
        <v>76</v>
      </c>
    </row>
    <row r="64" spans="1:14" x14ac:dyDescent="0.2">
      <c r="A64" s="160"/>
    </row>
    <row r="65" spans="1:15" x14ac:dyDescent="0.2">
      <c r="A65" s="161" t="s">
        <v>1093</v>
      </c>
      <c r="B65" s="154" t="s">
        <v>493</v>
      </c>
    </row>
    <row r="66" spans="1:15" x14ac:dyDescent="0.2">
      <c r="N66" s="173">
        <v>1</v>
      </c>
      <c r="O66" s="173" t="s">
        <v>1045</v>
      </c>
    </row>
    <row r="67" spans="1:15" x14ac:dyDescent="0.2">
      <c r="B67" s="161" t="s">
        <v>1105</v>
      </c>
      <c r="C67" s="161" t="s">
        <v>21</v>
      </c>
      <c r="N67" s="202">
        <v>0.82352941176470584</v>
      </c>
      <c r="O67" s="202">
        <v>0.71052631578947367</v>
      </c>
    </row>
    <row r="68" spans="1:15" x14ac:dyDescent="0.2">
      <c r="B68" s="154" t="s">
        <v>1118</v>
      </c>
      <c r="D68" s="154" t="s">
        <v>1133</v>
      </c>
      <c r="F68" s="154" t="s">
        <v>1131</v>
      </c>
      <c r="G68" s="154" t="s">
        <v>1132</v>
      </c>
      <c r="N68" s="173">
        <v>14</v>
      </c>
      <c r="O68" s="173">
        <v>54</v>
      </c>
    </row>
    <row r="69" spans="1:15" x14ac:dyDescent="0.2">
      <c r="A69" s="161" t="s">
        <v>1117</v>
      </c>
      <c r="B69" s="154">
        <v>0</v>
      </c>
      <c r="C69" s="154">
        <v>1</v>
      </c>
      <c r="D69" s="154">
        <v>0</v>
      </c>
      <c r="E69" s="154">
        <v>1</v>
      </c>
      <c r="N69" s="202">
        <v>0.17647058823529413</v>
      </c>
      <c r="O69" s="202">
        <v>0.13157894736842105</v>
      </c>
    </row>
    <row r="70" spans="1:15" x14ac:dyDescent="0.2">
      <c r="A70" s="154">
        <v>0</v>
      </c>
      <c r="B70" s="179">
        <v>0.78947368421052633</v>
      </c>
      <c r="C70" s="179">
        <v>0.21052631578947367</v>
      </c>
      <c r="D70" s="154">
        <v>45</v>
      </c>
      <c r="E70" s="154">
        <v>12</v>
      </c>
      <c r="F70" s="179">
        <v>1</v>
      </c>
      <c r="G70" s="154">
        <v>57</v>
      </c>
      <c r="N70" s="173">
        <v>3</v>
      </c>
      <c r="O70" s="173">
        <v>10</v>
      </c>
    </row>
    <row r="71" spans="1:15" x14ac:dyDescent="0.2">
      <c r="A71" s="154">
        <v>1</v>
      </c>
      <c r="B71" s="179">
        <v>0.76470588235294112</v>
      </c>
      <c r="C71" s="179">
        <v>0.23529411764705882</v>
      </c>
      <c r="D71" s="154">
        <v>13</v>
      </c>
      <c r="E71" s="154">
        <v>4</v>
      </c>
      <c r="F71" s="179">
        <v>1</v>
      </c>
      <c r="G71" s="154">
        <v>17</v>
      </c>
      <c r="N71" s="202">
        <v>0</v>
      </c>
      <c r="O71" s="202">
        <v>1.3157894736842105E-2</v>
      </c>
    </row>
    <row r="72" spans="1:15" x14ac:dyDescent="0.2">
      <c r="A72" s="154" t="s">
        <v>1045</v>
      </c>
      <c r="B72" s="179">
        <v>0.78378378378378377</v>
      </c>
      <c r="C72" s="179">
        <v>0.21621621621621623</v>
      </c>
      <c r="D72" s="154">
        <v>58</v>
      </c>
      <c r="E72" s="154">
        <v>16</v>
      </c>
      <c r="F72" s="179">
        <v>1</v>
      </c>
      <c r="G72" s="154">
        <v>74</v>
      </c>
      <c r="N72" s="173"/>
      <c r="O72" s="173">
        <v>1</v>
      </c>
    </row>
    <row r="73" spans="1:15" x14ac:dyDescent="0.2">
      <c r="A73" s="203"/>
      <c r="B73" s="203"/>
      <c r="C73" s="203"/>
      <c r="D73" s="203"/>
      <c r="E73" s="203"/>
      <c r="F73" s="203"/>
      <c r="G73" s="203"/>
      <c r="K73" s="173"/>
      <c r="L73" s="173" t="s">
        <v>508</v>
      </c>
      <c r="M73" s="202">
        <v>0.13559322033898305</v>
      </c>
      <c r="N73" s="202">
        <v>0</v>
      </c>
      <c r="O73" s="202">
        <v>0.10526315789473684</v>
      </c>
    </row>
    <row r="74" spans="1:15" x14ac:dyDescent="0.2">
      <c r="A74" s="203"/>
      <c r="B74" s="203"/>
      <c r="C74" s="203"/>
      <c r="D74" s="204"/>
      <c r="E74" s="204"/>
      <c r="F74" s="204"/>
      <c r="G74" s="203"/>
      <c r="K74" s="173"/>
      <c r="L74" s="173"/>
      <c r="M74" s="173">
        <v>8</v>
      </c>
      <c r="N74" s="173"/>
      <c r="O74" s="173">
        <v>8</v>
      </c>
    </row>
    <row r="75" spans="1:15" x14ac:dyDescent="0.2">
      <c r="A75" s="203"/>
      <c r="B75" s="203"/>
      <c r="C75" s="203"/>
      <c r="D75" s="203"/>
      <c r="E75" s="203"/>
      <c r="F75" s="203"/>
      <c r="G75" s="203"/>
      <c r="K75" s="173"/>
      <c r="L75" s="173" t="s">
        <v>527</v>
      </c>
      <c r="M75" s="202">
        <v>5.0847457627118647E-2</v>
      </c>
      <c r="N75" s="202">
        <v>0</v>
      </c>
      <c r="O75" s="202">
        <v>3.9473684210526314E-2</v>
      </c>
    </row>
    <row r="76" spans="1:15" x14ac:dyDescent="0.2">
      <c r="A76" s="203"/>
      <c r="B76" s="203"/>
      <c r="C76" s="203"/>
      <c r="D76" s="204"/>
      <c r="E76" s="204"/>
      <c r="F76" s="204"/>
      <c r="G76" s="203"/>
      <c r="K76" s="173"/>
      <c r="L76" s="173"/>
      <c r="M76" s="173">
        <v>3</v>
      </c>
      <c r="N76" s="173"/>
      <c r="O76" s="173">
        <v>3</v>
      </c>
    </row>
    <row r="77" spans="1:15" x14ac:dyDescent="0.2">
      <c r="A77" s="203"/>
      <c r="B77" s="203"/>
      <c r="C77" s="203"/>
      <c r="D77" s="203"/>
      <c r="E77" s="203"/>
      <c r="F77" s="203"/>
      <c r="G77" s="203"/>
      <c r="K77" s="173"/>
      <c r="L77" s="173" t="s">
        <v>1131</v>
      </c>
      <c r="M77" s="202">
        <v>1</v>
      </c>
      <c r="N77" s="202">
        <v>1</v>
      </c>
      <c r="O77" s="202">
        <v>1</v>
      </c>
    </row>
    <row r="78" spans="1:15" x14ac:dyDescent="0.2">
      <c r="K78" s="173"/>
      <c r="L78" s="173" t="s">
        <v>1132</v>
      </c>
      <c r="M78" s="173">
        <v>59</v>
      </c>
      <c r="N78" s="173">
        <v>17</v>
      </c>
      <c r="O78" s="173">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2B469-E82F-F544-8549-CB71A284555F}">
  <sheetPr>
    <tabColor theme="6"/>
  </sheetPr>
  <dimension ref="A2:K102"/>
  <sheetViews>
    <sheetView zoomScale="119" zoomScaleNormal="140" workbookViewId="0">
      <selection activeCell="E17" sqref="E17"/>
    </sheetView>
  </sheetViews>
  <sheetFormatPr baseColWidth="10" defaultRowHeight="16" x14ac:dyDescent="0.2"/>
  <cols>
    <col min="1" max="1" width="17" style="154" bestFit="1" customWidth="1"/>
    <col min="2" max="5" width="17.5" style="154" bestFit="1" customWidth="1"/>
    <col min="6" max="6" width="19.83203125" style="154" bestFit="1" customWidth="1"/>
    <col min="7" max="7" width="21.83203125" style="154" bestFit="1" customWidth="1"/>
    <col min="8" max="8" width="19.83203125" style="154" bestFit="1" customWidth="1"/>
    <col min="9" max="9" width="22.1640625" style="154" bestFit="1" customWidth="1"/>
    <col min="10" max="11" width="17.5" style="154" bestFit="1" customWidth="1"/>
    <col min="12" max="12" width="19.83203125" style="154" bestFit="1" customWidth="1"/>
    <col min="13" max="13" width="21.83203125" style="154" bestFit="1" customWidth="1"/>
    <col min="14" max="14" width="20.1640625" style="154" bestFit="1" customWidth="1"/>
    <col min="15" max="15" width="22" style="154" bestFit="1" customWidth="1"/>
    <col min="16" max="16" width="20.1640625" style="154" bestFit="1" customWidth="1"/>
    <col min="17" max="17" width="22" style="154" bestFit="1" customWidth="1"/>
    <col min="18" max="29" width="14.33203125" style="154" bestFit="1" customWidth="1"/>
    <col min="30" max="30" width="6.33203125" style="154" bestFit="1" customWidth="1"/>
    <col min="31" max="62" width="10.5" style="154" bestFit="1" customWidth="1"/>
    <col min="63" max="63" width="6.33203125" style="154" bestFit="1" customWidth="1"/>
    <col min="64" max="64" width="10" style="154" bestFit="1" customWidth="1"/>
    <col min="65" max="124" width="14.33203125" style="154" bestFit="1" customWidth="1"/>
    <col min="125" max="125" width="6.33203125" style="154" bestFit="1" customWidth="1"/>
    <col min="126" max="157" width="10.6640625" style="154" bestFit="1" customWidth="1"/>
    <col min="158" max="158" width="6.33203125" style="154" bestFit="1" customWidth="1"/>
    <col min="159" max="159" width="10.1640625" style="154" bestFit="1" customWidth="1"/>
    <col min="160" max="16384" width="10.83203125" style="154"/>
  </cols>
  <sheetData>
    <row r="2" spans="1:7" x14ac:dyDescent="0.2">
      <c r="A2" s="159" t="s">
        <v>1147</v>
      </c>
    </row>
    <row r="3" spans="1:7" x14ac:dyDescent="0.2">
      <c r="B3" s="161" t="s">
        <v>1093</v>
      </c>
      <c r="C3" s="161" t="s">
        <v>1105</v>
      </c>
    </row>
    <row r="4" spans="1:7" x14ac:dyDescent="0.2">
      <c r="B4" s="154" t="s">
        <v>493</v>
      </c>
      <c r="D4" s="154" t="s">
        <v>491</v>
      </c>
      <c r="F4" s="154" t="s">
        <v>1131</v>
      </c>
      <c r="G4" s="154" t="s">
        <v>1132</v>
      </c>
    </row>
    <row r="5" spans="1:7" x14ac:dyDescent="0.2">
      <c r="A5" s="161" t="s">
        <v>21</v>
      </c>
      <c r="B5" s="154" t="s">
        <v>1118</v>
      </c>
      <c r="C5" s="154" t="s">
        <v>1133</v>
      </c>
      <c r="D5" s="154" t="s">
        <v>1118</v>
      </c>
      <c r="E5" s="154" t="s">
        <v>1133</v>
      </c>
    </row>
    <row r="6" spans="1:7" x14ac:dyDescent="0.2">
      <c r="A6" s="154">
        <v>0</v>
      </c>
      <c r="B6" s="182">
        <v>0.5</v>
      </c>
      <c r="C6" s="154">
        <v>58</v>
      </c>
      <c r="D6" s="182">
        <v>0.5</v>
      </c>
      <c r="E6" s="154">
        <v>58</v>
      </c>
      <c r="F6" s="182">
        <v>1</v>
      </c>
      <c r="G6" s="154">
        <v>116</v>
      </c>
    </row>
    <row r="7" spans="1:7" x14ac:dyDescent="0.2">
      <c r="A7" s="154">
        <v>1</v>
      </c>
      <c r="B7" s="182">
        <v>0.5161290322580645</v>
      </c>
      <c r="C7" s="154">
        <v>16</v>
      </c>
      <c r="D7" s="182">
        <v>0.4838709677419355</v>
      </c>
      <c r="E7" s="154">
        <v>15</v>
      </c>
      <c r="F7" s="182">
        <v>1</v>
      </c>
      <c r="G7" s="154">
        <v>31</v>
      </c>
    </row>
    <row r="8" spans="1:7" x14ac:dyDescent="0.2">
      <c r="A8" s="154" t="s">
        <v>1045</v>
      </c>
      <c r="B8" s="182">
        <v>0.50340136054421769</v>
      </c>
      <c r="C8" s="154">
        <v>74</v>
      </c>
      <c r="D8" s="182">
        <v>0.49659863945578231</v>
      </c>
      <c r="E8" s="154">
        <v>73</v>
      </c>
      <c r="F8" s="182">
        <v>1</v>
      </c>
      <c r="G8" s="154">
        <v>147</v>
      </c>
    </row>
    <row r="10" spans="1:7" x14ac:dyDescent="0.2">
      <c r="A10" s="161" t="s">
        <v>1093</v>
      </c>
      <c r="B10" s="154" t="s">
        <v>491</v>
      </c>
    </row>
    <row r="12" spans="1:7" x14ac:dyDescent="0.2">
      <c r="B12" s="161" t="s">
        <v>1127</v>
      </c>
      <c r="C12" s="161" t="s">
        <v>1105</v>
      </c>
    </row>
    <row r="13" spans="1:7" x14ac:dyDescent="0.2">
      <c r="B13" s="154">
        <v>0</v>
      </c>
      <c r="D13" s="154">
        <v>1</v>
      </c>
      <c r="F13" s="154" t="s">
        <v>1131</v>
      </c>
      <c r="G13" s="154" t="s">
        <v>1132</v>
      </c>
    </row>
    <row r="14" spans="1:7" x14ac:dyDescent="0.2">
      <c r="A14" s="161" t="s">
        <v>21</v>
      </c>
      <c r="B14" s="154" t="s">
        <v>1118</v>
      </c>
      <c r="C14" s="154" t="s">
        <v>1133</v>
      </c>
      <c r="D14" s="154" t="s">
        <v>1118</v>
      </c>
      <c r="E14" s="154" t="s">
        <v>1133</v>
      </c>
    </row>
    <row r="15" spans="1:7" x14ac:dyDescent="0.2">
      <c r="A15" s="154">
        <v>0</v>
      </c>
      <c r="B15" s="179">
        <v>0.65517241379310343</v>
      </c>
      <c r="C15" s="154">
        <v>38</v>
      </c>
      <c r="D15" s="179">
        <v>0.34482758620689657</v>
      </c>
      <c r="E15" s="154">
        <v>20</v>
      </c>
      <c r="F15" s="179">
        <v>1</v>
      </c>
      <c r="G15" s="154">
        <v>58</v>
      </c>
    </row>
    <row r="16" spans="1:7" x14ac:dyDescent="0.2">
      <c r="A16" s="154">
        <v>1</v>
      </c>
      <c r="B16" s="179">
        <v>1</v>
      </c>
      <c r="C16" s="154">
        <v>15</v>
      </c>
      <c r="D16" s="179">
        <v>0</v>
      </c>
      <c r="F16" s="179">
        <v>1</v>
      </c>
      <c r="G16" s="154">
        <v>15</v>
      </c>
    </row>
    <row r="17" spans="1:11" x14ac:dyDescent="0.2">
      <c r="A17" s="154" t="s">
        <v>1045</v>
      </c>
      <c r="B17" s="179">
        <v>0.72602739726027399</v>
      </c>
      <c r="C17" s="154">
        <v>53</v>
      </c>
      <c r="D17" s="179">
        <v>0.27397260273972601</v>
      </c>
      <c r="E17" s="154">
        <v>20</v>
      </c>
      <c r="F17" s="179">
        <v>1</v>
      </c>
      <c r="G17" s="154">
        <v>73</v>
      </c>
    </row>
    <row r="20" spans="1:11" x14ac:dyDescent="0.2">
      <c r="A20" s="161" t="s">
        <v>1093</v>
      </c>
      <c r="B20" s="154" t="s">
        <v>491</v>
      </c>
    </row>
    <row r="22" spans="1:11" x14ac:dyDescent="0.2">
      <c r="B22" s="161" t="s">
        <v>1105</v>
      </c>
      <c r="C22" s="161" t="s">
        <v>1126</v>
      </c>
    </row>
    <row r="23" spans="1:11" x14ac:dyDescent="0.2">
      <c r="B23" s="154" t="s">
        <v>1118</v>
      </c>
      <c r="F23" s="154" t="s">
        <v>1133</v>
      </c>
      <c r="J23" s="154" t="s">
        <v>1131</v>
      </c>
      <c r="K23" s="154" t="s">
        <v>1132</v>
      </c>
    </row>
    <row r="24" spans="1:11" x14ac:dyDescent="0.2">
      <c r="A24" s="161" t="s">
        <v>21</v>
      </c>
      <c r="B24" s="154" t="s">
        <v>461</v>
      </c>
      <c r="C24" s="154" t="s">
        <v>460</v>
      </c>
      <c r="D24" s="154" t="s">
        <v>459</v>
      </c>
      <c r="E24" s="154" t="s">
        <v>508</v>
      </c>
      <c r="F24" s="154" t="s">
        <v>461</v>
      </c>
      <c r="G24" s="154" t="s">
        <v>460</v>
      </c>
      <c r="H24" s="154" t="s">
        <v>459</v>
      </c>
      <c r="I24" s="154" t="s">
        <v>508</v>
      </c>
    </row>
    <row r="25" spans="1:11" x14ac:dyDescent="0.2">
      <c r="A25" s="154">
        <v>0</v>
      </c>
      <c r="B25" s="179">
        <v>0.15517241379310345</v>
      </c>
      <c r="C25" s="179">
        <v>0.2413793103448276</v>
      </c>
      <c r="D25" s="179">
        <v>6.8965517241379309E-2</v>
      </c>
      <c r="E25" s="179">
        <v>0.53448275862068961</v>
      </c>
      <c r="F25" s="154">
        <v>9</v>
      </c>
      <c r="G25" s="154">
        <v>14</v>
      </c>
      <c r="H25" s="154">
        <v>4</v>
      </c>
      <c r="I25" s="154">
        <v>31</v>
      </c>
      <c r="J25" s="179">
        <v>1</v>
      </c>
      <c r="K25" s="154">
        <v>58</v>
      </c>
    </row>
    <row r="26" spans="1:11" x14ac:dyDescent="0.2">
      <c r="A26" s="154">
        <v>1</v>
      </c>
      <c r="B26" s="179">
        <v>0.26666666666666666</v>
      </c>
      <c r="C26" s="179">
        <v>0.26666666666666666</v>
      </c>
      <c r="D26" s="179">
        <v>6.6666666666666666E-2</v>
      </c>
      <c r="E26" s="179">
        <v>0.4</v>
      </c>
      <c r="F26" s="154">
        <v>4</v>
      </c>
      <c r="G26" s="154">
        <v>4</v>
      </c>
      <c r="H26" s="154">
        <v>1</v>
      </c>
      <c r="I26" s="154">
        <v>6</v>
      </c>
      <c r="J26" s="179">
        <v>1</v>
      </c>
      <c r="K26" s="154">
        <v>15</v>
      </c>
    </row>
    <row r="27" spans="1:11" x14ac:dyDescent="0.2">
      <c r="A27" s="154" t="s">
        <v>1045</v>
      </c>
      <c r="B27" s="179">
        <v>0.17808219178082191</v>
      </c>
      <c r="C27" s="179">
        <v>0.24657534246575341</v>
      </c>
      <c r="D27" s="179">
        <v>6.8493150684931503E-2</v>
      </c>
      <c r="E27" s="179">
        <v>0.50684931506849318</v>
      </c>
      <c r="F27" s="154">
        <v>13</v>
      </c>
      <c r="G27" s="154">
        <v>18</v>
      </c>
      <c r="H27" s="154">
        <v>5</v>
      </c>
      <c r="I27" s="154">
        <v>37</v>
      </c>
      <c r="J27" s="179">
        <v>1</v>
      </c>
      <c r="K27" s="154">
        <v>73</v>
      </c>
    </row>
    <row r="30" spans="1:11" x14ac:dyDescent="0.2">
      <c r="A30" s="158" t="s">
        <v>1138</v>
      </c>
    </row>
    <row r="32" spans="1:11" x14ac:dyDescent="0.2">
      <c r="B32" s="161" t="s">
        <v>26</v>
      </c>
      <c r="C32" s="161" t="s">
        <v>1105</v>
      </c>
    </row>
    <row r="33" spans="1:9" x14ac:dyDescent="0.2">
      <c r="B33" s="154" t="s">
        <v>511</v>
      </c>
      <c r="D33" s="154" t="s">
        <v>484</v>
      </c>
      <c r="F33" s="154" t="s">
        <v>473</v>
      </c>
      <c r="H33" s="154" t="s">
        <v>1131</v>
      </c>
      <c r="I33" s="154" t="s">
        <v>1132</v>
      </c>
    </row>
    <row r="34" spans="1:9" x14ac:dyDescent="0.2">
      <c r="A34" s="161" t="s">
        <v>21</v>
      </c>
      <c r="B34" s="154" t="s">
        <v>1118</v>
      </c>
      <c r="C34" s="154" t="s">
        <v>1133</v>
      </c>
      <c r="D34" s="154" t="s">
        <v>1118</v>
      </c>
      <c r="E34" s="154" t="s">
        <v>1133</v>
      </c>
      <c r="F34" s="154" t="s">
        <v>1118</v>
      </c>
      <c r="G34" s="154" t="s">
        <v>1133</v>
      </c>
    </row>
    <row r="35" spans="1:9" x14ac:dyDescent="0.2">
      <c r="A35" s="154">
        <v>0</v>
      </c>
      <c r="B35" s="179">
        <v>6.5040650406504072E-2</v>
      </c>
      <c r="C35" s="154">
        <v>8</v>
      </c>
      <c r="D35" s="179">
        <v>0.80487804878048785</v>
      </c>
      <c r="E35" s="154">
        <v>99</v>
      </c>
      <c r="F35" s="179">
        <v>0.13008130081300814</v>
      </c>
      <c r="G35" s="154">
        <v>16</v>
      </c>
      <c r="H35" s="179">
        <v>1</v>
      </c>
      <c r="I35" s="154">
        <v>123</v>
      </c>
    </row>
    <row r="36" spans="1:9" x14ac:dyDescent="0.2">
      <c r="A36" s="154">
        <v>1</v>
      </c>
      <c r="B36" s="179">
        <v>3.2258064516129031E-2</v>
      </c>
      <c r="C36" s="154">
        <v>1</v>
      </c>
      <c r="D36" s="179">
        <v>0.54838709677419351</v>
      </c>
      <c r="E36" s="154">
        <v>17</v>
      </c>
      <c r="F36" s="179">
        <v>0.41935483870967744</v>
      </c>
      <c r="G36" s="154">
        <v>13</v>
      </c>
      <c r="H36" s="179">
        <v>1</v>
      </c>
      <c r="I36" s="154">
        <v>31</v>
      </c>
    </row>
    <row r="37" spans="1:9" x14ac:dyDescent="0.2">
      <c r="A37" s="154" t="s">
        <v>1045</v>
      </c>
      <c r="B37" s="179">
        <v>5.844155844155844E-2</v>
      </c>
      <c r="C37" s="154">
        <v>9</v>
      </c>
      <c r="D37" s="179">
        <v>0.75324675324675328</v>
      </c>
      <c r="E37" s="154">
        <v>116</v>
      </c>
      <c r="F37" s="179">
        <v>0.18831168831168832</v>
      </c>
      <c r="G37" s="154">
        <v>29</v>
      </c>
      <c r="H37" s="179">
        <v>1</v>
      </c>
      <c r="I37" s="154">
        <v>154</v>
      </c>
    </row>
    <row r="40" spans="1:9" x14ac:dyDescent="0.2">
      <c r="B40" s="161" t="s">
        <v>26</v>
      </c>
      <c r="C40" s="161" t="s">
        <v>1105</v>
      </c>
    </row>
    <row r="41" spans="1:9" x14ac:dyDescent="0.2">
      <c r="B41" s="154" t="s">
        <v>511</v>
      </c>
      <c r="D41" s="154" t="s">
        <v>484</v>
      </c>
      <c r="F41" s="154" t="s">
        <v>473</v>
      </c>
      <c r="H41" s="154" t="s">
        <v>1131</v>
      </c>
      <c r="I41" s="154" t="s">
        <v>1139</v>
      </c>
    </row>
    <row r="42" spans="1:9" x14ac:dyDescent="0.2">
      <c r="A42" s="161" t="s">
        <v>25</v>
      </c>
      <c r="B42" s="154" t="s">
        <v>1118</v>
      </c>
      <c r="C42" s="154" t="s">
        <v>1140</v>
      </c>
      <c r="D42" s="154" t="s">
        <v>1118</v>
      </c>
      <c r="E42" s="154" t="s">
        <v>1140</v>
      </c>
      <c r="F42" s="154" t="s">
        <v>1118</v>
      </c>
      <c r="G42" s="154" t="s">
        <v>1140</v>
      </c>
    </row>
    <row r="43" spans="1:9" x14ac:dyDescent="0.2">
      <c r="A43" s="154" t="s">
        <v>486</v>
      </c>
      <c r="B43" s="154">
        <v>4</v>
      </c>
      <c r="C43" s="154">
        <v>1</v>
      </c>
      <c r="D43" s="154">
        <v>6</v>
      </c>
      <c r="E43" s="154">
        <v>0</v>
      </c>
      <c r="F43" s="154">
        <v>1</v>
      </c>
      <c r="G43" s="154">
        <v>0</v>
      </c>
      <c r="H43" s="154">
        <v>11</v>
      </c>
      <c r="I43" s="154">
        <v>1</v>
      </c>
    </row>
    <row r="44" spans="1:9" x14ac:dyDescent="0.2">
      <c r="A44" s="154" t="s">
        <v>507</v>
      </c>
      <c r="B44" s="154">
        <v>4</v>
      </c>
      <c r="C44" s="154">
        <v>0</v>
      </c>
      <c r="D44" s="154">
        <v>78</v>
      </c>
      <c r="E44" s="154">
        <v>15</v>
      </c>
      <c r="F44" s="154">
        <v>28</v>
      </c>
      <c r="G44" s="154">
        <v>13</v>
      </c>
      <c r="H44" s="154">
        <v>110</v>
      </c>
      <c r="I44" s="154">
        <v>28</v>
      </c>
    </row>
    <row r="45" spans="1:9" x14ac:dyDescent="0.2">
      <c r="A45" s="154" t="s">
        <v>485</v>
      </c>
      <c r="D45" s="154">
        <v>11</v>
      </c>
      <c r="E45" s="154">
        <v>1</v>
      </c>
      <c r="H45" s="154">
        <v>11</v>
      </c>
      <c r="I45" s="154">
        <v>1</v>
      </c>
    </row>
    <row r="46" spans="1:9" x14ac:dyDescent="0.2">
      <c r="A46" s="154" t="s">
        <v>492</v>
      </c>
      <c r="B46" s="154">
        <v>1</v>
      </c>
      <c r="C46" s="154">
        <v>0</v>
      </c>
      <c r="D46" s="154">
        <v>21</v>
      </c>
      <c r="E46" s="154">
        <v>2</v>
      </c>
      <c r="H46" s="154">
        <v>22</v>
      </c>
      <c r="I46" s="154">
        <v>2</v>
      </c>
    </row>
    <row r="47" spans="1:9" x14ac:dyDescent="0.2">
      <c r="A47" s="154" t="s">
        <v>1045</v>
      </c>
      <c r="B47" s="154">
        <v>9</v>
      </c>
      <c r="C47" s="154">
        <v>1</v>
      </c>
      <c r="D47" s="154">
        <v>116</v>
      </c>
      <c r="E47" s="154">
        <v>18</v>
      </c>
      <c r="F47" s="154">
        <v>29</v>
      </c>
      <c r="G47" s="154">
        <v>13</v>
      </c>
      <c r="H47" s="154">
        <v>154</v>
      </c>
      <c r="I47" s="154">
        <v>32</v>
      </c>
    </row>
    <row r="48" spans="1:9" x14ac:dyDescent="0.2">
      <c r="A48" s="158" t="s">
        <v>1141</v>
      </c>
    </row>
    <row r="50" spans="1:7" x14ac:dyDescent="0.2">
      <c r="A50" s="161" t="s">
        <v>25</v>
      </c>
      <c r="B50" s="154" t="s">
        <v>1129</v>
      </c>
    </row>
    <row r="52" spans="1:7" x14ac:dyDescent="0.2">
      <c r="B52" s="161" t="s">
        <v>21</v>
      </c>
      <c r="C52" s="161" t="s">
        <v>1105</v>
      </c>
    </row>
    <row r="53" spans="1:7" x14ac:dyDescent="0.2">
      <c r="B53" s="154">
        <v>0</v>
      </c>
      <c r="D53" s="154">
        <v>1</v>
      </c>
      <c r="F53" s="154" t="s">
        <v>1131</v>
      </c>
      <c r="G53" s="154" t="s">
        <v>1132</v>
      </c>
    </row>
    <row r="54" spans="1:7" x14ac:dyDescent="0.2">
      <c r="A54" s="161" t="s">
        <v>19</v>
      </c>
      <c r="B54" s="154" t="s">
        <v>1118</v>
      </c>
      <c r="C54" s="154" t="s">
        <v>1133</v>
      </c>
      <c r="D54" s="154" t="s">
        <v>1118</v>
      </c>
      <c r="E54" s="154" t="s">
        <v>1133</v>
      </c>
    </row>
    <row r="55" spans="1:7" x14ac:dyDescent="0.2">
      <c r="A55" s="154" t="s">
        <v>466</v>
      </c>
      <c r="B55" s="179">
        <v>0.76190476190476186</v>
      </c>
      <c r="C55" s="154">
        <v>32</v>
      </c>
      <c r="D55" s="179">
        <v>0.23809523809523808</v>
      </c>
      <c r="E55" s="154">
        <v>10</v>
      </c>
      <c r="F55" s="179">
        <v>1</v>
      </c>
      <c r="G55" s="154">
        <v>42</v>
      </c>
    </row>
    <row r="56" spans="1:7" x14ac:dyDescent="0.2">
      <c r="A56" s="154" t="s">
        <v>487</v>
      </c>
      <c r="B56" s="179">
        <v>0.78048780487804881</v>
      </c>
      <c r="C56" s="154">
        <v>32</v>
      </c>
      <c r="D56" s="179">
        <v>0.21951219512195122</v>
      </c>
      <c r="E56" s="154">
        <v>9</v>
      </c>
      <c r="F56" s="179">
        <v>1</v>
      </c>
      <c r="G56" s="154">
        <v>41</v>
      </c>
    </row>
    <row r="57" spans="1:7" x14ac:dyDescent="0.2">
      <c r="A57" s="154" t="s">
        <v>515</v>
      </c>
      <c r="B57" s="179">
        <v>0.78125</v>
      </c>
      <c r="C57" s="154">
        <v>25</v>
      </c>
      <c r="D57" s="179">
        <v>0.21875</v>
      </c>
      <c r="E57" s="154">
        <v>7</v>
      </c>
      <c r="F57" s="179">
        <v>1</v>
      </c>
      <c r="G57" s="154">
        <v>32</v>
      </c>
    </row>
    <row r="58" spans="1:7" x14ac:dyDescent="0.2">
      <c r="A58" s="154" t="s">
        <v>465</v>
      </c>
      <c r="B58" s="179">
        <v>0.90909090909090906</v>
      </c>
      <c r="C58" s="154">
        <v>20</v>
      </c>
      <c r="D58" s="179">
        <v>9.0909090909090912E-2</v>
      </c>
      <c r="E58" s="154">
        <v>2</v>
      </c>
      <c r="F58" s="179">
        <v>1</v>
      </c>
      <c r="G58" s="154">
        <v>22</v>
      </c>
    </row>
    <row r="59" spans="1:7" x14ac:dyDescent="0.2">
      <c r="A59" s="154" t="s">
        <v>1042</v>
      </c>
      <c r="B59" s="179">
        <v>0.75</v>
      </c>
      <c r="C59" s="154">
        <v>6</v>
      </c>
      <c r="D59" s="179">
        <v>0.25</v>
      </c>
      <c r="E59" s="154">
        <v>2</v>
      </c>
      <c r="F59" s="179">
        <v>1</v>
      </c>
      <c r="G59" s="154">
        <v>8</v>
      </c>
    </row>
    <row r="60" spans="1:7" x14ac:dyDescent="0.2">
      <c r="A60" s="154" t="s">
        <v>517</v>
      </c>
      <c r="B60" s="179">
        <v>0.83333333333333337</v>
      </c>
      <c r="C60" s="154">
        <v>5</v>
      </c>
      <c r="D60" s="179">
        <v>0.16666666666666666</v>
      </c>
      <c r="E60" s="154">
        <v>1</v>
      </c>
      <c r="F60" s="179">
        <v>1</v>
      </c>
      <c r="G60" s="154">
        <v>6</v>
      </c>
    </row>
    <row r="61" spans="1:7" x14ac:dyDescent="0.2">
      <c r="A61" s="154" t="s">
        <v>467</v>
      </c>
      <c r="B61" s="179">
        <v>1</v>
      </c>
      <c r="C61" s="154">
        <v>2</v>
      </c>
      <c r="D61" s="179">
        <v>0</v>
      </c>
      <c r="F61" s="179">
        <v>1</v>
      </c>
      <c r="G61" s="154">
        <v>2</v>
      </c>
    </row>
    <row r="62" spans="1:7" x14ac:dyDescent="0.2">
      <c r="A62" s="154" t="s">
        <v>1045</v>
      </c>
      <c r="B62" s="179">
        <v>0.79738562091503273</v>
      </c>
      <c r="C62" s="154">
        <v>122</v>
      </c>
      <c r="D62" s="179">
        <v>0.20261437908496732</v>
      </c>
      <c r="E62" s="154">
        <v>31</v>
      </c>
      <c r="F62" s="179">
        <v>1</v>
      </c>
      <c r="G62" s="154">
        <v>153</v>
      </c>
    </row>
    <row r="64" spans="1:7" x14ac:dyDescent="0.2">
      <c r="B64" s="161" t="s">
        <v>21</v>
      </c>
      <c r="C64" s="161" t="s">
        <v>1105</v>
      </c>
    </row>
    <row r="65" spans="1:7" x14ac:dyDescent="0.2">
      <c r="B65" s="154">
        <v>0</v>
      </c>
      <c r="D65" s="154">
        <v>1</v>
      </c>
      <c r="F65" s="154" t="s">
        <v>1131</v>
      </c>
      <c r="G65" s="154" t="s">
        <v>1132</v>
      </c>
    </row>
    <row r="66" spans="1:7" x14ac:dyDescent="0.2">
      <c r="A66" s="161" t="s">
        <v>23</v>
      </c>
      <c r="B66" s="154" t="s">
        <v>1118</v>
      </c>
      <c r="C66" s="154" t="s">
        <v>1133</v>
      </c>
      <c r="D66" s="154" t="s">
        <v>1118</v>
      </c>
      <c r="E66" s="154" t="s">
        <v>1133</v>
      </c>
    </row>
    <row r="67" spans="1:7" x14ac:dyDescent="0.2">
      <c r="A67" s="154" t="s">
        <v>525</v>
      </c>
      <c r="B67" s="179">
        <v>1</v>
      </c>
      <c r="C67" s="154">
        <v>3</v>
      </c>
      <c r="D67" s="179">
        <v>0</v>
      </c>
      <c r="F67" s="179">
        <v>1</v>
      </c>
      <c r="G67" s="154">
        <v>3</v>
      </c>
    </row>
    <row r="68" spans="1:7" x14ac:dyDescent="0.2">
      <c r="A68" s="154" t="s">
        <v>471</v>
      </c>
      <c r="B68" s="179">
        <v>1</v>
      </c>
      <c r="C68" s="154">
        <v>2</v>
      </c>
      <c r="D68" s="179">
        <v>0</v>
      </c>
      <c r="F68" s="179">
        <v>1</v>
      </c>
      <c r="G68" s="154">
        <v>2</v>
      </c>
    </row>
    <row r="69" spans="1:7" x14ac:dyDescent="0.2">
      <c r="A69" s="154" t="s">
        <v>466</v>
      </c>
      <c r="B69" s="179">
        <v>0.5</v>
      </c>
      <c r="C69" s="154">
        <v>1</v>
      </c>
      <c r="D69" s="179">
        <v>0.5</v>
      </c>
      <c r="E69" s="154">
        <v>1</v>
      </c>
      <c r="F69" s="179">
        <v>1</v>
      </c>
      <c r="G69" s="154">
        <v>2</v>
      </c>
    </row>
    <row r="70" spans="1:7" x14ac:dyDescent="0.2">
      <c r="A70" s="154" t="s">
        <v>494</v>
      </c>
      <c r="B70" s="179">
        <v>0.8571428571428571</v>
      </c>
      <c r="C70" s="154">
        <v>6</v>
      </c>
      <c r="D70" s="179">
        <v>0.14285714285714285</v>
      </c>
      <c r="E70" s="154">
        <v>1</v>
      </c>
      <c r="F70" s="179">
        <v>1</v>
      </c>
      <c r="G70" s="154">
        <v>7</v>
      </c>
    </row>
    <row r="71" spans="1:7" x14ac:dyDescent="0.2">
      <c r="A71" s="154" t="s">
        <v>470</v>
      </c>
      <c r="B71" s="179">
        <v>0.8571428571428571</v>
      </c>
      <c r="C71" s="154">
        <v>6</v>
      </c>
      <c r="D71" s="179">
        <v>0.14285714285714285</v>
      </c>
      <c r="E71" s="154">
        <v>1</v>
      </c>
      <c r="F71" s="179">
        <v>1</v>
      </c>
      <c r="G71" s="154">
        <v>7</v>
      </c>
    </row>
    <row r="72" spans="1:7" x14ac:dyDescent="0.2">
      <c r="A72" s="154" t="s">
        <v>1052</v>
      </c>
      <c r="B72" s="179">
        <v>0.66666666666666663</v>
      </c>
      <c r="C72" s="154">
        <v>2</v>
      </c>
      <c r="D72" s="179">
        <v>0.33333333333333331</v>
      </c>
      <c r="E72" s="154">
        <v>1</v>
      </c>
      <c r="F72" s="179">
        <v>1</v>
      </c>
      <c r="G72" s="154">
        <v>3</v>
      </c>
    </row>
    <row r="73" spans="1:7" x14ac:dyDescent="0.2">
      <c r="A73" s="154" t="s">
        <v>472</v>
      </c>
      <c r="B73" s="179">
        <v>0.75</v>
      </c>
      <c r="C73" s="154">
        <v>6</v>
      </c>
      <c r="D73" s="179">
        <v>0.25</v>
      </c>
      <c r="E73" s="154">
        <v>2</v>
      </c>
      <c r="F73" s="179">
        <v>1</v>
      </c>
      <c r="G73" s="154">
        <v>8</v>
      </c>
    </row>
    <row r="74" spans="1:7" x14ac:dyDescent="0.2">
      <c r="A74" s="154" t="s">
        <v>469</v>
      </c>
      <c r="B74" s="179">
        <v>0.81818181818181823</v>
      </c>
      <c r="C74" s="154">
        <v>18</v>
      </c>
      <c r="D74" s="179">
        <v>0.18181818181818182</v>
      </c>
      <c r="E74" s="154">
        <v>4</v>
      </c>
      <c r="F74" s="179">
        <v>1</v>
      </c>
      <c r="G74" s="154">
        <v>22</v>
      </c>
    </row>
    <row r="75" spans="1:7" x14ac:dyDescent="0.2">
      <c r="A75" s="154" t="s">
        <v>468</v>
      </c>
      <c r="B75" s="179">
        <v>0.7142857142857143</v>
      </c>
      <c r="C75" s="154">
        <v>10</v>
      </c>
      <c r="D75" s="179">
        <v>0.2857142857142857</v>
      </c>
      <c r="E75" s="154">
        <v>4</v>
      </c>
      <c r="F75" s="179">
        <v>1</v>
      </c>
      <c r="G75" s="154">
        <v>14</v>
      </c>
    </row>
    <row r="76" spans="1:7" x14ac:dyDescent="0.2">
      <c r="A76" s="154" t="s">
        <v>439</v>
      </c>
      <c r="B76" s="179">
        <v>0.80232558139534882</v>
      </c>
      <c r="C76" s="154">
        <v>69</v>
      </c>
      <c r="D76" s="179">
        <v>0.19767441860465115</v>
      </c>
      <c r="E76" s="154">
        <v>17</v>
      </c>
      <c r="F76" s="179">
        <v>1</v>
      </c>
      <c r="G76" s="154">
        <v>86</v>
      </c>
    </row>
    <row r="77" spans="1:7" x14ac:dyDescent="0.2">
      <c r="A77" s="154" t="s">
        <v>1045</v>
      </c>
      <c r="B77" s="179">
        <v>0.79870129870129869</v>
      </c>
      <c r="C77" s="154">
        <v>123</v>
      </c>
      <c r="D77" s="179">
        <v>0.20129870129870131</v>
      </c>
      <c r="E77" s="154">
        <v>31</v>
      </c>
      <c r="F77" s="179">
        <v>1</v>
      </c>
      <c r="G77" s="154">
        <v>154</v>
      </c>
    </row>
    <row r="78" spans="1:7" x14ac:dyDescent="0.2">
      <c r="A78" s="158" t="s">
        <v>1142</v>
      </c>
    </row>
    <row r="80" spans="1:7" x14ac:dyDescent="0.2">
      <c r="B80" s="161" t="s">
        <v>21</v>
      </c>
      <c r="C80" s="161" t="s">
        <v>1105</v>
      </c>
    </row>
    <row r="81" spans="1:7" x14ac:dyDescent="0.2">
      <c r="B81" s="154">
        <v>0</v>
      </c>
      <c r="D81" s="154">
        <v>1</v>
      </c>
      <c r="F81" s="154" t="s">
        <v>1131</v>
      </c>
      <c r="G81" s="154" t="s">
        <v>1132</v>
      </c>
    </row>
    <row r="82" spans="1:7" x14ac:dyDescent="0.2">
      <c r="A82" s="161" t="s">
        <v>495</v>
      </c>
      <c r="B82" s="154" t="s">
        <v>1118</v>
      </c>
      <c r="C82" s="154" t="s">
        <v>1133</v>
      </c>
      <c r="D82" s="154" t="s">
        <v>1118</v>
      </c>
      <c r="E82" s="154" t="s">
        <v>1133</v>
      </c>
    </row>
    <row r="83" spans="1:7" x14ac:dyDescent="0.2">
      <c r="A83" s="154" t="s">
        <v>689</v>
      </c>
      <c r="B83" s="179">
        <v>1</v>
      </c>
      <c r="C83" s="154">
        <v>1</v>
      </c>
      <c r="D83" s="179">
        <v>0</v>
      </c>
      <c r="F83" s="179">
        <v>1</v>
      </c>
      <c r="G83" s="154">
        <v>1</v>
      </c>
    </row>
    <row r="84" spans="1:7" x14ac:dyDescent="0.2">
      <c r="A84" s="154" t="s">
        <v>499</v>
      </c>
      <c r="B84" s="179">
        <v>0.5</v>
      </c>
      <c r="C84" s="154">
        <v>7</v>
      </c>
      <c r="D84" s="179">
        <v>0.5</v>
      </c>
      <c r="E84" s="154">
        <v>7</v>
      </c>
      <c r="F84" s="179">
        <v>1</v>
      </c>
      <c r="G84" s="154">
        <v>14</v>
      </c>
    </row>
    <row r="85" spans="1:7" x14ac:dyDescent="0.2">
      <c r="A85" s="154" t="s">
        <v>512</v>
      </c>
      <c r="B85" s="179">
        <v>0.66666666666666663</v>
      </c>
      <c r="C85" s="154">
        <v>2</v>
      </c>
      <c r="D85" s="179">
        <v>0.33333333333333331</v>
      </c>
      <c r="E85" s="154">
        <v>1</v>
      </c>
      <c r="F85" s="179">
        <v>1</v>
      </c>
      <c r="G85" s="154">
        <v>3</v>
      </c>
    </row>
    <row r="86" spans="1:7" x14ac:dyDescent="0.2">
      <c r="A86" s="154" t="s">
        <v>513</v>
      </c>
      <c r="B86" s="179">
        <v>0.33333333333333331</v>
      </c>
      <c r="C86" s="154">
        <v>1</v>
      </c>
      <c r="D86" s="179">
        <v>0.66666666666666663</v>
      </c>
      <c r="E86" s="154">
        <v>2</v>
      </c>
      <c r="F86" s="179">
        <v>1</v>
      </c>
      <c r="G86" s="154">
        <v>3</v>
      </c>
    </row>
    <row r="87" spans="1:7" x14ac:dyDescent="0.2">
      <c r="A87" s="154" t="s">
        <v>505</v>
      </c>
      <c r="B87" s="179">
        <v>0</v>
      </c>
      <c r="D87" s="179">
        <v>1</v>
      </c>
      <c r="E87" s="154">
        <v>1</v>
      </c>
      <c r="F87" s="179">
        <v>1</v>
      </c>
      <c r="G87" s="154">
        <v>1</v>
      </c>
    </row>
    <row r="88" spans="1:7" x14ac:dyDescent="0.2">
      <c r="A88" s="154" t="s">
        <v>497</v>
      </c>
      <c r="B88" s="179">
        <v>0.15384615384615385</v>
      </c>
      <c r="C88" s="154">
        <v>2</v>
      </c>
      <c r="D88" s="179">
        <v>0.84615384615384615</v>
      </c>
      <c r="E88" s="154">
        <v>11</v>
      </c>
      <c r="F88" s="179">
        <v>1</v>
      </c>
      <c r="G88" s="154">
        <v>13</v>
      </c>
    </row>
    <row r="89" spans="1:7" x14ac:dyDescent="0.2">
      <c r="A89" s="154" t="s">
        <v>498</v>
      </c>
      <c r="B89" s="179">
        <v>0.42857142857142855</v>
      </c>
      <c r="C89" s="154">
        <v>6</v>
      </c>
      <c r="D89" s="179">
        <v>0.5714285714285714</v>
      </c>
      <c r="E89" s="154">
        <v>8</v>
      </c>
      <c r="F89" s="179">
        <v>1</v>
      </c>
      <c r="G89" s="154">
        <v>14</v>
      </c>
    </row>
    <row r="90" spans="1:7" x14ac:dyDescent="0.2">
      <c r="A90" s="154" t="s">
        <v>501</v>
      </c>
      <c r="B90" s="179">
        <v>1</v>
      </c>
      <c r="C90" s="154">
        <v>2</v>
      </c>
      <c r="D90" s="179">
        <v>0</v>
      </c>
      <c r="F90" s="179">
        <v>1</v>
      </c>
      <c r="G90" s="154">
        <v>2</v>
      </c>
    </row>
    <row r="91" spans="1:7" x14ac:dyDescent="0.2">
      <c r="A91" s="154" t="s">
        <v>500</v>
      </c>
      <c r="B91" s="179">
        <v>0.66666666666666663</v>
      </c>
      <c r="C91" s="154">
        <v>2</v>
      </c>
      <c r="D91" s="179">
        <v>0.33333333333333331</v>
      </c>
      <c r="E91" s="154">
        <v>1</v>
      </c>
      <c r="F91" s="179">
        <v>1</v>
      </c>
      <c r="G91" s="154">
        <v>3</v>
      </c>
    </row>
    <row r="92" spans="1:7" x14ac:dyDescent="0.2">
      <c r="A92" s="154" t="s">
        <v>1045</v>
      </c>
      <c r="B92" s="179">
        <v>0.42592592592592593</v>
      </c>
      <c r="C92" s="154">
        <v>23</v>
      </c>
      <c r="D92" s="179">
        <v>0.57407407407407407</v>
      </c>
      <c r="E92" s="154">
        <v>31</v>
      </c>
      <c r="F92" s="179">
        <v>1</v>
      </c>
      <c r="G92" s="154">
        <v>54</v>
      </c>
    </row>
    <row r="96" spans="1:7" x14ac:dyDescent="0.2">
      <c r="B96" s="161" t="s">
        <v>21</v>
      </c>
      <c r="C96" s="161" t="s">
        <v>1105</v>
      </c>
    </row>
    <row r="97" spans="1:7" x14ac:dyDescent="0.2">
      <c r="B97" s="154">
        <v>0</v>
      </c>
      <c r="D97" s="154">
        <v>1</v>
      </c>
      <c r="F97" s="154" t="s">
        <v>1131</v>
      </c>
      <c r="G97" s="154" t="s">
        <v>1132</v>
      </c>
    </row>
    <row r="98" spans="1:7" x14ac:dyDescent="0.2">
      <c r="A98" s="161" t="s">
        <v>496</v>
      </c>
      <c r="B98" s="154" t="s">
        <v>1118</v>
      </c>
      <c r="C98" s="154" t="s">
        <v>1133</v>
      </c>
      <c r="D98" s="154" t="s">
        <v>1118</v>
      </c>
      <c r="E98" s="154" t="s">
        <v>1133</v>
      </c>
    </row>
    <row r="99" spans="1:7" x14ac:dyDescent="0.2">
      <c r="A99" s="154" t="s">
        <v>506</v>
      </c>
      <c r="B99" s="179">
        <v>0</v>
      </c>
      <c r="D99" s="179">
        <v>1</v>
      </c>
      <c r="E99" s="154">
        <v>1</v>
      </c>
      <c r="F99" s="179">
        <v>1</v>
      </c>
      <c r="G99" s="154">
        <v>1</v>
      </c>
    </row>
    <row r="100" spans="1:7" x14ac:dyDescent="0.2">
      <c r="A100" s="154" t="s">
        <v>502</v>
      </c>
      <c r="B100" s="179">
        <v>1</v>
      </c>
      <c r="C100" s="154">
        <v>2</v>
      </c>
      <c r="D100" s="179">
        <v>0</v>
      </c>
      <c r="F100" s="179">
        <v>1</v>
      </c>
      <c r="G100" s="154">
        <v>2</v>
      </c>
    </row>
    <row r="101" spans="1:7" x14ac:dyDescent="0.2">
      <c r="A101" s="154" t="s">
        <v>503</v>
      </c>
      <c r="B101" s="179">
        <v>0.33333333333333331</v>
      </c>
      <c r="C101" s="154">
        <v>15</v>
      </c>
      <c r="D101" s="179">
        <v>0.66666666666666663</v>
      </c>
      <c r="E101" s="154">
        <v>30</v>
      </c>
      <c r="F101" s="179">
        <v>1</v>
      </c>
      <c r="G101" s="154">
        <v>45</v>
      </c>
    </row>
    <row r="102" spans="1:7" x14ac:dyDescent="0.2">
      <c r="A102" s="154" t="s">
        <v>1045</v>
      </c>
      <c r="B102" s="179">
        <v>0.35416666666666669</v>
      </c>
      <c r="C102" s="154">
        <v>17</v>
      </c>
      <c r="D102" s="179">
        <v>0.64583333333333337</v>
      </c>
      <c r="E102" s="154">
        <v>31</v>
      </c>
      <c r="F102" s="179">
        <v>1</v>
      </c>
      <c r="G102" s="154">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E760-EED0-6949-9863-CE3A8D407EE1}">
  <sheetPr>
    <tabColor theme="6"/>
  </sheetPr>
  <dimension ref="A1:AB45"/>
  <sheetViews>
    <sheetView topLeftCell="A7" zoomScale="109" workbookViewId="0">
      <selection activeCell="A39" sqref="A39"/>
    </sheetView>
  </sheetViews>
  <sheetFormatPr baseColWidth="10" defaultRowHeight="16" x14ac:dyDescent="0.2"/>
  <cols>
    <col min="1" max="1" width="13.1640625" style="154" bestFit="1" customWidth="1"/>
    <col min="2" max="5" width="16.6640625" style="154" bestFit="1" customWidth="1"/>
    <col min="6" max="6" width="20.1640625" style="154" bestFit="1" customWidth="1"/>
    <col min="7" max="7" width="21.1640625" style="154" bestFit="1" customWidth="1"/>
    <col min="8" max="9" width="10.83203125" style="154"/>
    <col min="10" max="10" width="17.83203125" style="154" bestFit="1" customWidth="1"/>
    <col min="11" max="18" width="16.6640625" style="154" bestFit="1" customWidth="1"/>
    <col min="19" max="19" width="19.83203125" style="154" bestFit="1" customWidth="1"/>
    <col min="20" max="20" width="20.83203125" style="154" bestFit="1" customWidth="1"/>
    <col min="21" max="22" width="10.83203125" style="154" bestFit="1" customWidth="1"/>
    <col min="23" max="24" width="10" style="154" bestFit="1" customWidth="1"/>
    <col min="25" max="16384" width="10.83203125" style="154"/>
  </cols>
  <sheetData>
    <row r="1" spans="1:28" x14ac:dyDescent="0.2">
      <c r="A1" s="158" t="s">
        <v>1148</v>
      </c>
    </row>
    <row r="2" spans="1:28" x14ac:dyDescent="0.2">
      <c r="Q2" s="161" t="s">
        <v>435</v>
      </c>
      <c r="R2" s="154" t="s">
        <v>1097</v>
      </c>
      <c r="Y2" s="154" t="s">
        <v>1104</v>
      </c>
    </row>
    <row r="3" spans="1:28" x14ac:dyDescent="0.2">
      <c r="A3" s="161" t="s">
        <v>1093</v>
      </c>
      <c r="B3" s="154" t="s">
        <v>493</v>
      </c>
      <c r="C3" s="159" t="s">
        <v>1143</v>
      </c>
      <c r="Q3" s="154" t="s">
        <v>435</v>
      </c>
      <c r="R3" s="185">
        <v>0.82352941176470584</v>
      </c>
      <c r="Y3" s="161" t="s">
        <v>1087</v>
      </c>
      <c r="Z3" s="161" t="s">
        <v>435</v>
      </c>
    </row>
    <row r="4" spans="1:28" x14ac:dyDescent="0.2">
      <c r="Q4" s="154" t="s">
        <v>1101</v>
      </c>
      <c r="R4" s="185">
        <v>0.98540145985401462</v>
      </c>
      <c r="Y4" s="161" t="s">
        <v>5</v>
      </c>
      <c r="Z4" s="154" t="s">
        <v>435</v>
      </c>
      <c r="AA4" s="154" t="s">
        <v>1101</v>
      </c>
      <c r="AB4" s="154" t="s">
        <v>1045</v>
      </c>
    </row>
    <row r="5" spans="1:28" x14ac:dyDescent="0.2">
      <c r="B5" s="161" t="s">
        <v>1126</v>
      </c>
      <c r="C5" s="161" t="s">
        <v>1105</v>
      </c>
      <c r="Q5" s="154" t="s">
        <v>1045</v>
      </c>
      <c r="R5" s="185">
        <v>0.96753246753246758</v>
      </c>
      <c r="Y5" s="154" t="s">
        <v>442</v>
      </c>
      <c r="Z5" s="186">
        <v>7</v>
      </c>
      <c r="AA5" s="187">
        <v>79</v>
      </c>
      <c r="AB5" s="186">
        <v>86</v>
      </c>
    </row>
    <row r="6" spans="1:28" x14ac:dyDescent="0.2">
      <c r="B6" s="154" t="s">
        <v>461</v>
      </c>
      <c r="D6" s="154" t="s">
        <v>460</v>
      </c>
      <c r="F6" s="154" t="s">
        <v>459</v>
      </c>
      <c r="H6" s="154" t="s">
        <v>508</v>
      </c>
      <c r="J6" s="154" t="s">
        <v>527</v>
      </c>
      <c r="L6" s="154" t="s">
        <v>1131</v>
      </c>
      <c r="M6" s="154" t="s">
        <v>1132</v>
      </c>
      <c r="Y6" s="154" t="s">
        <v>441</v>
      </c>
      <c r="Z6" s="187">
        <v>9</v>
      </c>
      <c r="AA6" s="186">
        <v>56</v>
      </c>
      <c r="AB6" s="186">
        <v>65</v>
      </c>
    </row>
    <row r="7" spans="1:28" x14ac:dyDescent="0.2">
      <c r="A7" s="161" t="s">
        <v>1117</v>
      </c>
      <c r="B7" s="154" t="s">
        <v>1118</v>
      </c>
      <c r="C7" s="154" t="s">
        <v>1133</v>
      </c>
      <c r="D7" s="154" t="s">
        <v>1118</v>
      </c>
      <c r="E7" s="154" t="s">
        <v>1133</v>
      </c>
      <c r="F7" s="154" t="s">
        <v>1118</v>
      </c>
      <c r="G7" s="154" t="s">
        <v>1133</v>
      </c>
      <c r="H7" s="154" t="s">
        <v>1118</v>
      </c>
      <c r="I7" s="154" t="s">
        <v>1133</v>
      </c>
      <c r="J7" s="154" t="s">
        <v>1118</v>
      </c>
      <c r="K7" s="154" t="s">
        <v>1133</v>
      </c>
      <c r="Y7" s="154" t="s">
        <v>1045</v>
      </c>
      <c r="Z7" s="186">
        <v>16</v>
      </c>
      <c r="AA7" s="186">
        <v>135</v>
      </c>
      <c r="AB7" s="186">
        <v>151</v>
      </c>
    </row>
    <row r="8" spans="1:28" x14ac:dyDescent="0.2">
      <c r="A8" s="154">
        <v>0</v>
      </c>
      <c r="B8" s="182">
        <v>0.67796610169491522</v>
      </c>
      <c r="C8" s="154">
        <v>40</v>
      </c>
      <c r="D8" s="182">
        <v>0.11864406779661017</v>
      </c>
      <c r="E8" s="154">
        <v>7</v>
      </c>
      <c r="F8" s="182">
        <v>1.6949152542372881E-2</v>
      </c>
      <c r="G8" s="154">
        <v>1</v>
      </c>
      <c r="H8" s="182">
        <v>0.13559322033898305</v>
      </c>
      <c r="I8" s="154">
        <v>8</v>
      </c>
      <c r="J8" s="182">
        <v>5.0847457627118647E-2</v>
      </c>
      <c r="K8" s="154">
        <v>3</v>
      </c>
      <c r="L8" s="182">
        <v>1</v>
      </c>
      <c r="M8" s="154">
        <v>59</v>
      </c>
    </row>
    <row r="9" spans="1:28" x14ac:dyDescent="0.2">
      <c r="A9" s="154">
        <v>1</v>
      </c>
      <c r="B9" s="182">
        <v>0.82352941176470584</v>
      </c>
      <c r="C9" s="154">
        <v>14</v>
      </c>
      <c r="D9" s="182">
        <v>0.17647058823529413</v>
      </c>
      <c r="E9" s="154">
        <v>3</v>
      </c>
      <c r="F9" s="182">
        <v>0</v>
      </c>
      <c r="H9" s="182">
        <v>0</v>
      </c>
      <c r="J9" s="182">
        <v>0</v>
      </c>
      <c r="L9" s="182">
        <v>1</v>
      </c>
      <c r="M9" s="154">
        <v>17</v>
      </c>
      <c r="Y9" s="154" t="s">
        <v>1087</v>
      </c>
      <c r="Z9" s="154" t="s">
        <v>435</v>
      </c>
    </row>
    <row r="10" spans="1:28" x14ac:dyDescent="0.2">
      <c r="A10" s="154" t="s">
        <v>1045</v>
      </c>
      <c r="B10" s="182">
        <v>0.71052631578947367</v>
      </c>
      <c r="C10" s="154">
        <v>54</v>
      </c>
      <c r="D10" s="182">
        <v>0.13157894736842105</v>
      </c>
      <c r="E10" s="154">
        <v>10</v>
      </c>
      <c r="F10" s="182">
        <v>1.3157894736842105E-2</v>
      </c>
      <c r="G10" s="154">
        <v>1</v>
      </c>
      <c r="H10" s="182">
        <v>0.10526315789473684</v>
      </c>
      <c r="I10" s="154">
        <v>8</v>
      </c>
      <c r="J10" s="182">
        <v>3.9473684210526314E-2</v>
      </c>
      <c r="K10" s="154">
        <v>3</v>
      </c>
      <c r="L10" s="182">
        <v>1</v>
      </c>
      <c r="M10" s="154">
        <v>76</v>
      </c>
      <c r="Y10" s="154" t="s">
        <v>5</v>
      </c>
      <c r="Z10" s="154" t="s">
        <v>435</v>
      </c>
      <c r="AA10" s="154" t="s">
        <v>1101</v>
      </c>
      <c r="AB10" s="154" t="s">
        <v>1045</v>
      </c>
    </row>
    <row r="11" spans="1:28" x14ac:dyDescent="0.2">
      <c r="Y11" s="154" t="s">
        <v>442</v>
      </c>
      <c r="Z11" s="154">
        <v>4</v>
      </c>
      <c r="AA11" s="154">
        <v>79</v>
      </c>
      <c r="AB11" s="154">
        <v>86</v>
      </c>
    </row>
    <row r="12" spans="1:28" x14ac:dyDescent="0.2">
      <c r="Y12" s="154" t="s">
        <v>441</v>
      </c>
      <c r="Z12" s="154">
        <v>12</v>
      </c>
      <c r="AA12" s="154">
        <v>56</v>
      </c>
      <c r="AB12" s="154">
        <v>65</v>
      </c>
    </row>
    <row r="13" spans="1:28" x14ac:dyDescent="0.2">
      <c r="A13" s="160"/>
      <c r="Y13" s="154" t="s">
        <v>1045</v>
      </c>
      <c r="Z13" s="154">
        <v>16</v>
      </c>
      <c r="AA13" s="154">
        <v>135</v>
      </c>
      <c r="AB13" s="154">
        <v>151</v>
      </c>
    </row>
    <row r="14" spans="1:28" x14ac:dyDescent="0.2">
      <c r="A14" s="161" t="s">
        <v>1093</v>
      </c>
      <c r="B14" s="154" t="s">
        <v>493</v>
      </c>
      <c r="C14" s="159" t="s">
        <v>1144</v>
      </c>
      <c r="J14" s="161" t="s">
        <v>5</v>
      </c>
      <c r="K14" s="154" t="s">
        <v>441</v>
      </c>
      <c r="Z14" s="186"/>
      <c r="AA14" s="186"/>
      <c r="AB14" s="186"/>
    </row>
    <row r="15" spans="1:28" x14ac:dyDescent="0.2">
      <c r="Z15" s="186"/>
      <c r="AA15" s="186"/>
      <c r="AB15" s="186"/>
    </row>
    <row r="16" spans="1:28" x14ac:dyDescent="0.2">
      <c r="B16" s="161" t="s">
        <v>1105</v>
      </c>
      <c r="C16" s="161" t="s">
        <v>21</v>
      </c>
      <c r="K16" s="161" t="s">
        <v>13</v>
      </c>
      <c r="L16" s="161" t="s">
        <v>1105</v>
      </c>
    </row>
    <row r="17" spans="1:20" x14ac:dyDescent="0.2">
      <c r="B17" s="154" t="s">
        <v>1118</v>
      </c>
      <c r="D17" s="154" t="s">
        <v>1133</v>
      </c>
      <c r="F17" s="154" t="s">
        <v>1131</v>
      </c>
      <c r="G17" s="154" t="s">
        <v>1132</v>
      </c>
      <c r="K17" s="154" t="s">
        <v>461</v>
      </c>
      <c r="M17" s="154" t="s">
        <v>460</v>
      </c>
      <c r="O17" s="154" t="s">
        <v>459</v>
      </c>
      <c r="Q17" s="154" t="s">
        <v>508</v>
      </c>
      <c r="S17" s="154" t="s">
        <v>1107</v>
      </c>
      <c r="T17" s="154" t="s">
        <v>1136</v>
      </c>
    </row>
    <row r="18" spans="1:20" x14ac:dyDescent="0.2">
      <c r="A18" s="161" t="s">
        <v>1117</v>
      </c>
      <c r="B18" s="154">
        <v>0</v>
      </c>
      <c r="C18" s="154">
        <v>1</v>
      </c>
      <c r="D18" s="154">
        <v>0</v>
      </c>
      <c r="E18" s="154">
        <v>1</v>
      </c>
      <c r="J18" s="161" t="s">
        <v>435</v>
      </c>
      <c r="K18" s="154" t="s">
        <v>1087</v>
      </c>
      <c r="L18" s="154" t="s">
        <v>1137</v>
      </c>
      <c r="M18" s="154" t="s">
        <v>1087</v>
      </c>
      <c r="N18" s="154" t="s">
        <v>1137</v>
      </c>
      <c r="O18" s="154" t="s">
        <v>1087</v>
      </c>
      <c r="P18" s="154" t="s">
        <v>1137</v>
      </c>
      <c r="Q18" s="154" t="s">
        <v>1087</v>
      </c>
      <c r="R18" s="154" t="s">
        <v>1137</v>
      </c>
    </row>
    <row r="19" spans="1:20" x14ac:dyDescent="0.2">
      <c r="A19" s="154">
        <v>0</v>
      </c>
      <c r="B19" s="179">
        <v>0.78947368421052633</v>
      </c>
      <c r="C19" s="179">
        <v>0.21052631578947367</v>
      </c>
      <c r="D19" s="154">
        <v>45</v>
      </c>
      <c r="E19" s="154">
        <v>12</v>
      </c>
      <c r="F19" s="179">
        <v>1</v>
      </c>
      <c r="G19" s="154">
        <v>57</v>
      </c>
      <c r="J19" s="154" t="s">
        <v>435</v>
      </c>
      <c r="K19" s="179">
        <v>0</v>
      </c>
      <c r="L19" s="185"/>
      <c r="M19" s="179">
        <v>0.33333333333333331</v>
      </c>
      <c r="N19" s="185">
        <v>3</v>
      </c>
      <c r="O19" s="179">
        <v>0</v>
      </c>
      <c r="P19" s="185"/>
      <c r="Q19" s="179">
        <v>0.66666666666666663</v>
      </c>
      <c r="R19" s="185">
        <v>6</v>
      </c>
      <c r="S19" s="179">
        <v>1</v>
      </c>
      <c r="T19" s="185">
        <v>9</v>
      </c>
    </row>
    <row r="20" spans="1:20" x14ac:dyDescent="0.2">
      <c r="A20" s="154">
        <v>1</v>
      </c>
      <c r="B20" s="179">
        <v>0.76470588235294112</v>
      </c>
      <c r="C20" s="179">
        <v>0.23529411764705882</v>
      </c>
      <c r="D20" s="154">
        <v>13</v>
      </c>
      <c r="E20" s="154">
        <v>4</v>
      </c>
      <c r="F20" s="179">
        <v>1</v>
      </c>
      <c r="G20" s="154">
        <v>17</v>
      </c>
      <c r="J20" s="154" t="s">
        <v>1101</v>
      </c>
      <c r="K20" s="179">
        <v>0.4107142857142857</v>
      </c>
      <c r="L20" s="185">
        <v>23</v>
      </c>
      <c r="M20" s="179">
        <v>0.21428571428571427</v>
      </c>
      <c r="N20" s="185">
        <v>12</v>
      </c>
      <c r="O20" s="179">
        <v>7.1428571428571425E-2</v>
      </c>
      <c r="P20" s="185">
        <v>4</v>
      </c>
      <c r="Q20" s="179">
        <v>0.30357142857142855</v>
      </c>
      <c r="R20" s="185">
        <v>17</v>
      </c>
      <c r="S20" s="179">
        <v>1</v>
      </c>
      <c r="T20" s="185">
        <v>56</v>
      </c>
    </row>
    <row r="21" spans="1:20" x14ac:dyDescent="0.2">
      <c r="A21" s="154" t="s">
        <v>1045</v>
      </c>
      <c r="B21" s="179">
        <v>0.78378378378378377</v>
      </c>
      <c r="C21" s="179">
        <v>0.21621621621621623</v>
      </c>
      <c r="D21" s="154">
        <v>58</v>
      </c>
      <c r="E21" s="154">
        <v>16</v>
      </c>
      <c r="F21" s="179">
        <v>1</v>
      </c>
      <c r="G21" s="154">
        <v>74</v>
      </c>
      <c r="J21" s="154" t="s">
        <v>1045</v>
      </c>
      <c r="K21" s="179">
        <v>0.35384615384615387</v>
      </c>
      <c r="L21" s="185">
        <v>23</v>
      </c>
      <c r="M21" s="179">
        <v>0.23076923076923078</v>
      </c>
      <c r="N21" s="185">
        <v>15</v>
      </c>
      <c r="O21" s="179">
        <v>6.1538461538461542E-2</v>
      </c>
      <c r="P21" s="185">
        <v>4</v>
      </c>
      <c r="Q21" s="179">
        <v>0.35384615384615387</v>
      </c>
      <c r="R21" s="185">
        <v>23</v>
      </c>
      <c r="S21" s="179">
        <v>1</v>
      </c>
      <c r="T21" s="185">
        <v>65</v>
      </c>
    </row>
    <row r="22" spans="1:20" s="189" customFormat="1" x14ac:dyDescent="0.2"/>
    <row r="23" spans="1:20" x14ac:dyDescent="0.2">
      <c r="A23" s="158" t="s">
        <v>1149</v>
      </c>
      <c r="J23" s="161" t="s">
        <v>5</v>
      </c>
      <c r="K23" s="154" t="s">
        <v>441</v>
      </c>
    </row>
    <row r="25" spans="1:20" x14ac:dyDescent="0.2">
      <c r="B25" s="161" t="s">
        <v>435</v>
      </c>
      <c r="C25" s="161" t="s">
        <v>1105</v>
      </c>
      <c r="K25" s="161" t="s">
        <v>1105</v>
      </c>
      <c r="L25" s="161" t="s">
        <v>14</v>
      </c>
    </row>
    <row r="26" spans="1:20" x14ac:dyDescent="0.2">
      <c r="B26" s="154" t="s">
        <v>435</v>
      </c>
      <c r="D26" s="154" t="s">
        <v>1101</v>
      </c>
      <c r="F26" s="154" t="s">
        <v>1107</v>
      </c>
      <c r="G26" s="154" t="s">
        <v>1136</v>
      </c>
      <c r="K26" s="154" t="s">
        <v>1087</v>
      </c>
      <c r="O26" s="154" t="s">
        <v>1137</v>
      </c>
      <c r="S26" s="154" t="s">
        <v>1107</v>
      </c>
      <c r="T26" s="154" t="s">
        <v>1136</v>
      </c>
    </row>
    <row r="27" spans="1:20" x14ac:dyDescent="0.2">
      <c r="A27" s="161" t="s">
        <v>19</v>
      </c>
      <c r="B27" s="154" t="s">
        <v>1087</v>
      </c>
      <c r="C27" s="154" t="s">
        <v>1137</v>
      </c>
      <c r="D27" s="154" t="s">
        <v>1087</v>
      </c>
      <c r="E27" s="154" t="s">
        <v>1137</v>
      </c>
      <c r="J27" s="161" t="s">
        <v>435</v>
      </c>
      <c r="K27" s="154" t="s">
        <v>483</v>
      </c>
      <c r="L27" s="154" t="s">
        <v>461</v>
      </c>
      <c r="M27" s="154" t="s">
        <v>459</v>
      </c>
      <c r="N27" s="154" t="s">
        <v>508</v>
      </c>
      <c r="O27" s="154" t="s">
        <v>483</v>
      </c>
      <c r="P27" s="154" t="s">
        <v>461</v>
      </c>
      <c r="Q27" s="154" t="s">
        <v>459</v>
      </c>
      <c r="R27" s="154" t="s">
        <v>508</v>
      </c>
    </row>
    <row r="28" spans="1:20" x14ac:dyDescent="0.2">
      <c r="A28" s="154" t="s">
        <v>1042</v>
      </c>
      <c r="B28" s="182">
        <v>5.8823529411764705E-2</v>
      </c>
      <c r="C28" s="186">
        <v>1</v>
      </c>
      <c r="D28" s="182">
        <v>5.1470588235294115E-2</v>
      </c>
      <c r="E28" s="186">
        <v>7</v>
      </c>
      <c r="F28" s="182">
        <v>5.2287581699346407E-2</v>
      </c>
      <c r="G28" s="186">
        <v>8</v>
      </c>
      <c r="J28" s="154" t="s">
        <v>435</v>
      </c>
      <c r="K28" s="179">
        <v>0</v>
      </c>
      <c r="L28" s="179">
        <v>0.88888888888888884</v>
      </c>
      <c r="M28" s="179">
        <v>0</v>
      </c>
      <c r="N28" s="179">
        <v>0.1111111111111111</v>
      </c>
      <c r="O28" s="185"/>
      <c r="P28" s="185">
        <v>8</v>
      </c>
      <c r="Q28" s="185"/>
      <c r="R28" s="185">
        <v>1</v>
      </c>
      <c r="S28" s="179">
        <v>1</v>
      </c>
      <c r="T28" s="185">
        <v>9</v>
      </c>
    </row>
    <row r="29" spans="1:20" x14ac:dyDescent="0.2">
      <c r="A29" s="154" t="s">
        <v>517</v>
      </c>
      <c r="B29" s="182">
        <v>0.11764705882352941</v>
      </c>
      <c r="C29" s="186">
        <v>2</v>
      </c>
      <c r="D29" s="182">
        <v>2.9411764705882353E-2</v>
      </c>
      <c r="E29" s="186">
        <v>4</v>
      </c>
      <c r="F29" s="182">
        <v>3.9215686274509803E-2</v>
      </c>
      <c r="G29" s="186">
        <v>6</v>
      </c>
      <c r="J29" s="154" t="s">
        <v>1101</v>
      </c>
      <c r="K29" s="179">
        <v>1.7857142857142856E-2</v>
      </c>
      <c r="L29" s="179">
        <v>0.7678571428571429</v>
      </c>
      <c r="M29" s="179">
        <v>7.1428571428571425E-2</v>
      </c>
      <c r="N29" s="179">
        <v>0.14285714285714285</v>
      </c>
      <c r="O29" s="185">
        <v>1</v>
      </c>
      <c r="P29" s="185">
        <v>43</v>
      </c>
      <c r="Q29" s="185">
        <v>4</v>
      </c>
      <c r="R29" s="185">
        <v>8</v>
      </c>
      <c r="S29" s="179">
        <v>1</v>
      </c>
      <c r="T29" s="185">
        <v>56</v>
      </c>
    </row>
    <row r="30" spans="1:20" x14ac:dyDescent="0.2">
      <c r="A30" s="154" t="s">
        <v>466</v>
      </c>
      <c r="B30" s="182">
        <v>0.17647058823529413</v>
      </c>
      <c r="C30" s="186">
        <v>3</v>
      </c>
      <c r="D30" s="205">
        <v>0.28676470588235292</v>
      </c>
      <c r="E30" s="186">
        <v>39</v>
      </c>
      <c r="F30" s="182">
        <v>0.27450980392156865</v>
      </c>
      <c r="G30" s="186">
        <v>42</v>
      </c>
      <c r="J30" s="154" t="s">
        <v>1045</v>
      </c>
      <c r="K30" s="179">
        <v>1.5384615384615385E-2</v>
      </c>
      <c r="L30" s="179">
        <v>0.7846153846153846</v>
      </c>
      <c r="M30" s="179">
        <v>6.1538461538461542E-2</v>
      </c>
      <c r="N30" s="179">
        <v>0.13846153846153847</v>
      </c>
      <c r="O30" s="185">
        <v>1</v>
      </c>
      <c r="P30" s="185">
        <v>51</v>
      </c>
      <c r="Q30" s="185">
        <v>4</v>
      </c>
      <c r="R30" s="185">
        <v>9</v>
      </c>
      <c r="S30" s="179">
        <v>1</v>
      </c>
      <c r="T30" s="185">
        <v>65</v>
      </c>
    </row>
    <row r="31" spans="1:20" x14ac:dyDescent="0.2">
      <c r="A31" s="154" t="s">
        <v>467</v>
      </c>
      <c r="B31" s="182">
        <v>0</v>
      </c>
      <c r="C31" s="186"/>
      <c r="D31" s="182">
        <v>1.4705882352941176E-2</v>
      </c>
      <c r="E31" s="186">
        <v>2</v>
      </c>
      <c r="F31" s="182">
        <v>1.3071895424836602E-2</v>
      </c>
      <c r="G31" s="186">
        <v>2</v>
      </c>
    </row>
    <row r="32" spans="1:20" x14ac:dyDescent="0.2">
      <c r="A32" s="154" t="s">
        <v>465</v>
      </c>
      <c r="B32" s="182">
        <v>0.23529411764705882</v>
      </c>
      <c r="C32" s="186">
        <v>4</v>
      </c>
      <c r="D32" s="182">
        <v>0.13235294117647059</v>
      </c>
      <c r="E32" s="186">
        <v>18</v>
      </c>
      <c r="F32" s="182">
        <v>0.1437908496732026</v>
      </c>
      <c r="G32" s="186">
        <v>22</v>
      </c>
    </row>
    <row r="33" spans="1:7" x14ac:dyDescent="0.2">
      <c r="A33" s="154" t="s">
        <v>487</v>
      </c>
      <c r="B33" s="182">
        <v>0.11764705882352941</v>
      </c>
      <c r="C33" s="186">
        <v>2</v>
      </c>
      <c r="D33" s="205">
        <v>0.28676470588235292</v>
      </c>
      <c r="E33" s="186">
        <v>39</v>
      </c>
      <c r="F33" s="182">
        <v>0.26797385620915032</v>
      </c>
      <c r="G33" s="186">
        <v>41</v>
      </c>
    </row>
    <row r="34" spans="1:7" x14ac:dyDescent="0.2">
      <c r="A34" s="154" t="s">
        <v>515</v>
      </c>
      <c r="B34" s="205">
        <v>0.29411764705882354</v>
      </c>
      <c r="C34" s="186">
        <v>5</v>
      </c>
      <c r="D34" s="182">
        <v>0.19852941176470587</v>
      </c>
      <c r="E34" s="186">
        <v>27</v>
      </c>
      <c r="F34" s="182">
        <v>0.20915032679738563</v>
      </c>
      <c r="G34" s="186">
        <v>32</v>
      </c>
    </row>
    <row r="35" spans="1:7" x14ac:dyDescent="0.2">
      <c r="A35" s="154" t="s">
        <v>1045</v>
      </c>
      <c r="B35" s="182">
        <v>1</v>
      </c>
      <c r="C35" s="186">
        <v>17</v>
      </c>
      <c r="D35" s="182">
        <v>1</v>
      </c>
      <c r="E35" s="186">
        <v>136</v>
      </c>
      <c r="F35" s="182">
        <v>1</v>
      </c>
      <c r="G35" s="186">
        <v>153</v>
      </c>
    </row>
    <row r="37" spans="1:7" s="189" customFormat="1" x14ac:dyDescent="0.2"/>
    <row r="38" spans="1:7" x14ac:dyDescent="0.2">
      <c r="A38" s="158" t="s">
        <v>1150</v>
      </c>
    </row>
    <row r="40" spans="1:7" x14ac:dyDescent="0.2">
      <c r="B40" s="161" t="s">
        <v>435</v>
      </c>
      <c r="C40" s="161" t="s">
        <v>1105</v>
      </c>
    </row>
    <row r="41" spans="1:7" x14ac:dyDescent="0.2">
      <c r="B41" s="154" t="s">
        <v>435</v>
      </c>
      <c r="D41" s="154" t="s">
        <v>1101</v>
      </c>
      <c r="F41" s="154" t="s">
        <v>1131</v>
      </c>
      <c r="G41" s="154" t="s">
        <v>1132</v>
      </c>
    </row>
    <row r="42" spans="1:7" x14ac:dyDescent="0.2">
      <c r="A42" s="161" t="s">
        <v>1117</v>
      </c>
      <c r="B42" s="154" t="s">
        <v>1118</v>
      </c>
      <c r="C42" s="154" t="s">
        <v>1133</v>
      </c>
      <c r="D42" s="154" t="s">
        <v>1118</v>
      </c>
      <c r="E42" s="154" t="s">
        <v>1133</v>
      </c>
    </row>
    <row r="43" spans="1:7" x14ac:dyDescent="0.2">
      <c r="A43" s="154">
        <v>0</v>
      </c>
      <c r="B43" s="182">
        <v>0.77777777777777779</v>
      </c>
      <c r="C43" s="154">
        <v>14</v>
      </c>
      <c r="D43" s="182">
        <v>0.82733812949640284</v>
      </c>
      <c r="E43" s="154">
        <v>115</v>
      </c>
      <c r="F43" s="182">
        <v>0.82165605095541405</v>
      </c>
      <c r="G43" s="154">
        <v>129</v>
      </c>
    </row>
    <row r="44" spans="1:7" x14ac:dyDescent="0.2">
      <c r="A44" s="154">
        <v>1</v>
      </c>
      <c r="B44" s="182">
        <v>0.22222222222222221</v>
      </c>
      <c r="C44" s="154">
        <v>4</v>
      </c>
      <c r="D44" s="182">
        <v>0.17266187050359713</v>
      </c>
      <c r="E44" s="154">
        <v>24</v>
      </c>
      <c r="F44" s="182">
        <v>0.17834394904458598</v>
      </c>
      <c r="G44" s="154">
        <v>28</v>
      </c>
    </row>
    <row r="45" spans="1:7" x14ac:dyDescent="0.2">
      <c r="A45" s="154" t="s">
        <v>1045</v>
      </c>
      <c r="B45" s="182">
        <v>1</v>
      </c>
      <c r="C45" s="154">
        <v>18</v>
      </c>
      <c r="D45" s="182">
        <v>1</v>
      </c>
      <c r="E45" s="154">
        <v>139</v>
      </c>
      <c r="F45" s="182">
        <v>1</v>
      </c>
      <c r="G45" s="154">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1F78A-56EA-0F45-B9AF-9A0D2261F8EF}">
  <dimension ref="B3:XEH83"/>
  <sheetViews>
    <sheetView zoomScale="162" zoomScaleNormal="125" workbookViewId="0">
      <selection activeCell="I51" sqref="I51"/>
    </sheetView>
  </sheetViews>
  <sheetFormatPr baseColWidth="10" defaultRowHeight="16" x14ac:dyDescent="0.2"/>
  <cols>
    <col min="1" max="3" width="10.83203125" style="207"/>
    <col min="4" max="4" width="12.6640625" style="207" bestFit="1" customWidth="1"/>
    <col min="5" max="5" width="14.33203125" style="207" bestFit="1" customWidth="1"/>
    <col min="6" max="6" width="12.6640625" style="207" bestFit="1" customWidth="1"/>
    <col min="7" max="16384" width="10.83203125" style="207"/>
  </cols>
  <sheetData>
    <row r="3" spans="2:8" x14ac:dyDescent="0.2">
      <c r="B3" s="206" t="s">
        <v>1029</v>
      </c>
      <c r="F3" s="207" t="s">
        <v>1030</v>
      </c>
    </row>
    <row r="4" spans="2:8" x14ac:dyDescent="0.2">
      <c r="B4" s="208" t="str">
        <f>Isopo!B103</f>
        <v>RD2</v>
      </c>
      <c r="C4" s="208">
        <f>Isopo!C103</f>
        <v>0.89898989898989901</v>
      </c>
      <c r="D4" s="207" t="str">
        <f>Isopo!D103</f>
        <v>ACT-ARG/~Ø-Verbal</v>
      </c>
      <c r="F4" s="207" t="str">
        <f>'Heike Chapter 2'!A163</f>
        <v>RD2</v>
      </c>
      <c r="G4" s="207">
        <f>'Heike Chapter 2'!B163</f>
        <v>0.97402597402597402</v>
      </c>
      <c r="H4" s="207" t="str">
        <f>'Heike Chapter 2'!C163</f>
        <v>ACT-ARG/~Ø-Verbal</v>
      </c>
    </row>
    <row r="5" spans="2:8" x14ac:dyDescent="0.2">
      <c r="B5" s="207" t="str">
        <f>Isopo!B104</f>
        <v>RD2+</v>
      </c>
      <c r="C5" s="207">
        <f>Isopo!C104</f>
        <v>1</v>
      </c>
      <c r="D5" s="207" t="str">
        <f>Isopo!D104</f>
        <v>(ACT-ARG+V-ARG-Ø-ARG)/~Ø-Verbal</v>
      </c>
      <c r="F5" s="207" t="str">
        <f>'Heike Chapter 2'!A164</f>
        <v>RD2+</v>
      </c>
      <c r="G5" s="207">
        <f>'Heike Chapter 2'!B164</f>
        <v>1.1818181818181819</v>
      </c>
      <c r="H5" s="207" t="str">
        <f>'Heike Chapter 2'!C164</f>
        <v>(ACT-ARG+V-ARG-Ø-ARG)/~Ø-Verbal</v>
      </c>
    </row>
    <row r="6" spans="2:8" x14ac:dyDescent="0.2">
      <c r="B6" s="207" t="str">
        <f>Isopo!B105</f>
        <v>RD2++</v>
      </c>
      <c r="C6" s="207">
        <f>Isopo!C105</f>
        <v>0.93939393939393945</v>
      </c>
      <c r="D6" s="207" t="str">
        <f>Isopo!D105</f>
        <v>(ACT-ARG+GAP-ACT-ARG)/~Ø-Verbal</v>
      </c>
      <c r="F6" s="207" t="str">
        <f>'Heike Chapter 2'!A165</f>
        <v>RD2++</v>
      </c>
      <c r="G6" s="207">
        <f>'Heike Chapter 2'!B165</f>
        <v>1.0194805194805194</v>
      </c>
      <c r="H6" s="207" t="str">
        <f>'Heike Chapter 2'!C165</f>
        <v>(ACT-ARG+GAP-ACT-ARG)/~Ø-Verbal</v>
      </c>
    </row>
    <row r="7" spans="2:8" x14ac:dyDescent="0.2">
      <c r="B7" s="207" t="str">
        <f>Isopo!B106</f>
        <v>RD2+++</v>
      </c>
      <c r="C7" s="207">
        <f>Isopo!C106</f>
        <v>1.0404040404040404</v>
      </c>
      <c r="D7" s="207" t="str">
        <f>Isopo!D106</f>
        <v>(ACT-ARG+V-ARG-Ø-ARG+GAP-ACT-ARG)/~Ø-Verbal</v>
      </c>
      <c r="F7" s="207" t="str">
        <f>'Heike Chapter 2'!A166</f>
        <v>RD2+++</v>
      </c>
      <c r="G7" s="207">
        <f>'Heike Chapter 2'!B166</f>
        <v>1.2272727272727273</v>
      </c>
      <c r="H7" s="207" t="str">
        <f>'Heike Chapter 2'!C166</f>
        <v>(ACT-ARG+V-ARG-Ø-ARG+GAP-ACT-ARG)/~Ø-Verbal</v>
      </c>
    </row>
    <row r="8" spans="2:8" x14ac:dyDescent="0.2">
      <c r="B8" s="208" t="str">
        <f>Isopo!B107</f>
        <v>RD2-</v>
      </c>
      <c r="C8" s="208">
        <f>Isopo!C107</f>
        <v>0.10101010101010101</v>
      </c>
      <c r="D8" s="207" t="str">
        <f>Isopo!D107</f>
        <v>V-ARG-Ø-ARG/~Ø-Verbal</v>
      </c>
      <c r="F8" s="207" t="str">
        <f>'Heike Chapter 2'!A167</f>
        <v>RD2-</v>
      </c>
      <c r="G8" s="207">
        <f>'Heike Chapter 2'!B167</f>
        <v>0.20779220779220781</v>
      </c>
      <c r="H8" s="207" t="str">
        <f>'Heike Chapter 2'!C167</f>
        <v>V-ARG-Ø-ARG/~Ø-Verbal</v>
      </c>
    </row>
    <row r="14" spans="2:8" x14ac:dyDescent="0.2">
      <c r="B14" s="207" t="s">
        <v>1028</v>
      </c>
    </row>
    <row r="16" spans="2:8" x14ac:dyDescent="0.2">
      <c r="B16" s="207" t="s">
        <v>1004</v>
      </c>
    </row>
    <row r="17" spans="2:10" x14ac:dyDescent="0.2">
      <c r="B17" s="209" t="s">
        <v>3</v>
      </c>
      <c r="C17" s="209" t="s">
        <v>1023</v>
      </c>
      <c r="D17" s="209" t="s">
        <v>9</v>
      </c>
      <c r="E17" s="209" t="s">
        <v>10</v>
      </c>
      <c r="F17" s="209" t="s">
        <v>12</v>
      </c>
      <c r="G17" s="209" t="s">
        <v>21</v>
      </c>
      <c r="H17" s="209" t="s">
        <v>20</v>
      </c>
      <c r="I17" s="209" t="s">
        <v>17</v>
      </c>
      <c r="J17" s="209" t="s">
        <v>16</v>
      </c>
    </row>
    <row r="18" spans="2:10" x14ac:dyDescent="0.2">
      <c r="B18" s="209" t="s">
        <v>892</v>
      </c>
      <c r="C18" s="210" t="s">
        <v>716</v>
      </c>
      <c r="D18" s="210">
        <v>1</v>
      </c>
      <c r="E18" s="210">
        <v>0</v>
      </c>
      <c r="F18" s="210">
        <v>1</v>
      </c>
      <c r="G18" s="210">
        <v>0</v>
      </c>
      <c r="H18" s="210">
        <v>0</v>
      </c>
      <c r="I18" s="210">
        <v>0</v>
      </c>
      <c r="J18" s="210">
        <v>0</v>
      </c>
    </row>
    <row r="19" spans="2:10" x14ac:dyDescent="0.2">
      <c r="B19" s="209" t="s">
        <v>838</v>
      </c>
      <c r="C19" s="210" t="s">
        <v>716</v>
      </c>
      <c r="D19" s="210">
        <v>1</v>
      </c>
      <c r="E19" s="210">
        <v>0</v>
      </c>
      <c r="F19" s="210">
        <v>1</v>
      </c>
      <c r="G19" s="210">
        <v>0</v>
      </c>
      <c r="H19" s="210">
        <v>0</v>
      </c>
      <c r="I19" s="210">
        <v>0</v>
      </c>
      <c r="J19" s="210">
        <v>0</v>
      </c>
    </row>
    <row r="20" spans="2:10" x14ac:dyDescent="0.2">
      <c r="B20" s="209" t="s">
        <v>833</v>
      </c>
      <c r="C20" s="210" t="s">
        <v>716</v>
      </c>
      <c r="D20" s="210">
        <v>1</v>
      </c>
      <c r="E20" s="210">
        <v>0</v>
      </c>
      <c r="F20" s="210">
        <v>0</v>
      </c>
      <c r="G20" s="210">
        <v>0</v>
      </c>
      <c r="H20" s="210">
        <v>0</v>
      </c>
      <c r="I20" s="210">
        <v>0</v>
      </c>
      <c r="J20" s="210">
        <v>0</v>
      </c>
    </row>
    <row r="21" spans="2:10" x14ac:dyDescent="0.2">
      <c r="B21" s="209" t="s">
        <v>830</v>
      </c>
      <c r="C21" s="210" t="s">
        <v>829</v>
      </c>
      <c r="D21" s="210">
        <v>1</v>
      </c>
      <c r="E21" s="210">
        <v>0</v>
      </c>
      <c r="F21" s="210">
        <v>0</v>
      </c>
      <c r="G21" s="210">
        <v>0</v>
      </c>
      <c r="H21" s="210">
        <v>0</v>
      </c>
      <c r="I21" s="210">
        <v>0</v>
      </c>
      <c r="J21" s="210">
        <v>0</v>
      </c>
    </row>
    <row r="22" spans="2:10" x14ac:dyDescent="0.2">
      <c r="B22" s="209" t="s">
        <v>786</v>
      </c>
      <c r="C22" s="210" t="s">
        <v>716</v>
      </c>
      <c r="D22" s="210">
        <v>1</v>
      </c>
      <c r="E22" s="210">
        <v>1</v>
      </c>
      <c r="F22" s="210">
        <v>0</v>
      </c>
      <c r="G22" s="210">
        <v>0</v>
      </c>
      <c r="H22" s="210">
        <v>0</v>
      </c>
      <c r="I22" s="210">
        <v>0</v>
      </c>
      <c r="J22" s="210">
        <v>1</v>
      </c>
    </row>
    <row r="23" spans="2:10" x14ac:dyDescent="0.2">
      <c r="B23" s="209" t="s">
        <v>764</v>
      </c>
      <c r="C23" s="210" t="s">
        <v>763</v>
      </c>
      <c r="D23" s="210">
        <v>1</v>
      </c>
      <c r="E23" s="210">
        <v>0</v>
      </c>
      <c r="F23" s="210">
        <v>0</v>
      </c>
      <c r="G23" s="210">
        <v>0</v>
      </c>
      <c r="H23" s="210">
        <v>0</v>
      </c>
      <c r="I23" s="210">
        <v>0</v>
      </c>
      <c r="J23" s="210">
        <v>0</v>
      </c>
    </row>
    <row r="24" spans="2:10" x14ac:dyDescent="0.2">
      <c r="B24" s="209" t="s">
        <v>729</v>
      </c>
      <c r="C24" s="210" t="s">
        <v>716</v>
      </c>
      <c r="D24" s="210">
        <v>1</v>
      </c>
      <c r="E24" s="210">
        <v>1</v>
      </c>
      <c r="F24" s="210">
        <v>0</v>
      </c>
      <c r="G24" s="210">
        <v>0</v>
      </c>
      <c r="H24" s="210">
        <v>0</v>
      </c>
      <c r="I24" s="210">
        <v>0</v>
      </c>
      <c r="J24" s="210">
        <v>0</v>
      </c>
    </row>
    <row r="25" spans="2:10" x14ac:dyDescent="0.2">
      <c r="B25" s="209" t="s">
        <v>717</v>
      </c>
      <c r="C25" s="210" t="s">
        <v>716</v>
      </c>
      <c r="D25" s="210">
        <v>1</v>
      </c>
      <c r="E25" s="210">
        <v>0</v>
      </c>
      <c r="F25" s="210">
        <v>0</v>
      </c>
      <c r="G25" s="210">
        <v>0</v>
      </c>
      <c r="H25" s="210">
        <v>0</v>
      </c>
      <c r="I25" s="210">
        <v>0</v>
      </c>
      <c r="J25" s="210">
        <v>0</v>
      </c>
    </row>
    <row r="26" spans="2:10" x14ac:dyDescent="0.2">
      <c r="B26" s="209" t="s">
        <v>687</v>
      </c>
      <c r="D26" s="207">
        <f t="shared" ref="D26:J26" si="0">SUM(D18:D25)</f>
        <v>8</v>
      </c>
      <c r="E26" s="207">
        <f t="shared" si="0"/>
        <v>2</v>
      </c>
      <c r="F26" s="207">
        <f t="shared" si="0"/>
        <v>2</v>
      </c>
      <c r="G26" s="207">
        <f t="shared" si="0"/>
        <v>0</v>
      </c>
      <c r="H26" s="207">
        <f t="shared" si="0"/>
        <v>0</v>
      </c>
      <c r="I26" s="207">
        <f t="shared" si="0"/>
        <v>0</v>
      </c>
      <c r="J26" s="207">
        <f t="shared" si="0"/>
        <v>1</v>
      </c>
    </row>
    <row r="27" spans="2:10" x14ac:dyDescent="0.2">
      <c r="B27" s="209" t="s">
        <v>1013</v>
      </c>
      <c r="C27" s="207">
        <f>(E26+J26)/D26</f>
        <v>0.375</v>
      </c>
    </row>
    <row r="28" spans="2:10" x14ac:dyDescent="0.2">
      <c r="B28" s="209" t="s">
        <v>1012</v>
      </c>
      <c r="C28" s="207">
        <f>E26/D26</f>
        <v>0.25</v>
      </c>
    </row>
    <row r="29" spans="2:10" x14ac:dyDescent="0.2">
      <c r="B29" s="209" t="s">
        <v>1027</v>
      </c>
    </row>
    <row r="30" spans="2:10" x14ac:dyDescent="0.2">
      <c r="B30" s="209" t="s">
        <v>3</v>
      </c>
      <c r="C30" s="209" t="s">
        <v>1023</v>
      </c>
      <c r="D30" s="209" t="s">
        <v>9</v>
      </c>
      <c r="E30" s="209" t="s">
        <v>10</v>
      </c>
      <c r="F30" s="209" t="s">
        <v>12</v>
      </c>
      <c r="G30" s="209" t="s">
        <v>21</v>
      </c>
      <c r="H30" s="209" t="s">
        <v>20</v>
      </c>
      <c r="I30" s="209" t="s">
        <v>17</v>
      </c>
      <c r="J30" s="209" t="s">
        <v>16</v>
      </c>
    </row>
    <row r="31" spans="2:10" x14ac:dyDescent="0.2">
      <c r="B31" s="209" t="s">
        <v>1026</v>
      </c>
      <c r="C31" s="210" t="s">
        <v>1026</v>
      </c>
      <c r="D31" s="210">
        <v>1</v>
      </c>
      <c r="E31" s="210">
        <v>1</v>
      </c>
      <c r="F31" s="210">
        <v>1</v>
      </c>
      <c r="G31" s="210">
        <v>0</v>
      </c>
      <c r="H31" s="210">
        <v>0</v>
      </c>
      <c r="I31" s="210">
        <v>0</v>
      </c>
      <c r="J31" s="210">
        <v>0</v>
      </c>
    </row>
    <row r="32" spans="2:10" x14ac:dyDescent="0.2">
      <c r="B32" s="209" t="s">
        <v>1014</v>
      </c>
      <c r="C32" s="210" t="s">
        <v>1014</v>
      </c>
      <c r="D32" s="210">
        <v>1</v>
      </c>
      <c r="E32" s="210">
        <v>2</v>
      </c>
      <c r="F32" s="210">
        <v>0</v>
      </c>
      <c r="G32" s="210">
        <v>0</v>
      </c>
      <c r="H32" s="210">
        <v>0</v>
      </c>
      <c r="I32" s="210">
        <v>0</v>
      </c>
      <c r="J32" s="210">
        <v>0</v>
      </c>
    </row>
    <row r="33" spans="2:10" x14ac:dyDescent="0.2">
      <c r="B33" s="209" t="s">
        <v>829</v>
      </c>
      <c r="C33" s="210" t="s">
        <v>829</v>
      </c>
      <c r="D33" s="210">
        <v>1</v>
      </c>
      <c r="E33" s="210">
        <v>0</v>
      </c>
      <c r="F33" s="210">
        <v>1</v>
      </c>
      <c r="G33" s="210">
        <v>0</v>
      </c>
      <c r="H33" s="210">
        <v>0</v>
      </c>
      <c r="I33" s="210">
        <v>0</v>
      </c>
      <c r="J33" s="210">
        <v>0</v>
      </c>
    </row>
    <row r="34" spans="2:10" x14ac:dyDescent="0.2">
      <c r="B34" s="209" t="s">
        <v>1025</v>
      </c>
      <c r="C34" s="210" t="s">
        <v>1025</v>
      </c>
      <c r="D34" s="210">
        <v>1</v>
      </c>
      <c r="E34" s="210">
        <v>0</v>
      </c>
      <c r="F34" s="210">
        <v>0</v>
      </c>
      <c r="G34" s="210">
        <v>0</v>
      </c>
      <c r="H34" s="210">
        <v>0</v>
      </c>
      <c r="I34" s="210">
        <v>0</v>
      </c>
      <c r="J34" s="210">
        <v>0</v>
      </c>
    </row>
    <row r="35" spans="2:10" x14ac:dyDescent="0.2">
      <c r="B35" s="209" t="s">
        <v>829</v>
      </c>
      <c r="C35" s="210" t="s">
        <v>829</v>
      </c>
      <c r="D35" s="210">
        <v>1</v>
      </c>
      <c r="E35" s="210">
        <v>0</v>
      </c>
      <c r="F35" s="210">
        <v>0</v>
      </c>
      <c r="G35" s="210">
        <v>0</v>
      </c>
      <c r="H35" s="210">
        <v>0</v>
      </c>
      <c r="I35" s="210">
        <v>0</v>
      </c>
      <c r="J35" s="210">
        <v>0</v>
      </c>
    </row>
    <row r="36" spans="2:10" x14ac:dyDescent="0.2">
      <c r="B36" s="209" t="s">
        <v>687</v>
      </c>
      <c r="D36" s="207">
        <f t="shared" ref="D36:J36" si="1">SUM(D31:D35)</f>
        <v>5</v>
      </c>
      <c r="E36" s="207">
        <f t="shared" si="1"/>
        <v>3</v>
      </c>
      <c r="F36" s="207">
        <f t="shared" si="1"/>
        <v>2</v>
      </c>
      <c r="G36" s="207">
        <f t="shared" si="1"/>
        <v>0</v>
      </c>
      <c r="H36" s="207">
        <f t="shared" si="1"/>
        <v>0</v>
      </c>
      <c r="I36" s="207">
        <f t="shared" si="1"/>
        <v>0</v>
      </c>
      <c r="J36" s="207">
        <f t="shared" si="1"/>
        <v>0</v>
      </c>
    </row>
    <row r="37" spans="2:10" x14ac:dyDescent="0.2">
      <c r="B37" s="209" t="s">
        <v>1013</v>
      </c>
      <c r="C37" s="207">
        <f>(E36+J36)/D36</f>
        <v>0.6</v>
      </c>
    </row>
    <row r="38" spans="2:10" x14ac:dyDescent="0.2">
      <c r="B38" s="209" t="s">
        <v>1012</v>
      </c>
      <c r="C38" s="207">
        <f>E36/D36</f>
        <v>0.6</v>
      </c>
    </row>
    <row r="39" spans="2:10" x14ac:dyDescent="0.2">
      <c r="B39" s="209" t="s">
        <v>1024</v>
      </c>
    </row>
    <row r="40" spans="2:10" x14ac:dyDescent="0.2">
      <c r="B40" s="209" t="s">
        <v>3</v>
      </c>
      <c r="C40" s="209" t="s">
        <v>1023</v>
      </c>
      <c r="D40" s="209" t="s">
        <v>9</v>
      </c>
      <c r="E40" s="209" t="s">
        <v>10</v>
      </c>
      <c r="F40" s="209" t="s">
        <v>12</v>
      </c>
      <c r="G40" s="209" t="s">
        <v>21</v>
      </c>
      <c r="H40" s="209" t="s">
        <v>20</v>
      </c>
      <c r="I40" s="209" t="s">
        <v>17</v>
      </c>
      <c r="J40" s="209" t="s">
        <v>16</v>
      </c>
    </row>
    <row r="41" spans="2:10" x14ac:dyDescent="0.2">
      <c r="B41" s="209" t="s">
        <v>1022</v>
      </c>
      <c r="C41" s="210" t="s">
        <v>716</v>
      </c>
      <c r="D41" s="210">
        <v>1</v>
      </c>
      <c r="E41" s="210">
        <v>1</v>
      </c>
      <c r="F41" s="210">
        <v>1</v>
      </c>
      <c r="G41" s="210">
        <v>0</v>
      </c>
      <c r="H41" s="210">
        <v>0</v>
      </c>
      <c r="I41" s="210">
        <v>0</v>
      </c>
      <c r="J41" s="210">
        <v>0</v>
      </c>
    </row>
    <row r="42" spans="2:10" x14ac:dyDescent="0.2">
      <c r="B42" s="209" t="s">
        <v>1021</v>
      </c>
      <c r="C42" s="210" t="s">
        <v>716</v>
      </c>
      <c r="D42" s="210">
        <v>1</v>
      </c>
      <c r="E42" s="210">
        <v>0</v>
      </c>
      <c r="F42" s="210">
        <v>0</v>
      </c>
      <c r="G42" s="210">
        <v>0</v>
      </c>
      <c r="H42" s="210">
        <v>1</v>
      </c>
      <c r="I42" s="210">
        <v>0</v>
      </c>
      <c r="J42" s="210">
        <v>0</v>
      </c>
    </row>
    <row r="43" spans="2:10" x14ac:dyDescent="0.2">
      <c r="B43" s="209" t="s">
        <v>1020</v>
      </c>
      <c r="C43" s="210" t="s">
        <v>829</v>
      </c>
      <c r="D43" s="210">
        <v>1</v>
      </c>
      <c r="E43" s="210">
        <v>1</v>
      </c>
      <c r="F43" s="210">
        <v>0</v>
      </c>
      <c r="G43" s="210">
        <v>0</v>
      </c>
      <c r="H43" s="210">
        <v>1</v>
      </c>
      <c r="I43" s="210">
        <v>0</v>
      </c>
      <c r="J43" s="210">
        <v>1</v>
      </c>
    </row>
    <row r="44" spans="2:10" x14ac:dyDescent="0.2">
      <c r="B44" s="209" t="s">
        <v>1019</v>
      </c>
      <c r="C44" s="210" t="s">
        <v>1018</v>
      </c>
      <c r="D44" s="210">
        <v>1</v>
      </c>
      <c r="E44" s="210">
        <v>1</v>
      </c>
      <c r="F44" s="210">
        <v>0</v>
      </c>
      <c r="G44" s="210">
        <v>0</v>
      </c>
      <c r="H44" s="210">
        <v>0</v>
      </c>
      <c r="I44" s="210">
        <v>0</v>
      </c>
      <c r="J44" s="210">
        <v>0</v>
      </c>
    </row>
    <row r="45" spans="2:10" x14ac:dyDescent="0.2">
      <c r="B45" s="209" t="s">
        <v>1017</v>
      </c>
      <c r="C45" s="210" t="s">
        <v>1016</v>
      </c>
      <c r="D45" s="210">
        <v>1</v>
      </c>
      <c r="E45" s="210">
        <v>1</v>
      </c>
      <c r="F45" s="210">
        <v>0</v>
      </c>
      <c r="G45" s="210">
        <v>0</v>
      </c>
      <c r="H45" s="210">
        <v>1</v>
      </c>
      <c r="I45" s="210">
        <v>0</v>
      </c>
      <c r="J45" s="210">
        <v>0</v>
      </c>
    </row>
    <row r="46" spans="2:10" x14ac:dyDescent="0.2">
      <c r="B46" s="209" t="s">
        <v>1015</v>
      </c>
      <c r="C46" s="210" t="s">
        <v>1014</v>
      </c>
      <c r="D46" s="210">
        <v>1</v>
      </c>
      <c r="E46" s="210">
        <v>1</v>
      </c>
      <c r="F46" s="210">
        <v>2</v>
      </c>
      <c r="G46" s="210">
        <v>0</v>
      </c>
      <c r="H46" s="210">
        <v>0</v>
      </c>
      <c r="I46" s="210">
        <v>0</v>
      </c>
      <c r="J46" s="210">
        <v>0</v>
      </c>
    </row>
    <row r="47" spans="2:10" x14ac:dyDescent="0.2">
      <c r="B47" s="209" t="s">
        <v>687</v>
      </c>
      <c r="D47" s="207">
        <f t="shared" ref="D47:J47" si="2">SUM(D41:D46)</f>
        <v>6</v>
      </c>
      <c r="E47" s="207">
        <f t="shared" si="2"/>
        <v>5</v>
      </c>
      <c r="F47" s="207">
        <f t="shared" si="2"/>
        <v>3</v>
      </c>
      <c r="G47" s="207">
        <f t="shared" si="2"/>
        <v>0</v>
      </c>
      <c r="H47" s="207">
        <f t="shared" si="2"/>
        <v>3</v>
      </c>
      <c r="I47" s="207">
        <f t="shared" si="2"/>
        <v>0</v>
      </c>
      <c r="J47" s="207">
        <f t="shared" si="2"/>
        <v>1</v>
      </c>
    </row>
    <row r="48" spans="2:10" x14ac:dyDescent="0.2">
      <c r="B48" s="209" t="s">
        <v>1013</v>
      </c>
      <c r="C48" s="207">
        <f>(E47+J47)/D47</f>
        <v>1</v>
      </c>
    </row>
    <row r="49" spans="2:16362" x14ac:dyDescent="0.2">
      <c r="B49" s="209" t="s">
        <v>1012</v>
      </c>
      <c r="C49" s="210">
        <f>E47/D47</f>
        <v>0.83333333333333337</v>
      </c>
    </row>
    <row r="50" spans="2:16362" x14ac:dyDescent="0.2">
      <c r="B50" s="209"/>
    </row>
    <row r="51" spans="2:16362" x14ac:dyDescent="0.2">
      <c r="B51" s="207" t="s">
        <v>1011</v>
      </c>
      <c r="C51" s="207" t="s">
        <v>1010</v>
      </c>
      <c r="D51" s="207" t="s">
        <v>1009</v>
      </c>
      <c r="E51" s="207" t="s">
        <v>1008</v>
      </c>
      <c r="F51" s="207" t="s">
        <v>1007</v>
      </c>
    </row>
    <row r="52" spans="2:16362" x14ac:dyDescent="0.2">
      <c r="B52" s="207" t="s">
        <v>1006</v>
      </c>
      <c r="C52" s="211">
        <f>5/88</f>
        <v>5.6818181818181816E-2</v>
      </c>
      <c r="D52" s="212">
        <f>[1]Tosa!$B$109</f>
        <v>0.81818181818181823</v>
      </c>
      <c r="E52" s="212">
        <f>$C$38</f>
        <v>0.6</v>
      </c>
      <c r="F52" s="212">
        <f>69/83</f>
        <v>0.83132530120481929</v>
      </c>
    </row>
    <row r="53" spans="2:16362" x14ac:dyDescent="0.2">
      <c r="B53" s="207" t="s">
        <v>1005</v>
      </c>
      <c r="C53" s="211">
        <f>6/100</f>
        <v>0.06</v>
      </c>
      <c r="D53" s="212">
        <f>[1]Genji!$B$103</f>
        <v>0.62</v>
      </c>
      <c r="E53" s="212">
        <f>$C$49</f>
        <v>0.83333333333333337</v>
      </c>
      <c r="F53" s="212">
        <f>57/94</f>
        <v>0.6063829787234043</v>
      </c>
    </row>
    <row r="54" spans="2:16362" x14ac:dyDescent="0.2">
      <c r="B54" s="207" t="s">
        <v>1004</v>
      </c>
      <c r="C54" s="211">
        <f>8/99</f>
        <v>8.0808080808080815E-2</v>
      </c>
      <c r="D54" s="212">
        <f>Isopo!$C$103</f>
        <v>0.89898989898989901</v>
      </c>
      <c r="E54" s="212">
        <f>$C$28</f>
        <v>0.25</v>
      </c>
      <c r="F54" s="212">
        <f>87/91</f>
        <v>0.95604395604395609</v>
      </c>
    </row>
    <row r="57" spans="2:16362" ht="17" thickBot="1" x14ac:dyDescent="0.25"/>
    <row r="58" spans="2:16362" ht="17" thickBot="1" x14ac:dyDescent="0.25">
      <c r="B58" s="20" t="s">
        <v>0</v>
      </c>
      <c r="C58" s="21" t="s">
        <v>1</v>
      </c>
      <c r="D58" s="21" t="s">
        <v>2</v>
      </c>
      <c r="E58" s="22" t="s">
        <v>3</v>
      </c>
      <c r="F58" s="22" t="s">
        <v>4</v>
      </c>
      <c r="G58" s="22" t="s">
        <v>9</v>
      </c>
      <c r="H58" s="23" t="s">
        <v>10</v>
      </c>
      <c r="I58" s="23" t="s">
        <v>11</v>
      </c>
      <c r="J58" s="24" t="s">
        <v>21</v>
      </c>
      <c r="K58" s="24" t="s">
        <v>496</v>
      </c>
      <c r="L58" s="24" t="s">
        <v>495</v>
      </c>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c r="DY58" s="41"/>
      <c r="DZ58" s="41"/>
      <c r="EA58" s="41"/>
      <c r="EB58" s="41"/>
      <c r="EC58" s="41"/>
      <c r="ED58" s="41"/>
      <c r="EE58" s="41"/>
      <c r="EF58" s="41"/>
      <c r="EG58" s="41"/>
      <c r="EH58" s="41"/>
      <c r="EI58" s="41"/>
      <c r="EJ58" s="41"/>
      <c r="EK58" s="41"/>
      <c r="EL58" s="41"/>
      <c r="EM58" s="41"/>
      <c r="EN58" s="41"/>
      <c r="EO58" s="41"/>
      <c r="EP58" s="41"/>
      <c r="EQ58" s="41"/>
      <c r="ER58" s="41"/>
      <c r="ES58" s="41"/>
      <c r="ET58" s="41"/>
      <c r="EU58" s="41"/>
      <c r="EV58" s="41"/>
      <c r="EW58" s="41"/>
      <c r="EX58" s="41"/>
      <c r="EY58" s="41"/>
      <c r="EZ58" s="41"/>
      <c r="FA58" s="41"/>
      <c r="FB58" s="41"/>
      <c r="FC58" s="41"/>
      <c r="FD58" s="41"/>
      <c r="FE58" s="41"/>
      <c r="FF58" s="41"/>
      <c r="FG58" s="41"/>
      <c r="FH58" s="41"/>
      <c r="FI58" s="41"/>
      <c r="FJ58" s="41"/>
      <c r="FK58" s="41"/>
      <c r="FL58" s="41"/>
      <c r="FM58" s="41"/>
      <c r="FN58" s="41"/>
      <c r="FO58" s="41"/>
      <c r="FP58" s="41"/>
      <c r="FQ58" s="41"/>
      <c r="FR58" s="41"/>
      <c r="FS58" s="41"/>
      <c r="FT58" s="41"/>
      <c r="FU58" s="41"/>
      <c r="FV58" s="41"/>
      <c r="FW58" s="41"/>
      <c r="FX58" s="41"/>
      <c r="FY58" s="41"/>
      <c r="FZ58" s="41"/>
      <c r="GA58" s="41"/>
      <c r="GB58" s="41"/>
      <c r="GC58" s="41"/>
      <c r="GD58" s="41"/>
      <c r="GE58" s="41"/>
      <c r="GF58" s="41"/>
      <c r="GG58" s="41"/>
      <c r="GH58" s="41"/>
      <c r="GI58" s="41"/>
      <c r="GJ58" s="41"/>
      <c r="GK58" s="41"/>
      <c r="GL58" s="41"/>
      <c r="GM58" s="41"/>
      <c r="GN58" s="41"/>
      <c r="GO58" s="41"/>
      <c r="GP58" s="41"/>
      <c r="GQ58" s="41"/>
      <c r="GR58" s="41"/>
      <c r="GS58" s="41"/>
      <c r="GT58" s="41"/>
      <c r="GU58" s="41"/>
      <c r="GV58" s="41"/>
      <c r="GW58" s="41"/>
      <c r="GX58" s="41"/>
      <c r="GY58" s="41"/>
      <c r="GZ58" s="41"/>
      <c r="HA58" s="41"/>
      <c r="HB58" s="41"/>
      <c r="HC58" s="41"/>
      <c r="HD58" s="41"/>
      <c r="HE58" s="41"/>
      <c r="HF58" s="41"/>
      <c r="HG58" s="41"/>
      <c r="HH58" s="41"/>
      <c r="HI58" s="41"/>
      <c r="HJ58" s="41"/>
      <c r="HK58" s="41"/>
      <c r="HL58" s="41"/>
      <c r="HM58" s="41"/>
      <c r="HN58" s="41"/>
      <c r="HO58" s="41"/>
      <c r="HP58" s="41"/>
      <c r="HQ58" s="41"/>
      <c r="HR58" s="41"/>
      <c r="HS58" s="41"/>
      <c r="HT58" s="41"/>
      <c r="HU58" s="41"/>
      <c r="HV58" s="41"/>
      <c r="HW58" s="41"/>
      <c r="HX58" s="41"/>
      <c r="HY58" s="41"/>
      <c r="HZ58" s="41"/>
      <c r="IA58" s="41"/>
      <c r="IB58" s="41"/>
      <c r="IC58" s="41"/>
      <c r="ID58" s="41"/>
      <c r="IE58" s="41"/>
      <c r="IF58" s="41"/>
      <c r="IG58" s="41"/>
      <c r="IH58" s="41"/>
      <c r="II58" s="41"/>
      <c r="IJ58" s="41"/>
      <c r="IK58" s="41"/>
      <c r="IL58" s="41"/>
      <c r="IM58" s="41"/>
      <c r="IN58" s="41"/>
      <c r="IO58" s="41"/>
      <c r="IP58" s="41"/>
      <c r="IQ58" s="41"/>
      <c r="IR58" s="41"/>
      <c r="IS58" s="41"/>
      <c r="IT58" s="41"/>
      <c r="IU58" s="41"/>
      <c r="IV58" s="41"/>
      <c r="IW58" s="41"/>
      <c r="IX58" s="41"/>
      <c r="IY58" s="41"/>
      <c r="IZ58" s="41"/>
      <c r="JA58" s="41"/>
      <c r="JB58" s="41"/>
      <c r="JC58" s="41"/>
      <c r="JD58" s="41"/>
      <c r="JE58" s="41"/>
      <c r="JF58" s="41"/>
      <c r="JG58" s="41"/>
      <c r="JH58" s="41"/>
      <c r="JI58" s="41"/>
      <c r="JJ58" s="41"/>
      <c r="JK58" s="41"/>
      <c r="JL58" s="41"/>
      <c r="JM58" s="41"/>
      <c r="JN58" s="41"/>
      <c r="JO58" s="41"/>
      <c r="JP58" s="41"/>
      <c r="JQ58" s="41"/>
      <c r="JR58" s="41"/>
      <c r="JS58" s="41"/>
      <c r="JT58" s="41"/>
      <c r="JU58" s="41"/>
      <c r="JV58" s="41"/>
      <c r="JW58" s="41"/>
      <c r="JX58" s="41"/>
      <c r="JY58" s="41"/>
      <c r="JZ58" s="41"/>
      <c r="KA58" s="41"/>
      <c r="KB58" s="41"/>
      <c r="KC58" s="41"/>
      <c r="KD58" s="41"/>
      <c r="KE58" s="41"/>
      <c r="KF58" s="41"/>
      <c r="KG58" s="41"/>
      <c r="KH58" s="41"/>
      <c r="KI58" s="41"/>
      <c r="KJ58" s="41"/>
      <c r="KK58" s="41"/>
      <c r="KL58" s="41"/>
      <c r="KM58" s="41"/>
      <c r="KN58" s="41"/>
      <c r="KO58" s="41"/>
      <c r="KP58" s="41"/>
      <c r="KQ58" s="41"/>
      <c r="KR58" s="41"/>
      <c r="KS58" s="41"/>
      <c r="KT58" s="41"/>
      <c r="KU58" s="41"/>
      <c r="KV58" s="41"/>
      <c r="KW58" s="41"/>
      <c r="KX58" s="41"/>
      <c r="KY58" s="41"/>
      <c r="KZ58" s="41"/>
      <c r="LA58" s="41"/>
      <c r="LB58" s="41"/>
      <c r="LC58" s="41"/>
      <c r="LD58" s="41"/>
      <c r="LE58" s="41"/>
      <c r="LF58" s="41"/>
      <c r="LG58" s="41"/>
      <c r="LH58" s="41"/>
      <c r="LI58" s="41"/>
      <c r="LJ58" s="41"/>
      <c r="LK58" s="41"/>
      <c r="LL58" s="41"/>
      <c r="LM58" s="41"/>
      <c r="LN58" s="41"/>
      <c r="LO58" s="41"/>
      <c r="LP58" s="41"/>
      <c r="LQ58" s="41"/>
      <c r="LR58" s="41"/>
      <c r="LS58" s="41"/>
      <c r="LT58" s="41"/>
      <c r="LU58" s="41"/>
      <c r="LV58" s="41"/>
      <c r="LW58" s="41"/>
      <c r="LX58" s="41"/>
      <c r="LY58" s="41"/>
      <c r="LZ58" s="41"/>
      <c r="MA58" s="41"/>
      <c r="MB58" s="41"/>
      <c r="MC58" s="41"/>
      <c r="MD58" s="41"/>
      <c r="ME58" s="41"/>
      <c r="MF58" s="41"/>
      <c r="MG58" s="41"/>
      <c r="MH58" s="41"/>
      <c r="MI58" s="41"/>
      <c r="MJ58" s="41"/>
      <c r="MK58" s="41"/>
      <c r="ML58" s="41"/>
      <c r="MM58" s="41"/>
      <c r="MN58" s="41"/>
      <c r="MO58" s="41"/>
      <c r="MP58" s="41"/>
      <c r="MQ58" s="41"/>
      <c r="MR58" s="41"/>
      <c r="MS58" s="41"/>
      <c r="MT58" s="41"/>
      <c r="MU58" s="41"/>
      <c r="MV58" s="41"/>
      <c r="MW58" s="41"/>
      <c r="MX58" s="41"/>
      <c r="MY58" s="41"/>
      <c r="MZ58" s="41"/>
      <c r="NA58" s="41"/>
      <c r="NB58" s="41"/>
      <c r="NC58" s="41"/>
      <c r="ND58" s="41"/>
      <c r="NE58" s="41"/>
      <c r="NF58" s="41"/>
      <c r="NG58" s="41"/>
      <c r="NH58" s="41"/>
      <c r="NI58" s="41"/>
      <c r="NJ58" s="41"/>
      <c r="NK58" s="41"/>
      <c r="NL58" s="41"/>
      <c r="NM58" s="41"/>
      <c r="NN58" s="41"/>
      <c r="NO58" s="41"/>
      <c r="NP58" s="41"/>
      <c r="NQ58" s="41"/>
      <c r="NR58" s="41"/>
      <c r="NS58" s="41"/>
      <c r="NT58" s="41"/>
      <c r="NU58" s="41"/>
      <c r="NV58" s="41"/>
      <c r="NW58" s="41"/>
      <c r="NX58" s="41"/>
      <c r="NY58" s="41"/>
      <c r="NZ58" s="41"/>
      <c r="OA58" s="41"/>
      <c r="OB58" s="41"/>
      <c r="OC58" s="41"/>
      <c r="OD58" s="41"/>
      <c r="OE58" s="41"/>
      <c r="OF58" s="41"/>
      <c r="OG58" s="41"/>
      <c r="OH58" s="41"/>
      <c r="OI58" s="41"/>
      <c r="OJ58" s="41"/>
      <c r="OK58" s="41"/>
      <c r="OL58" s="41"/>
      <c r="OM58" s="41"/>
      <c r="ON58" s="41"/>
      <c r="OO58" s="41"/>
      <c r="OP58" s="41"/>
      <c r="OQ58" s="41"/>
      <c r="OR58" s="41"/>
      <c r="OS58" s="41"/>
      <c r="OT58" s="41"/>
      <c r="OU58" s="41"/>
      <c r="OV58" s="41"/>
      <c r="OW58" s="41"/>
      <c r="OX58" s="41"/>
      <c r="OY58" s="41"/>
      <c r="OZ58" s="41"/>
      <c r="PA58" s="41"/>
      <c r="PB58" s="41"/>
      <c r="PC58" s="41"/>
      <c r="PD58" s="41"/>
      <c r="PE58" s="41"/>
      <c r="PF58" s="41"/>
      <c r="PG58" s="41"/>
      <c r="PH58" s="41"/>
      <c r="PI58" s="41"/>
      <c r="PJ58" s="41"/>
      <c r="PK58" s="41"/>
      <c r="PL58" s="41"/>
      <c r="PM58" s="41"/>
      <c r="PN58" s="41"/>
      <c r="PO58" s="41"/>
      <c r="PP58" s="41"/>
      <c r="PQ58" s="41"/>
      <c r="PR58" s="41"/>
      <c r="PS58" s="41"/>
      <c r="PT58" s="41"/>
      <c r="PU58" s="41"/>
      <c r="PV58" s="41"/>
      <c r="PW58" s="41"/>
      <c r="PX58" s="41"/>
      <c r="PY58" s="41"/>
      <c r="PZ58" s="41"/>
      <c r="QA58" s="41"/>
      <c r="QB58" s="41"/>
      <c r="QC58" s="41"/>
      <c r="QD58" s="41"/>
      <c r="QE58" s="41"/>
      <c r="QF58" s="41"/>
      <c r="QG58" s="41"/>
      <c r="QH58" s="41"/>
      <c r="QI58" s="41"/>
      <c r="QJ58" s="41"/>
      <c r="QK58" s="41"/>
      <c r="QL58" s="41"/>
      <c r="QM58" s="41"/>
      <c r="QN58" s="41"/>
      <c r="QO58" s="41"/>
      <c r="QP58" s="41"/>
      <c r="QQ58" s="41"/>
      <c r="QR58" s="41"/>
      <c r="QS58" s="41"/>
      <c r="QT58" s="41"/>
      <c r="QU58" s="41"/>
      <c r="QV58" s="41"/>
      <c r="QW58" s="41"/>
      <c r="QX58" s="41"/>
      <c r="QY58" s="41"/>
      <c r="QZ58" s="41"/>
      <c r="RA58" s="41"/>
      <c r="RB58" s="41"/>
      <c r="RC58" s="41"/>
      <c r="RD58" s="41"/>
      <c r="RE58" s="41"/>
      <c r="RF58" s="41"/>
      <c r="RG58" s="41"/>
      <c r="RH58" s="41"/>
      <c r="RI58" s="41"/>
      <c r="RJ58" s="41"/>
      <c r="RK58" s="41"/>
      <c r="RL58" s="41"/>
      <c r="RM58" s="41"/>
      <c r="RN58" s="41"/>
      <c r="RO58" s="41"/>
      <c r="RP58" s="41"/>
      <c r="RQ58" s="41"/>
      <c r="RR58" s="41"/>
      <c r="RS58" s="41"/>
      <c r="RT58" s="41"/>
      <c r="RU58" s="41"/>
      <c r="RV58" s="41"/>
      <c r="RW58" s="41"/>
      <c r="RX58" s="41"/>
      <c r="RY58" s="41"/>
      <c r="RZ58" s="41"/>
      <c r="SA58" s="41"/>
      <c r="SB58" s="41"/>
      <c r="SC58" s="41"/>
      <c r="SD58" s="41"/>
      <c r="SE58" s="41"/>
      <c r="SF58" s="41"/>
      <c r="SG58" s="41"/>
      <c r="SH58" s="41"/>
      <c r="SI58" s="41"/>
      <c r="SJ58" s="41"/>
      <c r="SK58" s="41"/>
      <c r="SL58" s="41"/>
      <c r="SM58" s="41"/>
      <c r="SN58" s="41"/>
      <c r="SO58" s="41"/>
      <c r="SP58" s="41"/>
      <c r="SQ58" s="41"/>
      <c r="SR58" s="41"/>
      <c r="SS58" s="41"/>
      <c r="ST58" s="41"/>
      <c r="SU58" s="41"/>
      <c r="SV58" s="41"/>
      <c r="SW58" s="41"/>
      <c r="SX58" s="41"/>
      <c r="SY58" s="41"/>
      <c r="SZ58" s="41"/>
      <c r="TA58" s="41"/>
      <c r="TB58" s="41"/>
      <c r="TC58" s="41"/>
      <c r="TD58" s="41"/>
      <c r="TE58" s="41"/>
      <c r="TF58" s="41"/>
      <c r="TG58" s="41"/>
      <c r="TH58" s="41"/>
      <c r="TI58" s="41"/>
      <c r="TJ58" s="41"/>
      <c r="TK58" s="41"/>
      <c r="TL58" s="41"/>
      <c r="TM58" s="41"/>
      <c r="TN58" s="41"/>
      <c r="TO58" s="41"/>
      <c r="TP58" s="41"/>
      <c r="TQ58" s="41"/>
      <c r="TR58" s="41"/>
      <c r="TS58" s="41"/>
      <c r="TT58" s="41"/>
      <c r="TU58" s="41"/>
      <c r="TV58" s="41"/>
      <c r="TW58" s="41"/>
      <c r="TX58" s="41"/>
      <c r="TY58" s="41"/>
      <c r="TZ58" s="41"/>
      <c r="UA58" s="41"/>
      <c r="UB58" s="41"/>
      <c r="UC58" s="41"/>
      <c r="UD58" s="41"/>
      <c r="UE58" s="41"/>
      <c r="UF58" s="41"/>
      <c r="UG58" s="41"/>
      <c r="UH58" s="41"/>
      <c r="UI58" s="41"/>
      <c r="UJ58" s="41"/>
      <c r="UK58" s="41"/>
      <c r="UL58" s="41"/>
      <c r="UM58" s="41"/>
      <c r="UN58" s="41"/>
      <c r="UO58" s="41"/>
      <c r="UP58" s="41"/>
      <c r="UQ58" s="41"/>
      <c r="UR58" s="41"/>
      <c r="US58" s="41"/>
      <c r="UT58" s="41"/>
      <c r="UU58" s="41"/>
      <c r="UV58" s="41"/>
      <c r="UW58" s="41"/>
      <c r="UX58" s="41"/>
      <c r="UY58" s="41"/>
      <c r="UZ58" s="41"/>
      <c r="VA58" s="41"/>
      <c r="VB58" s="41"/>
      <c r="VC58" s="41"/>
      <c r="VD58" s="41"/>
      <c r="VE58" s="41"/>
      <c r="VF58" s="41"/>
      <c r="VG58" s="41"/>
      <c r="VH58" s="41"/>
      <c r="VI58" s="41"/>
      <c r="VJ58" s="41"/>
      <c r="VK58" s="41"/>
      <c r="VL58" s="41"/>
      <c r="VM58" s="41"/>
      <c r="VN58" s="41"/>
      <c r="VO58" s="41"/>
      <c r="VP58" s="41"/>
      <c r="VQ58" s="41"/>
      <c r="VR58" s="41"/>
      <c r="VS58" s="41"/>
      <c r="VT58" s="41"/>
      <c r="VU58" s="41"/>
      <c r="VV58" s="41"/>
      <c r="VW58" s="41"/>
      <c r="VX58" s="41"/>
      <c r="VY58" s="41"/>
      <c r="VZ58" s="41"/>
      <c r="WA58" s="41"/>
      <c r="WB58" s="41"/>
      <c r="WC58" s="41"/>
      <c r="WD58" s="41"/>
      <c r="WE58" s="41"/>
      <c r="WF58" s="41"/>
      <c r="WG58" s="41"/>
      <c r="WH58" s="41"/>
      <c r="WI58" s="41"/>
      <c r="WJ58" s="41"/>
      <c r="WK58" s="41"/>
      <c r="WL58" s="41"/>
      <c r="WM58" s="41"/>
      <c r="WN58" s="41"/>
      <c r="WO58" s="41"/>
      <c r="WP58" s="41"/>
      <c r="WQ58" s="41"/>
      <c r="WR58" s="41"/>
      <c r="WS58" s="41"/>
      <c r="WT58" s="41"/>
      <c r="WU58" s="41"/>
      <c r="WV58" s="41"/>
      <c r="WW58" s="41"/>
      <c r="WX58" s="41"/>
      <c r="WY58" s="41"/>
      <c r="WZ58" s="41"/>
      <c r="XA58" s="41"/>
      <c r="XB58" s="41"/>
      <c r="XC58" s="41"/>
      <c r="XD58" s="41"/>
      <c r="XE58" s="41"/>
      <c r="XF58" s="41"/>
      <c r="XG58" s="41"/>
      <c r="XH58" s="41"/>
      <c r="XI58" s="41"/>
      <c r="XJ58" s="41"/>
      <c r="XK58" s="41"/>
      <c r="XL58" s="41"/>
      <c r="XM58" s="41"/>
      <c r="XN58" s="41"/>
      <c r="XO58" s="41"/>
      <c r="XP58" s="41"/>
      <c r="XQ58" s="41"/>
      <c r="XR58" s="41"/>
      <c r="XS58" s="41"/>
      <c r="XT58" s="41"/>
      <c r="XU58" s="41"/>
      <c r="XV58" s="41"/>
      <c r="XW58" s="41"/>
      <c r="XX58" s="41"/>
      <c r="XY58" s="41"/>
      <c r="XZ58" s="41"/>
      <c r="YA58" s="41"/>
      <c r="YB58" s="41"/>
      <c r="YC58" s="41"/>
      <c r="YD58" s="41"/>
      <c r="YE58" s="41"/>
      <c r="YF58" s="41"/>
      <c r="YG58" s="41"/>
      <c r="YH58" s="41"/>
      <c r="YI58" s="41"/>
      <c r="YJ58" s="41"/>
      <c r="YK58" s="41"/>
      <c r="YL58" s="41"/>
      <c r="YM58" s="41"/>
      <c r="YN58" s="41"/>
      <c r="YO58" s="41"/>
      <c r="YP58" s="41"/>
      <c r="YQ58" s="41"/>
      <c r="YR58" s="41"/>
      <c r="YS58" s="41"/>
      <c r="YT58" s="41"/>
      <c r="YU58" s="41"/>
      <c r="YV58" s="41"/>
      <c r="YW58" s="41"/>
      <c r="YX58" s="41"/>
      <c r="YY58" s="41"/>
      <c r="YZ58" s="41"/>
      <c r="ZA58" s="41"/>
      <c r="ZB58" s="41"/>
      <c r="ZC58" s="41"/>
      <c r="ZD58" s="41"/>
      <c r="ZE58" s="41"/>
      <c r="ZF58" s="41"/>
      <c r="ZG58" s="41"/>
      <c r="ZH58" s="41"/>
      <c r="ZI58" s="41"/>
      <c r="ZJ58" s="41"/>
      <c r="ZK58" s="41"/>
      <c r="ZL58" s="41"/>
      <c r="ZM58" s="41"/>
      <c r="ZN58" s="41"/>
      <c r="ZO58" s="41"/>
      <c r="ZP58" s="41"/>
      <c r="ZQ58" s="41"/>
      <c r="ZR58" s="41"/>
      <c r="ZS58" s="41"/>
      <c r="ZT58" s="41"/>
      <c r="ZU58" s="41"/>
      <c r="ZV58" s="41"/>
      <c r="ZW58" s="41"/>
      <c r="ZX58" s="41"/>
      <c r="ZY58" s="41"/>
      <c r="ZZ58" s="41"/>
      <c r="AAA58" s="41"/>
      <c r="AAB58" s="41"/>
      <c r="AAC58" s="41"/>
      <c r="AAD58" s="41"/>
      <c r="AAE58" s="41"/>
      <c r="AAF58" s="41"/>
      <c r="AAG58" s="41"/>
      <c r="AAH58" s="41"/>
      <c r="AAI58" s="41"/>
      <c r="AAJ58" s="41"/>
      <c r="AAK58" s="41"/>
      <c r="AAL58" s="41"/>
      <c r="AAM58" s="41"/>
      <c r="AAN58" s="41"/>
      <c r="AAO58" s="41"/>
      <c r="AAP58" s="41"/>
      <c r="AAQ58" s="41"/>
      <c r="AAR58" s="41"/>
      <c r="AAS58" s="41"/>
      <c r="AAT58" s="41"/>
      <c r="AAU58" s="41"/>
      <c r="AAV58" s="41"/>
      <c r="AAW58" s="41"/>
      <c r="AAX58" s="41"/>
      <c r="AAY58" s="41"/>
      <c r="AAZ58" s="41"/>
      <c r="ABA58" s="41"/>
      <c r="ABB58" s="41"/>
      <c r="ABC58" s="41"/>
      <c r="ABD58" s="41"/>
      <c r="ABE58" s="41"/>
      <c r="ABF58" s="41"/>
      <c r="ABG58" s="41"/>
      <c r="ABH58" s="41"/>
      <c r="ABI58" s="41"/>
      <c r="ABJ58" s="41"/>
      <c r="ABK58" s="41"/>
      <c r="ABL58" s="41"/>
      <c r="ABM58" s="41"/>
      <c r="ABN58" s="41"/>
      <c r="ABO58" s="41"/>
      <c r="ABP58" s="41"/>
      <c r="ABQ58" s="41"/>
      <c r="ABR58" s="41"/>
      <c r="ABS58" s="41"/>
      <c r="ABT58" s="41"/>
      <c r="ABU58" s="41"/>
      <c r="ABV58" s="41"/>
      <c r="ABW58" s="41"/>
      <c r="ABX58" s="41"/>
      <c r="ABY58" s="41"/>
      <c r="ABZ58" s="41"/>
      <c r="ACA58" s="41"/>
      <c r="ACB58" s="41"/>
      <c r="ACC58" s="41"/>
      <c r="ACD58" s="41"/>
      <c r="ACE58" s="41"/>
      <c r="ACF58" s="41"/>
      <c r="ACG58" s="41"/>
      <c r="ACH58" s="41"/>
      <c r="ACI58" s="41"/>
      <c r="ACJ58" s="41"/>
      <c r="ACK58" s="41"/>
      <c r="ACL58" s="41"/>
      <c r="ACM58" s="41"/>
      <c r="ACN58" s="41"/>
      <c r="ACO58" s="41"/>
      <c r="ACP58" s="41"/>
      <c r="ACQ58" s="41"/>
      <c r="ACR58" s="41"/>
      <c r="ACS58" s="41"/>
      <c r="ACT58" s="41"/>
      <c r="ACU58" s="41"/>
      <c r="ACV58" s="41"/>
      <c r="ACW58" s="41"/>
      <c r="ACX58" s="41"/>
      <c r="ACY58" s="41"/>
      <c r="ACZ58" s="41"/>
      <c r="ADA58" s="41"/>
      <c r="ADB58" s="41"/>
      <c r="ADC58" s="41"/>
      <c r="ADD58" s="41"/>
      <c r="ADE58" s="41"/>
      <c r="ADF58" s="41"/>
      <c r="ADG58" s="41"/>
      <c r="ADH58" s="41"/>
      <c r="ADI58" s="41"/>
      <c r="ADJ58" s="41"/>
      <c r="ADK58" s="41"/>
      <c r="ADL58" s="41"/>
      <c r="ADM58" s="41"/>
      <c r="ADN58" s="41"/>
      <c r="ADO58" s="41"/>
      <c r="ADP58" s="41"/>
      <c r="ADQ58" s="41"/>
      <c r="ADR58" s="41"/>
      <c r="ADS58" s="41"/>
      <c r="ADT58" s="41"/>
      <c r="ADU58" s="41"/>
      <c r="ADV58" s="41"/>
      <c r="ADW58" s="41"/>
      <c r="ADX58" s="41"/>
      <c r="ADY58" s="41"/>
      <c r="ADZ58" s="41"/>
      <c r="AEA58" s="41"/>
      <c r="AEB58" s="41"/>
      <c r="AEC58" s="41"/>
      <c r="AED58" s="41"/>
      <c r="AEE58" s="41"/>
      <c r="AEF58" s="41"/>
      <c r="AEG58" s="41"/>
      <c r="AEH58" s="41"/>
      <c r="AEI58" s="41"/>
      <c r="AEJ58" s="41"/>
      <c r="AEK58" s="41"/>
      <c r="AEL58" s="41"/>
      <c r="AEM58" s="41"/>
      <c r="AEN58" s="41"/>
      <c r="AEO58" s="41"/>
      <c r="AEP58" s="41"/>
      <c r="AEQ58" s="41"/>
      <c r="AER58" s="41"/>
      <c r="AES58" s="41"/>
      <c r="AET58" s="41"/>
      <c r="AEU58" s="41"/>
      <c r="AEV58" s="41"/>
      <c r="AEW58" s="41"/>
      <c r="AEX58" s="41"/>
      <c r="AEY58" s="41"/>
      <c r="AEZ58" s="41"/>
      <c r="AFA58" s="41"/>
      <c r="AFB58" s="41"/>
      <c r="AFC58" s="41"/>
      <c r="AFD58" s="41"/>
      <c r="AFE58" s="41"/>
      <c r="AFF58" s="41"/>
      <c r="AFG58" s="41"/>
      <c r="AFH58" s="41"/>
      <c r="AFI58" s="41"/>
      <c r="AFJ58" s="41"/>
      <c r="AFK58" s="41"/>
      <c r="AFL58" s="41"/>
      <c r="AFM58" s="41"/>
      <c r="AFN58" s="41"/>
      <c r="AFO58" s="41"/>
      <c r="AFP58" s="41"/>
      <c r="AFQ58" s="41"/>
      <c r="AFR58" s="41"/>
      <c r="AFS58" s="41"/>
      <c r="AFT58" s="41"/>
      <c r="AFU58" s="41"/>
      <c r="AFV58" s="41"/>
      <c r="AFW58" s="41"/>
      <c r="AFX58" s="41"/>
      <c r="AFY58" s="41"/>
      <c r="AFZ58" s="41"/>
      <c r="AGA58" s="41"/>
      <c r="AGB58" s="41"/>
      <c r="AGC58" s="41"/>
      <c r="AGD58" s="41"/>
      <c r="AGE58" s="41"/>
      <c r="AGF58" s="41"/>
      <c r="AGG58" s="41"/>
      <c r="AGH58" s="41"/>
      <c r="AGI58" s="41"/>
      <c r="AGJ58" s="41"/>
      <c r="AGK58" s="41"/>
      <c r="AGL58" s="41"/>
      <c r="AGM58" s="41"/>
      <c r="AGN58" s="41"/>
      <c r="AGO58" s="41"/>
      <c r="AGP58" s="41"/>
      <c r="AGQ58" s="41"/>
      <c r="AGR58" s="41"/>
      <c r="AGS58" s="41"/>
      <c r="AGT58" s="41"/>
      <c r="AGU58" s="41"/>
      <c r="AGV58" s="41"/>
      <c r="AGW58" s="41"/>
      <c r="AGX58" s="41"/>
      <c r="AGY58" s="41"/>
      <c r="AGZ58" s="41"/>
      <c r="AHA58" s="41"/>
      <c r="AHB58" s="41"/>
      <c r="AHC58" s="41"/>
      <c r="AHD58" s="41"/>
      <c r="AHE58" s="41"/>
      <c r="AHF58" s="41"/>
      <c r="AHG58" s="41"/>
      <c r="AHH58" s="41"/>
      <c r="AHI58" s="41"/>
      <c r="AHJ58" s="41"/>
      <c r="AHK58" s="41"/>
      <c r="AHL58" s="41"/>
      <c r="AHM58" s="41"/>
      <c r="AHN58" s="41"/>
      <c r="AHO58" s="41"/>
      <c r="AHP58" s="41"/>
      <c r="AHQ58" s="41"/>
      <c r="AHR58" s="41"/>
      <c r="AHS58" s="41"/>
      <c r="AHT58" s="41"/>
      <c r="AHU58" s="41"/>
      <c r="AHV58" s="41"/>
      <c r="AHW58" s="41"/>
      <c r="AHX58" s="41"/>
      <c r="AHY58" s="41"/>
      <c r="AHZ58" s="41"/>
      <c r="AIA58" s="41"/>
      <c r="AIB58" s="41"/>
      <c r="AIC58" s="41"/>
      <c r="AID58" s="41"/>
      <c r="AIE58" s="41"/>
      <c r="AIF58" s="41"/>
      <c r="AIG58" s="41"/>
      <c r="AIH58" s="41"/>
      <c r="AII58" s="41"/>
      <c r="AIJ58" s="41"/>
      <c r="AIK58" s="41"/>
      <c r="AIL58" s="41"/>
      <c r="AIM58" s="41"/>
      <c r="AIN58" s="41"/>
      <c r="AIO58" s="41"/>
      <c r="AIP58" s="41"/>
      <c r="AIQ58" s="41"/>
      <c r="AIR58" s="41"/>
      <c r="AIS58" s="41"/>
      <c r="AIT58" s="41"/>
      <c r="AIU58" s="41"/>
      <c r="AIV58" s="41"/>
      <c r="AIW58" s="41"/>
      <c r="AIX58" s="41"/>
      <c r="AIY58" s="41"/>
      <c r="AIZ58" s="41"/>
      <c r="AJA58" s="41"/>
      <c r="AJB58" s="41"/>
      <c r="AJC58" s="41"/>
      <c r="AJD58" s="41"/>
      <c r="AJE58" s="41"/>
      <c r="AJF58" s="41"/>
      <c r="AJG58" s="41"/>
      <c r="AJH58" s="41"/>
      <c r="AJI58" s="41"/>
      <c r="AJJ58" s="41"/>
      <c r="AJK58" s="41"/>
      <c r="AJL58" s="41"/>
      <c r="AJM58" s="41"/>
      <c r="AJN58" s="41"/>
      <c r="AJO58" s="41"/>
      <c r="AJP58" s="41"/>
      <c r="AJQ58" s="41"/>
      <c r="AJR58" s="41"/>
      <c r="AJS58" s="41"/>
      <c r="AJT58" s="41"/>
      <c r="AJU58" s="41"/>
      <c r="AJV58" s="41"/>
      <c r="AJW58" s="41"/>
      <c r="AJX58" s="41"/>
      <c r="AJY58" s="41"/>
      <c r="AJZ58" s="41"/>
      <c r="AKA58" s="41"/>
      <c r="AKB58" s="41"/>
      <c r="AKC58" s="41"/>
      <c r="AKD58" s="41"/>
      <c r="AKE58" s="41"/>
      <c r="AKF58" s="41"/>
      <c r="AKG58" s="41"/>
      <c r="AKH58" s="41"/>
      <c r="AKI58" s="41"/>
      <c r="AKJ58" s="41"/>
      <c r="AKK58" s="41"/>
      <c r="AKL58" s="41"/>
      <c r="AKM58" s="41"/>
      <c r="AKN58" s="41"/>
      <c r="AKO58" s="41"/>
      <c r="AKP58" s="41"/>
      <c r="AKQ58" s="41"/>
      <c r="AKR58" s="41"/>
      <c r="AKS58" s="41"/>
      <c r="AKT58" s="41"/>
      <c r="AKU58" s="41"/>
      <c r="AKV58" s="41"/>
      <c r="AKW58" s="41"/>
      <c r="AKX58" s="41"/>
      <c r="AKY58" s="41"/>
      <c r="AKZ58" s="41"/>
      <c r="ALA58" s="41"/>
      <c r="ALB58" s="41"/>
      <c r="ALC58" s="41"/>
      <c r="ALD58" s="41"/>
      <c r="ALE58" s="41"/>
      <c r="ALF58" s="41"/>
      <c r="ALG58" s="41"/>
      <c r="ALH58" s="41"/>
      <c r="ALI58" s="41"/>
      <c r="ALJ58" s="41"/>
      <c r="ALK58" s="41"/>
      <c r="ALL58" s="41"/>
      <c r="ALM58" s="41"/>
      <c r="ALN58" s="41"/>
      <c r="ALO58" s="41"/>
      <c r="ALP58" s="41"/>
      <c r="ALQ58" s="41"/>
      <c r="ALR58" s="41"/>
      <c r="ALS58" s="41"/>
      <c r="ALT58" s="41"/>
      <c r="ALU58" s="41"/>
      <c r="ALV58" s="41"/>
      <c r="ALW58" s="41"/>
      <c r="ALX58" s="41"/>
      <c r="ALY58" s="41"/>
      <c r="ALZ58" s="41"/>
      <c r="AMA58" s="41"/>
      <c r="AMB58" s="41"/>
      <c r="AMC58" s="41"/>
      <c r="AMD58" s="41"/>
      <c r="AME58" s="41"/>
      <c r="AMF58" s="41"/>
      <c r="AMG58" s="41"/>
      <c r="AMH58" s="41"/>
      <c r="AMI58" s="41"/>
      <c r="AMJ58" s="41"/>
      <c r="AMK58" s="41"/>
      <c r="AML58" s="41"/>
      <c r="AMM58" s="41"/>
      <c r="AMN58" s="41"/>
      <c r="AMO58" s="41"/>
      <c r="AMP58" s="41"/>
      <c r="AMQ58" s="41"/>
      <c r="AMR58" s="41"/>
      <c r="AMS58" s="41"/>
      <c r="AMT58" s="41"/>
      <c r="AMU58" s="41"/>
      <c r="AMV58" s="41"/>
      <c r="AMW58" s="41"/>
      <c r="AMX58" s="41"/>
      <c r="AMY58" s="41"/>
      <c r="AMZ58" s="41"/>
      <c r="ANA58" s="41"/>
      <c r="ANB58" s="41"/>
      <c r="ANC58" s="41"/>
      <c r="AND58" s="41"/>
      <c r="ANE58" s="41"/>
      <c r="ANF58" s="41"/>
      <c r="ANG58" s="41"/>
      <c r="ANH58" s="41"/>
      <c r="ANI58" s="41"/>
      <c r="ANJ58" s="41"/>
      <c r="ANK58" s="41"/>
      <c r="ANL58" s="41"/>
      <c r="ANM58" s="41"/>
      <c r="ANN58" s="41"/>
      <c r="ANO58" s="41"/>
      <c r="ANP58" s="41"/>
      <c r="ANQ58" s="41"/>
      <c r="ANR58" s="41"/>
      <c r="ANS58" s="41"/>
      <c r="ANT58" s="41"/>
      <c r="ANU58" s="41"/>
      <c r="ANV58" s="41"/>
      <c r="ANW58" s="41"/>
      <c r="ANX58" s="41"/>
      <c r="ANY58" s="41"/>
      <c r="ANZ58" s="41"/>
      <c r="AOA58" s="41"/>
      <c r="AOB58" s="41"/>
      <c r="AOC58" s="41"/>
      <c r="AOD58" s="41"/>
      <c r="AOE58" s="41"/>
      <c r="AOF58" s="41"/>
      <c r="AOG58" s="41"/>
      <c r="AOH58" s="41"/>
      <c r="AOI58" s="41"/>
      <c r="AOJ58" s="41"/>
      <c r="AOK58" s="41"/>
      <c r="AOL58" s="41"/>
      <c r="AOM58" s="41"/>
      <c r="AON58" s="41"/>
      <c r="AOO58" s="41"/>
      <c r="AOP58" s="41"/>
      <c r="AOQ58" s="41"/>
      <c r="AOR58" s="41"/>
      <c r="AOS58" s="41"/>
      <c r="AOT58" s="41"/>
      <c r="AOU58" s="41"/>
      <c r="AOV58" s="41"/>
      <c r="AOW58" s="41"/>
      <c r="AOX58" s="41"/>
      <c r="AOY58" s="41"/>
      <c r="AOZ58" s="41"/>
      <c r="APA58" s="41"/>
      <c r="APB58" s="41"/>
      <c r="APC58" s="41"/>
      <c r="APD58" s="41"/>
      <c r="APE58" s="41"/>
      <c r="APF58" s="41"/>
      <c r="APG58" s="41"/>
      <c r="APH58" s="41"/>
      <c r="API58" s="41"/>
      <c r="APJ58" s="41"/>
      <c r="APK58" s="41"/>
      <c r="APL58" s="41"/>
      <c r="APM58" s="41"/>
      <c r="APN58" s="41"/>
      <c r="APO58" s="41"/>
      <c r="APP58" s="41"/>
      <c r="APQ58" s="41"/>
      <c r="APR58" s="41"/>
      <c r="APS58" s="41"/>
      <c r="APT58" s="41"/>
      <c r="APU58" s="41"/>
      <c r="APV58" s="41"/>
      <c r="APW58" s="41"/>
      <c r="APX58" s="41"/>
      <c r="APY58" s="41"/>
      <c r="APZ58" s="41"/>
      <c r="AQA58" s="41"/>
      <c r="AQB58" s="41"/>
      <c r="AQC58" s="41"/>
      <c r="AQD58" s="41"/>
      <c r="AQE58" s="41"/>
      <c r="AQF58" s="41"/>
      <c r="AQG58" s="41"/>
      <c r="AQH58" s="41"/>
      <c r="AQI58" s="41"/>
      <c r="AQJ58" s="41"/>
      <c r="AQK58" s="41"/>
      <c r="AQL58" s="41"/>
      <c r="AQM58" s="41"/>
      <c r="AQN58" s="41"/>
      <c r="AQO58" s="41"/>
      <c r="AQP58" s="41"/>
      <c r="AQQ58" s="41"/>
      <c r="AQR58" s="41"/>
      <c r="AQS58" s="41"/>
      <c r="AQT58" s="41"/>
      <c r="AQU58" s="41"/>
      <c r="AQV58" s="41"/>
      <c r="AQW58" s="41"/>
      <c r="AQX58" s="41"/>
      <c r="AQY58" s="41"/>
      <c r="AQZ58" s="41"/>
      <c r="ARA58" s="41"/>
      <c r="ARB58" s="41"/>
      <c r="ARC58" s="41"/>
      <c r="ARD58" s="41"/>
      <c r="ARE58" s="41"/>
      <c r="ARF58" s="41"/>
      <c r="ARG58" s="41"/>
      <c r="ARH58" s="41"/>
      <c r="ARI58" s="41"/>
      <c r="ARJ58" s="41"/>
      <c r="ARK58" s="41"/>
      <c r="ARL58" s="41"/>
      <c r="ARM58" s="41"/>
      <c r="ARN58" s="41"/>
      <c r="ARO58" s="41"/>
      <c r="ARP58" s="41"/>
      <c r="ARQ58" s="41"/>
      <c r="ARR58" s="41"/>
      <c r="ARS58" s="41"/>
      <c r="ART58" s="41"/>
      <c r="ARU58" s="41"/>
      <c r="ARV58" s="41"/>
      <c r="ARW58" s="41"/>
      <c r="ARX58" s="41"/>
      <c r="ARY58" s="41"/>
      <c r="ARZ58" s="41"/>
      <c r="ASA58" s="41"/>
      <c r="ASB58" s="41"/>
      <c r="ASC58" s="41"/>
      <c r="ASD58" s="41"/>
      <c r="ASE58" s="41"/>
      <c r="ASF58" s="41"/>
      <c r="ASG58" s="41"/>
      <c r="ASH58" s="41"/>
      <c r="ASI58" s="41"/>
      <c r="ASJ58" s="41"/>
      <c r="ASK58" s="41"/>
      <c r="ASL58" s="41"/>
      <c r="ASM58" s="41"/>
      <c r="ASN58" s="41"/>
      <c r="ASO58" s="41"/>
      <c r="ASP58" s="41"/>
      <c r="ASQ58" s="41"/>
      <c r="ASR58" s="41"/>
      <c r="ASS58" s="41"/>
      <c r="AST58" s="41"/>
      <c r="ASU58" s="41"/>
      <c r="ASV58" s="41"/>
      <c r="ASW58" s="41"/>
      <c r="ASX58" s="41"/>
      <c r="ASY58" s="41"/>
      <c r="ASZ58" s="41"/>
      <c r="ATA58" s="41"/>
      <c r="ATB58" s="41"/>
      <c r="ATC58" s="41"/>
      <c r="ATD58" s="41"/>
      <c r="ATE58" s="41"/>
      <c r="ATF58" s="41"/>
      <c r="ATG58" s="41"/>
      <c r="ATH58" s="41"/>
      <c r="ATI58" s="41"/>
      <c r="ATJ58" s="41"/>
      <c r="ATK58" s="41"/>
      <c r="ATL58" s="41"/>
      <c r="ATM58" s="41"/>
      <c r="ATN58" s="41"/>
      <c r="ATO58" s="41"/>
      <c r="ATP58" s="41"/>
      <c r="ATQ58" s="41"/>
      <c r="ATR58" s="41"/>
      <c r="ATS58" s="41"/>
      <c r="ATT58" s="41"/>
      <c r="ATU58" s="41"/>
      <c r="ATV58" s="41"/>
      <c r="ATW58" s="41"/>
      <c r="ATX58" s="41"/>
      <c r="ATY58" s="41"/>
      <c r="ATZ58" s="41"/>
      <c r="AUA58" s="41"/>
      <c r="AUB58" s="41"/>
      <c r="AUC58" s="41"/>
      <c r="AUD58" s="41"/>
      <c r="AUE58" s="41"/>
      <c r="AUF58" s="41"/>
      <c r="AUG58" s="41"/>
      <c r="AUH58" s="41"/>
      <c r="AUI58" s="41"/>
      <c r="AUJ58" s="41"/>
      <c r="AUK58" s="41"/>
      <c r="AUL58" s="41"/>
      <c r="AUM58" s="41"/>
      <c r="AUN58" s="41"/>
      <c r="AUO58" s="41"/>
      <c r="AUP58" s="41"/>
      <c r="AUQ58" s="41"/>
      <c r="AUR58" s="41"/>
      <c r="AUS58" s="41"/>
      <c r="AUT58" s="41"/>
      <c r="AUU58" s="41"/>
      <c r="AUV58" s="41"/>
      <c r="AUW58" s="41"/>
      <c r="AUX58" s="41"/>
      <c r="AUY58" s="41"/>
      <c r="AUZ58" s="41"/>
      <c r="AVA58" s="41"/>
      <c r="AVB58" s="41"/>
      <c r="AVC58" s="41"/>
      <c r="AVD58" s="41"/>
      <c r="AVE58" s="41"/>
      <c r="AVF58" s="41"/>
      <c r="AVG58" s="41"/>
      <c r="AVH58" s="41"/>
      <c r="AVI58" s="41"/>
      <c r="AVJ58" s="41"/>
      <c r="AVK58" s="41"/>
      <c r="AVL58" s="41"/>
      <c r="AVM58" s="41"/>
      <c r="AVN58" s="41"/>
      <c r="AVO58" s="41"/>
      <c r="AVP58" s="41"/>
      <c r="AVQ58" s="41"/>
      <c r="AVR58" s="41"/>
      <c r="AVS58" s="41"/>
      <c r="AVT58" s="41"/>
      <c r="AVU58" s="41"/>
      <c r="AVV58" s="41"/>
      <c r="AVW58" s="41"/>
      <c r="AVX58" s="41"/>
      <c r="AVY58" s="41"/>
      <c r="AVZ58" s="41"/>
      <c r="AWA58" s="41"/>
      <c r="AWB58" s="41"/>
      <c r="AWC58" s="41"/>
      <c r="AWD58" s="41"/>
      <c r="AWE58" s="41"/>
      <c r="AWF58" s="41"/>
      <c r="AWG58" s="41"/>
      <c r="AWH58" s="41"/>
      <c r="AWI58" s="41"/>
      <c r="AWJ58" s="41"/>
      <c r="AWK58" s="41"/>
      <c r="AWL58" s="41"/>
      <c r="AWM58" s="41"/>
      <c r="AWN58" s="41"/>
      <c r="AWO58" s="41"/>
      <c r="AWP58" s="41"/>
      <c r="AWQ58" s="41"/>
      <c r="AWR58" s="41"/>
      <c r="AWS58" s="41"/>
      <c r="AWT58" s="41"/>
      <c r="AWU58" s="41"/>
      <c r="AWV58" s="41"/>
      <c r="AWW58" s="41"/>
      <c r="AWX58" s="41"/>
      <c r="AWY58" s="41"/>
      <c r="AWZ58" s="41"/>
      <c r="AXA58" s="41"/>
      <c r="AXB58" s="41"/>
      <c r="AXC58" s="41"/>
      <c r="AXD58" s="41"/>
      <c r="AXE58" s="41"/>
      <c r="AXF58" s="41"/>
      <c r="AXG58" s="41"/>
      <c r="AXH58" s="41"/>
      <c r="AXI58" s="41"/>
      <c r="AXJ58" s="41"/>
      <c r="AXK58" s="41"/>
      <c r="AXL58" s="41"/>
      <c r="AXM58" s="41"/>
      <c r="AXN58" s="41"/>
      <c r="AXO58" s="41"/>
      <c r="AXP58" s="41"/>
      <c r="AXQ58" s="41"/>
      <c r="AXR58" s="41"/>
      <c r="AXS58" s="41"/>
      <c r="AXT58" s="41"/>
      <c r="AXU58" s="41"/>
      <c r="AXV58" s="41"/>
      <c r="AXW58" s="41"/>
      <c r="AXX58" s="41"/>
      <c r="AXY58" s="41"/>
      <c r="AXZ58" s="41"/>
      <c r="AYA58" s="41"/>
      <c r="AYB58" s="41"/>
      <c r="AYC58" s="41"/>
      <c r="AYD58" s="41"/>
      <c r="AYE58" s="41"/>
      <c r="AYF58" s="41"/>
      <c r="AYG58" s="41"/>
      <c r="AYH58" s="41"/>
      <c r="AYI58" s="41"/>
      <c r="AYJ58" s="41"/>
      <c r="AYK58" s="41"/>
      <c r="AYL58" s="41"/>
      <c r="AYM58" s="41"/>
      <c r="AYN58" s="41"/>
      <c r="AYO58" s="41"/>
      <c r="AYP58" s="41"/>
      <c r="AYQ58" s="41"/>
      <c r="AYR58" s="41"/>
      <c r="AYS58" s="41"/>
      <c r="AYT58" s="41"/>
      <c r="AYU58" s="41"/>
      <c r="AYV58" s="41"/>
      <c r="AYW58" s="41"/>
      <c r="AYX58" s="41"/>
      <c r="AYY58" s="41"/>
      <c r="AYZ58" s="41"/>
      <c r="AZA58" s="41"/>
      <c r="AZB58" s="41"/>
      <c r="AZC58" s="41"/>
      <c r="AZD58" s="41"/>
      <c r="AZE58" s="41"/>
      <c r="AZF58" s="41"/>
      <c r="AZG58" s="41"/>
      <c r="AZH58" s="41"/>
      <c r="AZI58" s="41"/>
      <c r="AZJ58" s="41"/>
      <c r="AZK58" s="41"/>
      <c r="AZL58" s="41"/>
      <c r="AZM58" s="41"/>
      <c r="AZN58" s="41"/>
      <c r="AZO58" s="41"/>
      <c r="AZP58" s="41"/>
      <c r="AZQ58" s="41"/>
      <c r="AZR58" s="41"/>
      <c r="AZS58" s="41"/>
      <c r="AZT58" s="41"/>
      <c r="AZU58" s="41"/>
      <c r="AZV58" s="41"/>
      <c r="AZW58" s="41"/>
      <c r="AZX58" s="41"/>
      <c r="AZY58" s="41"/>
      <c r="AZZ58" s="41"/>
      <c r="BAA58" s="41"/>
      <c r="BAB58" s="41"/>
      <c r="BAC58" s="41"/>
      <c r="BAD58" s="41"/>
      <c r="BAE58" s="41"/>
      <c r="BAF58" s="41"/>
      <c r="BAG58" s="41"/>
      <c r="BAH58" s="41"/>
      <c r="BAI58" s="41"/>
      <c r="BAJ58" s="41"/>
      <c r="BAK58" s="41"/>
      <c r="BAL58" s="41"/>
      <c r="BAM58" s="41"/>
      <c r="BAN58" s="41"/>
      <c r="BAO58" s="41"/>
      <c r="BAP58" s="41"/>
      <c r="BAQ58" s="41"/>
      <c r="BAR58" s="41"/>
      <c r="BAS58" s="41"/>
      <c r="BAT58" s="41"/>
      <c r="BAU58" s="41"/>
      <c r="BAV58" s="41"/>
      <c r="BAW58" s="41"/>
      <c r="BAX58" s="41"/>
      <c r="BAY58" s="41"/>
      <c r="BAZ58" s="41"/>
      <c r="BBA58" s="41"/>
      <c r="BBB58" s="41"/>
      <c r="BBC58" s="41"/>
      <c r="BBD58" s="41"/>
      <c r="BBE58" s="41"/>
      <c r="BBF58" s="41"/>
      <c r="BBG58" s="41"/>
      <c r="BBH58" s="41"/>
      <c r="BBI58" s="41"/>
      <c r="BBJ58" s="41"/>
      <c r="BBK58" s="41"/>
      <c r="BBL58" s="41"/>
      <c r="BBM58" s="41"/>
      <c r="BBN58" s="41"/>
      <c r="BBO58" s="41"/>
      <c r="BBP58" s="41"/>
      <c r="BBQ58" s="41"/>
      <c r="BBR58" s="41"/>
      <c r="BBS58" s="41"/>
      <c r="BBT58" s="41"/>
      <c r="BBU58" s="41"/>
      <c r="BBV58" s="41"/>
      <c r="BBW58" s="41"/>
      <c r="BBX58" s="41"/>
      <c r="BBY58" s="41"/>
      <c r="BBZ58" s="41"/>
      <c r="BCA58" s="41"/>
      <c r="BCB58" s="41"/>
      <c r="BCC58" s="41"/>
      <c r="BCD58" s="41"/>
      <c r="BCE58" s="41"/>
      <c r="BCF58" s="41"/>
      <c r="BCG58" s="41"/>
      <c r="BCH58" s="41"/>
      <c r="BCI58" s="41"/>
      <c r="BCJ58" s="41"/>
      <c r="BCK58" s="41"/>
      <c r="BCL58" s="41"/>
      <c r="BCM58" s="41"/>
      <c r="BCN58" s="41"/>
      <c r="BCO58" s="41"/>
      <c r="BCP58" s="41"/>
      <c r="BCQ58" s="41"/>
      <c r="BCR58" s="41"/>
      <c r="BCS58" s="41"/>
      <c r="BCT58" s="41"/>
      <c r="BCU58" s="41"/>
      <c r="BCV58" s="41"/>
      <c r="BCW58" s="41"/>
      <c r="BCX58" s="41"/>
      <c r="BCY58" s="41"/>
      <c r="BCZ58" s="41"/>
      <c r="BDA58" s="41"/>
      <c r="BDB58" s="41"/>
      <c r="BDC58" s="41"/>
      <c r="BDD58" s="41"/>
      <c r="BDE58" s="41"/>
      <c r="BDF58" s="41"/>
      <c r="BDG58" s="41"/>
      <c r="BDH58" s="41"/>
      <c r="BDI58" s="41"/>
      <c r="BDJ58" s="41"/>
      <c r="BDK58" s="41"/>
      <c r="BDL58" s="41"/>
      <c r="BDM58" s="41"/>
      <c r="BDN58" s="41"/>
      <c r="BDO58" s="41"/>
      <c r="BDP58" s="41"/>
      <c r="BDQ58" s="41"/>
      <c r="BDR58" s="41"/>
      <c r="BDS58" s="41"/>
      <c r="BDT58" s="41"/>
      <c r="BDU58" s="41"/>
      <c r="BDV58" s="41"/>
      <c r="BDW58" s="41"/>
      <c r="BDX58" s="41"/>
      <c r="BDY58" s="41"/>
      <c r="BDZ58" s="41"/>
      <c r="BEA58" s="41"/>
      <c r="BEB58" s="41"/>
      <c r="BEC58" s="41"/>
      <c r="BED58" s="41"/>
      <c r="BEE58" s="41"/>
      <c r="BEF58" s="41"/>
      <c r="BEG58" s="41"/>
      <c r="BEH58" s="41"/>
      <c r="BEI58" s="41"/>
      <c r="BEJ58" s="41"/>
      <c r="BEK58" s="41"/>
      <c r="BEL58" s="41"/>
      <c r="BEM58" s="41"/>
      <c r="BEN58" s="41"/>
      <c r="BEO58" s="41"/>
      <c r="BEP58" s="41"/>
      <c r="BEQ58" s="41"/>
      <c r="BER58" s="41"/>
      <c r="BES58" s="41"/>
      <c r="BET58" s="41"/>
      <c r="BEU58" s="41"/>
      <c r="BEV58" s="41"/>
      <c r="BEW58" s="41"/>
      <c r="BEX58" s="41"/>
      <c r="BEY58" s="41"/>
      <c r="BEZ58" s="41"/>
      <c r="BFA58" s="41"/>
      <c r="BFB58" s="41"/>
      <c r="BFC58" s="41"/>
      <c r="BFD58" s="41"/>
      <c r="BFE58" s="41"/>
      <c r="BFF58" s="41"/>
      <c r="BFG58" s="41"/>
      <c r="BFH58" s="41"/>
      <c r="BFI58" s="41"/>
      <c r="BFJ58" s="41"/>
      <c r="BFK58" s="41"/>
      <c r="BFL58" s="41"/>
      <c r="BFM58" s="41"/>
      <c r="BFN58" s="41"/>
      <c r="BFO58" s="41"/>
      <c r="BFP58" s="41"/>
      <c r="BFQ58" s="41"/>
      <c r="BFR58" s="41"/>
      <c r="BFS58" s="41"/>
      <c r="BFT58" s="41"/>
      <c r="BFU58" s="41"/>
      <c r="BFV58" s="41"/>
      <c r="BFW58" s="41"/>
      <c r="BFX58" s="41"/>
      <c r="BFY58" s="41"/>
      <c r="BFZ58" s="41"/>
      <c r="BGA58" s="41"/>
      <c r="BGB58" s="41"/>
      <c r="BGC58" s="41"/>
      <c r="BGD58" s="41"/>
      <c r="BGE58" s="41"/>
      <c r="BGF58" s="41"/>
      <c r="BGG58" s="41"/>
      <c r="BGH58" s="41"/>
      <c r="BGI58" s="41"/>
      <c r="BGJ58" s="41"/>
      <c r="BGK58" s="41"/>
      <c r="BGL58" s="41"/>
      <c r="BGM58" s="41"/>
      <c r="BGN58" s="41"/>
      <c r="BGO58" s="41"/>
      <c r="BGP58" s="41"/>
      <c r="BGQ58" s="41"/>
      <c r="BGR58" s="41"/>
      <c r="BGS58" s="41"/>
      <c r="BGT58" s="41"/>
      <c r="BGU58" s="41"/>
      <c r="BGV58" s="41"/>
      <c r="BGW58" s="41"/>
      <c r="BGX58" s="41"/>
      <c r="BGY58" s="41"/>
      <c r="BGZ58" s="41"/>
      <c r="BHA58" s="41"/>
      <c r="BHB58" s="41"/>
      <c r="BHC58" s="41"/>
      <c r="BHD58" s="41"/>
      <c r="BHE58" s="41"/>
      <c r="BHF58" s="41"/>
      <c r="BHG58" s="41"/>
      <c r="BHH58" s="41"/>
      <c r="BHI58" s="41"/>
      <c r="BHJ58" s="41"/>
      <c r="BHK58" s="41"/>
      <c r="BHL58" s="41"/>
      <c r="BHM58" s="41"/>
      <c r="BHN58" s="41"/>
      <c r="BHO58" s="41"/>
      <c r="BHP58" s="41"/>
      <c r="BHQ58" s="41"/>
      <c r="BHR58" s="41"/>
      <c r="BHS58" s="41"/>
      <c r="BHT58" s="41"/>
      <c r="BHU58" s="41"/>
      <c r="BHV58" s="41"/>
      <c r="BHW58" s="41"/>
      <c r="BHX58" s="41"/>
      <c r="BHY58" s="41"/>
      <c r="BHZ58" s="41"/>
      <c r="BIA58" s="41"/>
      <c r="BIB58" s="41"/>
      <c r="BIC58" s="41"/>
      <c r="BID58" s="41"/>
      <c r="BIE58" s="41"/>
      <c r="BIF58" s="41"/>
      <c r="BIG58" s="41"/>
      <c r="BIH58" s="41"/>
      <c r="BII58" s="41"/>
      <c r="BIJ58" s="41"/>
      <c r="BIK58" s="41"/>
      <c r="BIL58" s="41"/>
      <c r="BIM58" s="41"/>
      <c r="BIN58" s="41"/>
      <c r="BIO58" s="41"/>
      <c r="BIP58" s="41"/>
      <c r="BIQ58" s="41"/>
      <c r="BIR58" s="41"/>
      <c r="BIS58" s="41"/>
      <c r="BIT58" s="41"/>
      <c r="BIU58" s="41"/>
      <c r="BIV58" s="41"/>
      <c r="BIW58" s="41"/>
      <c r="BIX58" s="41"/>
      <c r="BIY58" s="41"/>
      <c r="BIZ58" s="41"/>
      <c r="BJA58" s="41"/>
      <c r="BJB58" s="41"/>
      <c r="BJC58" s="41"/>
      <c r="BJD58" s="41"/>
      <c r="BJE58" s="41"/>
      <c r="BJF58" s="41"/>
      <c r="BJG58" s="41"/>
      <c r="BJH58" s="41"/>
      <c r="BJI58" s="41"/>
      <c r="BJJ58" s="41"/>
      <c r="BJK58" s="41"/>
      <c r="BJL58" s="41"/>
      <c r="BJM58" s="41"/>
      <c r="BJN58" s="41"/>
      <c r="BJO58" s="41"/>
      <c r="BJP58" s="41"/>
      <c r="BJQ58" s="41"/>
      <c r="BJR58" s="41"/>
      <c r="BJS58" s="41"/>
      <c r="BJT58" s="41"/>
      <c r="BJU58" s="41"/>
      <c r="BJV58" s="41"/>
      <c r="BJW58" s="41"/>
      <c r="BJX58" s="41"/>
      <c r="BJY58" s="41"/>
      <c r="BJZ58" s="41"/>
      <c r="BKA58" s="41"/>
      <c r="BKB58" s="41"/>
      <c r="BKC58" s="41"/>
      <c r="BKD58" s="41"/>
      <c r="BKE58" s="41"/>
      <c r="BKF58" s="41"/>
      <c r="BKG58" s="41"/>
      <c r="BKH58" s="41"/>
      <c r="BKI58" s="41"/>
      <c r="BKJ58" s="41"/>
      <c r="BKK58" s="41"/>
      <c r="BKL58" s="41"/>
      <c r="BKM58" s="41"/>
      <c r="BKN58" s="41"/>
      <c r="BKO58" s="41"/>
      <c r="BKP58" s="41"/>
      <c r="BKQ58" s="41"/>
      <c r="BKR58" s="41"/>
      <c r="BKS58" s="41"/>
      <c r="BKT58" s="41"/>
      <c r="BKU58" s="41"/>
      <c r="BKV58" s="41"/>
      <c r="BKW58" s="41"/>
      <c r="BKX58" s="41"/>
      <c r="BKY58" s="41"/>
      <c r="BKZ58" s="41"/>
      <c r="BLA58" s="41"/>
      <c r="BLB58" s="41"/>
      <c r="BLC58" s="41"/>
      <c r="BLD58" s="41"/>
      <c r="BLE58" s="41"/>
      <c r="BLF58" s="41"/>
      <c r="BLG58" s="41"/>
      <c r="BLH58" s="41"/>
      <c r="BLI58" s="41"/>
      <c r="BLJ58" s="41"/>
      <c r="BLK58" s="41"/>
      <c r="BLL58" s="41"/>
      <c r="BLM58" s="41"/>
      <c r="BLN58" s="41"/>
      <c r="BLO58" s="41"/>
      <c r="BLP58" s="41"/>
      <c r="BLQ58" s="41"/>
      <c r="BLR58" s="41"/>
      <c r="BLS58" s="41"/>
      <c r="BLT58" s="41"/>
      <c r="BLU58" s="41"/>
      <c r="BLV58" s="41"/>
      <c r="BLW58" s="41"/>
      <c r="BLX58" s="41"/>
      <c r="BLY58" s="41"/>
      <c r="BLZ58" s="41"/>
      <c r="BMA58" s="41"/>
      <c r="BMB58" s="41"/>
      <c r="BMC58" s="41"/>
      <c r="BMD58" s="41"/>
      <c r="BME58" s="41"/>
      <c r="BMF58" s="41"/>
      <c r="BMG58" s="41"/>
      <c r="BMH58" s="41"/>
      <c r="BMI58" s="41"/>
      <c r="BMJ58" s="41"/>
      <c r="BMK58" s="41"/>
      <c r="BML58" s="41"/>
      <c r="BMM58" s="41"/>
      <c r="BMN58" s="41"/>
      <c r="BMO58" s="41"/>
      <c r="BMP58" s="41"/>
      <c r="BMQ58" s="41"/>
      <c r="BMR58" s="41"/>
      <c r="BMS58" s="41"/>
      <c r="BMT58" s="41"/>
      <c r="BMU58" s="41"/>
      <c r="BMV58" s="41"/>
      <c r="BMW58" s="41"/>
      <c r="BMX58" s="41"/>
      <c r="BMY58" s="41"/>
      <c r="BMZ58" s="41"/>
      <c r="BNA58" s="41"/>
      <c r="BNB58" s="41"/>
      <c r="BNC58" s="41"/>
      <c r="BND58" s="41"/>
      <c r="BNE58" s="41"/>
      <c r="BNF58" s="41"/>
      <c r="BNG58" s="41"/>
      <c r="BNH58" s="41"/>
      <c r="BNI58" s="41"/>
      <c r="BNJ58" s="41"/>
      <c r="BNK58" s="41"/>
      <c r="BNL58" s="41"/>
      <c r="BNM58" s="41"/>
      <c r="BNN58" s="41"/>
      <c r="BNO58" s="41"/>
      <c r="BNP58" s="41"/>
      <c r="BNQ58" s="41"/>
      <c r="BNR58" s="41"/>
      <c r="BNS58" s="41"/>
      <c r="BNT58" s="41"/>
      <c r="BNU58" s="41"/>
      <c r="BNV58" s="41"/>
      <c r="BNW58" s="41"/>
      <c r="BNX58" s="41"/>
      <c r="BNY58" s="41"/>
      <c r="BNZ58" s="41"/>
      <c r="BOA58" s="41"/>
      <c r="BOB58" s="41"/>
      <c r="BOC58" s="41"/>
      <c r="BOD58" s="41"/>
      <c r="BOE58" s="41"/>
      <c r="BOF58" s="41"/>
      <c r="BOG58" s="41"/>
      <c r="BOH58" s="41"/>
      <c r="BOI58" s="41"/>
      <c r="BOJ58" s="41"/>
      <c r="BOK58" s="41"/>
      <c r="BOL58" s="41"/>
      <c r="BOM58" s="41"/>
      <c r="BON58" s="41"/>
      <c r="BOO58" s="41"/>
      <c r="BOP58" s="41"/>
      <c r="BOQ58" s="41"/>
      <c r="BOR58" s="41"/>
      <c r="BOS58" s="41"/>
      <c r="BOT58" s="41"/>
      <c r="BOU58" s="41"/>
      <c r="BOV58" s="41"/>
      <c r="BOW58" s="41"/>
      <c r="BOX58" s="41"/>
      <c r="BOY58" s="41"/>
      <c r="BOZ58" s="41"/>
      <c r="BPA58" s="41"/>
      <c r="BPB58" s="41"/>
      <c r="BPC58" s="41"/>
      <c r="BPD58" s="41"/>
      <c r="BPE58" s="41"/>
      <c r="BPF58" s="41"/>
      <c r="BPG58" s="41"/>
      <c r="BPH58" s="41"/>
      <c r="BPI58" s="41"/>
      <c r="BPJ58" s="41"/>
      <c r="BPK58" s="41"/>
      <c r="BPL58" s="41"/>
      <c r="BPM58" s="41"/>
      <c r="BPN58" s="41"/>
      <c r="BPO58" s="41"/>
      <c r="BPP58" s="41"/>
      <c r="BPQ58" s="41"/>
      <c r="BPR58" s="41"/>
      <c r="BPS58" s="41"/>
      <c r="BPT58" s="41"/>
      <c r="BPU58" s="41"/>
      <c r="BPV58" s="41"/>
      <c r="BPW58" s="41"/>
      <c r="BPX58" s="41"/>
      <c r="BPY58" s="41"/>
      <c r="BPZ58" s="41"/>
      <c r="BQA58" s="41"/>
      <c r="BQB58" s="41"/>
      <c r="BQC58" s="41"/>
      <c r="BQD58" s="41"/>
      <c r="BQE58" s="41"/>
      <c r="BQF58" s="41"/>
      <c r="BQG58" s="41"/>
      <c r="BQH58" s="41"/>
      <c r="BQI58" s="41"/>
      <c r="BQJ58" s="41"/>
      <c r="BQK58" s="41"/>
      <c r="BQL58" s="41"/>
      <c r="BQM58" s="41"/>
      <c r="BQN58" s="41"/>
      <c r="BQO58" s="41"/>
      <c r="BQP58" s="41"/>
      <c r="BQQ58" s="41"/>
      <c r="BQR58" s="41"/>
      <c r="BQS58" s="41"/>
      <c r="BQT58" s="41"/>
      <c r="BQU58" s="41"/>
      <c r="BQV58" s="41"/>
      <c r="BQW58" s="41"/>
      <c r="BQX58" s="41"/>
      <c r="BQY58" s="41"/>
      <c r="BQZ58" s="41"/>
      <c r="BRA58" s="41"/>
      <c r="BRB58" s="41"/>
      <c r="BRC58" s="41"/>
      <c r="BRD58" s="41"/>
      <c r="BRE58" s="41"/>
      <c r="BRF58" s="41"/>
      <c r="BRG58" s="41"/>
      <c r="BRH58" s="41"/>
      <c r="BRI58" s="41"/>
      <c r="BRJ58" s="41"/>
      <c r="BRK58" s="41"/>
      <c r="BRL58" s="41"/>
      <c r="BRM58" s="41"/>
      <c r="BRN58" s="41"/>
      <c r="BRO58" s="41"/>
      <c r="BRP58" s="41"/>
      <c r="BRQ58" s="41"/>
      <c r="BRR58" s="41"/>
      <c r="BRS58" s="41"/>
      <c r="BRT58" s="41"/>
      <c r="BRU58" s="41"/>
      <c r="BRV58" s="41"/>
      <c r="BRW58" s="41"/>
      <c r="BRX58" s="41"/>
      <c r="BRY58" s="41"/>
      <c r="BRZ58" s="41"/>
      <c r="BSA58" s="41"/>
      <c r="BSB58" s="41"/>
      <c r="BSC58" s="41"/>
      <c r="BSD58" s="41"/>
      <c r="BSE58" s="41"/>
      <c r="BSF58" s="41"/>
      <c r="BSG58" s="41"/>
      <c r="BSH58" s="41"/>
      <c r="BSI58" s="41"/>
      <c r="BSJ58" s="41"/>
      <c r="BSK58" s="41"/>
      <c r="BSL58" s="41"/>
      <c r="BSM58" s="41"/>
      <c r="BSN58" s="41"/>
      <c r="BSO58" s="41"/>
      <c r="BSP58" s="41"/>
      <c r="BSQ58" s="41"/>
      <c r="BSR58" s="41"/>
      <c r="BSS58" s="41"/>
      <c r="BST58" s="41"/>
      <c r="BSU58" s="41"/>
      <c r="BSV58" s="41"/>
      <c r="BSW58" s="41"/>
      <c r="BSX58" s="41"/>
      <c r="BSY58" s="41"/>
      <c r="BSZ58" s="41"/>
      <c r="BTA58" s="41"/>
      <c r="BTB58" s="41"/>
      <c r="BTC58" s="41"/>
      <c r="BTD58" s="41"/>
      <c r="BTE58" s="41"/>
      <c r="BTF58" s="41"/>
      <c r="BTG58" s="41"/>
      <c r="BTH58" s="41"/>
      <c r="BTI58" s="41"/>
      <c r="BTJ58" s="41"/>
      <c r="BTK58" s="41"/>
      <c r="BTL58" s="41"/>
      <c r="BTM58" s="41"/>
      <c r="BTN58" s="41"/>
      <c r="BTO58" s="41"/>
      <c r="BTP58" s="41"/>
      <c r="BTQ58" s="41"/>
      <c r="BTR58" s="41"/>
      <c r="BTS58" s="41"/>
      <c r="BTT58" s="41"/>
      <c r="BTU58" s="41"/>
      <c r="BTV58" s="41"/>
      <c r="BTW58" s="41"/>
      <c r="BTX58" s="41"/>
      <c r="BTY58" s="41"/>
      <c r="BTZ58" s="41"/>
      <c r="BUA58" s="41"/>
      <c r="BUB58" s="41"/>
      <c r="BUC58" s="41"/>
      <c r="BUD58" s="41"/>
      <c r="BUE58" s="41"/>
      <c r="BUF58" s="41"/>
      <c r="BUG58" s="41"/>
      <c r="BUH58" s="41"/>
      <c r="BUI58" s="41"/>
      <c r="BUJ58" s="41"/>
      <c r="BUK58" s="41"/>
      <c r="BUL58" s="41"/>
      <c r="BUM58" s="41"/>
      <c r="BUN58" s="41"/>
      <c r="BUO58" s="41"/>
      <c r="BUP58" s="41"/>
      <c r="BUQ58" s="41"/>
      <c r="BUR58" s="41"/>
      <c r="BUS58" s="41"/>
      <c r="BUT58" s="41"/>
      <c r="BUU58" s="41"/>
      <c r="BUV58" s="41"/>
      <c r="BUW58" s="41"/>
      <c r="BUX58" s="41"/>
      <c r="BUY58" s="41"/>
      <c r="BUZ58" s="41"/>
      <c r="BVA58" s="41"/>
      <c r="BVB58" s="41"/>
      <c r="BVC58" s="41"/>
      <c r="BVD58" s="41"/>
      <c r="BVE58" s="41"/>
      <c r="BVF58" s="41"/>
      <c r="BVG58" s="41"/>
      <c r="BVH58" s="41"/>
      <c r="BVI58" s="41"/>
      <c r="BVJ58" s="41"/>
      <c r="BVK58" s="41"/>
      <c r="BVL58" s="41"/>
      <c r="BVM58" s="41"/>
      <c r="BVN58" s="41"/>
      <c r="BVO58" s="41"/>
      <c r="BVP58" s="41"/>
      <c r="BVQ58" s="41"/>
      <c r="BVR58" s="41"/>
      <c r="BVS58" s="41"/>
      <c r="BVT58" s="41"/>
      <c r="BVU58" s="41"/>
      <c r="BVV58" s="41"/>
      <c r="BVW58" s="41"/>
      <c r="BVX58" s="41"/>
      <c r="BVY58" s="41"/>
      <c r="BVZ58" s="41"/>
      <c r="BWA58" s="41"/>
      <c r="BWB58" s="41"/>
      <c r="BWC58" s="41"/>
      <c r="BWD58" s="41"/>
      <c r="BWE58" s="41"/>
      <c r="BWF58" s="41"/>
      <c r="BWG58" s="41"/>
      <c r="BWH58" s="41"/>
      <c r="BWI58" s="41"/>
      <c r="BWJ58" s="41"/>
      <c r="BWK58" s="41"/>
      <c r="BWL58" s="41"/>
      <c r="BWM58" s="41"/>
      <c r="BWN58" s="41"/>
      <c r="BWO58" s="41"/>
      <c r="BWP58" s="41"/>
      <c r="BWQ58" s="41"/>
      <c r="BWR58" s="41"/>
      <c r="BWS58" s="41"/>
      <c r="BWT58" s="41"/>
      <c r="BWU58" s="41"/>
      <c r="BWV58" s="41"/>
      <c r="BWW58" s="41"/>
      <c r="BWX58" s="41"/>
      <c r="BWY58" s="41"/>
      <c r="BWZ58" s="41"/>
      <c r="BXA58" s="41"/>
      <c r="BXB58" s="41"/>
      <c r="BXC58" s="41"/>
      <c r="BXD58" s="41"/>
      <c r="BXE58" s="41"/>
      <c r="BXF58" s="41"/>
      <c r="BXG58" s="41"/>
      <c r="BXH58" s="41"/>
      <c r="BXI58" s="41"/>
      <c r="BXJ58" s="41"/>
      <c r="BXK58" s="41"/>
      <c r="BXL58" s="41"/>
      <c r="BXM58" s="41"/>
      <c r="BXN58" s="41"/>
      <c r="BXO58" s="41"/>
      <c r="BXP58" s="41"/>
      <c r="BXQ58" s="41"/>
      <c r="BXR58" s="41"/>
      <c r="BXS58" s="41"/>
      <c r="BXT58" s="41"/>
      <c r="BXU58" s="41"/>
      <c r="BXV58" s="41"/>
      <c r="BXW58" s="41"/>
      <c r="BXX58" s="41"/>
      <c r="BXY58" s="41"/>
      <c r="BXZ58" s="41"/>
      <c r="BYA58" s="41"/>
      <c r="BYB58" s="41"/>
      <c r="BYC58" s="41"/>
      <c r="BYD58" s="41"/>
      <c r="BYE58" s="41"/>
      <c r="BYF58" s="41"/>
      <c r="BYG58" s="41"/>
      <c r="BYH58" s="41"/>
      <c r="BYI58" s="41"/>
      <c r="BYJ58" s="41"/>
      <c r="BYK58" s="41"/>
      <c r="BYL58" s="41"/>
      <c r="BYM58" s="41"/>
      <c r="BYN58" s="41"/>
      <c r="BYO58" s="41"/>
      <c r="BYP58" s="41"/>
      <c r="BYQ58" s="41"/>
      <c r="BYR58" s="41"/>
      <c r="BYS58" s="41"/>
      <c r="BYT58" s="41"/>
      <c r="BYU58" s="41"/>
      <c r="BYV58" s="41"/>
      <c r="BYW58" s="41"/>
      <c r="BYX58" s="41"/>
      <c r="BYY58" s="41"/>
      <c r="BYZ58" s="41"/>
      <c r="BZA58" s="41"/>
      <c r="BZB58" s="41"/>
      <c r="BZC58" s="41"/>
      <c r="BZD58" s="41"/>
      <c r="BZE58" s="41"/>
      <c r="BZF58" s="41"/>
      <c r="BZG58" s="41"/>
      <c r="BZH58" s="41"/>
      <c r="BZI58" s="41"/>
      <c r="BZJ58" s="41"/>
      <c r="BZK58" s="41"/>
      <c r="BZL58" s="41"/>
      <c r="BZM58" s="41"/>
      <c r="BZN58" s="41"/>
      <c r="BZO58" s="41"/>
      <c r="BZP58" s="41"/>
      <c r="BZQ58" s="41"/>
      <c r="BZR58" s="41"/>
      <c r="BZS58" s="41"/>
      <c r="BZT58" s="41"/>
      <c r="BZU58" s="41"/>
      <c r="BZV58" s="41"/>
      <c r="BZW58" s="41"/>
      <c r="BZX58" s="41"/>
      <c r="BZY58" s="41"/>
      <c r="BZZ58" s="41"/>
      <c r="CAA58" s="41"/>
      <c r="CAB58" s="41"/>
      <c r="CAC58" s="41"/>
      <c r="CAD58" s="41"/>
      <c r="CAE58" s="41"/>
      <c r="CAF58" s="41"/>
      <c r="CAG58" s="41"/>
      <c r="CAH58" s="41"/>
      <c r="CAI58" s="41"/>
      <c r="CAJ58" s="41"/>
      <c r="CAK58" s="41"/>
      <c r="CAL58" s="41"/>
      <c r="CAM58" s="41"/>
      <c r="CAN58" s="41"/>
      <c r="CAO58" s="41"/>
      <c r="CAP58" s="41"/>
      <c r="CAQ58" s="41"/>
      <c r="CAR58" s="41"/>
      <c r="CAS58" s="41"/>
      <c r="CAT58" s="41"/>
      <c r="CAU58" s="41"/>
      <c r="CAV58" s="41"/>
      <c r="CAW58" s="41"/>
      <c r="CAX58" s="41"/>
      <c r="CAY58" s="41"/>
      <c r="CAZ58" s="41"/>
      <c r="CBA58" s="41"/>
      <c r="CBB58" s="41"/>
      <c r="CBC58" s="41"/>
      <c r="CBD58" s="41"/>
      <c r="CBE58" s="41"/>
      <c r="CBF58" s="41"/>
      <c r="CBG58" s="41"/>
      <c r="CBH58" s="41"/>
      <c r="CBI58" s="41"/>
      <c r="CBJ58" s="41"/>
      <c r="CBK58" s="41"/>
      <c r="CBL58" s="41"/>
      <c r="CBM58" s="41"/>
      <c r="CBN58" s="41"/>
      <c r="CBO58" s="41"/>
      <c r="CBP58" s="41"/>
      <c r="CBQ58" s="41"/>
      <c r="CBR58" s="41"/>
      <c r="CBS58" s="41"/>
      <c r="CBT58" s="41"/>
      <c r="CBU58" s="41"/>
      <c r="CBV58" s="41"/>
      <c r="CBW58" s="41"/>
      <c r="CBX58" s="41"/>
      <c r="CBY58" s="41"/>
      <c r="CBZ58" s="41"/>
      <c r="CCA58" s="41"/>
      <c r="CCB58" s="41"/>
      <c r="CCC58" s="41"/>
      <c r="CCD58" s="41"/>
      <c r="CCE58" s="41"/>
      <c r="CCF58" s="41"/>
      <c r="CCG58" s="41"/>
      <c r="CCH58" s="41"/>
      <c r="CCI58" s="41"/>
      <c r="CCJ58" s="41"/>
      <c r="CCK58" s="41"/>
      <c r="CCL58" s="41"/>
      <c r="CCM58" s="41"/>
      <c r="CCN58" s="41"/>
      <c r="CCO58" s="41"/>
      <c r="CCP58" s="41"/>
      <c r="CCQ58" s="41"/>
      <c r="CCR58" s="41"/>
      <c r="CCS58" s="41"/>
      <c r="CCT58" s="41"/>
      <c r="CCU58" s="41"/>
      <c r="CCV58" s="41"/>
      <c r="CCW58" s="41"/>
      <c r="CCX58" s="41"/>
      <c r="CCY58" s="41"/>
      <c r="CCZ58" s="41"/>
      <c r="CDA58" s="41"/>
      <c r="CDB58" s="41"/>
      <c r="CDC58" s="41"/>
      <c r="CDD58" s="41"/>
      <c r="CDE58" s="41"/>
      <c r="CDF58" s="41"/>
      <c r="CDG58" s="41"/>
      <c r="CDH58" s="41"/>
      <c r="CDI58" s="41"/>
      <c r="CDJ58" s="41"/>
      <c r="CDK58" s="41"/>
      <c r="CDL58" s="41"/>
      <c r="CDM58" s="41"/>
      <c r="CDN58" s="41"/>
      <c r="CDO58" s="41"/>
      <c r="CDP58" s="41"/>
      <c r="CDQ58" s="41"/>
      <c r="CDR58" s="41"/>
      <c r="CDS58" s="41"/>
      <c r="CDT58" s="41"/>
      <c r="CDU58" s="41"/>
      <c r="CDV58" s="41"/>
      <c r="CDW58" s="41"/>
      <c r="CDX58" s="41"/>
      <c r="CDY58" s="41"/>
      <c r="CDZ58" s="41"/>
      <c r="CEA58" s="41"/>
      <c r="CEB58" s="41"/>
      <c r="CEC58" s="41"/>
      <c r="CED58" s="41"/>
      <c r="CEE58" s="41"/>
      <c r="CEF58" s="41"/>
      <c r="CEG58" s="41"/>
      <c r="CEH58" s="41"/>
      <c r="CEI58" s="41"/>
      <c r="CEJ58" s="41"/>
      <c r="CEK58" s="41"/>
      <c r="CEL58" s="41"/>
      <c r="CEM58" s="41"/>
      <c r="CEN58" s="41"/>
      <c r="CEO58" s="41"/>
      <c r="CEP58" s="41"/>
      <c r="CEQ58" s="41"/>
      <c r="CER58" s="41"/>
      <c r="CES58" s="41"/>
      <c r="CET58" s="41"/>
      <c r="CEU58" s="41"/>
      <c r="CEV58" s="41"/>
      <c r="CEW58" s="41"/>
      <c r="CEX58" s="41"/>
      <c r="CEY58" s="41"/>
      <c r="CEZ58" s="41"/>
      <c r="CFA58" s="41"/>
      <c r="CFB58" s="41"/>
      <c r="CFC58" s="41"/>
      <c r="CFD58" s="41"/>
      <c r="CFE58" s="41"/>
      <c r="CFF58" s="41"/>
      <c r="CFG58" s="41"/>
      <c r="CFH58" s="41"/>
      <c r="CFI58" s="41"/>
      <c r="CFJ58" s="41"/>
      <c r="CFK58" s="41"/>
      <c r="CFL58" s="41"/>
      <c r="CFM58" s="41"/>
      <c r="CFN58" s="41"/>
      <c r="CFO58" s="41"/>
      <c r="CFP58" s="41"/>
      <c r="CFQ58" s="41"/>
      <c r="CFR58" s="41"/>
      <c r="CFS58" s="41"/>
      <c r="CFT58" s="41"/>
      <c r="CFU58" s="41"/>
      <c r="CFV58" s="41"/>
      <c r="CFW58" s="41"/>
      <c r="CFX58" s="41"/>
      <c r="CFY58" s="41"/>
      <c r="CFZ58" s="41"/>
      <c r="CGA58" s="41"/>
      <c r="CGB58" s="41"/>
      <c r="CGC58" s="41"/>
      <c r="CGD58" s="41"/>
      <c r="CGE58" s="41"/>
      <c r="CGF58" s="41"/>
      <c r="CGG58" s="41"/>
      <c r="CGH58" s="41"/>
      <c r="CGI58" s="41"/>
      <c r="CGJ58" s="41"/>
      <c r="CGK58" s="41"/>
      <c r="CGL58" s="41"/>
      <c r="CGM58" s="41"/>
      <c r="CGN58" s="41"/>
      <c r="CGO58" s="41"/>
      <c r="CGP58" s="41"/>
      <c r="CGQ58" s="41"/>
      <c r="CGR58" s="41"/>
      <c r="CGS58" s="41"/>
      <c r="CGT58" s="41"/>
      <c r="CGU58" s="41"/>
      <c r="CGV58" s="41"/>
      <c r="CGW58" s="41"/>
      <c r="CGX58" s="41"/>
      <c r="CGY58" s="41"/>
      <c r="CGZ58" s="41"/>
      <c r="CHA58" s="41"/>
      <c r="CHB58" s="41"/>
      <c r="CHC58" s="41"/>
      <c r="CHD58" s="41"/>
      <c r="CHE58" s="41"/>
      <c r="CHF58" s="41"/>
      <c r="CHG58" s="41"/>
      <c r="CHH58" s="41"/>
      <c r="CHI58" s="41"/>
      <c r="CHJ58" s="41"/>
      <c r="CHK58" s="41"/>
      <c r="CHL58" s="41"/>
      <c r="CHM58" s="41"/>
      <c r="CHN58" s="41"/>
      <c r="CHO58" s="41"/>
      <c r="CHP58" s="41"/>
      <c r="CHQ58" s="41"/>
      <c r="CHR58" s="41"/>
      <c r="CHS58" s="41"/>
      <c r="CHT58" s="41"/>
      <c r="CHU58" s="41"/>
      <c r="CHV58" s="41"/>
      <c r="CHW58" s="41"/>
      <c r="CHX58" s="41"/>
      <c r="CHY58" s="41"/>
      <c r="CHZ58" s="41"/>
      <c r="CIA58" s="41"/>
      <c r="CIB58" s="41"/>
      <c r="CIC58" s="41"/>
      <c r="CID58" s="41"/>
      <c r="CIE58" s="41"/>
      <c r="CIF58" s="41"/>
      <c r="CIG58" s="41"/>
      <c r="CIH58" s="41"/>
      <c r="CII58" s="41"/>
      <c r="CIJ58" s="41"/>
      <c r="CIK58" s="41"/>
      <c r="CIL58" s="41"/>
      <c r="CIM58" s="41"/>
      <c r="CIN58" s="41"/>
      <c r="CIO58" s="41"/>
      <c r="CIP58" s="41"/>
      <c r="CIQ58" s="41"/>
      <c r="CIR58" s="41"/>
      <c r="CIS58" s="41"/>
      <c r="CIT58" s="41"/>
      <c r="CIU58" s="41"/>
      <c r="CIV58" s="41"/>
      <c r="CIW58" s="41"/>
      <c r="CIX58" s="41"/>
      <c r="CIY58" s="41"/>
      <c r="CIZ58" s="41"/>
      <c r="CJA58" s="41"/>
      <c r="CJB58" s="41"/>
      <c r="CJC58" s="41"/>
      <c r="CJD58" s="41"/>
      <c r="CJE58" s="41"/>
      <c r="CJF58" s="41"/>
      <c r="CJG58" s="41"/>
      <c r="CJH58" s="41"/>
      <c r="CJI58" s="41"/>
      <c r="CJJ58" s="41"/>
      <c r="CJK58" s="41"/>
      <c r="CJL58" s="41"/>
      <c r="CJM58" s="41"/>
      <c r="CJN58" s="41"/>
      <c r="CJO58" s="41"/>
      <c r="CJP58" s="41"/>
      <c r="CJQ58" s="41"/>
      <c r="CJR58" s="41"/>
      <c r="CJS58" s="41"/>
      <c r="CJT58" s="41"/>
      <c r="CJU58" s="41"/>
      <c r="CJV58" s="41"/>
      <c r="CJW58" s="41"/>
      <c r="CJX58" s="41"/>
      <c r="CJY58" s="41"/>
      <c r="CJZ58" s="41"/>
      <c r="CKA58" s="41"/>
      <c r="CKB58" s="41"/>
      <c r="CKC58" s="41"/>
      <c r="CKD58" s="41"/>
      <c r="CKE58" s="41"/>
      <c r="CKF58" s="41"/>
      <c r="CKG58" s="41"/>
      <c r="CKH58" s="41"/>
      <c r="CKI58" s="41"/>
      <c r="CKJ58" s="41"/>
      <c r="CKK58" s="41"/>
      <c r="CKL58" s="41"/>
      <c r="CKM58" s="41"/>
      <c r="CKN58" s="41"/>
      <c r="CKO58" s="41"/>
      <c r="CKP58" s="41"/>
      <c r="CKQ58" s="41"/>
      <c r="CKR58" s="41"/>
      <c r="CKS58" s="41"/>
      <c r="CKT58" s="41"/>
      <c r="CKU58" s="41"/>
      <c r="CKV58" s="41"/>
      <c r="CKW58" s="41"/>
      <c r="CKX58" s="41"/>
      <c r="CKY58" s="41"/>
      <c r="CKZ58" s="41"/>
      <c r="CLA58" s="41"/>
      <c r="CLB58" s="41"/>
      <c r="CLC58" s="41"/>
      <c r="CLD58" s="41"/>
      <c r="CLE58" s="41"/>
      <c r="CLF58" s="41"/>
      <c r="CLG58" s="41"/>
      <c r="CLH58" s="41"/>
      <c r="CLI58" s="41"/>
      <c r="CLJ58" s="41"/>
      <c r="CLK58" s="41"/>
      <c r="CLL58" s="41"/>
      <c r="CLM58" s="41"/>
      <c r="CLN58" s="41"/>
      <c r="CLO58" s="41"/>
      <c r="CLP58" s="41"/>
      <c r="CLQ58" s="41"/>
      <c r="CLR58" s="41"/>
      <c r="CLS58" s="41"/>
      <c r="CLT58" s="41"/>
      <c r="CLU58" s="41"/>
      <c r="CLV58" s="41"/>
      <c r="CLW58" s="41"/>
      <c r="CLX58" s="41"/>
      <c r="CLY58" s="41"/>
      <c r="CLZ58" s="41"/>
      <c r="CMA58" s="41"/>
      <c r="CMB58" s="41"/>
      <c r="CMC58" s="41"/>
      <c r="CMD58" s="41"/>
      <c r="CME58" s="41"/>
      <c r="CMF58" s="41"/>
      <c r="CMG58" s="41"/>
      <c r="CMH58" s="41"/>
      <c r="CMI58" s="41"/>
      <c r="CMJ58" s="41"/>
      <c r="CMK58" s="41"/>
      <c r="CML58" s="41"/>
      <c r="CMM58" s="41"/>
      <c r="CMN58" s="41"/>
      <c r="CMO58" s="41"/>
      <c r="CMP58" s="41"/>
      <c r="CMQ58" s="41"/>
      <c r="CMR58" s="41"/>
      <c r="CMS58" s="41"/>
      <c r="CMT58" s="41"/>
      <c r="CMU58" s="41"/>
      <c r="CMV58" s="41"/>
      <c r="CMW58" s="41"/>
      <c r="CMX58" s="41"/>
      <c r="CMY58" s="41"/>
      <c r="CMZ58" s="41"/>
      <c r="CNA58" s="41"/>
      <c r="CNB58" s="41"/>
      <c r="CNC58" s="41"/>
      <c r="CND58" s="41"/>
      <c r="CNE58" s="41"/>
      <c r="CNF58" s="41"/>
      <c r="CNG58" s="41"/>
      <c r="CNH58" s="41"/>
      <c r="CNI58" s="41"/>
      <c r="CNJ58" s="41"/>
      <c r="CNK58" s="41"/>
      <c r="CNL58" s="41"/>
      <c r="CNM58" s="41"/>
      <c r="CNN58" s="41"/>
      <c r="CNO58" s="41"/>
      <c r="CNP58" s="41"/>
      <c r="CNQ58" s="41"/>
      <c r="CNR58" s="41"/>
      <c r="CNS58" s="41"/>
      <c r="CNT58" s="41"/>
      <c r="CNU58" s="41"/>
      <c r="CNV58" s="41"/>
      <c r="CNW58" s="41"/>
      <c r="CNX58" s="41"/>
      <c r="CNY58" s="41"/>
      <c r="CNZ58" s="41"/>
      <c r="COA58" s="41"/>
      <c r="COB58" s="41"/>
      <c r="COC58" s="41"/>
      <c r="COD58" s="41"/>
      <c r="COE58" s="41"/>
      <c r="COF58" s="41"/>
      <c r="COG58" s="41"/>
      <c r="COH58" s="41"/>
      <c r="COI58" s="41"/>
      <c r="COJ58" s="41"/>
      <c r="COK58" s="41"/>
      <c r="COL58" s="41"/>
      <c r="COM58" s="41"/>
      <c r="CON58" s="41"/>
      <c r="COO58" s="41"/>
      <c r="COP58" s="41"/>
      <c r="COQ58" s="41"/>
      <c r="COR58" s="41"/>
      <c r="COS58" s="41"/>
      <c r="COT58" s="41"/>
      <c r="COU58" s="41"/>
      <c r="COV58" s="41"/>
      <c r="COW58" s="41"/>
      <c r="COX58" s="41"/>
      <c r="COY58" s="41"/>
      <c r="COZ58" s="41"/>
      <c r="CPA58" s="41"/>
      <c r="CPB58" s="41"/>
      <c r="CPC58" s="41"/>
      <c r="CPD58" s="41"/>
      <c r="CPE58" s="41"/>
      <c r="CPF58" s="41"/>
      <c r="CPG58" s="41"/>
      <c r="CPH58" s="41"/>
      <c r="CPI58" s="41"/>
      <c r="CPJ58" s="41"/>
      <c r="CPK58" s="41"/>
      <c r="CPL58" s="41"/>
      <c r="CPM58" s="41"/>
      <c r="CPN58" s="41"/>
      <c r="CPO58" s="41"/>
      <c r="CPP58" s="41"/>
      <c r="CPQ58" s="41"/>
      <c r="CPR58" s="41"/>
      <c r="CPS58" s="41"/>
      <c r="CPT58" s="41"/>
      <c r="CPU58" s="41"/>
      <c r="CPV58" s="41"/>
      <c r="CPW58" s="41"/>
      <c r="CPX58" s="41"/>
      <c r="CPY58" s="41"/>
      <c r="CPZ58" s="41"/>
      <c r="CQA58" s="41"/>
      <c r="CQB58" s="41"/>
      <c r="CQC58" s="41"/>
      <c r="CQD58" s="41"/>
      <c r="CQE58" s="41"/>
      <c r="CQF58" s="41"/>
      <c r="CQG58" s="41"/>
      <c r="CQH58" s="41"/>
      <c r="CQI58" s="41"/>
      <c r="CQJ58" s="41"/>
      <c r="CQK58" s="41"/>
      <c r="CQL58" s="41"/>
      <c r="CQM58" s="41"/>
      <c r="CQN58" s="41"/>
      <c r="CQO58" s="41"/>
      <c r="CQP58" s="41"/>
      <c r="CQQ58" s="41"/>
      <c r="CQR58" s="41"/>
      <c r="CQS58" s="41"/>
      <c r="CQT58" s="41"/>
      <c r="CQU58" s="41"/>
      <c r="CQV58" s="41"/>
      <c r="CQW58" s="41"/>
      <c r="CQX58" s="41"/>
      <c r="CQY58" s="41"/>
      <c r="CQZ58" s="41"/>
      <c r="CRA58" s="41"/>
      <c r="CRB58" s="41"/>
      <c r="CRC58" s="41"/>
      <c r="CRD58" s="41"/>
      <c r="CRE58" s="41"/>
      <c r="CRF58" s="41"/>
      <c r="CRG58" s="41"/>
      <c r="CRH58" s="41"/>
      <c r="CRI58" s="41"/>
      <c r="CRJ58" s="41"/>
      <c r="CRK58" s="41"/>
      <c r="CRL58" s="41"/>
      <c r="CRM58" s="41"/>
      <c r="CRN58" s="41"/>
      <c r="CRO58" s="41"/>
      <c r="CRP58" s="41"/>
      <c r="CRQ58" s="41"/>
      <c r="CRR58" s="41"/>
      <c r="CRS58" s="41"/>
      <c r="CRT58" s="41"/>
      <c r="CRU58" s="41"/>
      <c r="CRV58" s="41"/>
      <c r="CRW58" s="41"/>
      <c r="CRX58" s="41"/>
      <c r="CRY58" s="41"/>
      <c r="CRZ58" s="41"/>
      <c r="CSA58" s="41"/>
      <c r="CSB58" s="41"/>
      <c r="CSC58" s="41"/>
      <c r="CSD58" s="41"/>
      <c r="CSE58" s="41"/>
      <c r="CSF58" s="41"/>
      <c r="CSG58" s="41"/>
      <c r="CSH58" s="41"/>
      <c r="CSI58" s="41"/>
      <c r="CSJ58" s="41"/>
      <c r="CSK58" s="41"/>
      <c r="CSL58" s="41"/>
      <c r="CSM58" s="41"/>
      <c r="CSN58" s="41"/>
      <c r="CSO58" s="41"/>
      <c r="CSP58" s="41"/>
      <c r="CSQ58" s="41"/>
      <c r="CSR58" s="41"/>
      <c r="CSS58" s="41"/>
      <c r="CST58" s="41"/>
      <c r="CSU58" s="41"/>
      <c r="CSV58" s="41"/>
      <c r="CSW58" s="41"/>
      <c r="CSX58" s="41"/>
      <c r="CSY58" s="41"/>
      <c r="CSZ58" s="41"/>
      <c r="CTA58" s="41"/>
      <c r="CTB58" s="41"/>
      <c r="CTC58" s="41"/>
      <c r="CTD58" s="41"/>
      <c r="CTE58" s="41"/>
      <c r="CTF58" s="41"/>
      <c r="CTG58" s="41"/>
      <c r="CTH58" s="41"/>
      <c r="CTI58" s="41"/>
      <c r="CTJ58" s="41"/>
      <c r="CTK58" s="41"/>
      <c r="CTL58" s="41"/>
      <c r="CTM58" s="41"/>
      <c r="CTN58" s="41"/>
      <c r="CTO58" s="41"/>
      <c r="CTP58" s="41"/>
      <c r="CTQ58" s="41"/>
      <c r="CTR58" s="41"/>
      <c r="CTS58" s="41"/>
      <c r="CTT58" s="41"/>
      <c r="CTU58" s="41"/>
      <c r="CTV58" s="41"/>
      <c r="CTW58" s="41"/>
      <c r="CTX58" s="41"/>
      <c r="CTY58" s="41"/>
      <c r="CTZ58" s="41"/>
      <c r="CUA58" s="41"/>
      <c r="CUB58" s="41"/>
      <c r="CUC58" s="41"/>
      <c r="CUD58" s="41"/>
      <c r="CUE58" s="41"/>
      <c r="CUF58" s="41"/>
      <c r="CUG58" s="41"/>
      <c r="CUH58" s="41"/>
      <c r="CUI58" s="41"/>
      <c r="CUJ58" s="41"/>
      <c r="CUK58" s="41"/>
      <c r="CUL58" s="41"/>
      <c r="CUM58" s="41"/>
      <c r="CUN58" s="41"/>
      <c r="CUO58" s="41"/>
      <c r="CUP58" s="41"/>
      <c r="CUQ58" s="41"/>
      <c r="CUR58" s="41"/>
      <c r="CUS58" s="41"/>
      <c r="CUT58" s="41"/>
      <c r="CUU58" s="41"/>
      <c r="CUV58" s="41"/>
      <c r="CUW58" s="41"/>
      <c r="CUX58" s="41"/>
      <c r="CUY58" s="41"/>
      <c r="CUZ58" s="41"/>
      <c r="CVA58" s="41"/>
      <c r="CVB58" s="41"/>
      <c r="CVC58" s="41"/>
      <c r="CVD58" s="41"/>
      <c r="CVE58" s="41"/>
      <c r="CVF58" s="41"/>
      <c r="CVG58" s="41"/>
      <c r="CVH58" s="41"/>
      <c r="CVI58" s="41"/>
      <c r="CVJ58" s="41"/>
      <c r="CVK58" s="41"/>
      <c r="CVL58" s="41"/>
      <c r="CVM58" s="41"/>
      <c r="CVN58" s="41"/>
      <c r="CVO58" s="41"/>
      <c r="CVP58" s="41"/>
      <c r="CVQ58" s="41"/>
      <c r="CVR58" s="41"/>
      <c r="CVS58" s="41"/>
      <c r="CVT58" s="41"/>
      <c r="CVU58" s="41"/>
      <c r="CVV58" s="41"/>
      <c r="CVW58" s="41"/>
      <c r="CVX58" s="41"/>
      <c r="CVY58" s="41"/>
      <c r="CVZ58" s="41"/>
      <c r="CWA58" s="41"/>
      <c r="CWB58" s="41"/>
      <c r="CWC58" s="41"/>
      <c r="CWD58" s="41"/>
      <c r="CWE58" s="41"/>
      <c r="CWF58" s="41"/>
      <c r="CWG58" s="41"/>
      <c r="CWH58" s="41"/>
      <c r="CWI58" s="41"/>
      <c r="CWJ58" s="41"/>
      <c r="CWK58" s="41"/>
      <c r="CWL58" s="41"/>
      <c r="CWM58" s="41"/>
      <c r="CWN58" s="41"/>
      <c r="CWO58" s="41"/>
      <c r="CWP58" s="41"/>
      <c r="CWQ58" s="41"/>
      <c r="CWR58" s="41"/>
      <c r="CWS58" s="41"/>
      <c r="CWT58" s="41"/>
      <c r="CWU58" s="41"/>
      <c r="CWV58" s="41"/>
      <c r="CWW58" s="41"/>
      <c r="CWX58" s="41"/>
      <c r="CWY58" s="41"/>
      <c r="CWZ58" s="41"/>
      <c r="CXA58" s="41"/>
      <c r="CXB58" s="41"/>
      <c r="CXC58" s="41"/>
      <c r="CXD58" s="41"/>
      <c r="CXE58" s="41"/>
      <c r="CXF58" s="41"/>
      <c r="CXG58" s="41"/>
      <c r="CXH58" s="41"/>
      <c r="CXI58" s="41"/>
      <c r="CXJ58" s="41"/>
      <c r="CXK58" s="41"/>
      <c r="CXL58" s="41"/>
      <c r="CXM58" s="41"/>
      <c r="CXN58" s="41"/>
      <c r="CXO58" s="41"/>
      <c r="CXP58" s="41"/>
      <c r="CXQ58" s="41"/>
      <c r="CXR58" s="41"/>
      <c r="CXS58" s="41"/>
      <c r="CXT58" s="41"/>
      <c r="CXU58" s="41"/>
      <c r="CXV58" s="41"/>
      <c r="CXW58" s="41"/>
      <c r="CXX58" s="41"/>
      <c r="CXY58" s="41"/>
      <c r="CXZ58" s="41"/>
      <c r="CYA58" s="41"/>
      <c r="CYB58" s="41"/>
      <c r="CYC58" s="41"/>
      <c r="CYD58" s="41"/>
      <c r="CYE58" s="41"/>
      <c r="CYF58" s="41"/>
      <c r="CYG58" s="41"/>
      <c r="CYH58" s="41"/>
      <c r="CYI58" s="41"/>
      <c r="CYJ58" s="41"/>
      <c r="CYK58" s="41"/>
      <c r="CYL58" s="41"/>
      <c r="CYM58" s="41"/>
      <c r="CYN58" s="41"/>
      <c r="CYO58" s="41"/>
      <c r="CYP58" s="41"/>
      <c r="CYQ58" s="41"/>
      <c r="CYR58" s="41"/>
      <c r="CYS58" s="41"/>
      <c r="CYT58" s="41"/>
      <c r="CYU58" s="41"/>
      <c r="CYV58" s="41"/>
      <c r="CYW58" s="41"/>
      <c r="CYX58" s="41"/>
      <c r="CYY58" s="41"/>
      <c r="CYZ58" s="41"/>
      <c r="CZA58" s="41"/>
      <c r="CZB58" s="41"/>
      <c r="CZC58" s="41"/>
      <c r="CZD58" s="41"/>
      <c r="CZE58" s="41"/>
      <c r="CZF58" s="41"/>
      <c r="CZG58" s="41"/>
      <c r="CZH58" s="41"/>
      <c r="CZI58" s="41"/>
      <c r="CZJ58" s="41"/>
      <c r="CZK58" s="41"/>
      <c r="CZL58" s="41"/>
      <c r="CZM58" s="41"/>
      <c r="CZN58" s="41"/>
      <c r="CZO58" s="41"/>
      <c r="CZP58" s="41"/>
      <c r="CZQ58" s="41"/>
      <c r="CZR58" s="41"/>
      <c r="CZS58" s="41"/>
      <c r="CZT58" s="41"/>
      <c r="CZU58" s="41"/>
      <c r="CZV58" s="41"/>
      <c r="CZW58" s="41"/>
      <c r="CZX58" s="41"/>
      <c r="CZY58" s="41"/>
      <c r="CZZ58" s="41"/>
      <c r="DAA58" s="41"/>
      <c r="DAB58" s="41"/>
      <c r="DAC58" s="41"/>
      <c r="DAD58" s="41"/>
      <c r="DAE58" s="41"/>
      <c r="DAF58" s="41"/>
      <c r="DAG58" s="41"/>
      <c r="DAH58" s="41"/>
      <c r="DAI58" s="41"/>
      <c r="DAJ58" s="41"/>
      <c r="DAK58" s="41"/>
      <c r="DAL58" s="41"/>
      <c r="DAM58" s="41"/>
      <c r="DAN58" s="41"/>
      <c r="DAO58" s="41"/>
      <c r="DAP58" s="41"/>
      <c r="DAQ58" s="41"/>
      <c r="DAR58" s="41"/>
      <c r="DAS58" s="41"/>
      <c r="DAT58" s="41"/>
      <c r="DAU58" s="41"/>
      <c r="DAV58" s="41"/>
      <c r="DAW58" s="41"/>
      <c r="DAX58" s="41"/>
      <c r="DAY58" s="41"/>
      <c r="DAZ58" s="41"/>
      <c r="DBA58" s="41"/>
      <c r="DBB58" s="41"/>
      <c r="DBC58" s="41"/>
      <c r="DBD58" s="41"/>
      <c r="DBE58" s="41"/>
      <c r="DBF58" s="41"/>
      <c r="DBG58" s="41"/>
      <c r="DBH58" s="41"/>
      <c r="DBI58" s="41"/>
      <c r="DBJ58" s="41"/>
      <c r="DBK58" s="41"/>
      <c r="DBL58" s="41"/>
      <c r="DBM58" s="41"/>
      <c r="DBN58" s="41"/>
      <c r="DBO58" s="41"/>
      <c r="DBP58" s="41"/>
      <c r="DBQ58" s="41"/>
      <c r="DBR58" s="41"/>
      <c r="DBS58" s="41"/>
      <c r="DBT58" s="41"/>
      <c r="DBU58" s="41"/>
      <c r="DBV58" s="41"/>
      <c r="DBW58" s="41"/>
      <c r="DBX58" s="41"/>
      <c r="DBY58" s="41"/>
      <c r="DBZ58" s="41"/>
      <c r="DCA58" s="41"/>
      <c r="DCB58" s="41"/>
      <c r="DCC58" s="41"/>
      <c r="DCD58" s="41"/>
      <c r="DCE58" s="41"/>
      <c r="DCF58" s="41"/>
      <c r="DCG58" s="41"/>
      <c r="DCH58" s="41"/>
      <c r="DCI58" s="41"/>
      <c r="DCJ58" s="41"/>
      <c r="DCK58" s="41"/>
      <c r="DCL58" s="41"/>
      <c r="DCM58" s="41"/>
      <c r="DCN58" s="41"/>
      <c r="DCO58" s="41"/>
      <c r="DCP58" s="41"/>
      <c r="DCQ58" s="41"/>
      <c r="DCR58" s="41"/>
      <c r="DCS58" s="41"/>
      <c r="DCT58" s="41"/>
      <c r="DCU58" s="41"/>
      <c r="DCV58" s="41"/>
      <c r="DCW58" s="41"/>
      <c r="DCX58" s="41"/>
      <c r="DCY58" s="41"/>
      <c r="DCZ58" s="41"/>
      <c r="DDA58" s="41"/>
      <c r="DDB58" s="41"/>
      <c r="DDC58" s="41"/>
      <c r="DDD58" s="41"/>
      <c r="DDE58" s="41"/>
      <c r="DDF58" s="41"/>
      <c r="DDG58" s="41"/>
      <c r="DDH58" s="41"/>
      <c r="DDI58" s="41"/>
      <c r="DDJ58" s="41"/>
      <c r="DDK58" s="41"/>
      <c r="DDL58" s="41"/>
      <c r="DDM58" s="41"/>
      <c r="DDN58" s="41"/>
      <c r="DDO58" s="41"/>
      <c r="DDP58" s="41"/>
      <c r="DDQ58" s="41"/>
      <c r="DDR58" s="41"/>
      <c r="DDS58" s="41"/>
      <c r="DDT58" s="41"/>
      <c r="DDU58" s="41"/>
      <c r="DDV58" s="41"/>
      <c r="DDW58" s="41"/>
      <c r="DDX58" s="41"/>
      <c r="DDY58" s="41"/>
      <c r="DDZ58" s="41"/>
      <c r="DEA58" s="41"/>
      <c r="DEB58" s="41"/>
      <c r="DEC58" s="41"/>
      <c r="DED58" s="41"/>
      <c r="DEE58" s="41"/>
      <c r="DEF58" s="41"/>
      <c r="DEG58" s="41"/>
      <c r="DEH58" s="41"/>
      <c r="DEI58" s="41"/>
      <c r="DEJ58" s="41"/>
      <c r="DEK58" s="41"/>
      <c r="DEL58" s="41"/>
      <c r="DEM58" s="41"/>
      <c r="DEN58" s="41"/>
      <c r="DEO58" s="41"/>
      <c r="DEP58" s="41"/>
      <c r="DEQ58" s="41"/>
      <c r="DER58" s="41"/>
      <c r="DES58" s="41"/>
      <c r="DET58" s="41"/>
      <c r="DEU58" s="41"/>
      <c r="DEV58" s="41"/>
      <c r="DEW58" s="41"/>
      <c r="DEX58" s="41"/>
      <c r="DEY58" s="41"/>
      <c r="DEZ58" s="41"/>
      <c r="DFA58" s="41"/>
      <c r="DFB58" s="41"/>
      <c r="DFC58" s="41"/>
      <c r="DFD58" s="41"/>
      <c r="DFE58" s="41"/>
      <c r="DFF58" s="41"/>
      <c r="DFG58" s="41"/>
      <c r="DFH58" s="41"/>
      <c r="DFI58" s="41"/>
      <c r="DFJ58" s="41"/>
      <c r="DFK58" s="41"/>
      <c r="DFL58" s="41"/>
      <c r="DFM58" s="41"/>
      <c r="DFN58" s="41"/>
      <c r="DFO58" s="41"/>
      <c r="DFP58" s="41"/>
      <c r="DFQ58" s="41"/>
      <c r="DFR58" s="41"/>
      <c r="DFS58" s="41"/>
      <c r="DFT58" s="41"/>
      <c r="DFU58" s="41"/>
      <c r="DFV58" s="41"/>
      <c r="DFW58" s="41"/>
      <c r="DFX58" s="41"/>
      <c r="DFY58" s="41"/>
      <c r="DFZ58" s="41"/>
      <c r="DGA58" s="41"/>
      <c r="DGB58" s="41"/>
      <c r="DGC58" s="41"/>
      <c r="DGD58" s="41"/>
      <c r="DGE58" s="41"/>
      <c r="DGF58" s="41"/>
      <c r="DGG58" s="41"/>
      <c r="DGH58" s="41"/>
      <c r="DGI58" s="41"/>
      <c r="DGJ58" s="41"/>
      <c r="DGK58" s="41"/>
      <c r="DGL58" s="41"/>
      <c r="DGM58" s="41"/>
      <c r="DGN58" s="41"/>
      <c r="DGO58" s="41"/>
      <c r="DGP58" s="41"/>
      <c r="DGQ58" s="41"/>
      <c r="DGR58" s="41"/>
      <c r="DGS58" s="41"/>
      <c r="DGT58" s="41"/>
      <c r="DGU58" s="41"/>
      <c r="DGV58" s="41"/>
      <c r="DGW58" s="41"/>
      <c r="DGX58" s="41"/>
      <c r="DGY58" s="41"/>
      <c r="DGZ58" s="41"/>
      <c r="DHA58" s="41"/>
      <c r="DHB58" s="41"/>
      <c r="DHC58" s="41"/>
      <c r="DHD58" s="41"/>
      <c r="DHE58" s="41"/>
      <c r="DHF58" s="41"/>
      <c r="DHG58" s="41"/>
      <c r="DHH58" s="41"/>
      <c r="DHI58" s="41"/>
      <c r="DHJ58" s="41"/>
      <c r="DHK58" s="41"/>
      <c r="DHL58" s="41"/>
      <c r="DHM58" s="41"/>
      <c r="DHN58" s="41"/>
      <c r="DHO58" s="41"/>
      <c r="DHP58" s="41"/>
      <c r="DHQ58" s="41"/>
      <c r="DHR58" s="41"/>
      <c r="DHS58" s="41"/>
      <c r="DHT58" s="41"/>
      <c r="DHU58" s="41"/>
      <c r="DHV58" s="41"/>
      <c r="DHW58" s="41"/>
      <c r="DHX58" s="41"/>
      <c r="DHY58" s="41"/>
      <c r="DHZ58" s="41"/>
      <c r="DIA58" s="41"/>
      <c r="DIB58" s="41"/>
      <c r="DIC58" s="41"/>
      <c r="DID58" s="41"/>
      <c r="DIE58" s="41"/>
      <c r="DIF58" s="41"/>
      <c r="DIG58" s="41"/>
      <c r="DIH58" s="41"/>
      <c r="DII58" s="41"/>
      <c r="DIJ58" s="41"/>
      <c r="DIK58" s="41"/>
      <c r="DIL58" s="41"/>
      <c r="DIM58" s="41"/>
      <c r="DIN58" s="41"/>
      <c r="DIO58" s="41"/>
      <c r="DIP58" s="41"/>
      <c r="DIQ58" s="41"/>
      <c r="DIR58" s="41"/>
      <c r="DIS58" s="41"/>
      <c r="DIT58" s="41"/>
      <c r="DIU58" s="41"/>
      <c r="DIV58" s="41"/>
      <c r="DIW58" s="41"/>
      <c r="DIX58" s="41"/>
      <c r="DIY58" s="41"/>
      <c r="DIZ58" s="41"/>
      <c r="DJA58" s="41"/>
      <c r="DJB58" s="41"/>
      <c r="DJC58" s="41"/>
      <c r="DJD58" s="41"/>
      <c r="DJE58" s="41"/>
      <c r="DJF58" s="41"/>
      <c r="DJG58" s="41"/>
      <c r="DJH58" s="41"/>
      <c r="DJI58" s="41"/>
      <c r="DJJ58" s="41"/>
      <c r="DJK58" s="41"/>
      <c r="DJL58" s="41"/>
      <c r="DJM58" s="41"/>
      <c r="DJN58" s="41"/>
      <c r="DJO58" s="41"/>
      <c r="DJP58" s="41"/>
      <c r="DJQ58" s="41"/>
      <c r="DJR58" s="41"/>
      <c r="DJS58" s="41"/>
      <c r="DJT58" s="41"/>
      <c r="DJU58" s="41"/>
      <c r="DJV58" s="41"/>
      <c r="DJW58" s="41"/>
      <c r="DJX58" s="41"/>
      <c r="DJY58" s="41"/>
      <c r="DJZ58" s="41"/>
      <c r="DKA58" s="41"/>
      <c r="DKB58" s="41"/>
      <c r="DKC58" s="41"/>
      <c r="DKD58" s="41"/>
      <c r="DKE58" s="41"/>
      <c r="DKF58" s="41"/>
      <c r="DKG58" s="41"/>
      <c r="DKH58" s="41"/>
      <c r="DKI58" s="41"/>
      <c r="DKJ58" s="41"/>
      <c r="DKK58" s="41"/>
      <c r="DKL58" s="41"/>
      <c r="DKM58" s="41"/>
      <c r="DKN58" s="41"/>
      <c r="DKO58" s="41"/>
      <c r="DKP58" s="41"/>
      <c r="DKQ58" s="41"/>
      <c r="DKR58" s="41"/>
      <c r="DKS58" s="41"/>
      <c r="DKT58" s="41"/>
      <c r="DKU58" s="41"/>
      <c r="DKV58" s="41"/>
      <c r="DKW58" s="41"/>
      <c r="DKX58" s="41"/>
      <c r="DKY58" s="41"/>
      <c r="DKZ58" s="41"/>
      <c r="DLA58" s="41"/>
      <c r="DLB58" s="41"/>
      <c r="DLC58" s="41"/>
      <c r="DLD58" s="41"/>
      <c r="DLE58" s="41"/>
      <c r="DLF58" s="41"/>
      <c r="DLG58" s="41"/>
      <c r="DLH58" s="41"/>
      <c r="DLI58" s="41"/>
      <c r="DLJ58" s="41"/>
      <c r="DLK58" s="41"/>
      <c r="DLL58" s="41"/>
      <c r="DLM58" s="41"/>
      <c r="DLN58" s="41"/>
      <c r="DLO58" s="41"/>
      <c r="DLP58" s="41"/>
      <c r="DLQ58" s="41"/>
      <c r="DLR58" s="41"/>
      <c r="DLS58" s="41"/>
      <c r="DLT58" s="41"/>
      <c r="DLU58" s="41"/>
      <c r="DLV58" s="41"/>
      <c r="DLW58" s="41"/>
      <c r="DLX58" s="41"/>
      <c r="DLY58" s="41"/>
      <c r="DLZ58" s="41"/>
      <c r="DMA58" s="41"/>
      <c r="DMB58" s="41"/>
      <c r="DMC58" s="41"/>
      <c r="DMD58" s="41"/>
      <c r="DME58" s="41"/>
      <c r="DMF58" s="41"/>
      <c r="DMG58" s="41"/>
      <c r="DMH58" s="41"/>
      <c r="DMI58" s="41"/>
      <c r="DMJ58" s="41"/>
      <c r="DMK58" s="41"/>
      <c r="DML58" s="41"/>
      <c r="DMM58" s="41"/>
      <c r="DMN58" s="41"/>
      <c r="DMO58" s="41"/>
      <c r="DMP58" s="41"/>
      <c r="DMQ58" s="41"/>
      <c r="DMR58" s="41"/>
      <c r="DMS58" s="41"/>
      <c r="DMT58" s="41"/>
      <c r="DMU58" s="41"/>
      <c r="DMV58" s="41"/>
      <c r="DMW58" s="41"/>
      <c r="DMX58" s="41"/>
      <c r="DMY58" s="41"/>
      <c r="DMZ58" s="41"/>
      <c r="DNA58" s="41"/>
      <c r="DNB58" s="41"/>
      <c r="DNC58" s="41"/>
      <c r="DND58" s="41"/>
      <c r="DNE58" s="41"/>
      <c r="DNF58" s="41"/>
      <c r="DNG58" s="41"/>
      <c r="DNH58" s="41"/>
      <c r="DNI58" s="41"/>
      <c r="DNJ58" s="41"/>
      <c r="DNK58" s="41"/>
      <c r="DNL58" s="41"/>
      <c r="DNM58" s="41"/>
      <c r="DNN58" s="41"/>
      <c r="DNO58" s="41"/>
      <c r="DNP58" s="41"/>
      <c r="DNQ58" s="41"/>
      <c r="DNR58" s="41"/>
      <c r="DNS58" s="41"/>
      <c r="DNT58" s="41"/>
      <c r="DNU58" s="41"/>
      <c r="DNV58" s="41"/>
      <c r="DNW58" s="41"/>
      <c r="DNX58" s="41"/>
      <c r="DNY58" s="41"/>
      <c r="DNZ58" s="41"/>
      <c r="DOA58" s="41"/>
      <c r="DOB58" s="41"/>
      <c r="DOC58" s="41"/>
      <c r="DOD58" s="41"/>
      <c r="DOE58" s="41"/>
      <c r="DOF58" s="41"/>
      <c r="DOG58" s="41"/>
      <c r="DOH58" s="41"/>
      <c r="DOI58" s="41"/>
      <c r="DOJ58" s="41"/>
      <c r="DOK58" s="41"/>
      <c r="DOL58" s="41"/>
      <c r="DOM58" s="41"/>
      <c r="DON58" s="41"/>
      <c r="DOO58" s="41"/>
      <c r="DOP58" s="41"/>
      <c r="DOQ58" s="41"/>
      <c r="DOR58" s="41"/>
      <c r="DOS58" s="41"/>
      <c r="DOT58" s="41"/>
      <c r="DOU58" s="41"/>
      <c r="DOV58" s="41"/>
      <c r="DOW58" s="41"/>
      <c r="DOX58" s="41"/>
      <c r="DOY58" s="41"/>
      <c r="DOZ58" s="41"/>
      <c r="DPA58" s="41"/>
      <c r="DPB58" s="41"/>
      <c r="DPC58" s="41"/>
      <c r="DPD58" s="41"/>
      <c r="DPE58" s="41"/>
      <c r="DPF58" s="41"/>
      <c r="DPG58" s="41"/>
      <c r="DPH58" s="41"/>
      <c r="DPI58" s="41"/>
      <c r="DPJ58" s="41"/>
      <c r="DPK58" s="41"/>
      <c r="DPL58" s="41"/>
      <c r="DPM58" s="41"/>
      <c r="DPN58" s="41"/>
      <c r="DPO58" s="41"/>
      <c r="DPP58" s="41"/>
      <c r="DPQ58" s="41"/>
      <c r="DPR58" s="41"/>
      <c r="DPS58" s="41"/>
      <c r="DPT58" s="41"/>
      <c r="DPU58" s="41"/>
      <c r="DPV58" s="41"/>
      <c r="DPW58" s="41"/>
      <c r="DPX58" s="41"/>
      <c r="DPY58" s="41"/>
      <c r="DPZ58" s="41"/>
      <c r="DQA58" s="41"/>
      <c r="DQB58" s="41"/>
      <c r="DQC58" s="41"/>
      <c r="DQD58" s="41"/>
      <c r="DQE58" s="41"/>
      <c r="DQF58" s="41"/>
      <c r="DQG58" s="41"/>
      <c r="DQH58" s="41"/>
      <c r="DQI58" s="41"/>
      <c r="DQJ58" s="41"/>
      <c r="DQK58" s="41"/>
      <c r="DQL58" s="41"/>
      <c r="DQM58" s="41"/>
      <c r="DQN58" s="41"/>
      <c r="DQO58" s="41"/>
      <c r="DQP58" s="41"/>
      <c r="DQQ58" s="41"/>
      <c r="DQR58" s="41"/>
      <c r="DQS58" s="41"/>
      <c r="DQT58" s="41"/>
      <c r="DQU58" s="41"/>
      <c r="DQV58" s="41"/>
      <c r="DQW58" s="41"/>
      <c r="DQX58" s="41"/>
      <c r="DQY58" s="41"/>
      <c r="DQZ58" s="41"/>
      <c r="DRA58" s="41"/>
      <c r="DRB58" s="41"/>
      <c r="DRC58" s="41"/>
      <c r="DRD58" s="41"/>
      <c r="DRE58" s="41"/>
      <c r="DRF58" s="41"/>
      <c r="DRG58" s="41"/>
      <c r="DRH58" s="41"/>
      <c r="DRI58" s="41"/>
      <c r="DRJ58" s="41"/>
      <c r="DRK58" s="41"/>
      <c r="DRL58" s="41"/>
      <c r="DRM58" s="41"/>
      <c r="DRN58" s="41"/>
      <c r="DRO58" s="41"/>
      <c r="DRP58" s="41"/>
      <c r="DRQ58" s="41"/>
      <c r="DRR58" s="41"/>
      <c r="DRS58" s="41"/>
      <c r="DRT58" s="41"/>
      <c r="DRU58" s="41"/>
      <c r="DRV58" s="41"/>
      <c r="DRW58" s="41"/>
      <c r="DRX58" s="41"/>
      <c r="DRY58" s="41"/>
      <c r="DRZ58" s="41"/>
      <c r="DSA58" s="41"/>
      <c r="DSB58" s="41"/>
      <c r="DSC58" s="41"/>
      <c r="DSD58" s="41"/>
      <c r="DSE58" s="41"/>
      <c r="DSF58" s="41"/>
      <c r="DSG58" s="41"/>
      <c r="DSH58" s="41"/>
      <c r="DSI58" s="41"/>
      <c r="DSJ58" s="41"/>
      <c r="DSK58" s="41"/>
      <c r="DSL58" s="41"/>
      <c r="DSM58" s="41"/>
      <c r="DSN58" s="41"/>
      <c r="DSO58" s="41"/>
      <c r="DSP58" s="41"/>
      <c r="DSQ58" s="41"/>
      <c r="DSR58" s="41"/>
      <c r="DSS58" s="41"/>
      <c r="DST58" s="41"/>
      <c r="DSU58" s="41"/>
      <c r="DSV58" s="41"/>
      <c r="DSW58" s="41"/>
      <c r="DSX58" s="41"/>
      <c r="DSY58" s="41"/>
      <c r="DSZ58" s="41"/>
      <c r="DTA58" s="41"/>
      <c r="DTB58" s="41"/>
      <c r="DTC58" s="41"/>
      <c r="DTD58" s="41"/>
      <c r="DTE58" s="41"/>
      <c r="DTF58" s="41"/>
      <c r="DTG58" s="41"/>
      <c r="DTH58" s="41"/>
      <c r="DTI58" s="41"/>
      <c r="DTJ58" s="41"/>
      <c r="DTK58" s="41"/>
      <c r="DTL58" s="41"/>
      <c r="DTM58" s="41"/>
      <c r="DTN58" s="41"/>
      <c r="DTO58" s="41"/>
      <c r="DTP58" s="41"/>
      <c r="DTQ58" s="41"/>
      <c r="DTR58" s="41"/>
      <c r="DTS58" s="41"/>
      <c r="DTT58" s="41"/>
      <c r="DTU58" s="41"/>
      <c r="DTV58" s="41"/>
      <c r="DTW58" s="41"/>
      <c r="DTX58" s="41"/>
      <c r="DTY58" s="41"/>
      <c r="DTZ58" s="41"/>
      <c r="DUA58" s="41"/>
      <c r="DUB58" s="41"/>
      <c r="DUC58" s="41"/>
      <c r="DUD58" s="41"/>
      <c r="DUE58" s="41"/>
      <c r="DUF58" s="41"/>
      <c r="DUG58" s="41"/>
      <c r="DUH58" s="41"/>
      <c r="DUI58" s="41"/>
      <c r="DUJ58" s="41"/>
      <c r="DUK58" s="41"/>
      <c r="DUL58" s="41"/>
      <c r="DUM58" s="41"/>
      <c r="DUN58" s="41"/>
      <c r="DUO58" s="41"/>
      <c r="DUP58" s="41"/>
      <c r="DUQ58" s="41"/>
      <c r="DUR58" s="41"/>
      <c r="DUS58" s="41"/>
      <c r="DUT58" s="41"/>
      <c r="DUU58" s="41"/>
      <c r="DUV58" s="41"/>
      <c r="DUW58" s="41"/>
      <c r="DUX58" s="41"/>
      <c r="DUY58" s="41"/>
      <c r="DUZ58" s="41"/>
      <c r="DVA58" s="41"/>
      <c r="DVB58" s="41"/>
      <c r="DVC58" s="41"/>
      <c r="DVD58" s="41"/>
      <c r="DVE58" s="41"/>
      <c r="DVF58" s="41"/>
      <c r="DVG58" s="41"/>
      <c r="DVH58" s="41"/>
      <c r="DVI58" s="41"/>
      <c r="DVJ58" s="41"/>
      <c r="DVK58" s="41"/>
      <c r="DVL58" s="41"/>
      <c r="DVM58" s="41"/>
      <c r="DVN58" s="41"/>
      <c r="DVO58" s="41"/>
      <c r="DVP58" s="41"/>
      <c r="DVQ58" s="41"/>
      <c r="DVR58" s="41"/>
      <c r="DVS58" s="41"/>
      <c r="DVT58" s="41"/>
      <c r="DVU58" s="41"/>
      <c r="DVV58" s="41"/>
      <c r="DVW58" s="41"/>
      <c r="DVX58" s="41"/>
      <c r="DVY58" s="41"/>
      <c r="DVZ58" s="41"/>
      <c r="DWA58" s="41"/>
      <c r="DWB58" s="41"/>
      <c r="DWC58" s="41"/>
      <c r="DWD58" s="41"/>
      <c r="DWE58" s="41"/>
      <c r="DWF58" s="41"/>
      <c r="DWG58" s="41"/>
      <c r="DWH58" s="41"/>
      <c r="DWI58" s="41"/>
      <c r="DWJ58" s="41"/>
      <c r="DWK58" s="41"/>
      <c r="DWL58" s="41"/>
      <c r="DWM58" s="41"/>
      <c r="DWN58" s="41"/>
      <c r="DWO58" s="41"/>
      <c r="DWP58" s="41"/>
      <c r="DWQ58" s="41"/>
      <c r="DWR58" s="41"/>
      <c r="DWS58" s="41"/>
      <c r="DWT58" s="41"/>
      <c r="DWU58" s="41"/>
      <c r="DWV58" s="41"/>
      <c r="DWW58" s="41"/>
      <c r="DWX58" s="41"/>
      <c r="DWY58" s="41"/>
      <c r="DWZ58" s="41"/>
      <c r="DXA58" s="41"/>
      <c r="DXB58" s="41"/>
      <c r="DXC58" s="41"/>
      <c r="DXD58" s="41"/>
      <c r="DXE58" s="41"/>
      <c r="DXF58" s="41"/>
      <c r="DXG58" s="41"/>
      <c r="DXH58" s="41"/>
      <c r="DXI58" s="41"/>
      <c r="DXJ58" s="41"/>
      <c r="DXK58" s="41"/>
      <c r="DXL58" s="41"/>
      <c r="DXM58" s="41"/>
      <c r="DXN58" s="41"/>
      <c r="DXO58" s="41"/>
      <c r="DXP58" s="41"/>
      <c r="DXQ58" s="41"/>
      <c r="DXR58" s="41"/>
      <c r="DXS58" s="41"/>
      <c r="DXT58" s="41"/>
      <c r="DXU58" s="41"/>
      <c r="DXV58" s="41"/>
      <c r="DXW58" s="41"/>
      <c r="DXX58" s="41"/>
      <c r="DXY58" s="41"/>
      <c r="DXZ58" s="41"/>
      <c r="DYA58" s="41"/>
      <c r="DYB58" s="41"/>
      <c r="DYC58" s="41"/>
      <c r="DYD58" s="41"/>
      <c r="DYE58" s="41"/>
      <c r="DYF58" s="41"/>
      <c r="DYG58" s="41"/>
      <c r="DYH58" s="41"/>
      <c r="DYI58" s="41"/>
      <c r="DYJ58" s="41"/>
      <c r="DYK58" s="41"/>
      <c r="DYL58" s="41"/>
      <c r="DYM58" s="41"/>
      <c r="DYN58" s="41"/>
      <c r="DYO58" s="41"/>
      <c r="DYP58" s="41"/>
      <c r="DYQ58" s="41"/>
      <c r="DYR58" s="41"/>
      <c r="DYS58" s="41"/>
      <c r="DYT58" s="41"/>
      <c r="DYU58" s="41"/>
      <c r="DYV58" s="41"/>
      <c r="DYW58" s="41"/>
      <c r="DYX58" s="41"/>
      <c r="DYY58" s="41"/>
      <c r="DYZ58" s="41"/>
      <c r="DZA58" s="41"/>
      <c r="DZB58" s="41"/>
      <c r="DZC58" s="41"/>
      <c r="DZD58" s="41"/>
      <c r="DZE58" s="41"/>
      <c r="DZF58" s="41"/>
      <c r="DZG58" s="41"/>
      <c r="DZH58" s="41"/>
      <c r="DZI58" s="41"/>
      <c r="DZJ58" s="41"/>
      <c r="DZK58" s="41"/>
      <c r="DZL58" s="41"/>
      <c r="DZM58" s="41"/>
      <c r="DZN58" s="41"/>
      <c r="DZO58" s="41"/>
      <c r="DZP58" s="41"/>
      <c r="DZQ58" s="41"/>
      <c r="DZR58" s="41"/>
      <c r="DZS58" s="41"/>
      <c r="DZT58" s="41"/>
      <c r="DZU58" s="41"/>
      <c r="DZV58" s="41"/>
      <c r="DZW58" s="41"/>
      <c r="DZX58" s="41"/>
      <c r="DZY58" s="41"/>
      <c r="DZZ58" s="41"/>
      <c r="EAA58" s="41"/>
      <c r="EAB58" s="41"/>
      <c r="EAC58" s="41"/>
      <c r="EAD58" s="41"/>
      <c r="EAE58" s="41"/>
      <c r="EAF58" s="41"/>
      <c r="EAG58" s="41"/>
      <c r="EAH58" s="41"/>
      <c r="EAI58" s="41"/>
      <c r="EAJ58" s="41"/>
      <c r="EAK58" s="41"/>
      <c r="EAL58" s="41"/>
      <c r="EAM58" s="41"/>
      <c r="EAN58" s="41"/>
      <c r="EAO58" s="41"/>
      <c r="EAP58" s="41"/>
      <c r="EAQ58" s="41"/>
      <c r="EAR58" s="41"/>
      <c r="EAS58" s="41"/>
      <c r="EAT58" s="41"/>
      <c r="EAU58" s="41"/>
      <c r="EAV58" s="41"/>
      <c r="EAW58" s="41"/>
      <c r="EAX58" s="41"/>
      <c r="EAY58" s="41"/>
      <c r="EAZ58" s="41"/>
      <c r="EBA58" s="41"/>
      <c r="EBB58" s="41"/>
      <c r="EBC58" s="41"/>
      <c r="EBD58" s="41"/>
      <c r="EBE58" s="41"/>
      <c r="EBF58" s="41"/>
      <c r="EBG58" s="41"/>
      <c r="EBH58" s="41"/>
      <c r="EBI58" s="41"/>
      <c r="EBJ58" s="41"/>
      <c r="EBK58" s="41"/>
      <c r="EBL58" s="41"/>
      <c r="EBM58" s="41"/>
      <c r="EBN58" s="41"/>
      <c r="EBO58" s="41"/>
      <c r="EBP58" s="41"/>
      <c r="EBQ58" s="41"/>
      <c r="EBR58" s="41"/>
      <c r="EBS58" s="41"/>
      <c r="EBT58" s="41"/>
      <c r="EBU58" s="41"/>
      <c r="EBV58" s="41"/>
      <c r="EBW58" s="41"/>
      <c r="EBX58" s="41"/>
      <c r="EBY58" s="41"/>
      <c r="EBZ58" s="41"/>
      <c r="ECA58" s="41"/>
      <c r="ECB58" s="41"/>
      <c r="ECC58" s="41"/>
      <c r="ECD58" s="41"/>
      <c r="ECE58" s="41"/>
      <c r="ECF58" s="41"/>
      <c r="ECG58" s="41"/>
      <c r="ECH58" s="41"/>
      <c r="ECI58" s="41"/>
      <c r="ECJ58" s="41"/>
      <c r="ECK58" s="41"/>
      <c r="ECL58" s="41"/>
      <c r="ECM58" s="41"/>
      <c r="ECN58" s="41"/>
      <c r="ECO58" s="41"/>
      <c r="ECP58" s="41"/>
      <c r="ECQ58" s="41"/>
      <c r="ECR58" s="41"/>
      <c r="ECS58" s="41"/>
      <c r="ECT58" s="41"/>
      <c r="ECU58" s="41"/>
      <c r="ECV58" s="41"/>
      <c r="ECW58" s="41"/>
      <c r="ECX58" s="41"/>
      <c r="ECY58" s="41"/>
      <c r="ECZ58" s="41"/>
      <c r="EDA58" s="41"/>
      <c r="EDB58" s="41"/>
      <c r="EDC58" s="41"/>
      <c r="EDD58" s="41"/>
      <c r="EDE58" s="41"/>
      <c r="EDF58" s="41"/>
      <c r="EDG58" s="41"/>
      <c r="EDH58" s="41"/>
      <c r="EDI58" s="41"/>
      <c r="EDJ58" s="41"/>
      <c r="EDK58" s="41"/>
      <c r="EDL58" s="41"/>
      <c r="EDM58" s="41"/>
      <c r="EDN58" s="41"/>
      <c r="EDO58" s="41"/>
      <c r="EDP58" s="41"/>
      <c r="EDQ58" s="41"/>
      <c r="EDR58" s="41"/>
      <c r="EDS58" s="41"/>
      <c r="EDT58" s="41"/>
      <c r="EDU58" s="41"/>
      <c r="EDV58" s="41"/>
      <c r="EDW58" s="41"/>
      <c r="EDX58" s="41"/>
      <c r="EDY58" s="41"/>
      <c r="EDZ58" s="41"/>
      <c r="EEA58" s="41"/>
      <c r="EEB58" s="41"/>
      <c r="EEC58" s="41"/>
      <c r="EED58" s="41"/>
      <c r="EEE58" s="41"/>
      <c r="EEF58" s="41"/>
      <c r="EEG58" s="41"/>
      <c r="EEH58" s="41"/>
      <c r="EEI58" s="41"/>
      <c r="EEJ58" s="41"/>
      <c r="EEK58" s="41"/>
      <c r="EEL58" s="41"/>
      <c r="EEM58" s="41"/>
      <c r="EEN58" s="41"/>
      <c r="EEO58" s="41"/>
      <c r="EEP58" s="41"/>
      <c r="EEQ58" s="41"/>
      <c r="EER58" s="41"/>
      <c r="EES58" s="41"/>
      <c r="EET58" s="41"/>
      <c r="EEU58" s="41"/>
      <c r="EEV58" s="41"/>
      <c r="EEW58" s="41"/>
      <c r="EEX58" s="41"/>
      <c r="EEY58" s="41"/>
      <c r="EEZ58" s="41"/>
      <c r="EFA58" s="41"/>
      <c r="EFB58" s="41"/>
      <c r="EFC58" s="41"/>
      <c r="EFD58" s="41"/>
      <c r="EFE58" s="41"/>
      <c r="EFF58" s="41"/>
      <c r="EFG58" s="41"/>
      <c r="EFH58" s="41"/>
      <c r="EFI58" s="41"/>
      <c r="EFJ58" s="41"/>
      <c r="EFK58" s="41"/>
      <c r="EFL58" s="41"/>
      <c r="EFM58" s="41"/>
      <c r="EFN58" s="41"/>
      <c r="EFO58" s="41"/>
      <c r="EFP58" s="41"/>
      <c r="EFQ58" s="41"/>
      <c r="EFR58" s="41"/>
      <c r="EFS58" s="41"/>
      <c r="EFT58" s="41"/>
      <c r="EFU58" s="41"/>
      <c r="EFV58" s="41"/>
      <c r="EFW58" s="41"/>
      <c r="EFX58" s="41"/>
      <c r="EFY58" s="41"/>
      <c r="EFZ58" s="41"/>
      <c r="EGA58" s="41"/>
      <c r="EGB58" s="41"/>
      <c r="EGC58" s="41"/>
      <c r="EGD58" s="41"/>
      <c r="EGE58" s="41"/>
      <c r="EGF58" s="41"/>
      <c r="EGG58" s="41"/>
      <c r="EGH58" s="41"/>
      <c r="EGI58" s="41"/>
      <c r="EGJ58" s="41"/>
      <c r="EGK58" s="41"/>
      <c r="EGL58" s="41"/>
      <c r="EGM58" s="41"/>
      <c r="EGN58" s="41"/>
      <c r="EGO58" s="41"/>
      <c r="EGP58" s="41"/>
      <c r="EGQ58" s="41"/>
      <c r="EGR58" s="41"/>
      <c r="EGS58" s="41"/>
      <c r="EGT58" s="41"/>
      <c r="EGU58" s="41"/>
      <c r="EGV58" s="41"/>
      <c r="EGW58" s="41"/>
      <c r="EGX58" s="41"/>
      <c r="EGY58" s="41"/>
      <c r="EGZ58" s="41"/>
      <c r="EHA58" s="41"/>
      <c r="EHB58" s="41"/>
      <c r="EHC58" s="41"/>
      <c r="EHD58" s="41"/>
      <c r="EHE58" s="41"/>
      <c r="EHF58" s="41"/>
      <c r="EHG58" s="41"/>
      <c r="EHH58" s="41"/>
      <c r="EHI58" s="41"/>
      <c r="EHJ58" s="41"/>
      <c r="EHK58" s="41"/>
      <c r="EHL58" s="41"/>
      <c r="EHM58" s="41"/>
      <c r="EHN58" s="41"/>
      <c r="EHO58" s="41"/>
      <c r="EHP58" s="41"/>
      <c r="EHQ58" s="41"/>
      <c r="EHR58" s="41"/>
      <c r="EHS58" s="41"/>
      <c r="EHT58" s="41"/>
      <c r="EHU58" s="41"/>
      <c r="EHV58" s="41"/>
      <c r="EHW58" s="41"/>
      <c r="EHX58" s="41"/>
      <c r="EHY58" s="41"/>
      <c r="EHZ58" s="41"/>
      <c r="EIA58" s="41"/>
      <c r="EIB58" s="41"/>
      <c r="EIC58" s="41"/>
      <c r="EID58" s="41"/>
      <c r="EIE58" s="41"/>
      <c r="EIF58" s="41"/>
      <c r="EIG58" s="41"/>
      <c r="EIH58" s="41"/>
      <c r="EII58" s="41"/>
      <c r="EIJ58" s="41"/>
      <c r="EIK58" s="41"/>
      <c r="EIL58" s="41"/>
      <c r="EIM58" s="41"/>
      <c r="EIN58" s="41"/>
      <c r="EIO58" s="41"/>
      <c r="EIP58" s="41"/>
      <c r="EIQ58" s="41"/>
      <c r="EIR58" s="41"/>
      <c r="EIS58" s="41"/>
      <c r="EIT58" s="41"/>
      <c r="EIU58" s="41"/>
      <c r="EIV58" s="41"/>
      <c r="EIW58" s="41"/>
      <c r="EIX58" s="41"/>
      <c r="EIY58" s="41"/>
      <c r="EIZ58" s="41"/>
      <c r="EJA58" s="41"/>
      <c r="EJB58" s="41"/>
      <c r="EJC58" s="41"/>
      <c r="EJD58" s="41"/>
      <c r="EJE58" s="41"/>
      <c r="EJF58" s="41"/>
      <c r="EJG58" s="41"/>
      <c r="EJH58" s="41"/>
      <c r="EJI58" s="41"/>
      <c r="EJJ58" s="41"/>
      <c r="EJK58" s="41"/>
      <c r="EJL58" s="41"/>
      <c r="EJM58" s="41"/>
      <c r="EJN58" s="41"/>
      <c r="EJO58" s="41"/>
      <c r="EJP58" s="41"/>
      <c r="EJQ58" s="41"/>
      <c r="EJR58" s="41"/>
      <c r="EJS58" s="41"/>
      <c r="EJT58" s="41"/>
      <c r="EJU58" s="41"/>
      <c r="EJV58" s="41"/>
      <c r="EJW58" s="41"/>
      <c r="EJX58" s="41"/>
      <c r="EJY58" s="41"/>
      <c r="EJZ58" s="41"/>
      <c r="EKA58" s="41"/>
      <c r="EKB58" s="41"/>
      <c r="EKC58" s="41"/>
      <c r="EKD58" s="41"/>
      <c r="EKE58" s="41"/>
      <c r="EKF58" s="41"/>
      <c r="EKG58" s="41"/>
      <c r="EKH58" s="41"/>
      <c r="EKI58" s="41"/>
      <c r="EKJ58" s="41"/>
      <c r="EKK58" s="41"/>
      <c r="EKL58" s="41"/>
      <c r="EKM58" s="41"/>
      <c r="EKN58" s="41"/>
      <c r="EKO58" s="41"/>
      <c r="EKP58" s="41"/>
      <c r="EKQ58" s="41"/>
      <c r="EKR58" s="41"/>
      <c r="EKS58" s="41"/>
      <c r="EKT58" s="41"/>
      <c r="EKU58" s="41"/>
      <c r="EKV58" s="41"/>
      <c r="EKW58" s="41"/>
      <c r="EKX58" s="41"/>
      <c r="EKY58" s="41"/>
      <c r="EKZ58" s="41"/>
      <c r="ELA58" s="41"/>
      <c r="ELB58" s="41"/>
      <c r="ELC58" s="41"/>
      <c r="ELD58" s="41"/>
      <c r="ELE58" s="41"/>
      <c r="ELF58" s="41"/>
      <c r="ELG58" s="41"/>
      <c r="ELH58" s="41"/>
      <c r="ELI58" s="41"/>
      <c r="ELJ58" s="41"/>
      <c r="ELK58" s="41"/>
      <c r="ELL58" s="41"/>
      <c r="ELM58" s="41"/>
      <c r="ELN58" s="41"/>
      <c r="ELO58" s="41"/>
      <c r="ELP58" s="41"/>
      <c r="ELQ58" s="41"/>
      <c r="ELR58" s="41"/>
      <c r="ELS58" s="41"/>
      <c r="ELT58" s="41"/>
      <c r="ELU58" s="41"/>
      <c r="ELV58" s="41"/>
      <c r="ELW58" s="41"/>
      <c r="ELX58" s="41"/>
      <c r="ELY58" s="41"/>
      <c r="ELZ58" s="41"/>
      <c r="EMA58" s="41"/>
      <c r="EMB58" s="41"/>
      <c r="EMC58" s="41"/>
      <c r="EMD58" s="41"/>
      <c r="EME58" s="41"/>
      <c r="EMF58" s="41"/>
      <c r="EMG58" s="41"/>
      <c r="EMH58" s="41"/>
      <c r="EMI58" s="41"/>
      <c r="EMJ58" s="41"/>
      <c r="EMK58" s="41"/>
      <c r="EML58" s="41"/>
      <c r="EMM58" s="41"/>
      <c r="EMN58" s="41"/>
      <c r="EMO58" s="41"/>
      <c r="EMP58" s="41"/>
      <c r="EMQ58" s="41"/>
      <c r="EMR58" s="41"/>
      <c r="EMS58" s="41"/>
      <c r="EMT58" s="41"/>
      <c r="EMU58" s="41"/>
      <c r="EMV58" s="41"/>
      <c r="EMW58" s="41"/>
      <c r="EMX58" s="41"/>
      <c r="EMY58" s="41"/>
      <c r="EMZ58" s="41"/>
      <c r="ENA58" s="41"/>
      <c r="ENB58" s="41"/>
      <c r="ENC58" s="41"/>
      <c r="END58" s="41"/>
      <c r="ENE58" s="41"/>
      <c r="ENF58" s="41"/>
      <c r="ENG58" s="41"/>
      <c r="ENH58" s="41"/>
      <c r="ENI58" s="41"/>
      <c r="ENJ58" s="41"/>
      <c r="ENK58" s="41"/>
      <c r="ENL58" s="41"/>
      <c r="ENM58" s="41"/>
      <c r="ENN58" s="41"/>
      <c r="ENO58" s="41"/>
      <c r="ENP58" s="41"/>
      <c r="ENQ58" s="41"/>
      <c r="ENR58" s="41"/>
      <c r="ENS58" s="41"/>
      <c r="ENT58" s="41"/>
      <c r="ENU58" s="41"/>
      <c r="ENV58" s="41"/>
      <c r="ENW58" s="41"/>
      <c r="ENX58" s="41"/>
      <c r="ENY58" s="41"/>
      <c r="ENZ58" s="41"/>
      <c r="EOA58" s="41"/>
      <c r="EOB58" s="41"/>
      <c r="EOC58" s="41"/>
      <c r="EOD58" s="41"/>
      <c r="EOE58" s="41"/>
      <c r="EOF58" s="41"/>
      <c r="EOG58" s="41"/>
      <c r="EOH58" s="41"/>
      <c r="EOI58" s="41"/>
      <c r="EOJ58" s="41"/>
      <c r="EOK58" s="41"/>
      <c r="EOL58" s="41"/>
      <c r="EOM58" s="41"/>
      <c r="EON58" s="41"/>
      <c r="EOO58" s="41"/>
      <c r="EOP58" s="41"/>
      <c r="EOQ58" s="41"/>
      <c r="EOR58" s="41"/>
      <c r="EOS58" s="41"/>
      <c r="EOT58" s="41"/>
      <c r="EOU58" s="41"/>
      <c r="EOV58" s="41"/>
      <c r="EOW58" s="41"/>
      <c r="EOX58" s="41"/>
      <c r="EOY58" s="41"/>
      <c r="EOZ58" s="41"/>
      <c r="EPA58" s="41"/>
      <c r="EPB58" s="41"/>
      <c r="EPC58" s="41"/>
      <c r="EPD58" s="41"/>
      <c r="EPE58" s="41"/>
      <c r="EPF58" s="41"/>
      <c r="EPG58" s="41"/>
      <c r="EPH58" s="41"/>
      <c r="EPI58" s="41"/>
      <c r="EPJ58" s="41"/>
      <c r="EPK58" s="41"/>
      <c r="EPL58" s="41"/>
      <c r="EPM58" s="41"/>
      <c r="EPN58" s="41"/>
      <c r="EPO58" s="41"/>
      <c r="EPP58" s="41"/>
      <c r="EPQ58" s="41"/>
      <c r="EPR58" s="41"/>
      <c r="EPS58" s="41"/>
      <c r="EPT58" s="41"/>
      <c r="EPU58" s="41"/>
      <c r="EPV58" s="41"/>
      <c r="EPW58" s="41"/>
      <c r="EPX58" s="41"/>
      <c r="EPY58" s="41"/>
      <c r="EPZ58" s="41"/>
      <c r="EQA58" s="41"/>
      <c r="EQB58" s="41"/>
      <c r="EQC58" s="41"/>
      <c r="EQD58" s="41"/>
      <c r="EQE58" s="41"/>
      <c r="EQF58" s="41"/>
      <c r="EQG58" s="41"/>
      <c r="EQH58" s="41"/>
      <c r="EQI58" s="41"/>
      <c r="EQJ58" s="41"/>
      <c r="EQK58" s="41"/>
      <c r="EQL58" s="41"/>
      <c r="EQM58" s="41"/>
      <c r="EQN58" s="41"/>
      <c r="EQO58" s="41"/>
      <c r="EQP58" s="41"/>
      <c r="EQQ58" s="41"/>
      <c r="EQR58" s="41"/>
      <c r="EQS58" s="41"/>
      <c r="EQT58" s="41"/>
      <c r="EQU58" s="41"/>
      <c r="EQV58" s="41"/>
      <c r="EQW58" s="41"/>
      <c r="EQX58" s="41"/>
      <c r="EQY58" s="41"/>
      <c r="EQZ58" s="41"/>
      <c r="ERA58" s="41"/>
      <c r="ERB58" s="41"/>
      <c r="ERC58" s="41"/>
      <c r="ERD58" s="41"/>
      <c r="ERE58" s="41"/>
      <c r="ERF58" s="41"/>
      <c r="ERG58" s="41"/>
      <c r="ERH58" s="41"/>
      <c r="ERI58" s="41"/>
      <c r="ERJ58" s="41"/>
      <c r="ERK58" s="41"/>
      <c r="ERL58" s="41"/>
      <c r="ERM58" s="41"/>
      <c r="ERN58" s="41"/>
      <c r="ERO58" s="41"/>
      <c r="ERP58" s="41"/>
      <c r="ERQ58" s="41"/>
      <c r="ERR58" s="41"/>
      <c r="ERS58" s="41"/>
      <c r="ERT58" s="41"/>
      <c r="ERU58" s="41"/>
      <c r="ERV58" s="41"/>
      <c r="ERW58" s="41"/>
      <c r="ERX58" s="41"/>
      <c r="ERY58" s="41"/>
      <c r="ERZ58" s="41"/>
      <c r="ESA58" s="41"/>
      <c r="ESB58" s="41"/>
      <c r="ESC58" s="41"/>
      <c r="ESD58" s="41"/>
      <c r="ESE58" s="41"/>
      <c r="ESF58" s="41"/>
      <c r="ESG58" s="41"/>
      <c r="ESH58" s="41"/>
      <c r="ESI58" s="41"/>
      <c r="ESJ58" s="41"/>
      <c r="ESK58" s="41"/>
      <c r="ESL58" s="41"/>
      <c r="ESM58" s="41"/>
      <c r="ESN58" s="41"/>
      <c r="ESO58" s="41"/>
      <c r="ESP58" s="41"/>
      <c r="ESQ58" s="41"/>
      <c r="ESR58" s="41"/>
      <c r="ESS58" s="41"/>
      <c r="EST58" s="41"/>
      <c r="ESU58" s="41"/>
      <c r="ESV58" s="41"/>
      <c r="ESW58" s="41"/>
      <c r="ESX58" s="41"/>
      <c r="ESY58" s="41"/>
      <c r="ESZ58" s="41"/>
      <c r="ETA58" s="41"/>
      <c r="ETB58" s="41"/>
      <c r="ETC58" s="41"/>
      <c r="ETD58" s="41"/>
      <c r="ETE58" s="41"/>
      <c r="ETF58" s="41"/>
      <c r="ETG58" s="41"/>
      <c r="ETH58" s="41"/>
      <c r="ETI58" s="41"/>
      <c r="ETJ58" s="41"/>
      <c r="ETK58" s="41"/>
      <c r="ETL58" s="41"/>
      <c r="ETM58" s="41"/>
      <c r="ETN58" s="41"/>
      <c r="ETO58" s="41"/>
      <c r="ETP58" s="41"/>
      <c r="ETQ58" s="41"/>
      <c r="ETR58" s="41"/>
      <c r="ETS58" s="41"/>
      <c r="ETT58" s="41"/>
      <c r="ETU58" s="41"/>
      <c r="ETV58" s="41"/>
      <c r="ETW58" s="41"/>
      <c r="ETX58" s="41"/>
      <c r="ETY58" s="41"/>
      <c r="ETZ58" s="41"/>
      <c r="EUA58" s="41"/>
      <c r="EUB58" s="41"/>
      <c r="EUC58" s="41"/>
      <c r="EUD58" s="41"/>
      <c r="EUE58" s="41"/>
      <c r="EUF58" s="41"/>
      <c r="EUG58" s="41"/>
      <c r="EUH58" s="41"/>
      <c r="EUI58" s="41"/>
      <c r="EUJ58" s="41"/>
      <c r="EUK58" s="41"/>
      <c r="EUL58" s="41"/>
      <c r="EUM58" s="41"/>
      <c r="EUN58" s="41"/>
      <c r="EUO58" s="41"/>
      <c r="EUP58" s="41"/>
      <c r="EUQ58" s="41"/>
      <c r="EUR58" s="41"/>
      <c r="EUS58" s="41"/>
      <c r="EUT58" s="41"/>
      <c r="EUU58" s="41"/>
      <c r="EUV58" s="41"/>
      <c r="EUW58" s="41"/>
      <c r="EUX58" s="41"/>
      <c r="EUY58" s="41"/>
      <c r="EUZ58" s="41"/>
      <c r="EVA58" s="41"/>
      <c r="EVB58" s="41"/>
      <c r="EVC58" s="41"/>
      <c r="EVD58" s="41"/>
      <c r="EVE58" s="41"/>
      <c r="EVF58" s="41"/>
      <c r="EVG58" s="41"/>
      <c r="EVH58" s="41"/>
      <c r="EVI58" s="41"/>
      <c r="EVJ58" s="41"/>
      <c r="EVK58" s="41"/>
      <c r="EVL58" s="41"/>
      <c r="EVM58" s="41"/>
      <c r="EVN58" s="41"/>
      <c r="EVO58" s="41"/>
      <c r="EVP58" s="41"/>
      <c r="EVQ58" s="41"/>
      <c r="EVR58" s="41"/>
      <c r="EVS58" s="41"/>
      <c r="EVT58" s="41"/>
      <c r="EVU58" s="41"/>
      <c r="EVV58" s="41"/>
      <c r="EVW58" s="41"/>
      <c r="EVX58" s="41"/>
      <c r="EVY58" s="41"/>
      <c r="EVZ58" s="41"/>
      <c r="EWA58" s="41"/>
      <c r="EWB58" s="41"/>
      <c r="EWC58" s="41"/>
      <c r="EWD58" s="41"/>
      <c r="EWE58" s="41"/>
      <c r="EWF58" s="41"/>
      <c r="EWG58" s="41"/>
      <c r="EWH58" s="41"/>
      <c r="EWI58" s="41"/>
      <c r="EWJ58" s="41"/>
      <c r="EWK58" s="41"/>
      <c r="EWL58" s="41"/>
      <c r="EWM58" s="41"/>
      <c r="EWN58" s="41"/>
      <c r="EWO58" s="41"/>
      <c r="EWP58" s="41"/>
      <c r="EWQ58" s="41"/>
      <c r="EWR58" s="41"/>
      <c r="EWS58" s="41"/>
      <c r="EWT58" s="41"/>
      <c r="EWU58" s="41"/>
      <c r="EWV58" s="41"/>
      <c r="EWW58" s="41"/>
      <c r="EWX58" s="41"/>
      <c r="EWY58" s="41"/>
      <c r="EWZ58" s="41"/>
      <c r="EXA58" s="41"/>
      <c r="EXB58" s="41"/>
      <c r="EXC58" s="41"/>
      <c r="EXD58" s="41"/>
      <c r="EXE58" s="41"/>
      <c r="EXF58" s="41"/>
      <c r="EXG58" s="41"/>
      <c r="EXH58" s="41"/>
      <c r="EXI58" s="41"/>
      <c r="EXJ58" s="41"/>
      <c r="EXK58" s="41"/>
      <c r="EXL58" s="41"/>
      <c r="EXM58" s="41"/>
      <c r="EXN58" s="41"/>
      <c r="EXO58" s="41"/>
      <c r="EXP58" s="41"/>
      <c r="EXQ58" s="41"/>
      <c r="EXR58" s="41"/>
      <c r="EXS58" s="41"/>
      <c r="EXT58" s="41"/>
      <c r="EXU58" s="41"/>
      <c r="EXV58" s="41"/>
      <c r="EXW58" s="41"/>
      <c r="EXX58" s="41"/>
      <c r="EXY58" s="41"/>
      <c r="EXZ58" s="41"/>
      <c r="EYA58" s="41"/>
      <c r="EYB58" s="41"/>
      <c r="EYC58" s="41"/>
      <c r="EYD58" s="41"/>
      <c r="EYE58" s="41"/>
      <c r="EYF58" s="41"/>
      <c r="EYG58" s="41"/>
      <c r="EYH58" s="41"/>
      <c r="EYI58" s="41"/>
      <c r="EYJ58" s="41"/>
      <c r="EYK58" s="41"/>
      <c r="EYL58" s="41"/>
      <c r="EYM58" s="41"/>
      <c r="EYN58" s="41"/>
      <c r="EYO58" s="41"/>
      <c r="EYP58" s="41"/>
      <c r="EYQ58" s="41"/>
      <c r="EYR58" s="41"/>
      <c r="EYS58" s="41"/>
      <c r="EYT58" s="41"/>
      <c r="EYU58" s="41"/>
      <c r="EYV58" s="41"/>
      <c r="EYW58" s="41"/>
      <c r="EYX58" s="41"/>
      <c r="EYY58" s="41"/>
      <c r="EYZ58" s="41"/>
      <c r="EZA58" s="41"/>
      <c r="EZB58" s="41"/>
      <c r="EZC58" s="41"/>
      <c r="EZD58" s="41"/>
      <c r="EZE58" s="41"/>
      <c r="EZF58" s="41"/>
      <c r="EZG58" s="41"/>
      <c r="EZH58" s="41"/>
      <c r="EZI58" s="41"/>
      <c r="EZJ58" s="41"/>
      <c r="EZK58" s="41"/>
      <c r="EZL58" s="41"/>
      <c r="EZM58" s="41"/>
      <c r="EZN58" s="41"/>
      <c r="EZO58" s="41"/>
      <c r="EZP58" s="41"/>
      <c r="EZQ58" s="41"/>
      <c r="EZR58" s="41"/>
      <c r="EZS58" s="41"/>
      <c r="EZT58" s="41"/>
      <c r="EZU58" s="41"/>
      <c r="EZV58" s="41"/>
      <c r="EZW58" s="41"/>
      <c r="EZX58" s="41"/>
      <c r="EZY58" s="41"/>
      <c r="EZZ58" s="41"/>
      <c r="FAA58" s="41"/>
      <c r="FAB58" s="41"/>
      <c r="FAC58" s="41"/>
      <c r="FAD58" s="41"/>
      <c r="FAE58" s="41"/>
      <c r="FAF58" s="41"/>
      <c r="FAG58" s="41"/>
      <c r="FAH58" s="41"/>
      <c r="FAI58" s="41"/>
      <c r="FAJ58" s="41"/>
      <c r="FAK58" s="41"/>
      <c r="FAL58" s="41"/>
      <c r="FAM58" s="41"/>
      <c r="FAN58" s="41"/>
      <c r="FAO58" s="41"/>
      <c r="FAP58" s="41"/>
      <c r="FAQ58" s="41"/>
      <c r="FAR58" s="41"/>
      <c r="FAS58" s="41"/>
      <c r="FAT58" s="41"/>
      <c r="FAU58" s="41"/>
      <c r="FAV58" s="41"/>
      <c r="FAW58" s="41"/>
      <c r="FAX58" s="41"/>
      <c r="FAY58" s="41"/>
      <c r="FAZ58" s="41"/>
      <c r="FBA58" s="41"/>
      <c r="FBB58" s="41"/>
      <c r="FBC58" s="41"/>
      <c r="FBD58" s="41"/>
      <c r="FBE58" s="41"/>
      <c r="FBF58" s="41"/>
      <c r="FBG58" s="41"/>
      <c r="FBH58" s="41"/>
      <c r="FBI58" s="41"/>
      <c r="FBJ58" s="41"/>
      <c r="FBK58" s="41"/>
      <c r="FBL58" s="41"/>
      <c r="FBM58" s="41"/>
      <c r="FBN58" s="41"/>
      <c r="FBO58" s="41"/>
      <c r="FBP58" s="41"/>
      <c r="FBQ58" s="41"/>
      <c r="FBR58" s="41"/>
      <c r="FBS58" s="41"/>
      <c r="FBT58" s="41"/>
      <c r="FBU58" s="41"/>
      <c r="FBV58" s="41"/>
      <c r="FBW58" s="41"/>
      <c r="FBX58" s="41"/>
      <c r="FBY58" s="41"/>
      <c r="FBZ58" s="41"/>
      <c r="FCA58" s="41"/>
      <c r="FCB58" s="41"/>
      <c r="FCC58" s="41"/>
      <c r="FCD58" s="41"/>
      <c r="FCE58" s="41"/>
      <c r="FCF58" s="41"/>
      <c r="FCG58" s="41"/>
      <c r="FCH58" s="41"/>
      <c r="FCI58" s="41"/>
      <c r="FCJ58" s="41"/>
      <c r="FCK58" s="41"/>
      <c r="FCL58" s="41"/>
      <c r="FCM58" s="41"/>
      <c r="FCN58" s="41"/>
      <c r="FCO58" s="41"/>
      <c r="FCP58" s="41"/>
      <c r="FCQ58" s="41"/>
      <c r="FCR58" s="41"/>
      <c r="FCS58" s="41"/>
      <c r="FCT58" s="41"/>
      <c r="FCU58" s="41"/>
      <c r="FCV58" s="41"/>
      <c r="FCW58" s="41"/>
      <c r="FCX58" s="41"/>
      <c r="FCY58" s="41"/>
      <c r="FCZ58" s="41"/>
      <c r="FDA58" s="41"/>
      <c r="FDB58" s="41"/>
      <c r="FDC58" s="41"/>
      <c r="FDD58" s="41"/>
      <c r="FDE58" s="41"/>
      <c r="FDF58" s="41"/>
      <c r="FDG58" s="41"/>
      <c r="FDH58" s="41"/>
      <c r="FDI58" s="41"/>
      <c r="FDJ58" s="41"/>
      <c r="FDK58" s="41"/>
      <c r="FDL58" s="41"/>
      <c r="FDM58" s="41"/>
      <c r="FDN58" s="41"/>
      <c r="FDO58" s="41"/>
      <c r="FDP58" s="41"/>
      <c r="FDQ58" s="41"/>
      <c r="FDR58" s="41"/>
      <c r="FDS58" s="41"/>
      <c r="FDT58" s="41"/>
      <c r="FDU58" s="41"/>
      <c r="FDV58" s="41"/>
      <c r="FDW58" s="41"/>
      <c r="FDX58" s="41"/>
      <c r="FDY58" s="41"/>
      <c r="FDZ58" s="41"/>
      <c r="FEA58" s="41"/>
      <c r="FEB58" s="41"/>
      <c r="FEC58" s="41"/>
      <c r="FED58" s="41"/>
      <c r="FEE58" s="41"/>
      <c r="FEF58" s="41"/>
      <c r="FEG58" s="41"/>
      <c r="FEH58" s="41"/>
      <c r="FEI58" s="41"/>
      <c r="FEJ58" s="41"/>
      <c r="FEK58" s="41"/>
      <c r="FEL58" s="41"/>
      <c r="FEM58" s="41"/>
      <c r="FEN58" s="41"/>
      <c r="FEO58" s="41"/>
      <c r="FEP58" s="41"/>
      <c r="FEQ58" s="41"/>
      <c r="FER58" s="41"/>
      <c r="FES58" s="41"/>
      <c r="FET58" s="41"/>
      <c r="FEU58" s="41"/>
      <c r="FEV58" s="41"/>
      <c r="FEW58" s="41"/>
      <c r="FEX58" s="41"/>
      <c r="FEY58" s="41"/>
      <c r="FEZ58" s="41"/>
      <c r="FFA58" s="41"/>
      <c r="FFB58" s="41"/>
      <c r="FFC58" s="41"/>
      <c r="FFD58" s="41"/>
      <c r="FFE58" s="41"/>
      <c r="FFF58" s="41"/>
      <c r="FFG58" s="41"/>
      <c r="FFH58" s="41"/>
      <c r="FFI58" s="41"/>
      <c r="FFJ58" s="41"/>
      <c r="FFK58" s="41"/>
      <c r="FFL58" s="41"/>
      <c r="FFM58" s="41"/>
      <c r="FFN58" s="41"/>
      <c r="FFO58" s="41"/>
      <c r="FFP58" s="41"/>
      <c r="FFQ58" s="41"/>
      <c r="FFR58" s="41"/>
      <c r="FFS58" s="41"/>
      <c r="FFT58" s="41"/>
      <c r="FFU58" s="41"/>
      <c r="FFV58" s="41"/>
      <c r="FFW58" s="41"/>
      <c r="FFX58" s="41"/>
      <c r="FFY58" s="41"/>
      <c r="FFZ58" s="41"/>
      <c r="FGA58" s="41"/>
      <c r="FGB58" s="41"/>
      <c r="FGC58" s="41"/>
      <c r="FGD58" s="41"/>
      <c r="FGE58" s="41"/>
      <c r="FGF58" s="41"/>
      <c r="FGG58" s="41"/>
      <c r="FGH58" s="41"/>
      <c r="FGI58" s="41"/>
      <c r="FGJ58" s="41"/>
      <c r="FGK58" s="41"/>
      <c r="FGL58" s="41"/>
      <c r="FGM58" s="41"/>
      <c r="FGN58" s="41"/>
      <c r="FGO58" s="41"/>
      <c r="FGP58" s="41"/>
      <c r="FGQ58" s="41"/>
      <c r="FGR58" s="41"/>
      <c r="FGS58" s="41"/>
      <c r="FGT58" s="41"/>
      <c r="FGU58" s="41"/>
      <c r="FGV58" s="41"/>
      <c r="FGW58" s="41"/>
      <c r="FGX58" s="41"/>
      <c r="FGY58" s="41"/>
      <c r="FGZ58" s="41"/>
      <c r="FHA58" s="41"/>
      <c r="FHB58" s="41"/>
      <c r="FHC58" s="41"/>
      <c r="FHD58" s="41"/>
      <c r="FHE58" s="41"/>
      <c r="FHF58" s="41"/>
      <c r="FHG58" s="41"/>
      <c r="FHH58" s="41"/>
      <c r="FHI58" s="41"/>
      <c r="FHJ58" s="41"/>
      <c r="FHK58" s="41"/>
      <c r="FHL58" s="41"/>
      <c r="FHM58" s="41"/>
      <c r="FHN58" s="41"/>
      <c r="FHO58" s="41"/>
      <c r="FHP58" s="41"/>
      <c r="FHQ58" s="41"/>
      <c r="FHR58" s="41"/>
      <c r="FHS58" s="41"/>
      <c r="FHT58" s="41"/>
      <c r="FHU58" s="41"/>
      <c r="FHV58" s="41"/>
      <c r="FHW58" s="41"/>
      <c r="FHX58" s="41"/>
      <c r="FHY58" s="41"/>
      <c r="FHZ58" s="41"/>
      <c r="FIA58" s="41"/>
      <c r="FIB58" s="41"/>
      <c r="FIC58" s="41"/>
      <c r="FID58" s="41"/>
      <c r="FIE58" s="41"/>
      <c r="FIF58" s="41"/>
      <c r="FIG58" s="41"/>
      <c r="FIH58" s="41"/>
      <c r="FII58" s="41"/>
      <c r="FIJ58" s="41"/>
      <c r="FIK58" s="41"/>
      <c r="FIL58" s="41"/>
      <c r="FIM58" s="41"/>
      <c r="FIN58" s="41"/>
      <c r="FIO58" s="41"/>
      <c r="FIP58" s="41"/>
      <c r="FIQ58" s="41"/>
      <c r="FIR58" s="41"/>
      <c r="FIS58" s="41"/>
      <c r="FIT58" s="41"/>
      <c r="FIU58" s="41"/>
      <c r="FIV58" s="41"/>
      <c r="FIW58" s="41"/>
      <c r="FIX58" s="41"/>
      <c r="FIY58" s="41"/>
      <c r="FIZ58" s="41"/>
      <c r="FJA58" s="41"/>
      <c r="FJB58" s="41"/>
      <c r="FJC58" s="41"/>
      <c r="FJD58" s="41"/>
      <c r="FJE58" s="41"/>
      <c r="FJF58" s="41"/>
      <c r="FJG58" s="41"/>
      <c r="FJH58" s="41"/>
      <c r="FJI58" s="41"/>
      <c r="FJJ58" s="41"/>
      <c r="FJK58" s="41"/>
      <c r="FJL58" s="41"/>
      <c r="FJM58" s="41"/>
      <c r="FJN58" s="41"/>
      <c r="FJO58" s="41"/>
      <c r="FJP58" s="41"/>
      <c r="FJQ58" s="41"/>
      <c r="FJR58" s="41"/>
      <c r="FJS58" s="41"/>
      <c r="FJT58" s="41"/>
      <c r="FJU58" s="41"/>
      <c r="FJV58" s="41"/>
      <c r="FJW58" s="41"/>
      <c r="FJX58" s="41"/>
      <c r="FJY58" s="41"/>
      <c r="FJZ58" s="41"/>
      <c r="FKA58" s="41"/>
      <c r="FKB58" s="41"/>
      <c r="FKC58" s="41"/>
      <c r="FKD58" s="41"/>
      <c r="FKE58" s="41"/>
      <c r="FKF58" s="41"/>
      <c r="FKG58" s="41"/>
      <c r="FKH58" s="41"/>
      <c r="FKI58" s="41"/>
      <c r="FKJ58" s="41"/>
      <c r="FKK58" s="41"/>
      <c r="FKL58" s="41"/>
      <c r="FKM58" s="41"/>
      <c r="FKN58" s="41"/>
      <c r="FKO58" s="41"/>
      <c r="FKP58" s="41"/>
      <c r="FKQ58" s="41"/>
      <c r="FKR58" s="41"/>
      <c r="FKS58" s="41"/>
      <c r="FKT58" s="41"/>
      <c r="FKU58" s="41"/>
      <c r="FKV58" s="41"/>
      <c r="FKW58" s="41"/>
      <c r="FKX58" s="41"/>
      <c r="FKY58" s="41"/>
      <c r="FKZ58" s="41"/>
      <c r="FLA58" s="41"/>
      <c r="FLB58" s="41"/>
      <c r="FLC58" s="41"/>
      <c r="FLD58" s="41"/>
      <c r="FLE58" s="41"/>
      <c r="FLF58" s="41"/>
      <c r="FLG58" s="41"/>
      <c r="FLH58" s="41"/>
      <c r="FLI58" s="41"/>
      <c r="FLJ58" s="41"/>
      <c r="FLK58" s="41"/>
      <c r="FLL58" s="41"/>
      <c r="FLM58" s="41"/>
      <c r="FLN58" s="41"/>
      <c r="FLO58" s="41"/>
      <c r="FLP58" s="41"/>
      <c r="FLQ58" s="41"/>
      <c r="FLR58" s="41"/>
      <c r="FLS58" s="41"/>
      <c r="FLT58" s="41"/>
      <c r="FLU58" s="41"/>
      <c r="FLV58" s="41"/>
      <c r="FLW58" s="41"/>
      <c r="FLX58" s="41"/>
      <c r="FLY58" s="41"/>
      <c r="FLZ58" s="41"/>
      <c r="FMA58" s="41"/>
      <c r="FMB58" s="41"/>
      <c r="FMC58" s="41"/>
      <c r="FMD58" s="41"/>
      <c r="FME58" s="41"/>
      <c r="FMF58" s="41"/>
      <c r="FMG58" s="41"/>
      <c r="FMH58" s="41"/>
      <c r="FMI58" s="41"/>
      <c r="FMJ58" s="41"/>
      <c r="FMK58" s="41"/>
      <c r="FML58" s="41"/>
      <c r="FMM58" s="41"/>
      <c r="FMN58" s="41"/>
      <c r="FMO58" s="41"/>
      <c r="FMP58" s="41"/>
      <c r="FMQ58" s="41"/>
      <c r="FMR58" s="41"/>
      <c r="FMS58" s="41"/>
      <c r="FMT58" s="41"/>
      <c r="FMU58" s="41"/>
      <c r="FMV58" s="41"/>
      <c r="FMW58" s="41"/>
      <c r="FMX58" s="41"/>
      <c r="FMY58" s="41"/>
      <c r="FMZ58" s="41"/>
      <c r="FNA58" s="41"/>
      <c r="FNB58" s="41"/>
      <c r="FNC58" s="41"/>
      <c r="FND58" s="41"/>
      <c r="FNE58" s="41"/>
      <c r="FNF58" s="41"/>
      <c r="FNG58" s="41"/>
      <c r="FNH58" s="41"/>
      <c r="FNI58" s="41"/>
      <c r="FNJ58" s="41"/>
      <c r="FNK58" s="41"/>
      <c r="FNL58" s="41"/>
      <c r="FNM58" s="41"/>
      <c r="FNN58" s="41"/>
      <c r="FNO58" s="41"/>
      <c r="FNP58" s="41"/>
      <c r="FNQ58" s="41"/>
      <c r="FNR58" s="41"/>
      <c r="FNS58" s="41"/>
      <c r="FNT58" s="41"/>
      <c r="FNU58" s="41"/>
      <c r="FNV58" s="41"/>
      <c r="FNW58" s="41"/>
      <c r="FNX58" s="41"/>
      <c r="FNY58" s="41"/>
      <c r="FNZ58" s="41"/>
      <c r="FOA58" s="41"/>
      <c r="FOB58" s="41"/>
      <c r="FOC58" s="41"/>
      <c r="FOD58" s="41"/>
      <c r="FOE58" s="41"/>
      <c r="FOF58" s="41"/>
      <c r="FOG58" s="41"/>
      <c r="FOH58" s="41"/>
      <c r="FOI58" s="41"/>
      <c r="FOJ58" s="41"/>
      <c r="FOK58" s="41"/>
      <c r="FOL58" s="41"/>
      <c r="FOM58" s="41"/>
      <c r="FON58" s="41"/>
      <c r="FOO58" s="41"/>
      <c r="FOP58" s="41"/>
      <c r="FOQ58" s="41"/>
      <c r="FOR58" s="41"/>
      <c r="FOS58" s="41"/>
      <c r="FOT58" s="41"/>
      <c r="FOU58" s="41"/>
      <c r="FOV58" s="41"/>
      <c r="FOW58" s="41"/>
      <c r="FOX58" s="41"/>
      <c r="FOY58" s="41"/>
      <c r="FOZ58" s="41"/>
      <c r="FPA58" s="41"/>
      <c r="FPB58" s="41"/>
      <c r="FPC58" s="41"/>
      <c r="FPD58" s="41"/>
      <c r="FPE58" s="41"/>
      <c r="FPF58" s="41"/>
      <c r="FPG58" s="41"/>
      <c r="FPH58" s="41"/>
      <c r="FPI58" s="41"/>
      <c r="FPJ58" s="41"/>
      <c r="FPK58" s="41"/>
      <c r="FPL58" s="41"/>
      <c r="FPM58" s="41"/>
      <c r="FPN58" s="41"/>
      <c r="FPO58" s="41"/>
      <c r="FPP58" s="41"/>
      <c r="FPQ58" s="41"/>
      <c r="FPR58" s="41"/>
      <c r="FPS58" s="41"/>
      <c r="FPT58" s="41"/>
      <c r="FPU58" s="41"/>
      <c r="FPV58" s="41"/>
      <c r="FPW58" s="41"/>
      <c r="FPX58" s="41"/>
      <c r="FPY58" s="41"/>
      <c r="FPZ58" s="41"/>
      <c r="FQA58" s="41"/>
      <c r="FQB58" s="41"/>
      <c r="FQC58" s="41"/>
      <c r="FQD58" s="41"/>
      <c r="FQE58" s="41"/>
      <c r="FQF58" s="41"/>
      <c r="FQG58" s="41"/>
      <c r="FQH58" s="41"/>
      <c r="FQI58" s="41"/>
      <c r="FQJ58" s="41"/>
      <c r="FQK58" s="41"/>
      <c r="FQL58" s="41"/>
      <c r="FQM58" s="41"/>
      <c r="FQN58" s="41"/>
      <c r="FQO58" s="41"/>
      <c r="FQP58" s="41"/>
      <c r="FQQ58" s="41"/>
      <c r="FQR58" s="41"/>
      <c r="FQS58" s="41"/>
      <c r="FQT58" s="41"/>
      <c r="FQU58" s="41"/>
      <c r="FQV58" s="41"/>
      <c r="FQW58" s="41"/>
      <c r="FQX58" s="41"/>
      <c r="FQY58" s="41"/>
      <c r="FQZ58" s="41"/>
      <c r="FRA58" s="41"/>
      <c r="FRB58" s="41"/>
      <c r="FRC58" s="41"/>
      <c r="FRD58" s="41"/>
      <c r="FRE58" s="41"/>
      <c r="FRF58" s="41"/>
      <c r="FRG58" s="41"/>
      <c r="FRH58" s="41"/>
      <c r="FRI58" s="41"/>
      <c r="FRJ58" s="41"/>
      <c r="FRK58" s="41"/>
      <c r="FRL58" s="41"/>
      <c r="FRM58" s="41"/>
      <c r="FRN58" s="41"/>
      <c r="FRO58" s="41"/>
      <c r="FRP58" s="41"/>
      <c r="FRQ58" s="41"/>
      <c r="FRR58" s="41"/>
      <c r="FRS58" s="41"/>
      <c r="FRT58" s="41"/>
      <c r="FRU58" s="41"/>
      <c r="FRV58" s="41"/>
      <c r="FRW58" s="41"/>
      <c r="FRX58" s="41"/>
      <c r="FRY58" s="41"/>
      <c r="FRZ58" s="41"/>
      <c r="FSA58" s="41"/>
      <c r="FSB58" s="41"/>
      <c r="FSC58" s="41"/>
      <c r="FSD58" s="41"/>
      <c r="FSE58" s="41"/>
      <c r="FSF58" s="41"/>
      <c r="FSG58" s="41"/>
      <c r="FSH58" s="41"/>
      <c r="FSI58" s="41"/>
      <c r="FSJ58" s="41"/>
      <c r="FSK58" s="41"/>
      <c r="FSL58" s="41"/>
      <c r="FSM58" s="41"/>
      <c r="FSN58" s="41"/>
      <c r="FSO58" s="41"/>
      <c r="FSP58" s="41"/>
      <c r="FSQ58" s="41"/>
      <c r="FSR58" s="41"/>
      <c r="FSS58" s="41"/>
      <c r="FST58" s="41"/>
      <c r="FSU58" s="41"/>
      <c r="FSV58" s="41"/>
      <c r="FSW58" s="41"/>
      <c r="FSX58" s="41"/>
      <c r="FSY58" s="41"/>
      <c r="FSZ58" s="41"/>
      <c r="FTA58" s="41"/>
      <c r="FTB58" s="41"/>
      <c r="FTC58" s="41"/>
      <c r="FTD58" s="41"/>
      <c r="FTE58" s="41"/>
      <c r="FTF58" s="41"/>
      <c r="FTG58" s="41"/>
      <c r="FTH58" s="41"/>
      <c r="FTI58" s="41"/>
      <c r="FTJ58" s="41"/>
      <c r="FTK58" s="41"/>
      <c r="FTL58" s="41"/>
      <c r="FTM58" s="41"/>
      <c r="FTN58" s="41"/>
      <c r="FTO58" s="41"/>
      <c r="FTP58" s="41"/>
      <c r="FTQ58" s="41"/>
      <c r="FTR58" s="41"/>
      <c r="FTS58" s="41"/>
      <c r="FTT58" s="41"/>
      <c r="FTU58" s="41"/>
      <c r="FTV58" s="41"/>
      <c r="FTW58" s="41"/>
      <c r="FTX58" s="41"/>
      <c r="FTY58" s="41"/>
      <c r="FTZ58" s="41"/>
      <c r="FUA58" s="41"/>
      <c r="FUB58" s="41"/>
      <c r="FUC58" s="41"/>
      <c r="FUD58" s="41"/>
      <c r="FUE58" s="41"/>
      <c r="FUF58" s="41"/>
      <c r="FUG58" s="41"/>
      <c r="FUH58" s="41"/>
      <c r="FUI58" s="41"/>
      <c r="FUJ58" s="41"/>
      <c r="FUK58" s="41"/>
      <c r="FUL58" s="41"/>
      <c r="FUM58" s="41"/>
      <c r="FUN58" s="41"/>
      <c r="FUO58" s="41"/>
      <c r="FUP58" s="41"/>
      <c r="FUQ58" s="41"/>
      <c r="FUR58" s="41"/>
      <c r="FUS58" s="41"/>
      <c r="FUT58" s="41"/>
      <c r="FUU58" s="41"/>
      <c r="FUV58" s="41"/>
      <c r="FUW58" s="41"/>
      <c r="FUX58" s="41"/>
      <c r="FUY58" s="41"/>
      <c r="FUZ58" s="41"/>
      <c r="FVA58" s="41"/>
      <c r="FVB58" s="41"/>
      <c r="FVC58" s="41"/>
      <c r="FVD58" s="41"/>
      <c r="FVE58" s="41"/>
      <c r="FVF58" s="41"/>
      <c r="FVG58" s="41"/>
      <c r="FVH58" s="41"/>
      <c r="FVI58" s="41"/>
      <c r="FVJ58" s="41"/>
      <c r="FVK58" s="41"/>
      <c r="FVL58" s="41"/>
      <c r="FVM58" s="41"/>
      <c r="FVN58" s="41"/>
      <c r="FVO58" s="41"/>
      <c r="FVP58" s="41"/>
      <c r="FVQ58" s="41"/>
      <c r="FVR58" s="41"/>
      <c r="FVS58" s="41"/>
      <c r="FVT58" s="41"/>
      <c r="FVU58" s="41"/>
      <c r="FVV58" s="41"/>
      <c r="FVW58" s="41"/>
      <c r="FVX58" s="41"/>
      <c r="FVY58" s="41"/>
      <c r="FVZ58" s="41"/>
      <c r="FWA58" s="41"/>
      <c r="FWB58" s="41"/>
      <c r="FWC58" s="41"/>
      <c r="FWD58" s="41"/>
      <c r="FWE58" s="41"/>
      <c r="FWF58" s="41"/>
      <c r="FWG58" s="41"/>
      <c r="FWH58" s="41"/>
      <c r="FWI58" s="41"/>
      <c r="FWJ58" s="41"/>
      <c r="FWK58" s="41"/>
      <c r="FWL58" s="41"/>
      <c r="FWM58" s="41"/>
      <c r="FWN58" s="41"/>
      <c r="FWO58" s="41"/>
      <c r="FWP58" s="41"/>
      <c r="FWQ58" s="41"/>
      <c r="FWR58" s="41"/>
      <c r="FWS58" s="41"/>
      <c r="FWT58" s="41"/>
      <c r="FWU58" s="41"/>
      <c r="FWV58" s="41"/>
      <c r="FWW58" s="41"/>
      <c r="FWX58" s="41"/>
      <c r="FWY58" s="41"/>
      <c r="FWZ58" s="41"/>
      <c r="FXA58" s="41"/>
      <c r="FXB58" s="41"/>
      <c r="FXC58" s="41"/>
      <c r="FXD58" s="41"/>
      <c r="FXE58" s="41"/>
      <c r="FXF58" s="41"/>
      <c r="FXG58" s="41"/>
      <c r="FXH58" s="41"/>
      <c r="FXI58" s="41"/>
      <c r="FXJ58" s="41"/>
      <c r="FXK58" s="41"/>
      <c r="FXL58" s="41"/>
      <c r="FXM58" s="41"/>
      <c r="FXN58" s="41"/>
      <c r="FXO58" s="41"/>
      <c r="FXP58" s="41"/>
      <c r="FXQ58" s="41"/>
      <c r="FXR58" s="41"/>
      <c r="FXS58" s="41"/>
      <c r="FXT58" s="41"/>
      <c r="FXU58" s="41"/>
      <c r="FXV58" s="41"/>
      <c r="FXW58" s="41"/>
      <c r="FXX58" s="41"/>
      <c r="FXY58" s="41"/>
      <c r="FXZ58" s="41"/>
      <c r="FYA58" s="41"/>
      <c r="FYB58" s="41"/>
      <c r="FYC58" s="41"/>
      <c r="FYD58" s="41"/>
      <c r="FYE58" s="41"/>
      <c r="FYF58" s="41"/>
      <c r="FYG58" s="41"/>
      <c r="FYH58" s="41"/>
      <c r="FYI58" s="41"/>
      <c r="FYJ58" s="41"/>
      <c r="FYK58" s="41"/>
      <c r="FYL58" s="41"/>
      <c r="FYM58" s="41"/>
      <c r="FYN58" s="41"/>
      <c r="FYO58" s="41"/>
      <c r="FYP58" s="41"/>
      <c r="FYQ58" s="41"/>
      <c r="FYR58" s="41"/>
      <c r="FYS58" s="41"/>
      <c r="FYT58" s="41"/>
      <c r="FYU58" s="41"/>
      <c r="FYV58" s="41"/>
      <c r="FYW58" s="41"/>
      <c r="FYX58" s="41"/>
      <c r="FYY58" s="41"/>
      <c r="FYZ58" s="41"/>
      <c r="FZA58" s="41"/>
      <c r="FZB58" s="41"/>
      <c r="FZC58" s="41"/>
      <c r="FZD58" s="41"/>
      <c r="FZE58" s="41"/>
      <c r="FZF58" s="41"/>
      <c r="FZG58" s="41"/>
      <c r="FZH58" s="41"/>
      <c r="FZI58" s="41"/>
      <c r="FZJ58" s="41"/>
      <c r="FZK58" s="41"/>
      <c r="FZL58" s="41"/>
      <c r="FZM58" s="41"/>
      <c r="FZN58" s="41"/>
      <c r="FZO58" s="41"/>
      <c r="FZP58" s="41"/>
      <c r="FZQ58" s="41"/>
      <c r="FZR58" s="41"/>
      <c r="FZS58" s="41"/>
      <c r="FZT58" s="41"/>
      <c r="FZU58" s="41"/>
      <c r="FZV58" s="41"/>
      <c r="FZW58" s="41"/>
      <c r="FZX58" s="41"/>
      <c r="FZY58" s="41"/>
      <c r="FZZ58" s="41"/>
      <c r="GAA58" s="41"/>
      <c r="GAB58" s="41"/>
      <c r="GAC58" s="41"/>
      <c r="GAD58" s="41"/>
      <c r="GAE58" s="41"/>
      <c r="GAF58" s="41"/>
      <c r="GAG58" s="41"/>
      <c r="GAH58" s="41"/>
      <c r="GAI58" s="41"/>
      <c r="GAJ58" s="41"/>
      <c r="GAK58" s="41"/>
      <c r="GAL58" s="41"/>
      <c r="GAM58" s="41"/>
      <c r="GAN58" s="41"/>
      <c r="GAO58" s="41"/>
      <c r="GAP58" s="41"/>
      <c r="GAQ58" s="41"/>
      <c r="GAR58" s="41"/>
      <c r="GAS58" s="41"/>
      <c r="GAT58" s="41"/>
      <c r="GAU58" s="41"/>
      <c r="GAV58" s="41"/>
      <c r="GAW58" s="41"/>
      <c r="GAX58" s="41"/>
      <c r="GAY58" s="41"/>
      <c r="GAZ58" s="41"/>
      <c r="GBA58" s="41"/>
      <c r="GBB58" s="41"/>
      <c r="GBC58" s="41"/>
      <c r="GBD58" s="41"/>
      <c r="GBE58" s="41"/>
      <c r="GBF58" s="41"/>
      <c r="GBG58" s="41"/>
      <c r="GBH58" s="41"/>
      <c r="GBI58" s="41"/>
      <c r="GBJ58" s="41"/>
      <c r="GBK58" s="41"/>
      <c r="GBL58" s="41"/>
      <c r="GBM58" s="41"/>
      <c r="GBN58" s="41"/>
      <c r="GBO58" s="41"/>
      <c r="GBP58" s="41"/>
      <c r="GBQ58" s="41"/>
      <c r="GBR58" s="41"/>
      <c r="GBS58" s="41"/>
      <c r="GBT58" s="41"/>
      <c r="GBU58" s="41"/>
      <c r="GBV58" s="41"/>
      <c r="GBW58" s="41"/>
      <c r="GBX58" s="41"/>
      <c r="GBY58" s="41"/>
      <c r="GBZ58" s="41"/>
      <c r="GCA58" s="41"/>
      <c r="GCB58" s="41"/>
      <c r="GCC58" s="41"/>
      <c r="GCD58" s="41"/>
      <c r="GCE58" s="41"/>
      <c r="GCF58" s="41"/>
      <c r="GCG58" s="41"/>
      <c r="GCH58" s="41"/>
      <c r="GCI58" s="41"/>
      <c r="GCJ58" s="41"/>
      <c r="GCK58" s="41"/>
      <c r="GCL58" s="41"/>
      <c r="GCM58" s="41"/>
      <c r="GCN58" s="41"/>
      <c r="GCO58" s="41"/>
      <c r="GCP58" s="41"/>
      <c r="GCQ58" s="41"/>
      <c r="GCR58" s="41"/>
      <c r="GCS58" s="41"/>
      <c r="GCT58" s="41"/>
      <c r="GCU58" s="41"/>
      <c r="GCV58" s="41"/>
      <c r="GCW58" s="41"/>
      <c r="GCX58" s="41"/>
      <c r="GCY58" s="41"/>
      <c r="GCZ58" s="41"/>
      <c r="GDA58" s="41"/>
      <c r="GDB58" s="41"/>
      <c r="GDC58" s="41"/>
      <c r="GDD58" s="41"/>
      <c r="GDE58" s="41"/>
      <c r="GDF58" s="41"/>
      <c r="GDG58" s="41"/>
      <c r="GDH58" s="41"/>
      <c r="GDI58" s="41"/>
      <c r="GDJ58" s="41"/>
      <c r="GDK58" s="41"/>
      <c r="GDL58" s="41"/>
      <c r="GDM58" s="41"/>
      <c r="GDN58" s="41"/>
      <c r="GDO58" s="41"/>
      <c r="GDP58" s="41"/>
      <c r="GDQ58" s="41"/>
      <c r="GDR58" s="41"/>
      <c r="GDS58" s="41"/>
      <c r="GDT58" s="41"/>
      <c r="GDU58" s="41"/>
      <c r="GDV58" s="41"/>
      <c r="GDW58" s="41"/>
      <c r="GDX58" s="41"/>
      <c r="GDY58" s="41"/>
      <c r="GDZ58" s="41"/>
      <c r="GEA58" s="41"/>
      <c r="GEB58" s="41"/>
      <c r="GEC58" s="41"/>
      <c r="GED58" s="41"/>
      <c r="GEE58" s="41"/>
      <c r="GEF58" s="41"/>
      <c r="GEG58" s="41"/>
      <c r="GEH58" s="41"/>
      <c r="GEI58" s="41"/>
      <c r="GEJ58" s="41"/>
      <c r="GEK58" s="41"/>
      <c r="GEL58" s="41"/>
      <c r="GEM58" s="41"/>
      <c r="GEN58" s="41"/>
      <c r="GEO58" s="41"/>
      <c r="GEP58" s="41"/>
      <c r="GEQ58" s="41"/>
      <c r="GER58" s="41"/>
      <c r="GES58" s="41"/>
      <c r="GET58" s="41"/>
      <c r="GEU58" s="41"/>
      <c r="GEV58" s="41"/>
      <c r="GEW58" s="41"/>
      <c r="GEX58" s="41"/>
      <c r="GEY58" s="41"/>
      <c r="GEZ58" s="41"/>
      <c r="GFA58" s="41"/>
      <c r="GFB58" s="41"/>
      <c r="GFC58" s="41"/>
      <c r="GFD58" s="41"/>
      <c r="GFE58" s="41"/>
      <c r="GFF58" s="41"/>
      <c r="GFG58" s="41"/>
      <c r="GFH58" s="41"/>
      <c r="GFI58" s="41"/>
      <c r="GFJ58" s="41"/>
      <c r="GFK58" s="41"/>
      <c r="GFL58" s="41"/>
      <c r="GFM58" s="41"/>
      <c r="GFN58" s="41"/>
      <c r="GFO58" s="41"/>
      <c r="GFP58" s="41"/>
      <c r="GFQ58" s="41"/>
      <c r="GFR58" s="41"/>
      <c r="GFS58" s="41"/>
      <c r="GFT58" s="41"/>
      <c r="GFU58" s="41"/>
      <c r="GFV58" s="41"/>
      <c r="GFW58" s="41"/>
      <c r="GFX58" s="41"/>
      <c r="GFY58" s="41"/>
      <c r="GFZ58" s="41"/>
      <c r="GGA58" s="41"/>
      <c r="GGB58" s="41"/>
      <c r="GGC58" s="41"/>
      <c r="GGD58" s="41"/>
      <c r="GGE58" s="41"/>
      <c r="GGF58" s="41"/>
      <c r="GGG58" s="41"/>
      <c r="GGH58" s="41"/>
      <c r="GGI58" s="41"/>
      <c r="GGJ58" s="41"/>
      <c r="GGK58" s="41"/>
      <c r="GGL58" s="41"/>
      <c r="GGM58" s="41"/>
      <c r="GGN58" s="41"/>
      <c r="GGO58" s="41"/>
      <c r="GGP58" s="41"/>
      <c r="GGQ58" s="41"/>
      <c r="GGR58" s="41"/>
      <c r="GGS58" s="41"/>
      <c r="GGT58" s="41"/>
      <c r="GGU58" s="41"/>
      <c r="GGV58" s="41"/>
      <c r="GGW58" s="41"/>
      <c r="GGX58" s="41"/>
      <c r="GGY58" s="41"/>
      <c r="GGZ58" s="41"/>
      <c r="GHA58" s="41"/>
      <c r="GHB58" s="41"/>
      <c r="GHC58" s="41"/>
      <c r="GHD58" s="41"/>
      <c r="GHE58" s="41"/>
      <c r="GHF58" s="41"/>
      <c r="GHG58" s="41"/>
      <c r="GHH58" s="41"/>
      <c r="GHI58" s="41"/>
      <c r="GHJ58" s="41"/>
      <c r="GHK58" s="41"/>
      <c r="GHL58" s="41"/>
      <c r="GHM58" s="41"/>
      <c r="GHN58" s="41"/>
      <c r="GHO58" s="41"/>
      <c r="GHP58" s="41"/>
      <c r="GHQ58" s="41"/>
      <c r="GHR58" s="41"/>
      <c r="GHS58" s="41"/>
      <c r="GHT58" s="41"/>
      <c r="GHU58" s="41"/>
      <c r="GHV58" s="41"/>
      <c r="GHW58" s="41"/>
      <c r="GHX58" s="41"/>
      <c r="GHY58" s="41"/>
      <c r="GHZ58" s="41"/>
      <c r="GIA58" s="41"/>
      <c r="GIB58" s="41"/>
      <c r="GIC58" s="41"/>
      <c r="GID58" s="41"/>
      <c r="GIE58" s="41"/>
      <c r="GIF58" s="41"/>
      <c r="GIG58" s="41"/>
      <c r="GIH58" s="41"/>
      <c r="GII58" s="41"/>
      <c r="GIJ58" s="41"/>
      <c r="GIK58" s="41"/>
      <c r="GIL58" s="41"/>
      <c r="GIM58" s="41"/>
      <c r="GIN58" s="41"/>
      <c r="GIO58" s="41"/>
      <c r="GIP58" s="41"/>
      <c r="GIQ58" s="41"/>
      <c r="GIR58" s="41"/>
      <c r="GIS58" s="41"/>
      <c r="GIT58" s="41"/>
      <c r="GIU58" s="41"/>
      <c r="GIV58" s="41"/>
      <c r="GIW58" s="41"/>
      <c r="GIX58" s="41"/>
      <c r="GIY58" s="41"/>
      <c r="GIZ58" s="41"/>
      <c r="GJA58" s="41"/>
      <c r="GJB58" s="41"/>
      <c r="GJC58" s="41"/>
      <c r="GJD58" s="41"/>
      <c r="GJE58" s="41"/>
      <c r="GJF58" s="41"/>
      <c r="GJG58" s="41"/>
      <c r="GJH58" s="41"/>
      <c r="GJI58" s="41"/>
      <c r="GJJ58" s="41"/>
      <c r="GJK58" s="41"/>
      <c r="GJL58" s="41"/>
      <c r="GJM58" s="41"/>
      <c r="GJN58" s="41"/>
      <c r="GJO58" s="41"/>
      <c r="GJP58" s="41"/>
      <c r="GJQ58" s="41"/>
      <c r="GJR58" s="41"/>
      <c r="GJS58" s="41"/>
      <c r="GJT58" s="41"/>
      <c r="GJU58" s="41"/>
      <c r="GJV58" s="41"/>
      <c r="GJW58" s="41"/>
      <c r="GJX58" s="41"/>
      <c r="GJY58" s="41"/>
      <c r="GJZ58" s="41"/>
      <c r="GKA58" s="41"/>
      <c r="GKB58" s="41"/>
      <c r="GKC58" s="41"/>
      <c r="GKD58" s="41"/>
      <c r="GKE58" s="41"/>
      <c r="GKF58" s="41"/>
      <c r="GKG58" s="41"/>
      <c r="GKH58" s="41"/>
      <c r="GKI58" s="41"/>
      <c r="GKJ58" s="41"/>
      <c r="GKK58" s="41"/>
      <c r="GKL58" s="41"/>
      <c r="GKM58" s="41"/>
      <c r="GKN58" s="41"/>
      <c r="GKO58" s="41"/>
      <c r="GKP58" s="41"/>
      <c r="GKQ58" s="41"/>
      <c r="GKR58" s="41"/>
      <c r="GKS58" s="41"/>
      <c r="GKT58" s="41"/>
      <c r="GKU58" s="41"/>
      <c r="GKV58" s="41"/>
      <c r="GKW58" s="41"/>
      <c r="GKX58" s="41"/>
      <c r="GKY58" s="41"/>
      <c r="GKZ58" s="41"/>
      <c r="GLA58" s="41"/>
      <c r="GLB58" s="41"/>
      <c r="GLC58" s="41"/>
      <c r="GLD58" s="41"/>
      <c r="GLE58" s="41"/>
      <c r="GLF58" s="41"/>
      <c r="GLG58" s="41"/>
      <c r="GLH58" s="41"/>
      <c r="GLI58" s="41"/>
      <c r="GLJ58" s="41"/>
      <c r="GLK58" s="41"/>
      <c r="GLL58" s="41"/>
      <c r="GLM58" s="41"/>
      <c r="GLN58" s="41"/>
      <c r="GLO58" s="41"/>
      <c r="GLP58" s="41"/>
      <c r="GLQ58" s="41"/>
      <c r="GLR58" s="41"/>
      <c r="GLS58" s="41"/>
      <c r="GLT58" s="41"/>
      <c r="GLU58" s="41"/>
      <c r="GLV58" s="41"/>
      <c r="GLW58" s="41"/>
      <c r="GLX58" s="41"/>
      <c r="GLY58" s="41"/>
      <c r="GLZ58" s="41"/>
      <c r="GMA58" s="41"/>
      <c r="GMB58" s="41"/>
      <c r="GMC58" s="41"/>
      <c r="GMD58" s="41"/>
      <c r="GME58" s="41"/>
      <c r="GMF58" s="41"/>
      <c r="GMG58" s="41"/>
      <c r="GMH58" s="41"/>
      <c r="GMI58" s="41"/>
      <c r="GMJ58" s="41"/>
      <c r="GMK58" s="41"/>
      <c r="GML58" s="41"/>
      <c r="GMM58" s="41"/>
      <c r="GMN58" s="41"/>
      <c r="GMO58" s="41"/>
      <c r="GMP58" s="41"/>
      <c r="GMQ58" s="41"/>
      <c r="GMR58" s="41"/>
      <c r="GMS58" s="41"/>
      <c r="GMT58" s="41"/>
      <c r="GMU58" s="41"/>
      <c r="GMV58" s="41"/>
      <c r="GMW58" s="41"/>
      <c r="GMX58" s="41"/>
      <c r="GMY58" s="41"/>
      <c r="GMZ58" s="41"/>
      <c r="GNA58" s="41"/>
      <c r="GNB58" s="41"/>
      <c r="GNC58" s="41"/>
      <c r="GND58" s="41"/>
      <c r="GNE58" s="41"/>
      <c r="GNF58" s="41"/>
      <c r="GNG58" s="41"/>
      <c r="GNH58" s="41"/>
      <c r="GNI58" s="41"/>
      <c r="GNJ58" s="41"/>
      <c r="GNK58" s="41"/>
      <c r="GNL58" s="41"/>
      <c r="GNM58" s="41"/>
      <c r="GNN58" s="41"/>
      <c r="GNO58" s="41"/>
      <c r="GNP58" s="41"/>
      <c r="GNQ58" s="41"/>
      <c r="GNR58" s="41"/>
      <c r="GNS58" s="41"/>
      <c r="GNT58" s="41"/>
      <c r="GNU58" s="41"/>
      <c r="GNV58" s="41"/>
      <c r="GNW58" s="41"/>
      <c r="GNX58" s="41"/>
      <c r="GNY58" s="41"/>
      <c r="GNZ58" s="41"/>
      <c r="GOA58" s="41"/>
      <c r="GOB58" s="41"/>
      <c r="GOC58" s="41"/>
      <c r="GOD58" s="41"/>
      <c r="GOE58" s="41"/>
      <c r="GOF58" s="41"/>
      <c r="GOG58" s="41"/>
      <c r="GOH58" s="41"/>
      <c r="GOI58" s="41"/>
      <c r="GOJ58" s="41"/>
      <c r="GOK58" s="41"/>
      <c r="GOL58" s="41"/>
      <c r="GOM58" s="41"/>
      <c r="GON58" s="41"/>
      <c r="GOO58" s="41"/>
      <c r="GOP58" s="41"/>
      <c r="GOQ58" s="41"/>
      <c r="GOR58" s="41"/>
      <c r="GOS58" s="41"/>
      <c r="GOT58" s="41"/>
      <c r="GOU58" s="41"/>
      <c r="GOV58" s="41"/>
      <c r="GOW58" s="41"/>
      <c r="GOX58" s="41"/>
      <c r="GOY58" s="41"/>
      <c r="GOZ58" s="41"/>
      <c r="GPA58" s="41"/>
      <c r="GPB58" s="41"/>
      <c r="GPC58" s="41"/>
      <c r="GPD58" s="41"/>
      <c r="GPE58" s="41"/>
      <c r="GPF58" s="41"/>
      <c r="GPG58" s="41"/>
      <c r="GPH58" s="41"/>
      <c r="GPI58" s="41"/>
      <c r="GPJ58" s="41"/>
      <c r="GPK58" s="41"/>
      <c r="GPL58" s="41"/>
      <c r="GPM58" s="41"/>
      <c r="GPN58" s="41"/>
      <c r="GPO58" s="41"/>
      <c r="GPP58" s="41"/>
      <c r="GPQ58" s="41"/>
      <c r="GPR58" s="41"/>
      <c r="GPS58" s="41"/>
      <c r="GPT58" s="41"/>
      <c r="GPU58" s="41"/>
      <c r="GPV58" s="41"/>
      <c r="GPW58" s="41"/>
      <c r="GPX58" s="41"/>
      <c r="GPY58" s="41"/>
      <c r="GPZ58" s="41"/>
      <c r="GQA58" s="41"/>
      <c r="GQB58" s="41"/>
      <c r="GQC58" s="41"/>
      <c r="GQD58" s="41"/>
      <c r="GQE58" s="41"/>
      <c r="GQF58" s="41"/>
      <c r="GQG58" s="41"/>
      <c r="GQH58" s="41"/>
      <c r="GQI58" s="41"/>
      <c r="GQJ58" s="41"/>
      <c r="GQK58" s="41"/>
      <c r="GQL58" s="41"/>
      <c r="GQM58" s="41"/>
      <c r="GQN58" s="41"/>
      <c r="GQO58" s="41"/>
      <c r="GQP58" s="41"/>
      <c r="GQQ58" s="41"/>
      <c r="GQR58" s="41"/>
      <c r="GQS58" s="41"/>
      <c r="GQT58" s="41"/>
      <c r="GQU58" s="41"/>
      <c r="GQV58" s="41"/>
      <c r="GQW58" s="41"/>
      <c r="GQX58" s="41"/>
      <c r="GQY58" s="41"/>
      <c r="GQZ58" s="41"/>
      <c r="GRA58" s="41"/>
      <c r="GRB58" s="41"/>
      <c r="GRC58" s="41"/>
      <c r="GRD58" s="41"/>
      <c r="GRE58" s="41"/>
      <c r="GRF58" s="41"/>
      <c r="GRG58" s="41"/>
      <c r="GRH58" s="41"/>
      <c r="GRI58" s="41"/>
      <c r="GRJ58" s="41"/>
      <c r="GRK58" s="41"/>
      <c r="GRL58" s="41"/>
      <c r="GRM58" s="41"/>
      <c r="GRN58" s="41"/>
      <c r="GRO58" s="41"/>
      <c r="GRP58" s="41"/>
      <c r="GRQ58" s="41"/>
      <c r="GRR58" s="41"/>
      <c r="GRS58" s="41"/>
      <c r="GRT58" s="41"/>
      <c r="GRU58" s="41"/>
      <c r="GRV58" s="41"/>
      <c r="GRW58" s="41"/>
      <c r="GRX58" s="41"/>
      <c r="GRY58" s="41"/>
      <c r="GRZ58" s="41"/>
      <c r="GSA58" s="41"/>
      <c r="GSB58" s="41"/>
      <c r="GSC58" s="41"/>
      <c r="GSD58" s="41"/>
      <c r="GSE58" s="41"/>
      <c r="GSF58" s="41"/>
      <c r="GSG58" s="41"/>
      <c r="GSH58" s="41"/>
      <c r="GSI58" s="41"/>
      <c r="GSJ58" s="41"/>
      <c r="GSK58" s="41"/>
      <c r="GSL58" s="41"/>
      <c r="GSM58" s="41"/>
      <c r="GSN58" s="41"/>
      <c r="GSO58" s="41"/>
      <c r="GSP58" s="41"/>
      <c r="GSQ58" s="41"/>
      <c r="GSR58" s="41"/>
      <c r="GSS58" s="41"/>
      <c r="GST58" s="41"/>
      <c r="GSU58" s="41"/>
      <c r="GSV58" s="41"/>
      <c r="GSW58" s="41"/>
      <c r="GSX58" s="41"/>
      <c r="GSY58" s="41"/>
      <c r="GSZ58" s="41"/>
      <c r="GTA58" s="41"/>
      <c r="GTB58" s="41"/>
      <c r="GTC58" s="41"/>
      <c r="GTD58" s="41"/>
      <c r="GTE58" s="41"/>
      <c r="GTF58" s="41"/>
      <c r="GTG58" s="41"/>
      <c r="GTH58" s="41"/>
      <c r="GTI58" s="41"/>
      <c r="GTJ58" s="41"/>
      <c r="GTK58" s="41"/>
      <c r="GTL58" s="41"/>
      <c r="GTM58" s="41"/>
      <c r="GTN58" s="41"/>
      <c r="GTO58" s="41"/>
      <c r="GTP58" s="41"/>
      <c r="GTQ58" s="41"/>
      <c r="GTR58" s="41"/>
      <c r="GTS58" s="41"/>
      <c r="GTT58" s="41"/>
      <c r="GTU58" s="41"/>
      <c r="GTV58" s="41"/>
      <c r="GTW58" s="41"/>
      <c r="GTX58" s="41"/>
      <c r="GTY58" s="41"/>
      <c r="GTZ58" s="41"/>
      <c r="GUA58" s="41"/>
      <c r="GUB58" s="41"/>
      <c r="GUC58" s="41"/>
      <c r="GUD58" s="41"/>
      <c r="GUE58" s="41"/>
      <c r="GUF58" s="41"/>
      <c r="GUG58" s="41"/>
      <c r="GUH58" s="41"/>
      <c r="GUI58" s="41"/>
      <c r="GUJ58" s="41"/>
      <c r="GUK58" s="41"/>
      <c r="GUL58" s="41"/>
      <c r="GUM58" s="41"/>
      <c r="GUN58" s="41"/>
      <c r="GUO58" s="41"/>
      <c r="GUP58" s="41"/>
      <c r="GUQ58" s="41"/>
      <c r="GUR58" s="41"/>
      <c r="GUS58" s="41"/>
      <c r="GUT58" s="41"/>
      <c r="GUU58" s="41"/>
      <c r="GUV58" s="41"/>
      <c r="GUW58" s="41"/>
      <c r="GUX58" s="41"/>
      <c r="GUY58" s="41"/>
      <c r="GUZ58" s="41"/>
      <c r="GVA58" s="41"/>
      <c r="GVB58" s="41"/>
      <c r="GVC58" s="41"/>
      <c r="GVD58" s="41"/>
      <c r="GVE58" s="41"/>
      <c r="GVF58" s="41"/>
      <c r="GVG58" s="41"/>
      <c r="GVH58" s="41"/>
      <c r="GVI58" s="41"/>
      <c r="GVJ58" s="41"/>
      <c r="GVK58" s="41"/>
      <c r="GVL58" s="41"/>
      <c r="GVM58" s="41"/>
      <c r="GVN58" s="41"/>
      <c r="GVO58" s="41"/>
      <c r="GVP58" s="41"/>
      <c r="GVQ58" s="41"/>
      <c r="GVR58" s="41"/>
      <c r="GVS58" s="41"/>
      <c r="GVT58" s="41"/>
      <c r="GVU58" s="41"/>
      <c r="GVV58" s="41"/>
      <c r="GVW58" s="41"/>
      <c r="GVX58" s="41"/>
      <c r="GVY58" s="41"/>
      <c r="GVZ58" s="41"/>
      <c r="GWA58" s="41"/>
      <c r="GWB58" s="41"/>
      <c r="GWC58" s="41"/>
      <c r="GWD58" s="41"/>
      <c r="GWE58" s="41"/>
      <c r="GWF58" s="41"/>
      <c r="GWG58" s="41"/>
      <c r="GWH58" s="41"/>
      <c r="GWI58" s="41"/>
      <c r="GWJ58" s="41"/>
      <c r="GWK58" s="41"/>
      <c r="GWL58" s="41"/>
      <c r="GWM58" s="41"/>
      <c r="GWN58" s="41"/>
      <c r="GWO58" s="41"/>
      <c r="GWP58" s="41"/>
      <c r="GWQ58" s="41"/>
      <c r="GWR58" s="41"/>
      <c r="GWS58" s="41"/>
      <c r="GWT58" s="41"/>
      <c r="GWU58" s="41"/>
      <c r="GWV58" s="41"/>
      <c r="GWW58" s="41"/>
      <c r="GWX58" s="41"/>
      <c r="GWY58" s="41"/>
      <c r="GWZ58" s="41"/>
      <c r="GXA58" s="41"/>
      <c r="GXB58" s="41"/>
      <c r="GXC58" s="41"/>
      <c r="GXD58" s="41"/>
      <c r="GXE58" s="41"/>
      <c r="GXF58" s="41"/>
      <c r="GXG58" s="41"/>
      <c r="GXH58" s="41"/>
      <c r="GXI58" s="41"/>
      <c r="GXJ58" s="41"/>
      <c r="GXK58" s="41"/>
      <c r="GXL58" s="41"/>
      <c r="GXM58" s="41"/>
      <c r="GXN58" s="41"/>
      <c r="GXO58" s="41"/>
      <c r="GXP58" s="41"/>
      <c r="GXQ58" s="41"/>
      <c r="GXR58" s="41"/>
      <c r="GXS58" s="41"/>
      <c r="GXT58" s="41"/>
      <c r="GXU58" s="41"/>
      <c r="GXV58" s="41"/>
      <c r="GXW58" s="41"/>
      <c r="GXX58" s="41"/>
      <c r="GXY58" s="41"/>
      <c r="GXZ58" s="41"/>
      <c r="GYA58" s="41"/>
      <c r="GYB58" s="41"/>
      <c r="GYC58" s="41"/>
      <c r="GYD58" s="41"/>
      <c r="GYE58" s="41"/>
      <c r="GYF58" s="41"/>
      <c r="GYG58" s="41"/>
      <c r="GYH58" s="41"/>
      <c r="GYI58" s="41"/>
      <c r="GYJ58" s="41"/>
      <c r="GYK58" s="41"/>
      <c r="GYL58" s="41"/>
      <c r="GYM58" s="41"/>
      <c r="GYN58" s="41"/>
      <c r="GYO58" s="41"/>
      <c r="GYP58" s="41"/>
      <c r="GYQ58" s="41"/>
      <c r="GYR58" s="41"/>
      <c r="GYS58" s="41"/>
      <c r="GYT58" s="41"/>
      <c r="GYU58" s="41"/>
      <c r="GYV58" s="41"/>
      <c r="GYW58" s="41"/>
      <c r="GYX58" s="41"/>
      <c r="GYY58" s="41"/>
      <c r="GYZ58" s="41"/>
      <c r="GZA58" s="41"/>
      <c r="GZB58" s="41"/>
      <c r="GZC58" s="41"/>
      <c r="GZD58" s="41"/>
      <c r="GZE58" s="41"/>
      <c r="GZF58" s="41"/>
      <c r="GZG58" s="41"/>
      <c r="GZH58" s="41"/>
      <c r="GZI58" s="41"/>
      <c r="GZJ58" s="41"/>
      <c r="GZK58" s="41"/>
      <c r="GZL58" s="41"/>
      <c r="GZM58" s="41"/>
      <c r="GZN58" s="41"/>
      <c r="GZO58" s="41"/>
      <c r="GZP58" s="41"/>
      <c r="GZQ58" s="41"/>
      <c r="GZR58" s="41"/>
      <c r="GZS58" s="41"/>
      <c r="GZT58" s="41"/>
      <c r="GZU58" s="41"/>
      <c r="GZV58" s="41"/>
      <c r="GZW58" s="41"/>
      <c r="GZX58" s="41"/>
      <c r="GZY58" s="41"/>
      <c r="GZZ58" s="41"/>
      <c r="HAA58" s="41"/>
      <c r="HAB58" s="41"/>
      <c r="HAC58" s="41"/>
      <c r="HAD58" s="41"/>
      <c r="HAE58" s="41"/>
      <c r="HAF58" s="41"/>
      <c r="HAG58" s="41"/>
      <c r="HAH58" s="41"/>
      <c r="HAI58" s="41"/>
      <c r="HAJ58" s="41"/>
      <c r="HAK58" s="41"/>
      <c r="HAL58" s="41"/>
      <c r="HAM58" s="41"/>
      <c r="HAN58" s="41"/>
      <c r="HAO58" s="41"/>
      <c r="HAP58" s="41"/>
      <c r="HAQ58" s="41"/>
      <c r="HAR58" s="41"/>
      <c r="HAS58" s="41"/>
      <c r="HAT58" s="41"/>
      <c r="HAU58" s="41"/>
      <c r="HAV58" s="41"/>
      <c r="HAW58" s="41"/>
      <c r="HAX58" s="41"/>
      <c r="HAY58" s="41"/>
      <c r="HAZ58" s="41"/>
      <c r="HBA58" s="41"/>
      <c r="HBB58" s="41"/>
      <c r="HBC58" s="41"/>
      <c r="HBD58" s="41"/>
      <c r="HBE58" s="41"/>
      <c r="HBF58" s="41"/>
      <c r="HBG58" s="41"/>
      <c r="HBH58" s="41"/>
      <c r="HBI58" s="41"/>
      <c r="HBJ58" s="41"/>
      <c r="HBK58" s="41"/>
      <c r="HBL58" s="41"/>
      <c r="HBM58" s="41"/>
      <c r="HBN58" s="41"/>
      <c r="HBO58" s="41"/>
      <c r="HBP58" s="41"/>
      <c r="HBQ58" s="41"/>
      <c r="HBR58" s="41"/>
      <c r="HBS58" s="41"/>
      <c r="HBT58" s="41"/>
      <c r="HBU58" s="41"/>
      <c r="HBV58" s="41"/>
      <c r="HBW58" s="41"/>
      <c r="HBX58" s="41"/>
      <c r="HBY58" s="41"/>
      <c r="HBZ58" s="41"/>
      <c r="HCA58" s="41"/>
      <c r="HCB58" s="41"/>
      <c r="HCC58" s="41"/>
      <c r="HCD58" s="41"/>
      <c r="HCE58" s="41"/>
      <c r="HCF58" s="41"/>
      <c r="HCG58" s="41"/>
      <c r="HCH58" s="41"/>
      <c r="HCI58" s="41"/>
      <c r="HCJ58" s="41"/>
      <c r="HCK58" s="41"/>
      <c r="HCL58" s="41"/>
      <c r="HCM58" s="41"/>
      <c r="HCN58" s="41"/>
      <c r="HCO58" s="41"/>
      <c r="HCP58" s="41"/>
      <c r="HCQ58" s="41"/>
      <c r="HCR58" s="41"/>
      <c r="HCS58" s="41"/>
      <c r="HCT58" s="41"/>
      <c r="HCU58" s="41"/>
      <c r="HCV58" s="41"/>
      <c r="HCW58" s="41"/>
      <c r="HCX58" s="41"/>
      <c r="HCY58" s="41"/>
      <c r="HCZ58" s="41"/>
      <c r="HDA58" s="41"/>
      <c r="HDB58" s="41"/>
      <c r="HDC58" s="41"/>
      <c r="HDD58" s="41"/>
      <c r="HDE58" s="41"/>
      <c r="HDF58" s="41"/>
      <c r="HDG58" s="41"/>
      <c r="HDH58" s="41"/>
      <c r="HDI58" s="41"/>
      <c r="HDJ58" s="41"/>
      <c r="HDK58" s="41"/>
      <c r="HDL58" s="41"/>
      <c r="HDM58" s="41"/>
      <c r="HDN58" s="41"/>
      <c r="HDO58" s="41"/>
      <c r="HDP58" s="41"/>
      <c r="HDQ58" s="41"/>
      <c r="HDR58" s="41"/>
      <c r="HDS58" s="41"/>
      <c r="HDT58" s="41"/>
      <c r="HDU58" s="41"/>
      <c r="HDV58" s="41"/>
      <c r="HDW58" s="41"/>
      <c r="HDX58" s="41"/>
      <c r="HDY58" s="41"/>
      <c r="HDZ58" s="41"/>
      <c r="HEA58" s="41"/>
      <c r="HEB58" s="41"/>
      <c r="HEC58" s="41"/>
      <c r="HED58" s="41"/>
      <c r="HEE58" s="41"/>
      <c r="HEF58" s="41"/>
      <c r="HEG58" s="41"/>
      <c r="HEH58" s="41"/>
      <c r="HEI58" s="41"/>
      <c r="HEJ58" s="41"/>
      <c r="HEK58" s="41"/>
      <c r="HEL58" s="41"/>
      <c r="HEM58" s="41"/>
      <c r="HEN58" s="41"/>
      <c r="HEO58" s="41"/>
      <c r="HEP58" s="41"/>
      <c r="HEQ58" s="41"/>
      <c r="HER58" s="41"/>
      <c r="HES58" s="41"/>
      <c r="HET58" s="41"/>
      <c r="HEU58" s="41"/>
      <c r="HEV58" s="41"/>
      <c r="HEW58" s="41"/>
      <c r="HEX58" s="41"/>
      <c r="HEY58" s="41"/>
      <c r="HEZ58" s="41"/>
      <c r="HFA58" s="41"/>
      <c r="HFB58" s="41"/>
      <c r="HFC58" s="41"/>
      <c r="HFD58" s="41"/>
      <c r="HFE58" s="41"/>
      <c r="HFF58" s="41"/>
      <c r="HFG58" s="41"/>
      <c r="HFH58" s="41"/>
      <c r="HFI58" s="41"/>
      <c r="HFJ58" s="41"/>
      <c r="HFK58" s="41"/>
      <c r="HFL58" s="41"/>
      <c r="HFM58" s="41"/>
      <c r="HFN58" s="41"/>
      <c r="HFO58" s="41"/>
      <c r="HFP58" s="41"/>
      <c r="HFQ58" s="41"/>
      <c r="HFR58" s="41"/>
      <c r="HFS58" s="41"/>
      <c r="HFT58" s="41"/>
      <c r="HFU58" s="41"/>
      <c r="HFV58" s="41"/>
      <c r="HFW58" s="41"/>
      <c r="HFX58" s="41"/>
      <c r="HFY58" s="41"/>
      <c r="HFZ58" s="41"/>
      <c r="HGA58" s="41"/>
      <c r="HGB58" s="41"/>
      <c r="HGC58" s="41"/>
      <c r="HGD58" s="41"/>
      <c r="HGE58" s="41"/>
      <c r="HGF58" s="41"/>
      <c r="HGG58" s="41"/>
      <c r="HGH58" s="41"/>
      <c r="HGI58" s="41"/>
      <c r="HGJ58" s="41"/>
      <c r="HGK58" s="41"/>
      <c r="HGL58" s="41"/>
      <c r="HGM58" s="41"/>
      <c r="HGN58" s="41"/>
      <c r="HGO58" s="41"/>
      <c r="HGP58" s="41"/>
      <c r="HGQ58" s="41"/>
      <c r="HGR58" s="41"/>
      <c r="HGS58" s="41"/>
      <c r="HGT58" s="41"/>
      <c r="HGU58" s="41"/>
      <c r="HGV58" s="41"/>
      <c r="HGW58" s="41"/>
      <c r="HGX58" s="41"/>
      <c r="HGY58" s="41"/>
      <c r="HGZ58" s="41"/>
      <c r="HHA58" s="41"/>
      <c r="HHB58" s="41"/>
      <c r="HHC58" s="41"/>
      <c r="HHD58" s="41"/>
      <c r="HHE58" s="41"/>
      <c r="HHF58" s="41"/>
      <c r="HHG58" s="41"/>
      <c r="HHH58" s="41"/>
      <c r="HHI58" s="41"/>
      <c r="HHJ58" s="41"/>
      <c r="HHK58" s="41"/>
      <c r="HHL58" s="41"/>
      <c r="HHM58" s="41"/>
      <c r="HHN58" s="41"/>
      <c r="HHO58" s="41"/>
      <c r="HHP58" s="41"/>
      <c r="HHQ58" s="41"/>
      <c r="HHR58" s="41"/>
      <c r="HHS58" s="41"/>
      <c r="HHT58" s="41"/>
      <c r="HHU58" s="41"/>
      <c r="HHV58" s="41"/>
      <c r="HHW58" s="41"/>
      <c r="HHX58" s="41"/>
      <c r="HHY58" s="41"/>
      <c r="HHZ58" s="41"/>
      <c r="HIA58" s="41"/>
      <c r="HIB58" s="41"/>
      <c r="HIC58" s="41"/>
      <c r="HID58" s="41"/>
      <c r="HIE58" s="41"/>
      <c r="HIF58" s="41"/>
      <c r="HIG58" s="41"/>
      <c r="HIH58" s="41"/>
      <c r="HII58" s="41"/>
      <c r="HIJ58" s="41"/>
      <c r="HIK58" s="41"/>
      <c r="HIL58" s="41"/>
      <c r="HIM58" s="41"/>
      <c r="HIN58" s="41"/>
      <c r="HIO58" s="41"/>
      <c r="HIP58" s="41"/>
      <c r="HIQ58" s="41"/>
      <c r="HIR58" s="41"/>
      <c r="HIS58" s="41"/>
      <c r="HIT58" s="41"/>
      <c r="HIU58" s="41"/>
      <c r="HIV58" s="41"/>
      <c r="HIW58" s="41"/>
      <c r="HIX58" s="41"/>
      <c r="HIY58" s="41"/>
      <c r="HIZ58" s="41"/>
      <c r="HJA58" s="41"/>
      <c r="HJB58" s="41"/>
      <c r="HJC58" s="41"/>
      <c r="HJD58" s="41"/>
      <c r="HJE58" s="41"/>
      <c r="HJF58" s="41"/>
      <c r="HJG58" s="41"/>
      <c r="HJH58" s="41"/>
      <c r="HJI58" s="41"/>
      <c r="HJJ58" s="41"/>
      <c r="HJK58" s="41"/>
      <c r="HJL58" s="41"/>
      <c r="HJM58" s="41"/>
      <c r="HJN58" s="41"/>
      <c r="HJO58" s="41"/>
      <c r="HJP58" s="41"/>
      <c r="HJQ58" s="41"/>
      <c r="HJR58" s="41"/>
      <c r="HJS58" s="41"/>
      <c r="HJT58" s="41"/>
      <c r="HJU58" s="41"/>
      <c r="HJV58" s="41"/>
      <c r="HJW58" s="41"/>
      <c r="HJX58" s="41"/>
      <c r="HJY58" s="41"/>
      <c r="HJZ58" s="41"/>
      <c r="HKA58" s="41"/>
      <c r="HKB58" s="41"/>
      <c r="HKC58" s="41"/>
      <c r="HKD58" s="41"/>
      <c r="HKE58" s="41"/>
      <c r="HKF58" s="41"/>
      <c r="HKG58" s="41"/>
      <c r="HKH58" s="41"/>
      <c r="HKI58" s="41"/>
      <c r="HKJ58" s="41"/>
      <c r="HKK58" s="41"/>
      <c r="HKL58" s="41"/>
      <c r="HKM58" s="41"/>
      <c r="HKN58" s="41"/>
      <c r="HKO58" s="41"/>
      <c r="HKP58" s="41"/>
      <c r="HKQ58" s="41"/>
      <c r="HKR58" s="41"/>
      <c r="HKS58" s="41"/>
      <c r="HKT58" s="41"/>
      <c r="HKU58" s="41"/>
      <c r="HKV58" s="41"/>
      <c r="HKW58" s="41"/>
      <c r="HKX58" s="41"/>
      <c r="HKY58" s="41"/>
      <c r="HKZ58" s="41"/>
      <c r="HLA58" s="41"/>
      <c r="HLB58" s="41"/>
      <c r="HLC58" s="41"/>
      <c r="HLD58" s="41"/>
      <c r="HLE58" s="41"/>
      <c r="HLF58" s="41"/>
      <c r="HLG58" s="41"/>
      <c r="HLH58" s="41"/>
      <c r="HLI58" s="41"/>
      <c r="HLJ58" s="41"/>
      <c r="HLK58" s="41"/>
      <c r="HLL58" s="41"/>
      <c r="HLM58" s="41"/>
      <c r="HLN58" s="41"/>
      <c r="HLO58" s="41"/>
      <c r="HLP58" s="41"/>
      <c r="HLQ58" s="41"/>
      <c r="HLR58" s="41"/>
      <c r="HLS58" s="41"/>
      <c r="HLT58" s="41"/>
      <c r="HLU58" s="41"/>
      <c r="HLV58" s="41"/>
      <c r="HLW58" s="41"/>
      <c r="HLX58" s="41"/>
      <c r="HLY58" s="41"/>
      <c r="HLZ58" s="41"/>
      <c r="HMA58" s="41"/>
      <c r="HMB58" s="41"/>
      <c r="HMC58" s="41"/>
      <c r="HMD58" s="41"/>
      <c r="HME58" s="41"/>
      <c r="HMF58" s="41"/>
      <c r="HMG58" s="41"/>
      <c r="HMH58" s="41"/>
      <c r="HMI58" s="41"/>
      <c r="HMJ58" s="41"/>
      <c r="HMK58" s="41"/>
      <c r="HML58" s="41"/>
      <c r="HMM58" s="41"/>
      <c r="HMN58" s="41"/>
      <c r="HMO58" s="41"/>
      <c r="HMP58" s="41"/>
      <c r="HMQ58" s="41"/>
      <c r="HMR58" s="41"/>
      <c r="HMS58" s="41"/>
      <c r="HMT58" s="41"/>
      <c r="HMU58" s="41"/>
      <c r="HMV58" s="41"/>
      <c r="HMW58" s="41"/>
      <c r="HMX58" s="41"/>
      <c r="HMY58" s="41"/>
      <c r="HMZ58" s="41"/>
      <c r="HNA58" s="41"/>
      <c r="HNB58" s="41"/>
      <c r="HNC58" s="41"/>
      <c r="HND58" s="41"/>
      <c r="HNE58" s="41"/>
      <c r="HNF58" s="41"/>
      <c r="HNG58" s="41"/>
      <c r="HNH58" s="41"/>
      <c r="HNI58" s="41"/>
      <c r="HNJ58" s="41"/>
      <c r="HNK58" s="41"/>
      <c r="HNL58" s="41"/>
      <c r="HNM58" s="41"/>
      <c r="HNN58" s="41"/>
      <c r="HNO58" s="41"/>
      <c r="HNP58" s="41"/>
      <c r="HNQ58" s="41"/>
      <c r="HNR58" s="41"/>
      <c r="HNS58" s="41"/>
      <c r="HNT58" s="41"/>
      <c r="HNU58" s="41"/>
      <c r="HNV58" s="41"/>
      <c r="HNW58" s="41"/>
      <c r="HNX58" s="41"/>
      <c r="HNY58" s="41"/>
      <c r="HNZ58" s="41"/>
      <c r="HOA58" s="41"/>
      <c r="HOB58" s="41"/>
      <c r="HOC58" s="41"/>
      <c r="HOD58" s="41"/>
      <c r="HOE58" s="41"/>
      <c r="HOF58" s="41"/>
      <c r="HOG58" s="41"/>
      <c r="HOH58" s="41"/>
      <c r="HOI58" s="41"/>
      <c r="HOJ58" s="41"/>
      <c r="HOK58" s="41"/>
      <c r="HOL58" s="41"/>
      <c r="HOM58" s="41"/>
      <c r="HON58" s="41"/>
      <c r="HOO58" s="41"/>
      <c r="HOP58" s="41"/>
      <c r="HOQ58" s="41"/>
      <c r="HOR58" s="41"/>
      <c r="HOS58" s="41"/>
      <c r="HOT58" s="41"/>
      <c r="HOU58" s="41"/>
      <c r="HOV58" s="41"/>
      <c r="HOW58" s="41"/>
      <c r="HOX58" s="41"/>
      <c r="HOY58" s="41"/>
      <c r="HOZ58" s="41"/>
      <c r="HPA58" s="41"/>
      <c r="HPB58" s="41"/>
      <c r="HPC58" s="41"/>
      <c r="HPD58" s="41"/>
      <c r="HPE58" s="41"/>
      <c r="HPF58" s="41"/>
      <c r="HPG58" s="41"/>
      <c r="HPH58" s="41"/>
      <c r="HPI58" s="41"/>
      <c r="HPJ58" s="41"/>
      <c r="HPK58" s="41"/>
      <c r="HPL58" s="41"/>
      <c r="HPM58" s="41"/>
      <c r="HPN58" s="41"/>
      <c r="HPO58" s="41"/>
      <c r="HPP58" s="41"/>
      <c r="HPQ58" s="41"/>
      <c r="HPR58" s="41"/>
      <c r="HPS58" s="41"/>
      <c r="HPT58" s="41"/>
      <c r="HPU58" s="41"/>
      <c r="HPV58" s="41"/>
      <c r="HPW58" s="41"/>
      <c r="HPX58" s="41"/>
      <c r="HPY58" s="41"/>
      <c r="HPZ58" s="41"/>
      <c r="HQA58" s="41"/>
      <c r="HQB58" s="41"/>
      <c r="HQC58" s="41"/>
      <c r="HQD58" s="41"/>
      <c r="HQE58" s="41"/>
      <c r="HQF58" s="41"/>
      <c r="HQG58" s="41"/>
      <c r="HQH58" s="41"/>
      <c r="HQI58" s="41"/>
      <c r="HQJ58" s="41"/>
      <c r="HQK58" s="41"/>
      <c r="HQL58" s="41"/>
      <c r="HQM58" s="41"/>
      <c r="HQN58" s="41"/>
      <c r="HQO58" s="41"/>
      <c r="HQP58" s="41"/>
      <c r="HQQ58" s="41"/>
      <c r="HQR58" s="41"/>
      <c r="HQS58" s="41"/>
      <c r="HQT58" s="41"/>
      <c r="HQU58" s="41"/>
      <c r="HQV58" s="41"/>
      <c r="HQW58" s="41"/>
      <c r="HQX58" s="41"/>
      <c r="HQY58" s="41"/>
      <c r="HQZ58" s="41"/>
      <c r="HRA58" s="41"/>
      <c r="HRB58" s="41"/>
      <c r="HRC58" s="41"/>
      <c r="HRD58" s="41"/>
      <c r="HRE58" s="41"/>
      <c r="HRF58" s="41"/>
      <c r="HRG58" s="41"/>
      <c r="HRH58" s="41"/>
      <c r="HRI58" s="41"/>
      <c r="HRJ58" s="41"/>
      <c r="HRK58" s="41"/>
      <c r="HRL58" s="41"/>
      <c r="HRM58" s="41"/>
      <c r="HRN58" s="41"/>
      <c r="HRO58" s="41"/>
      <c r="HRP58" s="41"/>
      <c r="HRQ58" s="41"/>
      <c r="HRR58" s="41"/>
      <c r="HRS58" s="41"/>
      <c r="HRT58" s="41"/>
      <c r="HRU58" s="41"/>
      <c r="HRV58" s="41"/>
      <c r="HRW58" s="41"/>
      <c r="HRX58" s="41"/>
      <c r="HRY58" s="41"/>
      <c r="HRZ58" s="41"/>
      <c r="HSA58" s="41"/>
      <c r="HSB58" s="41"/>
      <c r="HSC58" s="41"/>
      <c r="HSD58" s="41"/>
      <c r="HSE58" s="41"/>
      <c r="HSF58" s="41"/>
      <c r="HSG58" s="41"/>
      <c r="HSH58" s="41"/>
      <c r="HSI58" s="41"/>
      <c r="HSJ58" s="41"/>
      <c r="HSK58" s="41"/>
      <c r="HSL58" s="41"/>
      <c r="HSM58" s="41"/>
      <c r="HSN58" s="41"/>
      <c r="HSO58" s="41"/>
      <c r="HSP58" s="41"/>
      <c r="HSQ58" s="41"/>
      <c r="HSR58" s="41"/>
      <c r="HSS58" s="41"/>
      <c r="HST58" s="41"/>
      <c r="HSU58" s="41"/>
      <c r="HSV58" s="41"/>
      <c r="HSW58" s="41"/>
      <c r="HSX58" s="41"/>
      <c r="HSY58" s="41"/>
      <c r="HSZ58" s="41"/>
      <c r="HTA58" s="41"/>
      <c r="HTB58" s="41"/>
      <c r="HTC58" s="41"/>
      <c r="HTD58" s="41"/>
      <c r="HTE58" s="41"/>
      <c r="HTF58" s="41"/>
      <c r="HTG58" s="41"/>
      <c r="HTH58" s="41"/>
      <c r="HTI58" s="41"/>
      <c r="HTJ58" s="41"/>
      <c r="HTK58" s="41"/>
      <c r="HTL58" s="41"/>
      <c r="HTM58" s="41"/>
      <c r="HTN58" s="41"/>
      <c r="HTO58" s="41"/>
      <c r="HTP58" s="41"/>
      <c r="HTQ58" s="41"/>
      <c r="HTR58" s="41"/>
      <c r="HTS58" s="41"/>
      <c r="HTT58" s="41"/>
      <c r="HTU58" s="41"/>
      <c r="HTV58" s="41"/>
      <c r="HTW58" s="41"/>
      <c r="HTX58" s="41"/>
      <c r="HTY58" s="41"/>
      <c r="HTZ58" s="41"/>
      <c r="HUA58" s="41"/>
      <c r="HUB58" s="41"/>
      <c r="HUC58" s="41"/>
      <c r="HUD58" s="41"/>
      <c r="HUE58" s="41"/>
      <c r="HUF58" s="41"/>
      <c r="HUG58" s="41"/>
      <c r="HUH58" s="41"/>
      <c r="HUI58" s="41"/>
      <c r="HUJ58" s="41"/>
      <c r="HUK58" s="41"/>
      <c r="HUL58" s="41"/>
      <c r="HUM58" s="41"/>
      <c r="HUN58" s="41"/>
      <c r="HUO58" s="41"/>
      <c r="HUP58" s="41"/>
      <c r="HUQ58" s="41"/>
      <c r="HUR58" s="41"/>
      <c r="HUS58" s="41"/>
      <c r="HUT58" s="41"/>
      <c r="HUU58" s="41"/>
      <c r="HUV58" s="41"/>
      <c r="HUW58" s="41"/>
      <c r="HUX58" s="41"/>
      <c r="HUY58" s="41"/>
      <c r="HUZ58" s="41"/>
      <c r="HVA58" s="41"/>
      <c r="HVB58" s="41"/>
      <c r="HVC58" s="41"/>
      <c r="HVD58" s="41"/>
      <c r="HVE58" s="41"/>
      <c r="HVF58" s="41"/>
      <c r="HVG58" s="41"/>
      <c r="HVH58" s="41"/>
      <c r="HVI58" s="41"/>
      <c r="HVJ58" s="41"/>
      <c r="HVK58" s="41"/>
      <c r="HVL58" s="41"/>
      <c r="HVM58" s="41"/>
      <c r="HVN58" s="41"/>
      <c r="HVO58" s="41"/>
      <c r="HVP58" s="41"/>
      <c r="HVQ58" s="41"/>
      <c r="HVR58" s="41"/>
      <c r="HVS58" s="41"/>
      <c r="HVT58" s="41"/>
      <c r="HVU58" s="41"/>
      <c r="HVV58" s="41"/>
      <c r="HVW58" s="41"/>
      <c r="HVX58" s="41"/>
      <c r="HVY58" s="41"/>
      <c r="HVZ58" s="41"/>
      <c r="HWA58" s="41"/>
      <c r="HWB58" s="41"/>
      <c r="HWC58" s="41"/>
      <c r="HWD58" s="41"/>
      <c r="HWE58" s="41"/>
      <c r="HWF58" s="41"/>
      <c r="HWG58" s="41"/>
      <c r="HWH58" s="41"/>
      <c r="HWI58" s="41"/>
      <c r="HWJ58" s="41"/>
      <c r="HWK58" s="41"/>
      <c r="HWL58" s="41"/>
      <c r="HWM58" s="41"/>
      <c r="HWN58" s="41"/>
      <c r="HWO58" s="41"/>
      <c r="HWP58" s="41"/>
      <c r="HWQ58" s="41"/>
      <c r="HWR58" s="41"/>
      <c r="HWS58" s="41"/>
      <c r="HWT58" s="41"/>
      <c r="HWU58" s="41"/>
      <c r="HWV58" s="41"/>
      <c r="HWW58" s="41"/>
      <c r="HWX58" s="41"/>
      <c r="HWY58" s="41"/>
      <c r="HWZ58" s="41"/>
      <c r="HXA58" s="41"/>
      <c r="HXB58" s="41"/>
      <c r="HXC58" s="41"/>
      <c r="HXD58" s="41"/>
      <c r="HXE58" s="41"/>
      <c r="HXF58" s="41"/>
      <c r="HXG58" s="41"/>
      <c r="HXH58" s="41"/>
      <c r="HXI58" s="41"/>
      <c r="HXJ58" s="41"/>
      <c r="HXK58" s="41"/>
      <c r="HXL58" s="41"/>
      <c r="HXM58" s="41"/>
      <c r="HXN58" s="41"/>
      <c r="HXO58" s="41"/>
      <c r="HXP58" s="41"/>
      <c r="HXQ58" s="41"/>
      <c r="HXR58" s="41"/>
      <c r="HXS58" s="41"/>
      <c r="HXT58" s="41"/>
      <c r="HXU58" s="41"/>
      <c r="HXV58" s="41"/>
      <c r="HXW58" s="41"/>
      <c r="HXX58" s="41"/>
      <c r="HXY58" s="41"/>
      <c r="HXZ58" s="41"/>
      <c r="HYA58" s="41"/>
      <c r="HYB58" s="41"/>
      <c r="HYC58" s="41"/>
      <c r="HYD58" s="41"/>
      <c r="HYE58" s="41"/>
      <c r="HYF58" s="41"/>
      <c r="HYG58" s="41"/>
      <c r="HYH58" s="41"/>
      <c r="HYI58" s="41"/>
      <c r="HYJ58" s="41"/>
      <c r="HYK58" s="41"/>
      <c r="HYL58" s="41"/>
      <c r="HYM58" s="41"/>
      <c r="HYN58" s="41"/>
      <c r="HYO58" s="41"/>
      <c r="HYP58" s="41"/>
      <c r="HYQ58" s="41"/>
      <c r="HYR58" s="41"/>
      <c r="HYS58" s="41"/>
      <c r="HYT58" s="41"/>
      <c r="HYU58" s="41"/>
      <c r="HYV58" s="41"/>
      <c r="HYW58" s="41"/>
      <c r="HYX58" s="41"/>
      <c r="HYY58" s="41"/>
      <c r="HYZ58" s="41"/>
      <c r="HZA58" s="41"/>
      <c r="HZB58" s="41"/>
      <c r="HZC58" s="41"/>
      <c r="HZD58" s="41"/>
      <c r="HZE58" s="41"/>
      <c r="HZF58" s="41"/>
      <c r="HZG58" s="41"/>
      <c r="HZH58" s="41"/>
      <c r="HZI58" s="41"/>
      <c r="HZJ58" s="41"/>
      <c r="HZK58" s="41"/>
      <c r="HZL58" s="41"/>
      <c r="HZM58" s="41"/>
      <c r="HZN58" s="41"/>
      <c r="HZO58" s="41"/>
      <c r="HZP58" s="41"/>
      <c r="HZQ58" s="41"/>
      <c r="HZR58" s="41"/>
      <c r="HZS58" s="41"/>
      <c r="HZT58" s="41"/>
      <c r="HZU58" s="41"/>
      <c r="HZV58" s="41"/>
      <c r="HZW58" s="41"/>
      <c r="HZX58" s="41"/>
      <c r="HZY58" s="41"/>
      <c r="HZZ58" s="41"/>
      <c r="IAA58" s="41"/>
      <c r="IAB58" s="41"/>
      <c r="IAC58" s="41"/>
      <c r="IAD58" s="41"/>
      <c r="IAE58" s="41"/>
      <c r="IAF58" s="41"/>
      <c r="IAG58" s="41"/>
      <c r="IAH58" s="41"/>
      <c r="IAI58" s="41"/>
      <c r="IAJ58" s="41"/>
      <c r="IAK58" s="41"/>
      <c r="IAL58" s="41"/>
      <c r="IAM58" s="41"/>
      <c r="IAN58" s="41"/>
      <c r="IAO58" s="41"/>
      <c r="IAP58" s="41"/>
      <c r="IAQ58" s="41"/>
      <c r="IAR58" s="41"/>
      <c r="IAS58" s="41"/>
      <c r="IAT58" s="41"/>
      <c r="IAU58" s="41"/>
      <c r="IAV58" s="41"/>
      <c r="IAW58" s="41"/>
      <c r="IAX58" s="41"/>
      <c r="IAY58" s="41"/>
      <c r="IAZ58" s="41"/>
      <c r="IBA58" s="41"/>
      <c r="IBB58" s="41"/>
      <c r="IBC58" s="41"/>
      <c r="IBD58" s="41"/>
      <c r="IBE58" s="41"/>
      <c r="IBF58" s="41"/>
      <c r="IBG58" s="41"/>
      <c r="IBH58" s="41"/>
      <c r="IBI58" s="41"/>
      <c r="IBJ58" s="41"/>
      <c r="IBK58" s="41"/>
      <c r="IBL58" s="41"/>
      <c r="IBM58" s="41"/>
      <c r="IBN58" s="41"/>
      <c r="IBO58" s="41"/>
      <c r="IBP58" s="41"/>
      <c r="IBQ58" s="41"/>
      <c r="IBR58" s="41"/>
      <c r="IBS58" s="41"/>
      <c r="IBT58" s="41"/>
      <c r="IBU58" s="41"/>
      <c r="IBV58" s="41"/>
      <c r="IBW58" s="41"/>
      <c r="IBX58" s="41"/>
      <c r="IBY58" s="41"/>
      <c r="IBZ58" s="41"/>
      <c r="ICA58" s="41"/>
      <c r="ICB58" s="41"/>
      <c r="ICC58" s="41"/>
      <c r="ICD58" s="41"/>
      <c r="ICE58" s="41"/>
      <c r="ICF58" s="41"/>
      <c r="ICG58" s="41"/>
      <c r="ICH58" s="41"/>
      <c r="ICI58" s="41"/>
      <c r="ICJ58" s="41"/>
      <c r="ICK58" s="41"/>
      <c r="ICL58" s="41"/>
      <c r="ICM58" s="41"/>
      <c r="ICN58" s="41"/>
      <c r="ICO58" s="41"/>
      <c r="ICP58" s="41"/>
      <c r="ICQ58" s="41"/>
      <c r="ICR58" s="41"/>
      <c r="ICS58" s="41"/>
      <c r="ICT58" s="41"/>
      <c r="ICU58" s="41"/>
      <c r="ICV58" s="41"/>
      <c r="ICW58" s="41"/>
      <c r="ICX58" s="41"/>
      <c r="ICY58" s="41"/>
      <c r="ICZ58" s="41"/>
      <c r="IDA58" s="41"/>
      <c r="IDB58" s="41"/>
      <c r="IDC58" s="41"/>
      <c r="IDD58" s="41"/>
      <c r="IDE58" s="41"/>
      <c r="IDF58" s="41"/>
      <c r="IDG58" s="41"/>
      <c r="IDH58" s="41"/>
      <c r="IDI58" s="41"/>
      <c r="IDJ58" s="41"/>
      <c r="IDK58" s="41"/>
      <c r="IDL58" s="41"/>
      <c r="IDM58" s="41"/>
      <c r="IDN58" s="41"/>
      <c r="IDO58" s="41"/>
      <c r="IDP58" s="41"/>
      <c r="IDQ58" s="41"/>
      <c r="IDR58" s="41"/>
      <c r="IDS58" s="41"/>
      <c r="IDT58" s="41"/>
      <c r="IDU58" s="41"/>
      <c r="IDV58" s="41"/>
      <c r="IDW58" s="41"/>
      <c r="IDX58" s="41"/>
      <c r="IDY58" s="41"/>
      <c r="IDZ58" s="41"/>
      <c r="IEA58" s="41"/>
      <c r="IEB58" s="41"/>
      <c r="IEC58" s="41"/>
      <c r="IED58" s="41"/>
      <c r="IEE58" s="41"/>
      <c r="IEF58" s="41"/>
      <c r="IEG58" s="41"/>
      <c r="IEH58" s="41"/>
      <c r="IEI58" s="41"/>
      <c r="IEJ58" s="41"/>
      <c r="IEK58" s="41"/>
      <c r="IEL58" s="41"/>
      <c r="IEM58" s="41"/>
      <c r="IEN58" s="41"/>
      <c r="IEO58" s="41"/>
      <c r="IEP58" s="41"/>
      <c r="IEQ58" s="41"/>
      <c r="IER58" s="41"/>
      <c r="IES58" s="41"/>
      <c r="IET58" s="41"/>
      <c r="IEU58" s="41"/>
      <c r="IEV58" s="41"/>
      <c r="IEW58" s="41"/>
      <c r="IEX58" s="41"/>
      <c r="IEY58" s="41"/>
      <c r="IEZ58" s="41"/>
      <c r="IFA58" s="41"/>
      <c r="IFB58" s="41"/>
      <c r="IFC58" s="41"/>
      <c r="IFD58" s="41"/>
      <c r="IFE58" s="41"/>
      <c r="IFF58" s="41"/>
      <c r="IFG58" s="41"/>
      <c r="IFH58" s="41"/>
      <c r="IFI58" s="41"/>
      <c r="IFJ58" s="41"/>
      <c r="IFK58" s="41"/>
      <c r="IFL58" s="41"/>
      <c r="IFM58" s="41"/>
      <c r="IFN58" s="41"/>
      <c r="IFO58" s="41"/>
      <c r="IFP58" s="41"/>
      <c r="IFQ58" s="41"/>
      <c r="IFR58" s="41"/>
      <c r="IFS58" s="41"/>
      <c r="IFT58" s="41"/>
      <c r="IFU58" s="41"/>
      <c r="IFV58" s="41"/>
      <c r="IFW58" s="41"/>
      <c r="IFX58" s="41"/>
      <c r="IFY58" s="41"/>
      <c r="IFZ58" s="41"/>
      <c r="IGA58" s="41"/>
      <c r="IGB58" s="41"/>
      <c r="IGC58" s="41"/>
      <c r="IGD58" s="41"/>
      <c r="IGE58" s="41"/>
      <c r="IGF58" s="41"/>
      <c r="IGG58" s="41"/>
      <c r="IGH58" s="41"/>
      <c r="IGI58" s="41"/>
      <c r="IGJ58" s="41"/>
      <c r="IGK58" s="41"/>
      <c r="IGL58" s="41"/>
      <c r="IGM58" s="41"/>
      <c r="IGN58" s="41"/>
      <c r="IGO58" s="41"/>
      <c r="IGP58" s="41"/>
      <c r="IGQ58" s="41"/>
      <c r="IGR58" s="41"/>
      <c r="IGS58" s="41"/>
      <c r="IGT58" s="41"/>
      <c r="IGU58" s="41"/>
      <c r="IGV58" s="41"/>
      <c r="IGW58" s="41"/>
      <c r="IGX58" s="41"/>
      <c r="IGY58" s="41"/>
      <c r="IGZ58" s="41"/>
      <c r="IHA58" s="41"/>
      <c r="IHB58" s="41"/>
      <c r="IHC58" s="41"/>
      <c r="IHD58" s="41"/>
      <c r="IHE58" s="41"/>
      <c r="IHF58" s="41"/>
      <c r="IHG58" s="41"/>
      <c r="IHH58" s="41"/>
      <c r="IHI58" s="41"/>
      <c r="IHJ58" s="41"/>
      <c r="IHK58" s="41"/>
      <c r="IHL58" s="41"/>
      <c r="IHM58" s="41"/>
      <c r="IHN58" s="41"/>
      <c r="IHO58" s="41"/>
      <c r="IHP58" s="41"/>
      <c r="IHQ58" s="41"/>
      <c r="IHR58" s="41"/>
      <c r="IHS58" s="41"/>
      <c r="IHT58" s="41"/>
      <c r="IHU58" s="41"/>
      <c r="IHV58" s="41"/>
      <c r="IHW58" s="41"/>
      <c r="IHX58" s="41"/>
      <c r="IHY58" s="41"/>
      <c r="IHZ58" s="41"/>
      <c r="IIA58" s="41"/>
      <c r="IIB58" s="41"/>
      <c r="IIC58" s="41"/>
      <c r="IID58" s="41"/>
      <c r="IIE58" s="41"/>
      <c r="IIF58" s="41"/>
      <c r="IIG58" s="41"/>
      <c r="IIH58" s="41"/>
      <c r="III58" s="41"/>
      <c r="IIJ58" s="41"/>
      <c r="IIK58" s="41"/>
      <c r="IIL58" s="41"/>
      <c r="IIM58" s="41"/>
      <c r="IIN58" s="41"/>
      <c r="IIO58" s="41"/>
      <c r="IIP58" s="41"/>
      <c r="IIQ58" s="41"/>
      <c r="IIR58" s="41"/>
      <c r="IIS58" s="41"/>
      <c r="IIT58" s="41"/>
      <c r="IIU58" s="41"/>
      <c r="IIV58" s="41"/>
      <c r="IIW58" s="41"/>
      <c r="IIX58" s="41"/>
      <c r="IIY58" s="41"/>
      <c r="IIZ58" s="41"/>
      <c r="IJA58" s="41"/>
      <c r="IJB58" s="41"/>
      <c r="IJC58" s="41"/>
      <c r="IJD58" s="41"/>
      <c r="IJE58" s="41"/>
      <c r="IJF58" s="41"/>
      <c r="IJG58" s="41"/>
      <c r="IJH58" s="41"/>
      <c r="IJI58" s="41"/>
      <c r="IJJ58" s="41"/>
      <c r="IJK58" s="41"/>
      <c r="IJL58" s="41"/>
      <c r="IJM58" s="41"/>
      <c r="IJN58" s="41"/>
      <c r="IJO58" s="41"/>
      <c r="IJP58" s="41"/>
      <c r="IJQ58" s="41"/>
      <c r="IJR58" s="41"/>
      <c r="IJS58" s="41"/>
      <c r="IJT58" s="41"/>
      <c r="IJU58" s="41"/>
      <c r="IJV58" s="41"/>
      <c r="IJW58" s="41"/>
      <c r="IJX58" s="41"/>
      <c r="IJY58" s="41"/>
      <c r="IJZ58" s="41"/>
      <c r="IKA58" s="41"/>
      <c r="IKB58" s="41"/>
      <c r="IKC58" s="41"/>
      <c r="IKD58" s="41"/>
      <c r="IKE58" s="41"/>
      <c r="IKF58" s="41"/>
      <c r="IKG58" s="41"/>
      <c r="IKH58" s="41"/>
      <c r="IKI58" s="41"/>
      <c r="IKJ58" s="41"/>
      <c r="IKK58" s="41"/>
      <c r="IKL58" s="41"/>
      <c r="IKM58" s="41"/>
      <c r="IKN58" s="41"/>
      <c r="IKO58" s="41"/>
      <c r="IKP58" s="41"/>
      <c r="IKQ58" s="41"/>
      <c r="IKR58" s="41"/>
      <c r="IKS58" s="41"/>
      <c r="IKT58" s="41"/>
      <c r="IKU58" s="41"/>
      <c r="IKV58" s="41"/>
      <c r="IKW58" s="41"/>
      <c r="IKX58" s="41"/>
      <c r="IKY58" s="41"/>
      <c r="IKZ58" s="41"/>
      <c r="ILA58" s="41"/>
      <c r="ILB58" s="41"/>
      <c r="ILC58" s="41"/>
      <c r="ILD58" s="41"/>
      <c r="ILE58" s="41"/>
      <c r="ILF58" s="41"/>
      <c r="ILG58" s="41"/>
      <c r="ILH58" s="41"/>
      <c r="ILI58" s="41"/>
      <c r="ILJ58" s="41"/>
      <c r="ILK58" s="41"/>
      <c r="ILL58" s="41"/>
      <c r="ILM58" s="41"/>
      <c r="ILN58" s="41"/>
      <c r="ILO58" s="41"/>
      <c r="ILP58" s="41"/>
      <c r="ILQ58" s="41"/>
      <c r="ILR58" s="41"/>
      <c r="ILS58" s="41"/>
      <c r="ILT58" s="41"/>
      <c r="ILU58" s="41"/>
      <c r="ILV58" s="41"/>
      <c r="ILW58" s="41"/>
      <c r="ILX58" s="41"/>
      <c r="ILY58" s="41"/>
      <c r="ILZ58" s="41"/>
      <c r="IMA58" s="41"/>
      <c r="IMB58" s="41"/>
      <c r="IMC58" s="41"/>
      <c r="IMD58" s="41"/>
      <c r="IME58" s="41"/>
      <c r="IMF58" s="41"/>
      <c r="IMG58" s="41"/>
      <c r="IMH58" s="41"/>
      <c r="IMI58" s="41"/>
      <c r="IMJ58" s="41"/>
      <c r="IMK58" s="41"/>
      <c r="IML58" s="41"/>
      <c r="IMM58" s="41"/>
      <c r="IMN58" s="41"/>
      <c r="IMO58" s="41"/>
      <c r="IMP58" s="41"/>
      <c r="IMQ58" s="41"/>
      <c r="IMR58" s="41"/>
      <c r="IMS58" s="41"/>
      <c r="IMT58" s="41"/>
      <c r="IMU58" s="41"/>
      <c r="IMV58" s="41"/>
      <c r="IMW58" s="41"/>
      <c r="IMX58" s="41"/>
      <c r="IMY58" s="41"/>
      <c r="IMZ58" s="41"/>
      <c r="INA58" s="41"/>
      <c r="INB58" s="41"/>
      <c r="INC58" s="41"/>
      <c r="IND58" s="41"/>
      <c r="INE58" s="41"/>
      <c r="INF58" s="41"/>
      <c r="ING58" s="41"/>
      <c r="INH58" s="41"/>
      <c r="INI58" s="41"/>
      <c r="INJ58" s="41"/>
      <c r="INK58" s="41"/>
      <c r="INL58" s="41"/>
      <c r="INM58" s="41"/>
      <c r="INN58" s="41"/>
      <c r="INO58" s="41"/>
      <c r="INP58" s="41"/>
      <c r="INQ58" s="41"/>
      <c r="INR58" s="41"/>
      <c r="INS58" s="41"/>
      <c r="INT58" s="41"/>
      <c r="INU58" s="41"/>
      <c r="INV58" s="41"/>
      <c r="INW58" s="41"/>
      <c r="INX58" s="41"/>
      <c r="INY58" s="41"/>
      <c r="INZ58" s="41"/>
      <c r="IOA58" s="41"/>
      <c r="IOB58" s="41"/>
      <c r="IOC58" s="41"/>
      <c r="IOD58" s="41"/>
      <c r="IOE58" s="41"/>
      <c r="IOF58" s="41"/>
      <c r="IOG58" s="41"/>
      <c r="IOH58" s="41"/>
      <c r="IOI58" s="41"/>
      <c r="IOJ58" s="41"/>
      <c r="IOK58" s="41"/>
      <c r="IOL58" s="41"/>
      <c r="IOM58" s="41"/>
      <c r="ION58" s="41"/>
      <c r="IOO58" s="41"/>
      <c r="IOP58" s="41"/>
      <c r="IOQ58" s="41"/>
      <c r="IOR58" s="41"/>
      <c r="IOS58" s="41"/>
      <c r="IOT58" s="41"/>
      <c r="IOU58" s="41"/>
      <c r="IOV58" s="41"/>
      <c r="IOW58" s="41"/>
      <c r="IOX58" s="41"/>
      <c r="IOY58" s="41"/>
      <c r="IOZ58" s="41"/>
      <c r="IPA58" s="41"/>
      <c r="IPB58" s="41"/>
      <c r="IPC58" s="41"/>
      <c r="IPD58" s="41"/>
      <c r="IPE58" s="41"/>
      <c r="IPF58" s="41"/>
      <c r="IPG58" s="41"/>
      <c r="IPH58" s="41"/>
      <c r="IPI58" s="41"/>
      <c r="IPJ58" s="41"/>
      <c r="IPK58" s="41"/>
      <c r="IPL58" s="41"/>
      <c r="IPM58" s="41"/>
      <c r="IPN58" s="41"/>
      <c r="IPO58" s="41"/>
      <c r="IPP58" s="41"/>
      <c r="IPQ58" s="41"/>
      <c r="IPR58" s="41"/>
      <c r="IPS58" s="41"/>
      <c r="IPT58" s="41"/>
      <c r="IPU58" s="41"/>
      <c r="IPV58" s="41"/>
      <c r="IPW58" s="41"/>
      <c r="IPX58" s="41"/>
      <c r="IPY58" s="41"/>
      <c r="IPZ58" s="41"/>
      <c r="IQA58" s="41"/>
      <c r="IQB58" s="41"/>
      <c r="IQC58" s="41"/>
      <c r="IQD58" s="41"/>
      <c r="IQE58" s="41"/>
      <c r="IQF58" s="41"/>
      <c r="IQG58" s="41"/>
      <c r="IQH58" s="41"/>
      <c r="IQI58" s="41"/>
      <c r="IQJ58" s="41"/>
      <c r="IQK58" s="41"/>
      <c r="IQL58" s="41"/>
      <c r="IQM58" s="41"/>
      <c r="IQN58" s="41"/>
      <c r="IQO58" s="41"/>
      <c r="IQP58" s="41"/>
      <c r="IQQ58" s="41"/>
      <c r="IQR58" s="41"/>
      <c r="IQS58" s="41"/>
      <c r="IQT58" s="41"/>
      <c r="IQU58" s="41"/>
      <c r="IQV58" s="41"/>
      <c r="IQW58" s="41"/>
      <c r="IQX58" s="41"/>
      <c r="IQY58" s="41"/>
      <c r="IQZ58" s="41"/>
      <c r="IRA58" s="41"/>
      <c r="IRB58" s="41"/>
      <c r="IRC58" s="41"/>
      <c r="IRD58" s="41"/>
      <c r="IRE58" s="41"/>
      <c r="IRF58" s="41"/>
      <c r="IRG58" s="41"/>
      <c r="IRH58" s="41"/>
      <c r="IRI58" s="41"/>
      <c r="IRJ58" s="41"/>
      <c r="IRK58" s="41"/>
      <c r="IRL58" s="41"/>
      <c r="IRM58" s="41"/>
      <c r="IRN58" s="41"/>
      <c r="IRO58" s="41"/>
      <c r="IRP58" s="41"/>
      <c r="IRQ58" s="41"/>
      <c r="IRR58" s="41"/>
      <c r="IRS58" s="41"/>
      <c r="IRT58" s="41"/>
      <c r="IRU58" s="41"/>
      <c r="IRV58" s="41"/>
      <c r="IRW58" s="41"/>
      <c r="IRX58" s="41"/>
      <c r="IRY58" s="41"/>
      <c r="IRZ58" s="41"/>
      <c r="ISA58" s="41"/>
      <c r="ISB58" s="41"/>
      <c r="ISC58" s="41"/>
      <c r="ISD58" s="41"/>
      <c r="ISE58" s="41"/>
      <c r="ISF58" s="41"/>
      <c r="ISG58" s="41"/>
      <c r="ISH58" s="41"/>
      <c r="ISI58" s="41"/>
      <c r="ISJ58" s="41"/>
      <c r="ISK58" s="41"/>
      <c r="ISL58" s="41"/>
      <c r="ISM58" s="41"/>
      <c r="ISN58" s="41"/>
      <c r="ISO58" s="41"/>
      <c r="ISP58" s="41"/>
      <c r="ISQ58" s="41"/>
      <c r="ISR58" s="41"/>
      <c r="ISS58" s="41"/>
      <c r="IST58" s="41"/>
      <c r="ISU58" s="41"/>
      <c r="ISV58" s="41"/>
      <c r="ISW58" s="41"/>
      <c r="ISX58" s="41"/>
      <c r="ISY58" s="41"/>
      <c r="ISZ58" s="41"/>
      <c r="ITA58" s="41"/>
      <c r="ITB58" s="41"/>
      <c r="ITC58" s="41"/>
      <c r="ITD58" s="41"/>
      <c r="ITE58" s="41"/>
      <c r="ITF58" s="41"/>
      <c r="ITG58" s="41"/>
      <c r="ITH58" s="41"/>
      <c r="ITI58" s="41"/>
      <c r="ITJ58" s="41"/>
      <c r="ITK58" s="41"/>
      <c r="ITL58" s="41"/>
      <c r="ITM58" s="41"/>
      <c r="ITN58" s="41"/>
      <c r="ITO58" s="41"/>
      <c r="ITP58" s="41"/>
      <c r="ITQ58" s="41"/>
      <c r="ITR58" s="41"/>
      <c r="ITS58" s="41"/>
      <c r="ITT58" s="41"/>
      <c r="ITU58" s="41"/>
      <c r="ITV58" s="41"/>
      <c r="ITW58" s="41"/>
      <c r="ITX58" s="41"/>
      <c r="ITY58" s="41"/>
      <c r="ITZ58" s="41"/>
      <c r="IUA58" s="41"/>
      <c r="IUB58" s="41"/>
      <c r="IUC58" s="41"/>
      <c r="IUD58" s="41"/>
      <c r="IUE58" s="41"/>
      <c r="IUF58" s="41"/>
      <c r="IUG58" s="41"/>
      <c r="IUH58" s="41"/>
      <c r="IUI58" s="41"/>
      <c r="IUJ58" s="41"/>
      <c r="IUK58" s="41"/>
      <c r="IUL58" s="41"/>
      <c r="IUM58" s="41"/>
      <c r="IUN58" s="41"/>
      <c r="IUO58" s="41"/>
      <c r="IUP58" s="41"/>
      <c r="IUQ58" s="41"/>
      <c r="IUR58" s="41"/>
      <c r="IUS58" s="41"/>
      <c r="IUT58" s="41"/>
      <c r="IUU58" s="41"/>
      <c r="IUV58" s="41"/>
      <c r="IUW58" s="41"/>
      <c r="IUX58" s="41"/>
      <c r="IUY58" s="41"/>
      <c r="IUZ58" s="41"/>
      <c r="IVA58" s="41"/>
      <c r="IVB58" s="41"/>
      <c r="IVC58" s="41"/>
      <c r="IVD58" s="41"/>
      <c r="IVE58" s="41"/>
      <c r="IVF58" s="41"/>
      <c r="IVG58" s="41"/>
      <c r="IVH58" s="41"/>
      <c r="IVI58" s="41"/>
      <c r="IVJ58" s="41"/>
      <c r="IVK58" s="41"/>
      <c r="IVL58" s="41"/>
      <c r="IVM58" s="41"/>
      <c r="IVN58" s="41"/>
      <c r="IVO58" s="41"/>
      <c r="IVP58" s="41"/>
      <c r="IVQ58" s="41"/>
      <c r="IVR58" s="41"/>
      <c r="IVS58" s="41"/>
      <c r="IVT58" s="41"/>
      <c r="IVU58" s="41"/>
      <c r="IVV58" s="41"/>
      <c r="IVW58" s="41"/>
      <c r="IVX58" s="41"/>
      <c r="IVY58" s="41"/>
      <c r="IVZ58" s="41"/>
      <c r="IWA58" s="41"/>
      <c r="IWB58" s="41"/>
      <c r="IWC58" s="41"/>
      <c r="IWD58" s="41"/>
      <c r="IWE58" s="41"/>
      <c r="IWF58" s="41"/>
      <c r="IWG58" s="41"/>
      <c r="IWH58" s="41"/>
      <c r="IWI58" s="41"/>
      <c r="IWJ58" s="41"/>
      <c r="IWK58" s="41"/>
      <c r="IWL58" s="41"/>
      <c r="IWM58" s="41"/>
      <c r="IWN58" s="41"/>
      <c r="IWO58" s="41"/>
      <c r="IWP58" s="41"/>
      <c r="IWQ58" s="41"/>
      <c r="IWR58" s="41"/>
      <c r="IWS58" s="41"/>
      <c r="IWT58" s="41"/>
      <c r="IWU58" s="41"/>
      <c r="IWV58" s="41"/>
      <c r="IWW58" s="41"/>
      <c r="IWX58" s="41"/>
      <c r="IWY58" s="41"/>
      <c r="IWZ58" s="41"/>
      <c r="IXA58" s="41"/>
      <c r="IXB58" s="41"/>
      <c r="IXC58" s="41"/>
      <c r="IXD58" s="41"/>
      <c r="IXE58" s="41"/>
      <c r="IXF58" s="41"/>
      <c r="IXG58" s="41"/>
      <c r="IXH58" s="41"/>
      <c r="IXI58" s="41"/>
      <c r="IXJ58" s="41"/>
      <c r="IXK58" s="41"/>
      <c r="IXL58" s="41"/>
      <c r="IXM58" s="41"/>
      <c r="IXN58" s="41"/>
      <c r="IXO58" s="41"/>
      <c r="IXP58" s="41"/>
      <c r="IXQ58" s="41"/>
      <c r="IXR58" s="41"/>
      <c r="IXS58" s="41"/>
      <c r="IXT58" s="41"/>
      <c r="IXU58" s="41"/>
      <c r="IXV58" s="41"/>
      <c r="IXW58" s="41"/>
      <c r="IXX58" s="41"/>
      <c r="IXY58" s="41"/>
      <c r="IXZ58" s="41"/>
      <c r="IYA58" s="41"/>
      <c r="IYB58" s="41"/>
      <c r="IYC58" s="41"/>
      <c r="IYD58" s="41"/>
      <c r="IYE58" s="41"/>
      <c r="IYF58" s="41"/>
      <c r="IYG58" s="41"/>
      <c r="IYH58" s="41"/>
      <c r="IYI58" s="41"/>
      <c r="IYJ58" s="41"/>
      <c r="IYK58" s="41"/>
      <c r="IYL58" s="41"/>
      <c r="IYM58" s="41"/>
      <c r="IYN58" s="41"/>
      <c r="IYO58" s="41"/>
      <c r="IYP58" s="41"/>
      <c r="IYQ58" s="41"/>
      <c r="IYR58" s="41"/>
      <c r="IYS58" s="41"/>
      <c r="IYT58" s="41"/>
      <c r="IYU58" s="41"/>
      <c r="IYV58" s="41"/>
      <c r="IYW58" s="41"/>
      <c r="IYX58" s="41"/>
      <c r="IYY58" s="41"/>
      <c r="IYZ58" s="41"/>
      <c r="IZA58" s="41"/>
      <c r="IZB58" s="41"/>
      <c r="IZC58" s="41"/>
      <c r="IZD58" s="41"/>
      <c r="IZE58" s="41"/>
      <c r="IZF58" s="41"/>
      <c r="IZG58" s="41"/>
      <c r="IZH58" s="41"/>
      <c r="IZI58" s="41"/>
      <c r="IZJ58" s="41"/>
      <c r="IZK58" s="41"/>
      <c r="IZL58" s="41"/>
      <c r="IZM58" s="41"/>
      <c r="IZN58" s="41"/>
      <c r="IZO58" s="41"/>
      <c r="IZP58" s="41"/>
      <c r="IZQ58" s="41"/>
      <c r="IZR58" s="41"/>
      <c r="IZS58" s="41"/>
      <c r="IZT58" s="41"/>
      <c r="IZU58" s="41"/>
      <c r="IZV58" s="41"/>
      <c r="IZW58" s="41"/>
      <c r="IZX58" s="41"/>
      <c r="IZY58" s="41"/>
      <c r="IZZ58" s="41"/>
      <c r="JAA58" s="41"/>
      <c r="JAB58" s="41"/>
      <c r="JAC58" s="41"/>
      <c r="JAD58" s="41"/>
      <c r="JAE58" s="41"/>
      <c r="JAF58" s="41"/>
      <c r="JAG58" s="41"/>
      <c r="JAH58" s="41"/>
      <c r="JAI58" s="41"/>
      <c r="JAJ58" s="41"/>
      <c r="JAK58" s="41"/>
      <c r="JAL58" s="41"/>
      <c r="JAM58" s="41"/>
      <c r="JAN58" s="41"/>
      <c r="JAO58" s="41"/>
      <c r="JAP58" s="41"/>
      <c r="JAQ58" s="41"/>
      <c r="JAR58" s="41"/>
      <c r="JAS58" s="41"/>
      <c r="JAT58" s="41"/>
      <c r="JAU58" s="41"/>
      <c r="JAV58" s="41"/>
      <c r="JAW58" s="41"/>
      <c r="JAX58" s="41"/>
      <c r="JAY58" s="41"/>
      <c r="JAZ58" s="41"/>
      <c r="JBA58" s="41"/>
      <c r="JBB58" s="41"/>
      <c r="JBC58" s="41"/>
      <c r="JBD58" s="41"/>
      <c r="JBE58" s="41"/>
      <c r="JBF58" s="41"/>
      <c r="JBG58" s="41"/>
      <c r="JBH58" s="41"/>
      <c r="JBI58" s="41"/>
      <c r="JBJ58" s="41"/>
      <c r="JBK58" s="41"/>
      <c r="JBL58" s="41"/>
      <c r="JBM58" s="41"/>
      <c r="JBN58" s="41"/>
      <c r="JBO58" s="41"/>
      <c r="JBP58" s="41"/>
      <c r="JBQ58" s="41"/>
      <c r="JBR58" s="41"/>
      <c r="JBS58" s="41"/>
      <c r="JBT58" s="41"/>
      <c r="JBU58" s="41"/>
      <c r="JBV58" s="41"/>
      <c r="JBW58" s="41"/>
      <c r="JBX58" s="41"/>
      <c r="JBY58" s="41"/>
      <c r="JBZ58" s="41"/>
      <c r="JCA58" s="41"/>
      <c r="JCB58" s="41"/>
      <c r="JCC58" s="41"/>
      <c r="JCD58" s="41"/>
      <c r="JCE58" s="41"/>
      <c r="JCF58" s="41"/>
      <c r="JCG58" s="41"/>
      <c r="JCH58" s="41"/>
      <c r="JCI58" s="41"/>
      <c r="JCJ58" s="41"/>
      <c r="JCK58" s="41"/>
      <c r="JCL58" s="41"/>
      <c r="JCM58" s="41"/>
      <c r="JCN58" s="41"/>
      <c r="JCO58" s="41"/>
      <c r="JCP58" s="41"/>
      <c r="JCQ58" s="41"/>
      <c r="JCR58" s="41"/>
      <c r="JCS58" s="41"/>
      <c r="JCT58" s="41"/>
      <c r="JCU58" s="41"/>
      <c r="JCV58" s="41"/>
      <c r="JCW58" s="41"/>
      <c r="JCX58" s="41"/>
      <c r="JCY58" s="41"/>
      <c r="JCZ58" s="41"/>
      <c r="JDA58" s="41"/>
      <c r="JDB58" s="41"/>
      <c r="JDC58" s="41"/>
      <c r="JDD58" s="41"/>
      <c r="JDE58" s="41"/>
      <c r="JDF58" s="41"/>
      <c r="JDG58" s="41"/>
      <c r="JDH58" s="41"/>
      <c r="JDI58" s="41"/>
      <c r="JDJ58" s="41"/>
      <c r="JDK58" s="41"/>
      <c r="JDL58" s="41"/>
      <c r="JDM58" s="41"/>
      <c r="JDN58" s="41"/>
      <c r="JDO58" s="41"/>
      <c r="JDP58" s="41"/>
      <c r="JDQ58" s="41"/>
      <c r="JDR58" s="41"/>
      <c r="JDS58" s="41"/>
      <c r="JDT58" s="41"/>
      <c r="JDU58" s="41"/>
      <c r="JDV58" s="41"/>
      <c r="JDW58" s="41"/>
      <c r="JDX58" s="41"/>
      <c r="JDY58" s="41"/>
      <c r="JDZ58" s="41"/>
      <c r="JEA58" s="41"/>
      <c r="JEB58" s="41"/>
      <c r="JEC58" s="41"/>
      <c r="JED58" s="41"/>
      <c r="JEE58" s="41"/>
      <c r="JEF58" s="41"/>
      <c r="JEG58" s="41"/>
      <c r="JEH58" s="41"/>
      <c r="JEI58" s="41"/>
      <c r="JEJ58" s="41"/>
      <c r="JEK58" s="41"/>
      <c r="JEL58" s="41"/>
      <c r="JEM58" s="41"/>
      <c r="JEN58" s="41"/>
      <c r="JEO58" s="41"/>
      <c r="JEP58" s="41"/>
      <c r="JEQ58" s="41"/>
      <c r="JER58" s="41"/>
      <c r="JES58" s="41"/>
      <c r="JET58" s="41"/>
      <c r="JEU58" s="41"/>
      <c r="JEV58" s="41"/>
      <c r="JEW58" s="41"/>
      <c r="JEX58" s="41"/>
      <c r="JEY58" s="41"/>
      <c r="JEZ58" s="41"/>
      <c r="JFA58" s="41"/>
      <c r="JFB58" s="41"/>
      <c r="JFC58" s="41"/>
      <c r="JFD58" s="41"/>
      <c r="JFE58" s="41"/>
      <c r="JFF58" s="41"/>
      <c r="JFG58" s="41"/>
      <c r="JFH58" s="41"/>
      <c r="JFI58" s="41"/>
      <c r="JFJ58" s="41"/>
      <c r="JFK58" s="41"/>
      <c r="JFL58" s="41"/>
      <c r="JFM58" s="41"/>
      <c r="JFN58" s="41"/>
      <c r="JFO58" s="41"/>
      <c r="JFP58" s="41"/>
      <c r="JFQ58" s="41"/>
      <c r="JFR58" s="41"/>
      <c r="JFS58" s="41"/>
      <c r="JFT58" s="41"/>
      <c r="JFU58" s="41"/>
      <c r="JFV58" s="41"/>
      <c r="JFW58" s="41"/>
      <c r="JFX58" s="41"/>
      <c r="JFY58" s="41"/>
      <c r="JFZ58" s="41"/>
      <c r="JGA58" s="41"/>
      <c r="JGB58" s="41"/>
      <c r="JGC58" s="41"/>
      <c r="JGD58" s="41"/>
      <c r="JGE58" s="41"/>
      <c r="JGF58" s="41"/>
      <c r="JGG58" s="41"/>
      <c r="JGH58" s="41"/>
      <c r="JGI58" s="41"/>
      <c r="JGJ58" s="41"/>
      <c r="JGK58" s="41"/>
      <c r="JGL58" s="41"/>
      <c r="JGM58" s="41"/>
      <c r="JGN58" s="41"/>
      <c r="JGO58" s="41"/>
      <c r="JGP58" s="41"/>
      <c r="JGQ58" s="41"/>
      <c r="JGR58" s="41"/>
      <c r="JGS58" s="41"/>
      <c r="JGT58" s="41"/>
      <c r="JGU58" s="41"/>
      <c r="JGV58" s="41"/>
      <c r="JGW58" s="41"/>
      <c r="JGX58" s="41"/>
      <c r="JGY58" s="41"/>
      <c r="JGZ58" s="41"/>
      <c r="JHA58" s="41"/>
      <c r="JHB58" s="41"/>
      <c r="JHC58" s="41"/>
      <c r="JHD58" s="41"/>
      <c r="JHE58" s="41"/>
      <c r="JHF58" s="41"/>
      <c r="JHG58" s="41"/>
      <c r="JHH58" s="41"/>
      <c r="JHI58" s="41"/>
      <c r="JHJ58" s="41"/>
      <c r="JHK58" s="41"/>
      <c r="JHL58" s="41"/>
      <c r="JHM58" s="41"/>
      <c r="JHN58" s="41"/>
      <c r="JHO58" s="41"/>
      <c r="JHP58" s="41"/>
      <c r="JHQ58" s="41"/>
      <c r="JHR58" s="41"/>
      <c r="JHS58" s="41"/>
      <c r="JHT58" s="41"/>
      <c r="JHU58" s="41"/>
      <c r="JHV58" s="41"/>
      <c r="JHW58" s="41"/>
      <c r="JHX58" s="41"/>
      <c r="JHY58" s="41"/>
      <c r="JHZ58" s="41"/>
      <c r="JIA58" s="41"/>
      <c r="JIB58" s="41"/>
      <c r="JIC58" s="41"/>
      <c r="JID58" s="41"/>
      <c r="JIE58" s="41"/>
      <c r="JIF58" s="41"/>
      <c r="JIG58" s="41"/>
      <c r="JIH58" s="41"/>
      <c r="JII58" s="41"/>
      <c r="JIJ58" s="41"/>
      <c r="JIK58" s="41"/>
      <c r="JIL58" s="41"/>
      <c r="JIM58" s="41"/>
      <c r="JIN58" s="41"/>
      <c r="JIO58" s="41"/>
      <c r="JIP58" s="41"/>
      <c r="JIQ58" s="41"/>
      <c r="JIR58" s="41"/>
      <c r="JIS58" s="41"/>
      <c r="JIT58" s="41"/>
      <c r="JIU58" s="41"/>
      <c r="JIV58" s="41"/>
      <c r="JIW58" s="41"/>
      <c r="JIX58" s="41"/>
      <c r="JIY58" s="41"/>
      <c r="JIZ58" s="41"/>
      <c r="JJA58" s="41"/>
      <c r="JJB58" s="41"/>
      <c r="JJC58" s="41"/>
      <c r="JJD58" s="41"/>
      <c r="JJE58" s="41"/>
      <c r="JJF58" s="41"/>
      <c r="JJG58" s="41"/>
      <c r="JJH58" s="41"/>
      <c r="JJI58" s="41"/>
      <c r="JJJ58" s="41"/>
      <c r="JJK58" s="41"/>
      <c r="JJL58" s="41"/>
      <c r="JJM58" s="41"/>
      <c r="JJN58" s="41"/>
      <c r="JJO58" s="41"/>
      <c r="JJP58" s="41"/>
      <c r="JJQ58" s="41"/>
      <c r="JJR58" s="41"/>
      <c r="JJS58" s="41"/>
      <c r="JJT58" s="41"/>
      <c r="JJU58" s="41"/>
      <c r="JJV58" s="41"/>
      <c r="JJW58" s="41"/>
      <c r="JJX58" s="41"/>
      <c r="JJY58" s="41"/>
      <c r="JJZ58" s="41"/>
      <c r="JKA58" s="41"/>
      <c r="JKB58" s="41"/>
      <c r="JKC58" s="41"/>
      <c r="JKD58" s="41"/>
      <c r="JKE58" s="41"/>
      <c r="JKF58" s="41"/>
      <c r="JKG58" s="41"/>
      <c r="JKH58" s="41"/>
      <c r="JKI58" s="41"/>
      <c r="JKJ58" s="41"/>
      <c r="JKK58" s="41"/>
      <c r="JKL58" s="41"/>
      <c r="JKM58" s="41"/>
      <c r="JKN58" s="41"/>
      <c r="JKO58" s="41"/>
      <c r="JKP58" s="41"/>
      <c r="JKQ58" s="41"/>
      <c r="JKR58" s="41"/>
      <c r="JKS58" s="41"/>
      <c r="JKT58" s="41"/>
      <c r="JKU58" s="41"/>
      <c r="JKV58" s="41"/>
      <c r="JKW58" s="41"/>
      <c r="JKX58" s="41"/>
      <c r="JKY58" s="41"/>
      <c r="JKZ58" s="41"/>
      <c r="JLA58" s="41"/>
      <c r="JLB58" s="41"/>
      <c r="JLC58" s="41"/>
      <c r="JLD58" s="41"/>
      <c r="JLE58" s="41"/>
      <c r="JLF58" s="41"/>
      <c r="JLG58" s="41"/>
      <c r="JLH58" s="41"/>
      <c r="JLI58" s="41"/>
      <c r="JLJ58" s="41"/>
      <c r="JLK58" s="41"/>
      <c r="JLL58" s="41"/>
      <c r="JLM58" s="41"/>
      <c r="JLN58" s="41"/>
      <c r="JLO58" s="41"/>
      <c r="JLP58" s="41"/>
      <c r="JLQ58" s="41"/>
      <c r="JLR58" s="41"/>
      <c r="JLS58" s="41"/>
      <c r="JLT58" s="41"/>
      <c r="JLU58" s="41"/>
      <c r="JLV58" s="41"/>
      <c r="JLW58" s="41"/>
      <c r="JLX58" s="41"/>
      <c r="JLY58" s="41"/>
      <c r="JLZ58" s="41"/>
      <c r="JMA58" s="41"/>
      <c r="JMB58" s="41"/>
      <c r="JMC58" s="41"/>
      <c r="JMD58" s="41"/>
      <c r="JME58" s="41"/>
      <c r="JMF58" s="41"/>
      <c r="JMG58" s="41"/>
      <c r="JMH58" s="41"/>
      <c r="JMI58" s="41"/>
      <c r="JMJ58" s="41"/>
      <c r="JMK58" s="41"/>
      <c r="JML58" s="41"/>
      <c r="JMM58" s="41"/>
      <c r="JMN58" s="41"/>
      <c r="JMO58" s="41"/>
      <c r="JMP58" s="41"/>
      <c r="JMQ58" s="41"/>
      <c r="JMR58" s="41"/>
      <c r="JMS58" s="41"/>
      <c r="JMT58" s="41"/>
      <c r="JMU58" s="41"/>
      <c r="JMV58" s="41"/>
      <c r="JMW58" s="41"/>
      <c r="JMX58" s="41"/>
      <c r="JMY58" s="41"/>
      <c r="JMZ58" s="41"/>
      <c r="JNA58" s="41"/>
      <c r="JNB58" s="41"/>
      <c r="JNC58" s="41"/>
      <c r="JND58" s="41"/>
      <c r="JNE58" s="41"/>
      <c r="JNF58" s="41"/>
      <c r="JNG58" s="41"/>
      <c r="JNH58" s="41"/>
      <c r="JNI58" s="41"/>
      <c r="JNJ58" s="41"/>
      <c r="JNK58" s="41"/>
      <c r="JNL58" s="41"/>
      <c r="JNM58" s="41"/>
      <c r="JNN58" s="41"/>
      <c r="JNO58" s="41"/>
      <c r="JNP58" s="41"/>
      <c r="JNQ58" s="41"/>
      <c r="JNR58" s="41"/>
      <c r="JNS58" s="41"/>
      <c r="JNT58" s="41"/>
      <c r="JNU58" s="41"/>
      <c r="JNV58" s="41"/>
      <c r="JNW58" s="41"/>
      <c r="JNX58" s="41"/>
      <c r="JNY58" s="41"/>
      <c r="JNZ58" s="41"/>
      <c r="JOA58" s="41"/>
      <c r="JOB58" s="41"/>
      <c r="JOC58" s="41"/>
      <c r="JOD58" s="41"/>
      <c r="JOE58" s="41"/>
      <c r="JOF58" s="41"/>
      <c r="JOG58" s="41"/>
      <c r="JOH58" s="41"/>
      <c r="JOI58" s="41"/>
      <c r="JOJ58" s="41"/>
      <c r="JOK58" s="41"/>
      <c r="JOL58" s="41"/>
      <c r="JOM58" s="41"/>
      <c r="JON58" s="41"/>
      <c r="JOO58" s="41"/>
      <c r="JOP58" s="41"/>
      <c r="JOQ58" s="41"/>
      <c r="JOR58" s="41"/>
      <c r="JOS58" s="41"/>
      <c r="JOT58" s="41"/>
      <c r="JOU58" s="41"/>
      <c r="JOV58" s="41"/>
      <c r="JOW58" s="41"/>
      <c r="JOX58" s="41"/>
      <c r="JOY58" s="41"/>
      <c r="JOZ58" s="41"/>
      <c r="JPA58" s="41"/>
      <c r="JPB58" s="41"/>
      <c r="JPC58" s="41"/>
      <c r="JPD58" s="41"/>
      <c r="JPE58" s="41"/>
      <c r="JPF58" s="41"/>
      <c r="JPG58" s="41"/>
      <c r="JPH58" s="41"/>
      <c r="JPI58" s="41"/>
      <c r="JPJ58" s="41"/>
      <c r="JPK58" s="41"/>
      <c r="JPL58" s="41"/>
      <c r="JPM58" s="41"/>
      <c r="JPN58" s="41"/>
      <c r="JPO58" s="41"/>
      <c r="JPP58" s="41"/>
      <c r="JPQ58" s="41"/>
      <c r="JPR58" s="41"/>
      <c r="JPS58" s="41"/>
      <c r="JPT58" s="41"/>
      <c r="JPU58" s="41"/>
      <c r="JPV58" s="41"/>
      <c r="JPW58" s="41"/>
      <c r="JPX58" s="41"/>
      <c r="JPY58" s="41"/>
      <c r="JPZ58" s="41"/>
      <c r="JQA58" s="41"/>
      <c r="JQB58" s="41"/>
      <c r="JQC58" s="41"/>
      <c r="JQD58" s="41"/>
      <c r="JQE58" s="41"/>
      <c r="JQF58" s="41"/>
      <c r="JQG58" s="41"/>
      <c r="JQH58" s="41"/>
      <c r="JQI58" s="41"/>
      <c r="JQJ58" s="41"/>
      <c r="JQK58" s="41"/>
      <c r="JQL58" s="41"/>
      <c r="JQM58" s="41"/>
      <c r="JQN58" s="41"/>
      <c r="JQO58" s="41"/>
      <c r="JQP58" s="41"/>
      <c r="JQQ58" s="41"/>
      <c r="JQR58" s="41"/>
      <c r="JQS58" s="41"/>
      <c r="JQT58" s="41"/>
      <c r="JQU58" s="41"/>
      <c r="JQV58" s="41"/>
      <c r="JQW58" s="41"/>
      <c r="JQX58" s="41"/>
      <c r="JQY58" s="41"/>
      <c r="JQZ58" s="41"/>
      <c r="JRA58" s="41"/>
      <c r="JRB58" s="41"/>
      <c r="JRC58" s="41"/>
      <c r="JRD58" s="41"/>
      <c r="JRE58" s="41"/>
      <c r="JRF58" s="41"/>
      <c r="JRG58" s="41"/>
      <c r="JRH58" s="41"/>
      <c r="JRI58" s="41"/>
      <c r="JRJ58" s="41"/>
      <c r="JRK58" s="41"/>
      <c r="JRL58" s="41"/>
      <c r="JRM58" s="41"/>
      <c r="JRN58" s="41"/>
      <c r="JRO58" s="41"/>
      <c r="JRP58" s="41"/>
      <c r="JRQ58" s="41"/>
      <c r="JRR58" s="41"/>
      <c r="JRS58" s="41"/>
      <c r="JRT58" s="41"/>
      <c r="JRU58" s="41"/>
      <c r="JRV58" s="41"/>
      <c r="JRW58" s="41"/>
      <c r="JRX58" s="41"/>
      <c r="JRY58" s="41"/>
      <c r="JRZ58" s="41"/>
      <c r="JSA58" s="41"/>
      <c r="JSB58" s="41"/>
      <c r="JSC58" s="41"/>
      <c r="JSD58" s="41"/>
      <c r="JSE58" s="41"/>
      <c r="JSF58" s="41"/>
      <c r="JSG58" s="41"/>
      <c r="JSH58" s="41"/>
      <c r="JSI58" s="41"/>
      <c r="JSJ58" s="41"/>
      <c r="JSK58" s="41"/>
      <c r="JSL58" s="41"/>
      <c r="JSM58" s="41"/>
      <c r="JSN58" s="41"/>
      <c r="JSO58" s="41"/>
      <c r="JSP58" s="41"/>
      <c r="JSQ58" s="41"/>
      <c r="JSR58" s="41"/>
      <c r="JSS58" s="41"/>
      <c r="JST58" s="41"/>
      <c r="JSU58" s="41"/>
      <c r="JSV58" s="41"/>
      <c r="JSW58" s="41"/>
      <c r="JSX58" s="41"/>
      <c r="JSY58" s="41"/>
      <c r="JSZ58" s="41"/>
      <c r="JTA58" s="41"/>
      <c r="JTB58" s="41"/>
      <c r="JTC58" s="41"/>
      <c r="JTD58" s="41"/>
      <c r="JTE58" s="41"/>
      <c r="JTF58" s="41"/>
      <c r="JTG58" s="41"/>
      <c r="JTH58" s="41"/>
      <c r="JTI58" s="41"/>
      <c r="JTJ58" s="41"/>
      <c r="JTK58" s="41"/>
      <c r="JTL58" s="41"/>
      <c r="JTM58" s="41"/>
      <c r="JTN58" s="41"/>
      <c r="JTO58" s="41"/>
      <c r="JTP58" s="41"/>
      <c r="JTQ58" s="41"/>
      <c r="JTR58" s="41"/>
      <c r="JTS58" s="41"/>
      <c r="JTT58" s="41"/>
      <c r="JTU58" s="41"/>
      <c r="JTV58" s="41"/>
      <c r="JTW58" s="41"/>
      <c r="JTX58" s="41"/>
      <c r="JTY58" s="41"/>
      <c r="JTZ58" s="41"/>
      <c r="JUA58" s="41"/>
      <c r="JUB58" s="41"/>
      <c r="JUC58" s="41"/>
      <c r="JUD58" s="41"/>
      <c r="JUE58" s="41"/>
      <c r="JUF58" s="41"/>
      <c r="JUG58" s="41"/>
      <c r="JUH58" s="41"/>
      <c r="JUI58" s="41"/>
      <c r="JUJ58" s="41"/>
      <c r="JUK58" s="41"/>
      <c r="JUL58" s="41"/>
      <c r="JUM58" s="41"/>
      <c r="JUN58" s="41"/>
      <c r="JUO58" s="41"/>
      <c r="JUP58" s="41"/>
      <c r="JUQ58" s="41"/>
      <c r="JUR58" s="41"/>
      <c r="JUS58" s="41"/>
      <c r="JUT58" s="41"/>
      <c r="JUU58" s="41"/>
      <c r="JUV58" s="41"/>
      <c r="JUW58" s="41"/>
      <c r="JUX58" s="41"/>
      <c r="JUY58" s="41"/>
      <c r="JUZ58" s="41"/>
      <c r="JVA58" s="41"/>
      <c r="JVB58" s="41"/>
      <c r="JVC58" s="41"/>
      <c r="JVD58" s="41"/>
      <c r="JVE58" s="41"/>
      <c r="JVF58" s="41"/>
      <c r="JVG58" s="41"/>
      <c r="JVH58" s="41"/>
      <c r="JVI58" s="41"/>
      <c r="JVJ58" s="41"/>
      <c r="JVK58" s="41"/>
      <c r="JVL58" s="41"/>
      <c r="JVM58" s="41"/>
      <c r="JVN58" s="41"/>
      <c r="JVO58" s="41"/>
      <c r="JVP58" s="41"/>
      <c r="JVQ58" s="41"/>
      <c r="JVR58" s="41"/>
      <c r="JVS58" s="41"/>
      <c r="JVT58" s="41"/>
      <c r="JVU58" s="41"/>
      <c r="JVV58" s="41"/>
      <c r="JVW58" s="41"/>
      <c r="JVX58" s="41"/>
      <c r="JVY58" s="41"/>
      <c r="JVZ58" s="41"/>
      <c r="JWA58" s="41"/>
      <c r="JWB58" s="41"/>
      <c r="JWC58" s="41"/>
      <c r="JWD58" s="41"/>
      <c r="JWE58" s="41"/>
      <c r="JWF58" s="41"/>
      <c r="JWG58" s="41"/>
      <c r="JWH58" s="41"/>
      <c r="JWI58" s="41"/>
      <c r="JWJ58" s="41"/>
      <c r="JWK58" s="41"/>
      <c r="JWL58" s="41"/>
      <c r="JWM58" s="41"/>
      <c r="JWN58" s="41"/>
      <c r="JWO58" s="41"/>
      <c r="JWP58" s="41"/>
      <c r="JWQ58" s="41"/>
      <c r="JWR58" s="41"/>
      <c r="JWS58" s="41"/>
      <c r="JWT58" s="41"/>
      <c r="JWU58" s="41"/>
      <c r="JWV58" s="41"/>
      <c r="JWW58" s="41"/>
      <c r="JWX58" s="41"/>
      <c r="JWY58" s="41"/>
      <c r="JWZ58" s="41"/>
      <c r="JXA58" s="41"/>
      <c r="JXB58" s="41"/>
      <c r="JXC58" s="41"/>
      <c r="JXD58" s="41"/>
      <c r="JXE58" s="41"/>
      <c r="JXF58" s="41"/>
      <c r="JXG58" s="41"/>
      <c r="JXH58" s="41"/>
      <c r="JXI58" s="41"/>
      <c r="JXJ58" s="41"/>
      <c r="JXK58" s="41"/>
      <c r="JXL58" s="41"/>
      <c r="JXM58" s="41"/>
      <c r="JXN58" s="41"/>
      <c r="JXO58" s="41"/>
      <c r="JXP58" s="41"/>
      <c r="JXQ58" s="41"/>
      <c r="JXR58" s="41"/>
      <c r="JXS58" s="41"/>
      <c r="JXT58" s="41"/>
      <c r="JXU58" s="41"/>
      <c r="JXV58" s="41"/>
      <c r="JXW58" s="41"/>
      <c r="JXX58" s="41"/>
      <c r="JXY58" s="41"/>
      <c r="JXZ58" s="41"/>
      <c r="JYA58" s="41"/>
      <c r="JYB58" s="41"/>
      <c r="JYC58" s="41"/>
      <c r="JYD58" s="41"/>
      <c r="JYE58" s="41"/>
      <c r="JYF58" s="41"/>
      <c r="JYG58" s="41"/>
      <c r="JYH58" s="41"/>
      <c r="JYI58" s="41"/>
      <c r="JYJ58" s="41"/>
      <c r="JYK58" s="41"/>
      <c r="JYL58" s="41"/>
      <c r="JYM58" s="41"/>
      <c r="JYN58" s="41"/>
      <c r="JYO58" s="41"/>
      <c r="JYP58" s="41"/>
      <c r="JYQ58" s="41"/>
      <c r="JYR58" s="41"/>
      <c r="JYS58" s="41"/>
      <c r="JYT58" s="41"/>
      <c r="JYU58" s="41"/>
      <c r="JYV58" s="41"/>
      <c r="JYW58" s="41"/>
      <c r="JYX58" s="41"/>
      <c r="JYY58" s="41"/>
      <c r="JYZ58" s="41"/>
      <c r="JZA58" s="41"/>
      <c r="JZB58" s="41"/>
      <c r="JZC58" s="41"/>
      <c r="JZD58" s="41"/>
      <c r="JZE58" s="41"/>
      <c r="JZF58" s="41"/>
      <c r="JZG58" s="41"/>
      <c r="JZH58" s="41"/>
      <c r="JZI58" s="41"/>
      <c r="JZJ58" s="41"/>
      <c r="JZK58" s="41"/>
      <c r="JZL58" s="41"/>
      <c r="JZM58" s="41"/>
      <c r="JZN58" s="41"/>
      <c r="JZO58" s="41"/>
      <c r="JZP58" s="41"/>
      <c r="JZQ58" s="41"/>
      <c r="JZR58" s="41"/>
      <c r="JZS58" s="41"/>
      <c r="JZT58" s="41"/>
      <c r="JZU58" s="41"/>
      <c r="JZV58" s="41"/>
      <c r="JZW58" s="41"/>
      <c r="JZX58" s="41"/>
      <c r="JZY58" s="41"/>
      <c r="JZZ58" s="41"/>
      <c r="KAA58" s="41"/>
      <c r="KAB58" s="41"/>
      <c r="KAC58" s="41"/>
      <c r="KAD58" s="41"/>
      <c r="KAE58" s="41"/>
      <c r="KAF58" s="41"/>
      <c r="KAG58" s="41"/>
      <c r="KAH58" s="41"/>
      <c r="KAI58" s="41"/>
      <c r="KAJ58" s="41"/>
      <c r="KAK58" s="41"/>
      <c r="KAL58" s="41"/>
      <c r="KAM58" s="41"/>
      <c r="KAN58" s="41"/>
      <c r="KAO58" s="41"/>
      <c r="KAP58" s="41"/>
      <c r="KAQ58" s="41"/>
      <c r="KAR58" s="41"/>
      <c r="KAS58" s="41"/>
      <c r="KAT58" s="41"/>
      <c r="KAU58" s="41"/>
      <c r="KAV58" s="41"/>
      <c r="KAW58" s="41"/>
      <c r="KAX58" s="41"/>
      <c r="KAY58" s="41"/>
      <c r="KAZ58" s="41"/>
      <c r="KBA58" s="41"/>
      <c r="KBB58" s="41"/>
      <c r="KBC58" s="41"/>
      <c r="KBD58" s="41"/>
      <c r="KBE58" s="41"/>
      <c r="KBF58" s="41"/>
      <c r="KBG58" s="41"/>
      <c r="KBH58" s="41"/>
      <c r="KBI58" s="41"/>
      <c r="KBJ58" s="41"/>
      <c r="KBK58" s="41"/>
      <c r="KBL58" s="41"/>
      <c r="KBM58" s="41"/>
      <c r="KBN58" s="41"/>
      <c r="KBO58" s="41"/>
      <c r="KBP58" s="41"/>
      <c r="KBQ58" s="41"/>
      <c r="KBR58" s="41"/>
      <c r="KBS58" s="41"/>
      <c r="KBT58" s="41"/>
      <c r="KBU58" s="41"/>
      <c r="KBV58" s="41"/>
      <c r="KBW58" s="41"/>
      <c r="KBX58" s="41"/>
      <c r="KBY58" s="41"/>
      <c r="KBZ58" s="41"/>
      <c r="KCA58" s="41"/>
      <c r="KCB58" s="41"/>
      <c r="KCC58" s="41"/>
      <c r="KCD58" s="41"/>
      <c r="KCE58" s="41"/>
      <c r="KCF58" s="41"/>
      <c r="KCG58" s="41"/>
      <c r="KCH58" s="41"/>
      <c r="KCI58" s="41"/>
      <c r="KCJ58" s="41"/>
      <c r="KCK58" s="41"/>
      <c r="KCL58" s="41"/>
      <c r="KCM58" s="41"/>
      <c r="KCN58" s="41"/>
      <c r="KCO58" s="41"/>
      <c r="KCP58" s="41"/>
      <c r="KCQ58" s="41"/>
      <c r="KCR58" s="41"/>
      <c r="KCS58" s="41"/>
      <c r="KCT58" s="41"/>
      <c r="KCU58" s="41"/>
      <c r="KCV58" s="41"/>
      <c r="KCW58" s="41"/>
      <c r="KCX58" s="41"/>
      <c r="KCY58" s="41"/>
      <c r="KCZ58" s="41"/>
      <c r="KDA58" s="41"/>
      <c r="KDB58" s="41"/>
      <c r="KDC58" s="41"/>
      <c r="KDD58" s="41"/>
      <c r="KDE58" s="41"/>
      <c r="KDF58" s="41"/>
      <c r="KDG58" s="41"/>
      <c r="KDH58" s="41"/>
      <c r="KDI58" s="41"/>
      <c r="KDJ58" s="41"/>
      <c r="KDK58" s="41"/>
      <c r="KDL58" s="41"/>
      <c r="KDM58" s="41"/>
      <c r="KDN58" s="41"/>
      <c r="KDO58" s="41"/>
      <c r="KDP58" s="41"/>
      <c r="KDQ58" s="41"/>
      <c r="KDR58" s="41"/>
      <c r="KDS58" s="41"/>
      <c r="KDT58" s="41"/>
      <c r="KDU58" s="41"/>
      <c r="KDV58" s="41"/>
      <c r="KDW58" s="41"/>
      <c r="KDX58" s="41"/>
      <c r="KDY58" s="41"/>
      <c r="KDZ58" s="41"/>
      <c r="KEA58" s="41"/>
      <c r="KEB58" s="41"/>
      <c r="KEC58" s="41"/>
      <c r="KED58" s="41"/>
      <c r="KEE58" s="41"/>
      <c r="KEF58" s="41"/>
      <c r="KEG58" s="41"/>
      <c r="KEH58" s="41"/>
      <c r="KEI58" s="41"/>
      <c r="KEJ58" s="41"/>
      <c r="KEK58" s="41"/>
      <c r="KEL58" s="41"/>
      <c r="KEM58" s="41"/>
      <c r="KEN58" s="41"/>
      <c r="KEO58" s="41"/>
      <c r="KEP58" s="41"/>
      <c r="KEQ58" s="41"/>
      <c r="KER58" s="41"/>
      <c r="KES58" s="41"/>
      <c r="KET58" s="41"/>
      <c r="KEU58" s="41"/>
      <c r="KEV58" s="41"/>
      <c r="KEW58" s="41"/>
      <c r="KEX58" s="41"/>
      <c r="KEY58" s="41"/>
      <c r="KEZ58" s="41"/>
      <c r="KFA58" s="41"/>
      <c r="KFB58" s="41"/>
      <c r="KFC58" s="41"/>
      <c r="KFD58" s="41"/>
      <c r="KFE58" s="41"/>
      <c r="KFF58" s="41"/>
      <c r="KFG58" s="41"/>
      <c r="KFH58" s="41"/>
      <c r="KFI58" s="41"/>
      <c r="KFJ58" s="41"/>
      <c r="KFK58" s="41"/>
      <c r="KFL58" s="41"/>
      <c r="KFM58" s="41"/>
      <c r="KFN58" s="41"/>
      <c r="KFO58" s="41"/>
      <c r="KFP58" s="41"/>
      <c r="KFQ58" s="41"/>
      <c r="KFR58" s="41"/>
      <c r="KFS58" s="41"/>
      <c r="KFT58" s="41"/>
      <c r="KFU58" s="41"/>
      <c r="KFV58" s="41"/>
      <c r="KFW58" s="41"/>
      <c r="KFX58" s="41"/>
      <c r="KFY58" s="41"/>
      <c r="KFZ58" s="41"/>
      <c r="KGA58" s="41"/>
      <c r="KGB58" s="41"/>
      <c r="KGC58" s="41"/>
      <c r="KGD58" s="41"/>
      <c r="KGE58" s="41"/>
      <c r="KGF58" s="41"/>
      <c r="KGG58" s="41"/>
      <c r="KGH58" s="41"/>
      <c r="KGI58" s="41"/>
      <c r="KGJ58" s="41"/>
      <c r="KGK58" s="41"/>
      <c r="KGL58" s="41"/>
      <c r="KGM58" s="41"/>
      <c r="KGN58" s="41"/>
      <c r="KGO58" s="41"/>
      <c r="KGP58" s="41"/>
      <c r="KGQ58" s="41"/>
      <c r="KGR58" s="41"/>
      <c r="KGS58" s="41"/>
      <c r="KGT58" s="41"/>
      <c r="KGU58" s="41"/>
      <c r="KGV58" s="41"/>
      <c r="KGW58" s="41"/>
      <c r="KGX58" s="41"/>
      <c r="KGY58" s="41"/>
      <c r="KGZ58" s="41"/>
      <c r="KHA58" s="41"/>
      <c r="KHB58" s="41"/>
      <c r="KHC58" s="41"/>
      <c r="KHD58" s="41"/>
      <c r="KHE58" s="41"/>
      <c r="KHF58" s="41"/>
      <c r="KHG58" s="41"/>
      <c r="KHH58" s="41"/>
      <c r="KHI58" s="41"/>
      <c r="KHJ58" s="41"/>
      <c r="KHK58" s="41"/>
      <c r="KHL58" s="41"/>
      <c r="KHM58" s="41"/>
      <c r="KHN58" s="41"/>
      <c r="KHO58" s="41"/>
      <c r="KHP58" s="41"/>
      <c r="KHQ58" s="41"/>
      <c r="KHR58" s="41"/>
      <c r="KHS58" s="41"/>
      <c r="KHT58" s="41"/>
      <c r="KHU58" s="41"/>
      <c r="KHV58" s="41"/>
      <c r="KHW58" s="41"/>
      <c r="KHX58" s="41"/>
      <c r="KHY58" s="41"/>
      <c r="KHZ58" s="41"/>
      <c r="KIA58" s="41"/>
      <c r="KIB58" s="41"/>
      <c r="KIC58" s="41"/>
      <c r="KID58" s="41"/>
      <c r="KIE58" s="41"/>
      <c r="KIF58" s="41"/>
      <c r="KIG58" s="41"/>
      <c r="KIH58" s="41"/>
      <c r="KII58" s="41"/>
      <c r="KIJ58" s="41"/>
      <c r="KIK58" s="41"/>
      <c r="KIL58" s="41"/>
      <c r="KIM58" s="41"/>
      <c r="KIN58" s="41"/>
      <c r="KIO58" s="41"/>
      <c r="KIP58" s="41"/>
      <c r="KIQ58" s="41"/>
      <c r="KIR58" s="41"/>
      <c r="KIS58" s="41"/>
      <c r="KIT58" s="41"/>
      <c r="KIU58" s="41"/>
      <c r="KIV58" s="41"/>
      <c r="KIW58" s="41"/>
      <c r="KIX58" s="41"/>
      <c r="KIY58" s="41"/>
      <c r="KIZ58" s="41"/>
      <c r="KJA58" s="41"/>
      <c r="KJB58" s="41"/>
      <c r="KJC58" s="41"/>
      <c r="KJD58" s="41"/>
      <c r="KJE58" s="41"/>
      <c r="KJF58" s="41"/>
      <c r="KJG58" s="41"/>
      <c r="KJH58" s="41"/>
      <c r="KJI58" s="41"/>
      <c r="KJJ58" s="41"/>
      <c r="KJK58" s="41"/>
      <c r="KJL58" s="41"/>
      <c r="KJM58" s="41"/>
      <c r="KJN58" s="41"/>
      <c r="KJO58" s="41"/>
      <c r="KJP58" s="41"/>
      <c r="KJQ58" s="41"/>
      <c r="KJR58" s="41"/>
      <c r="KJS58" s="41"/>
      <c r="KJT58" s="41"/>
      <c r="KJU58" s="41"/>
      <c r="KJV58" s="41"/>
      <c r="KJW58" s="41"/>
      <c r="KJX58" s="41"/>
      <c r="KJY58" s="41"/>
      <c r="KJZ58" s="41"/>
      <c r="KKA58" s="41"/>
      <c r="KKB58" s="41"/>
      <c r="KKC58" s="41"/>
      <c r="KKD58" s="41"/>
      <c r="KKE58" s="41"/>
      <c r="KKF58" s="41"/>
      <c r="KKG58" s="41"/>
      <c r="KKH58" s="41"/>
      <c r="KKI58" s="41"/>
      <c r="KKJ58" s="41"/>
      <c r="KKK58" s="41"/>
      <c r="KKL58" s="41"/>
      <c r="KKM58" s="41"/>
      <c r="KKN58" s="41"/>
      <c r="KKO58" s="41"/>
      <c r="KKP58" s="41"/>
      <c r="KKQ58" s="41"/>
      <c r="KKR58" s="41"/>
      <c r="KKS58" s="41"/>
      <c r="KKT58" s="41"/>
      <c r="KKU58" s="41"/>
      <c r="KKV58" s="41"/>
      <c r="KKW58" s="41"/>
      <c r="KKX58" s="41"/>
      <c r="KKY58" s="41"/>
      <c r="KKZ58" s="41"/>
      <c r="KLA58" s="41"/>
      <c r="KLB58" s="41"/>
      <c r="KLC58" s="41"/>
      <c r="KLD58" s="41"/>
      <c r="KLE58" s="41"/>
      <c r="KLF58" s="41"/>
      <c r="KLG58" s="41"/>
      <c r="KLH58" s="41"/>
      <c r="KLI58" s="41"/>
      <c r="KLJ58" s="41"/>
      <c r="KLK58" s="41"/>
      <c r="KLL58" s="41"/>
      <c r="KLM58" s="41"/>
      <c r="KLN58" s="41"/>
      <c r="KLO58" s="41"/>
      <c r="KLP58" s="41"/>
      <c r="KLQ58" s="41"/>
      <c r="KLR58" s="41"/>
      <c r="KLS58" s="41"/>
      <c r="KLT58" s="41"/>
      <c r="KLU58" s="41"/>
      <c r="KLV58" s="41"/>
      <c r="KLW58" s="41"/>
      <c r="KLX58" s="41"/>
      <c r="KLY58" s="41"/>
      <c r="KLZ58" s="41"/>
      <c r="KMA58" s="41"/>
      <c r="KMB58" s="41"/>
      <c r="KMC58" s="41"/>
      <c r="KMD58" s="41"/>
      <c r="KME58" s="41"/>
      <c r="KMF58" s="41"/>
      <c r="KMG58" s="41"/>
      <c r="KMH58" s="41"/>
      <c r="KMI58" s="41"/>
      <c r="KMJ58" s="41"/>
      <c r="KMK58" s="41"/>
      <c r="KML58" s="41"/>
      <c r="KMM58" s="41"/>
      <c r="KMN58" s="41"/>
      <c r="KMO58" s="41"/>
      <c r="KMP58" s="41"/>
      <c r="KMQ58" s="41"/>
      <c r="KMR58" s="41"/>
      <c r="KMS58" s="41"/>
      <c r="KMT58" s="41"/>
      <c r="KMU58" s="41"/>
      <c r="KMV58" s="41"/>
      <c r="KMW58" s="41"/>
      <c r="KMX58" s="41"/>
      <c r="KMY58" s="41"/>
      <c r="KMZ58" s="41"/>
      <c r="KNA58" s="41"/>
      <c r="KNB58" s="41"/>
      <c r="KNC58" s="41"/>
      <c r="KND58" s="41"/>
      <c r="KNE58" s="41"/>
      <c r="KNF58" s="41"/>
      <c r="KNG58" s="41"/>
      <c r="KNH58" s="41"/>
      <c r="KNI58" s="41"/>
      <c r="KNJ58" s="41"/>
      <c r="KNK58" s="41"/>
      <c r="KNL58" s="41"/>
      <c r="KNM58" s="41"/>
      <c r="KNN58" s="41"/>
      <c r="KNO58" s="41"/>
      <c r="KNP58" s="41"/>
      <c r="KNQ58" s="41"/>
      <c r="KNR58" s="41"/>
      <c r="KNS58" s="41"/>
      <c r="KNT58" s="41"/>
      <c r="KNU58" s="41"/>
      <c r="KNV58" s="41"/>
      <c r="KNW58" s="41"/>
      <c r="KNX58" s="41"/>
      <c r="KNY58" s="41"/>
      <c r="KNZ58" s="41"/>
      <c r="KOA58" s="41"/>
      <c r="KOB58" s="41"/>
      <c r="KOC58" s="41"/>
      <c r="KOD58" s="41"/>
      <c r="KOE58" s="41"/>
      <c r="KOF58" s="41"/>
      <c r="KOG58" s="41"/>
      <c r="KOH58" s="41"/>
      <c r="KOI58" s="41"/>
      <c r="KOJ58" s="41"/>
      <c r="KOK58" s="41"/>
      <c r="KOL58" s="41"/>
      <c r="KOM58" s="41"/>
      <c r="KON58" s="41"/>
      <c r="KOO58" s="41"/>
      <c r="KOP58" s="41"/>
      <c r="KOQ58" s="41"/>
      <c r="KOR58" s="41"/>
      <c r="KOS58" s="41"/>
      <c r="KOT58" s="41"/>
      <c r="KOU58" s="41"/>
      <c r="KOV58" s="41"/>
      <c r="KOW58" s="41"/>
      <c r="KOX58" s="41"/>
      <c r="KOY58" s="41"/>
      <c r="KOZ58" s="41"/>
      <c r="KPA58" s="41"/>
      <c r="KPB58" s="41"/>
      <c r="KPC58" s="41"/>
      <c r="KPD58" s="41"/>
      <c r="KPE58" s="41"/>
      <c r="KPF58" s="41"/>
      <c r="KPG58" s="41"/>
      <c r="KPH58" s="41"/>
      <c r="KPI58" s="41"/>
      <c r="KPJ58" s="41"/>
      <c r="KPK58" s="41"/>
      <c r="KPL58" s="41"/>
      <c r="KPM58" s="41"/>
      <c r="KPN58" s="41"/>
      <c r="KPO58" s="41"/>
      <c r="KPP58" s="41"/>
      <c r="KPQ58" s="41"/>
      <c r="KPR58" s="41"/>
      <c r="KPS58" s="41"/>
      <c r="KPT58" s="41"/>
      <c r="KPU58" s="41"/>
      <c r="KPV58" s="41"/>
      <c r="KPW58" s="41"/>
      <c r="KPX58" s="41"/>
      <c r="KPY58" s="41"/>
      <c r="KPZ58" s="41"/>
      <c r="KQA58" s="41"/>
      <c r="KQB58" s="41"/>
      <c r="KQC58" s="41"/>
      <c r="KQD58" s="41"/>
      <c r="KQE58" s="41"/>
      <c r="KQF58" s="41"/>
      <c r="KQG58" s="41"/>
      <c r="KQH58" s="41"/>
      <c r="KQI58" s="41"/>
      <c r="KQJ58" s="41"/>
      <c r="KQK58" s="41"/>
      <c r="KQL58" s="41"/>
      <c r="KQM58" s="41"/>
      <c r="KQN58" s="41"/>
      <c r="KQO58" s="41"/>
      <c r="KQP58" s="41"/>
      <c r="KQQ58" s="41"/>
      <c r="KQR58" s="41"/>
      <c r="KQS58" s="41"/>
      <c r="KQT58" s="41"/>
      <c r="KQU58" s="41"/>
      <c r="KQV58" s="41"/>
      <c r="KQW58" s="41"/>
      <c r="KQX58" s="41"/>
      <c r="KQY58" s="41"/>
      <c r="KQZ58" s="41"/>
      <c r="KRA58" s="41"/>
      <c r="KRB58" s="41"/>
      <c r="KRC58" s="41"/>
      <c r="KRD58" s="41"/>
      <c r="KRE58" s="41"/>
      <c r="KRF58" s="41"/>
      <c r="KRG58" s="41"/>
      <c r="KRH58" s="41"/>
      <c r="KRI58" s="41"/>
      <c r="KRJ58" s="41"/>
      <c r="KRK58" s="41"/>
      <c r="KRL58" s="41"/>
      <c r="KRM58" s="41"/>
      <c r="KRN58" s="41"/>
      <c r="KRO58" s="41"/>
      <c r="KRP58" s="41"/>
      <c r="KRQ58" s="41"/>
      <c r="KRR58" s="41"/>
      <c r="KRS58" s="41"/>
      <c r="KRT58" s="41"/>
      <c r="KRU58" s="41"/>
      <c r="KRV58" s="41"/>
      <c r="KRW58" s="41"/>
      <c r="KRX58" s="41"/>
      <c r="KRY58" s="41"/>
      <c r="KRZ58" s="41"/>
      <c r="KSA58" s="41"/>
      <c r="KSB58" s="41"/>
      <c r="KSC58" s="41"/>
      <c r="KSD58" s="41"/>
      <c r="KSE58" s="41"/>
      <c r="KSF58" s="41"/>
      <c r="KSG58" s="41"/>
      <c r="KSH58" s="41"/>
      <c r="KSI58" s="41"/>
      <c r="KSJ58" s="41"/>
      <c r="KSK58" s="41"/>
      <c r="KSL58" s="41"/>
      <c r="KSM58" s="41"/>
      <c r="KSN58" s="41"/>
      <c r="KSO58" s="41"/>
      <c r="KSP58" s="41"/>
      <c r="KSQ58" s="41"/>
      <c r="KSR58" s="41"/>
      <c r="KSS58" s="41"/>
      <c r="KST58" s="41"/>
      <c r="KSU58" s="41"/>
      <c r="KSV58" s="41"/>
      <c r="KSW58" s="41"/>
      <c r="KSX58" s="41"/>
      <c r="KSY58" s="41"/>
      <c r="KSZ58" s="41"/>
      <c r="KTA58" s="41"/>
      <c r="KTB58" s="41"/>
      <c r="KTC58" s="41"/>
      <c r="KTD58" s="41"/>
      <c r="KTE58" s="41"/>
      <c r="KTF58" s="41"/>
      <c r="KTG58" s="41"/>
      <c r="KTH58" s="41"/>
      <c r="KTI58" s="41"/>
      <c r="KTJ58" s="41"/>
      <c r="KTK58" s="41"/>
      <c r="KTL58" s="41"/>
      <c r="KTM58" s="41"/>
      <c r="KTN58" s="41"/>
      <c r="KTO58" s="41"/>
      <c r="KTP58" s="41"/>
      <c r="KTQ58" s="41"/>
      <c r="KTR58" s="41"/>
      <c r="KTS58" s="41"/>
      <c r="KTT58" s="41"/>
      <c r="KTU58" s="41"/>
      <c r="KTV58" s="41"/>
      <c r="KTW58" s="41"/>
      <c r="KTX58" s="41"/>
      <c r="KTY58" s="41"/>
      <c r="KTZ58" s="41"/>
      <c r="KUA58" s="41"/>
      <c r="KUB58" s="41"/>
      <c r="KUC58" s="41"/>
      <c r="KUD58" s="41"/>
      <c r="KUE58" s="41"/>
      <c r="KUF58" s="41"/>
      <c r="KUG58" s="41"/>
      <c r="KUH58" s="41"/>
      <c r="KUI58" s="41"/>
      <c r="KUJ58" s="41"/>
      <c r="KUK58" s="41"/>
      <c r="KUL58" s="41"/>
      <c r="KUM58" s="41"/>
      <c r="KUN58" s="41"/>
      <c r="KUO58" s="41"/>
      <c r="KUP58" s="41"/>
      <c r="KUQ58" s="41"/>
      <c r="KUR58" s="41"/>
      <c r="KUS58" s="41"/>
      <c r="KUT58" s="41"/>
      <c r="KUU58" s="41"/>
      <c r="KUV58" s="41"/>
      <c r="KUW58" s="41"/>
      <c r="KUX58" s="41"/>
      <c r="KUY58" s="41"/>
      <c r="KUZ58" s="41"/>
      <c r="KVA58" s="41"/>
      <c r="KVB58" s="41"/>
      <c r="KVC58" s="41"/>
      <c r="KVD58" s="41"/>
      <c r="KVE58" s="41"/>
      <c r="KVF58" s="41"/>
      <c r="KVG58" s="41"/>
      <c r="KVH58" s="41"/>
      <c r="KVI58" s="41"/>
      <c r="KVJ58" s="41"/>
      <c r="KVK58" s="41"/>
      <c r="KVL58" s="41"/>
      <c r="KVM58" s="41"/>
      <c r="KVN58" s="41"/>
      <c r="KVO58" s="41"/>
      <c r="KVP58" s="41"/>
      <c r="KVQ58" s="41"/>
      <c r="KVR58" s="41"/>
      <c r="KVS58" s="41"/>
      <c r="KVT58" s="41"/>
      <c r="KVU58" s="41"/>
      <c r="KVV58" s="41"/>
      <c r="KVW58" s="41"/>
      <c r="KVX58" s="41"/>
      <c r="KVY58" s="41"/>
      <c r="KVZ58" s="41"/>
      <c r="KWA58" s="41"/>
      <c r="KWB58" s="41"/>
      <c r="KWC58" s="41"/>
      <c r="KWD58" s="41"/>
      <c r="KWE58" s="41"/>
      <c r="KWF58" s="41"/>
      <c r="KWG58" s="41"/>
      <c r="KWH58" s="41"/>
      <c r="KWI58" s="41"/>
      <c r="KWJ58" s="41"/>
      <c r="KWK58" s="41"/>
      <c r="KWL58" s="41"/>
      <c r="KWM58" s="41"/>
      <c r="KWN58" s="41"/>
      <c r="KWO58" s="41"/>
      <c r="KWP58" s="41"/>
      <c r="KWQ58" s="41"/>
      <c r="KWR58" s="41"/>
      <c r="KWS58" s="41"/>
      <c r="KWT58" s="41"/>
      <c r="KWU58" s="41"/>
      <c r="KWV58" s="41"/>
      <c r="KWW58" s="41"/>
      <c r="KWX58" s="41"/>
      <c r="KWY58" s="41"/>
      <c r="KWZ58" s="41"/>
      <c r="KXA58" s="41"/>
      <c r="KXB58" s="41"/>
      <c r="KXC58" s="41"/>
      <c r="KXD58" s="41"/>
      <c r="KXE58" s="41"/>
      <c r="KXF58" s="41"/>
      <c r="KXG58" s="41"/>
      <c r="KXH58" s="41"/>
      <c r="KXI58" s="41"/>
      <c r="KXJ58" s="41"/>
      <c r="KXK58" s="41"/>
      <c r="KXL58" s="41"/>
      <c r="KXM58" s="41"/>
      <c r="KXN58" s="41"/>
      <c r="KXO58" s="41"/>
      <c r="KXP58" s="41"/>
      <c r="KXQ58" s="41"/>
      <c r="KXR58" s="41"/>
      <c r="KXS58" s="41"/>
      <c r="KXT58" s="41"/>
      <c r="KXU58" s="41"/>
      <c r="KXV58" s="41"/>
      <c r="KXW58" s="41"/>
      <c r="KXX58" s="41"/>
      <c r="KXY58" s="41"/>
      <c r="KXZ58" s="41"/>
      <c r="KYA58" s="41"/>
      <c r="KYB58" s="41"/>
      <c r="KYC58" s="41"/>
      <c r="KYD58" s="41"/>
      <c r="KYE58" s="41"/>
      <c r="KYF58" s="41"/>
      <c r="KYG58" s="41"/>
      <c r="KYH58" s="41"/>
      <c r="KYI58" s="41"/>
      <c r="KYJ58" s="41"/>
      <c r="KYK58" s="41"/>
      <c r="KYL58" s="41"/>
      <c r="KYM58" s="41"/>
      <c r="KYN58" s="41"/>
      <c r="KYO58" s="41"/>
      <c r="KYP58" s="41"/>
      <c r="KYQ58" s="41"/>
      <c r="KYR58" s="41"/>
      <c r="KYS58" s="41"/>
      <c r="KYT58" s="41"/>
      <c r="KYU58" s="41"/>
      <c r="KYV58" s="41"/>
      <c r="KYW58" s="41"/>
      <c r="KYX58" s="41"/>
      <c r="KYY58" s="41"/>
      <c r="KYZ58" s="41"/>
      <c r="KZA58" s="41"/>
      <c r="KZB58" s="41"/>
      <c r="KZC58" s="41"/>
      <c r="KZD58" s="41"/>
      <c r="KZE58" s="41"/>
      <c r="KZF58" s="41"/>
      <c r="KZG58" s="41"/>
      <c r="KZH58" s="41"/>
      <c r="KZI58" s="41"/>
      <c r="KZJ58" s="41"/>
      <c r="KZK58" s="41"/>
      <c r="KZL58" s="41"/>
      <c r="KZM58" s="41"/>
      <c r="KZN58" s="41"/>
      <c r="KZO58" s="41"/>
      <c r="KZP58" s="41"/>
      <c r="KZQ58" s="41"/>
      <c r="KZR58" s="41"/>
      <c r="KZS58" s="41"/>
      <c r="KZT58" s="41"/>
      <c r="KZU58" s="41"/>
      <c r="KZV58" s="41"/>
      <c r="KZW58" s="41"/>
      <c r="KZX58" s="41"/>
      <c r="KZY58" s="41"/>
      <c r="KZZ58" s="41"/>
      <c r="LAA58" s="41"/>
      <c r="LAB58" s="41"/>
      <c r="LAC58" s="41"/>
      <c r="LAD58" s="41"/>
      <c r="LAE58" s="41"/>
      <c r="LAF58" s="41"/>
      <c r="LAG58" s="41"/>
      <c r="LAH58" s="41"/>
      <c r="LAI58" s="41"/>
      <c r="LAJ58" s="41"/>
      <c r="LAK58" s="41"/>
      <c r="LAL58" s="41"/>
      <c r="LAM58" s="41"/>
      <c r="LAN58" s="41"/>
      <c r="LAO58" s="41"/>
      <c r="LAP58" s="41"/>
      <c r="LAQ58" s="41"/>
      <c r="LAR58" s="41"/>
      <c r="LAS58" s="41"/>
      <c r="LAT58" s="41"/>
      <c r="LAU58" s="41"/>
      <c r="LAV58" s="41"/>
      <c r="LAW58" s="41"/>
      <c r="LAX58" s="41"/>
      <c r="LAY58" s="41"/>
      <c r="LAZ58" s="41"/>
      <c r="LBA58" s="41"/>
      <c r="LBB58" s="41"/>
      <c r="LBC58" s="41"/>
      <c r="LBD58" s="41"/>
      <c r="LBE58" s="41"/>
      <c r="LBF58" s="41"/>
      <c r="LBG58" s="41"/>
      <c r="LBH58" s="41"/>
      <c r="LBI58" s="41"/>
      <c r="LBJ58" s="41"/>
      <c r="LBK58" s="41"/>
      <c r="LBL58" s="41"/>
      <c r="LBM58" s="41"/>
      <c r="LBN58" s="41"/>
      <c r="LBO58" s="41"/>
      <c r="LBP58" s="41"/>
      <c r="LBQ58" s="41"/>
      <c r="LBR58" s="41"/>
      <c r="LBS58" s="41"/>
      <c r="LBT58" s="41"/>
      <c r="LBU58" s="41"/>
      <c r="LBV58" s="41"/>
      <c r="LBW58" s="41"/>
      <c r="LBX58" s="41"/>
      <c r="LBY58" s="41"/>
      <c r="LBZ58" s="41"/>
      <c r="LCA58" s="41"/>
      <c r="LCB58" s="41"/>
      <c r="LCC58" s="41"/>
      <c r="LCD58" s="41"/>
      <c r="LCE58" s="41"/>
      <c r="LCF58" s="41"/>
      <c r="LCG58" s="41"/>
      <c r="LCH58" s="41"/>
      <c r="LCI58" s="41"/>
      <c r="LCJ58" s="41"/>
      <c r="LCK58" s="41"/>
      <c r="LCL58" s="41"/>
      <c r="LCM58" s="41"/>
      <c r="LCN58" s="41"/>
      <c r="LCO58" s="41"/>
      <c r="LCP58" s="41"/>
      <c r="LCQ58" s="41"/>
      <c r="LCR58" s="41"/>
      <c r="LCS58" s="41"/>
      <c r="LCT58" s="41"/>
      <c r="LCU58" s="41"/>
      <c r="LCV58" s="41"/>
      <c r="LCW58" s="41"/>
      <c r="LCX58" s="41"/>
      <c r="LCY58" s="41"/>
      <c r="LCZ58" s="41"/>
      <c r="LDA58" s="41"/>
      <c r="LDB58" s="41"/>
      <c r="LDC58" s="41"/>
      <c r="LDD58" s="41"/>
      <c r="LDE58" s="41"/>
      <c r="LDF58" s="41"/>
      <c r="LDG58" s="41"/>
      <c r="LDH58" s="41"/>
      <c r="LDI58" s="41"/>
      <c r="LDJ58" s="41"/>
      <c r="LDK58" s="41"/>
      <c r="LDL58" s="41"/>
      <c r="LDM58" s="41"/>
      <c r="LDN58" s="41"/>
      <c r="LDO58" s="41"/>
      <c r="LDP58" s="41"/>
      <c r="LDQ58" s="41"/>
      <c r="LDR58" s="41"/>
      <c r="LDS58" s="41"/>
      <c r="LDT58" s="41"/>
      <c r="LDU58" s="41"/>
      <c r="LDV58" s="41"/>
      <c r="LDW58" s="41"/>
      <c r="LDX58" s="41"/>
      <c r="LDY58" s="41"/>
      <c r="LDZ58" s="41"/>
      <c r="LEA58" s="41"/>
      <c r="LEB58" s="41"/>
      <c r="LEC58" s="41"/>
      <c r="LED58" s="41"/>
      <c r="LEE58" s="41"/>
      <c r="LEF58" s="41"/>
      <c r="LEG58" s="41"/>
      <c r="LEH58" s="41"/>
      <c r="LEI58" s="41"/>
      <c r="LEJ58" s="41"/>
      <c r="LEK58" s="41"/>
      <c r="LEL58" s="41"/>
      <c r="LEM58" s="41"/>
      <c r="LEN58" s="41"/>
      <c r="LEO58" s="41"/>
      <c r="LEP58" s="41"/>
      <c r="LEQ58" s="41"/>
      <c r="LER58" s="41"/>
      <c r="LES58" s="41"/>
      <c r="LET58" s="41"/>
      <c r="LEU58" s="41"/>
      <c r="LEV58" s="41"/>
      <c r="LEW58" s="41"/>
      <c r="LEX58" s="41"/>
      <c r="LEY58" s="41"/>
      <c r="LEZ58" s="41"/>
      <c r="LFA58" s="41"/>
      <c r="LFB58" s="41"/>
      <c r="LFC58" s="41"/>
      <c r="LFD58" s="41"/>
      <c r="LFE58" s="41"/>
      <c r="LFF58" s="41"/>
      <c r="LFG58" s="41"/>
      <c r="LFH58" s="41"/>
      <c r="LFI58" s="41"/>
      <c r="LFJ58" s="41"/>
      <c r="LFK58" s="41"/>
      <c r="LFL58" s="41"/>
      <c r="LFM58" s="41"/>
      <c r="LFN58" s="41"/>
      <c r="LFO58" s="41"/>
      <c r="LFP58" s="41"/>
      <c r="LFQ58" s="41"/>
      <c r="LFR58" s="41"/>
      <c r="LFS58" s="41"/>
      <c r="LFT58" s="41"/>
      <c r="LFU58" s="41"/>
      <c r="LFV58" s="41"/>
      <c r="LFW58" s="41"/>
      <c r="LFX58" s="41"/>
      <c r="LFY58" s="41"/>
      <c r="LFZ58" s="41"/>
      <c r="LGA58" s="41"/>
      <c r="LGB58" s="41"/>
      <c r="LGC58" s="41"/>
      <c r="LGD58" s="41"/>
      <c r="LGE58" s="41"/>
      <c r="LGF58" s="41"/>
      <c r="LGG58" s="41"/>
      <c r="LGH58" s="41"/>
      <c r="LGI58" s="41"/>
      <c r="LGJ58" s="41"/>
      <c r="LGK58" s="41"/>
      <c r="LGL58" s="41"/>
      <c r="LGM58" s="41"/>
      <c r="LGN58" s="41"/>
      <c r="LGO58" s="41"/>
      <c r="LGP58" s="41"/>
      <c r="LGQ58" s="41"/>
      <c r="LGR58" s="41"/>
      <c r="LGS58" s="41"/>
      <c r="LGT58" s="41"/>
      <c r="LGU58" s="41"/>
      <c r="LGV58" s="41"/>
      <c r="LGW58" s="41"/>
      <c r="LGX58" s="41"/>
      <c r="LGY58" s="41"/>
      <c r="LGZ58" s="41"/>
      <c r="LHA58" s="41"/>
      <c r="LHB58" s="41"/>
      <c r="LHC58" s="41"/>
      <c r="LHD58" s="41"/>
      <c r="LHE58" s="41"/>
      <c r="LHF58" s="41"/>
      <c r="LHG58" s="41"/>
      <c r="LHH58" s="41"/>
      <c r="LHI58" s="41"/>
      <c r="LHJ58" s="41"/>
      <c r="LHK58" s="41"/>
      <c r="LHL58" s="41"/>
      <c r="LHM58" s="41"/>
      <c r="LHN58" s="41"/>
      <c r="LHO58" s="41"/>
      <c r="LHP58" s="41"/>
      <c r="LHQ58" s="41"/>
      <c r="LHR58" s="41"/>
      <c r="LHS58" s="41"/>
      <c r="LHT58" s="41"/>
      <c r="LHU58" s="41"/>
      <c r="LHV58" s="41"/>
      <c r="LHW58" s="41"/>
      <c r="LHX58" s="41"/>
      <c r="LHY58" s="41"/>
      <c r="LHZ58" s="41"/>
      <c r="LIA58" s="41"/>
      <c r="LIB58" s="41"/>
      <c r="LIC58" s="41"/>
      <c r="LID58" s="41"/>
      <c r="LIE58" s="41"/>
      <c r="LIF58" s="41"/>
      <c r="LIG58" s="41"/>
      <c r="LIH58" s="41"/>
      <c r="LII58" s="41"/>
      <c r="LIJ58" s="41"/>
      <c r="LIK58" s="41"/>
      <c r="LIL58" s="41"/>
      <c r="LIM58" s="41"/>
      <c r="LIN58" s="41"/>
      <c r="LIO58" s="41"/>
      <c r="LIP58" s="41"/>
      <c r="LIQ58" s="41"/>
      <c r="LIR58" s="41"/>
      <c r="LIS58" s="41"/>
      <c r="LIT58" s="41"/>
      <c r="LIU58" s="41"/>
      <c r="LIV58" s="41"/>
      <c r="LIW58" s="41"/>
      <c r="LIX58" s="41"/>
      <c r="LIY58" s="41"/>
      <c r="LIZ58" s="41"/>
      <c r="LJA58" s="41"/>
      <c r="LJB58" s="41"/>
      <c r="LJC58" s="41"/>
      <c r="LJD58" s="41"/>
      <c r="LJE58" s="41"/>
      <c r="LJF58" s="41"/>
      <c r="LJG58" s="41"/>
      <c r="LJH58" s="41"/>
      <c r="LJI58" s="41"/>
      <c r="LJJ58" s="41"/>
      <c r="LJK58" s="41"/>
      <c r="LJL58" s="41"/>
      <c r="LJM58" s="41"/>
      <c r="LJN58" s="41"/>
      <c r="LJO58" s="41"/>
      <c r="LJP58" s="41"/>
      <c r="LJQ58" s="41"/>
      <c r="LJR58" s="41"/>
      <c r="LJS58" s="41"/>
      <c r="LJT58" s="41"/>
      <c r="LJU58" s="41"/>
      <c r="LJV58" s="41"/>
      <c r="LJW58" s="41"/>
      <c r="LJX58" s="41"/>
      <c r="LJY58" s="41"/>
      <c r="LJZ58" s="41"/>
      <c r="LKA58" s="41"/>
      <c r="LKB58" s="41"/>
      <c r="LKC58" s="41"/>
      <c r="LKD58" s="41"/>
      <c r="LKE58" s="41"/>
      <c r="LKF58" s="41"/>
      <c r="LKG58" s="41"/>
      <c r="LKH58" s="41"/>
      <c r="LKI58" s="41"/>
      <c r="LKJ58" s="41"/>
      <c r="LKK58" s="41"/>
      <c r="LKL58" s="41"/>
      <c r="LKM58" s="41"/>
      <c r="LKN58" s="41"/>
      <c r="LKO58" s="41"/>
      <c r="LKP58" s="41"/>
      <c r="LKQ58" s="41"/>
      <c r="LKR58" s="41"/>
      <c r="LKS58" s="41"/>
      <c r="LKT58" s="41"/>
      <c r="LKU58" s="41"/>
      <c r="LKV58" s="41"/>
      <c r="LKW58" s="41"/>
      <c r="LKX58" s="41"/>
      <c r="LKY58" s="41"/>
      <c r="LKZ58" s="41"/>
      <c r="LLA58" s="41"/>
      <c r="LLB58" s="41"/>
      <c r="LLC58" s="41"/>
      <c r="LLD58" s="41"/>
      <c r="LLE58" s="41"/>
      <c r="LLF58" s="41"/>
      <c r="LLG58" s="41"/>
      <c r="LLH58" s="41"/>
      <c r="LLI58" s="41"/>
      <c r="LLJ58" s="41"/>
      <c r="LLK58" s="41"/>
      <c r="LLL58" s="41"/>
      <c r="LLM58" s="41"/>
      <c r="LLN58" s="41"/>
      <c r="LLO58" s="41"/>
      <c r="LLP58" s="41"/>
      <c r="LLQ58" s="41"/>
      <c r="LLR58" s="41"/>
      <c r="LLS58" s="41"/>
      <c r="LLT58" s="41"/>
      <c r="LLU58" s="41"/>
      <c r="LLV58" s="41"/>
      <c r="LLW58" s="41"/>
      <c r="LLX58" s="41"/>
      <c r="LLY58" s="41"/>
      <c r="LLZ58" s="41"/>
      <c r="LMA58" s="41"/>
      <c r="LMB58" s="41"/>
      <c r="LMC58" s="41"/>
      <c r="LMD58" s="41"/>
      <c r="LME58" s="41"/>
      <c r="LMF58" s="41"/>
      <c r="LMG58" s="41"/>
      <c r="LMH58" s="41"/>
      <c r="LMI58" s="41"/>
      <c r="LMJ58" s="41"/>
      <c r="LMK58" s="41"/>
      <c r="LML58" s="41"/>
      <c r="LMM58" s="41"/>
      <c r="LMN58" s="41"/>
      <c r="LMO58" s="41"/>
      <c r="LMP58" s="41"/>
      <c r="LMQ58" s="41"/>
      <c r="LMR58" s="41"/>
      <c r="LMS58" s="41"/>
      <c r="LMT58" s="41"/>
      <c r="LMU58" s="41"/>
      <c r="LMV58" s="41"/>
      <c r="LMW58" s="41"/>
      <c r="LMX58" s="41"/>
      <c r="LMY58" s="41"/>
      <c r="LMZ58" s="41"/>
      <c r="LNA58" s="41"/>
      <c r="LNB58" s="41"/>
      <c r="LNC58" s="41"/>
      <c r="LND58" s="41"/>
      <c r="LNE58" s="41"/>
      <c r="LNF58" s="41"/>
      <c r="LNG58" s="41"/>
      <c r="LNH58" s="41"/>
      <c r="LNI58" s="41"/>
      <c r="LNJ58" s="41"/>
      <c r="LNK58" s="41"/>
      <c r="LNL58" s="41"/>
      <c r="LNM58" s="41"/>
      <c r="LNN58" s="41"/>
      <c r="LNO58" s="41"/>
      <c r="LNP58" s="41"/>
      <c r="LNQ58" s="41"/>
      <c r="LNR58" s="41"/>
      <c r="LNS58" s="41"/>
      <c r="LNT58" s="41"/>
      <c r="LNU58" s="41"/>
      <c r="LNV58" s="41"/>
      <c r="LNW58" s="41"/>
      <c r="LNX58" s="41"/>
      <c r="LNY58" s="41"/>
      <c r="LNZ58" s="41"/>
      <c r="LOA58" s="41"/>
      <c r="LOB58" s="41"/>
      <c r="LOC58" s="41"/>
      <c r="LOD58" s="41"/>
      <c r="LOE58" s="41"/>
      <c r="LOF58" s="41"/>
      <c r="LOG58" s="41"/>
      <c r="LOH58" s="41"/>
      <c r="LOI58" s="41"/>
      <c r="LOJ58" s="41"/>
      <c r="LOK58" s="41"/>
      <c r="LOL58" s="41"/>
      <c r="LOM58" s="41"/>
      <c r="LON58" s="41"/>
      <c r="LOO58" s="41"/>
      <c r="LOP58" s="41"/>
      <c r="LOQ58" s="41"/>
      <c r="LOR58" s="41"/>
      <c r="LOS58" s="41"/>
      <c r="LOT58" s="41"/>
      <c r="LOU58" s="41"/>
      <c r="LOV58" s="41"/>
      <c r="LOW58" s="41"/>
      <c r="LOX58" s="41"/>
      <c r="LOY58" s="41"/>
      <c r="LOZ58" s="41"/>
      <c r="LPA58" s="41"/>
      <c r="LPB58" s="41"/>
      <c r="LPC58" s="41"/>
      <c r="LPD58" s="41"/>
      <c r="LPE58" s="41"/>
      <c r="LPF58" s="41"/>
      <c r="LPG58" s="41"/>
      <c r="LPH58" s="41"/>
      <c r="LPI58" s="41"/>
      <c r="LPJ58" s="41"/>
      <c r="LPK58" s="41"/>
      <c r="LPL58" s="41"/>
      <c r="LPM58" s="41"/>
      <c r="LPN58" s="41"/>
      <c r="LPO58" s="41"/>
      <c r="LPP58" s="41"/>
      <c r="LPQ58" s="41"/>
      <c r="LPR58" s="41"/>
      <c r="LPS58" s="41"/>
      <c r="LPT58" s="41"/>
      <c r="LPU58" s="41"/>
      <c r="LPV58" s="41"/>
      <c r="LPW58" s="41"/>
      <c r="LPX58" s="41"/>
      <c r="LPY58" s="41"/>
      <c r="LPZ58" s="41"/>
      <c r="LQA58" s="41"/>
      <c r="LQB58" s="41"/>
      <c r="LQC58" s="41"/>
      <c r="LQD58" s="41"/>
      <c r="LQE58" s="41"/>
      <c r="LQF58" s="41"/>
      <c r="LQG58" s="41"/>
      <c r="LQH58" s="41"/>
      <c r="LQI58" s="41"/>
      <c r="LQJ58" s="41"/>
      <c r="LQK58" s="41"/>
      <c r="LQL58" s="41"/>
      <c r="LQM58" s="41"/>
      <c r="LQN58" s="41"/>
      <c r="LQO58" s="41"/>
      <c r="LQP58" s="41"/>
      <c r="LQQ58" s="41"/>
      <c r="LQR58" s="41"/>
      <c r="LQS58" s="41"/>
      <c r="LQT58" s="41"/>
      <c r="LQU58" s="41"/>
      <c r="LQV58" s="41"/>
      <c r="LQW58" s="41"/>
      <c r="LQX58" s="41"/>
      <c r="LQY58" s="41"/>
      <c r="LQZ58" s="41"/>
      <c r="LRA58" s="41"/>
      <c r="LRB58" s="41"/>
      <c r="LRC58" s="41"/>
      <c r="LRD58" s="41"/>
      <c r="LRE58" s="41"/>
      <c r="LRF58" s="41"/>
      <c r="LRG58" s="41"/>
      <c r="LRH58" s="41"/>
      <c r="LRI58" s="41"/>
      <c r="LRJ58" s="41"/>
      <c r="LRK58" s="41"/>
      <c r="LRL58" s="41"/>
      <c r="LRM58" s="41"/>
      <c r="LRN58" s="41"/>
      <c r="LRO58" s="41"/>
      <c r="LRP58" s="41"/>
      <c r="LRQ58" s="41"/>
      <c r="LRR58" s="41"/>
      <c r="LRS58" s="41"/>
      <c r="LRT58" s="41"/>
      <c r="LRU58" s="41"/>
      <c r="LRV58" s="41"/>
      <c r="LRW58" s="41"/>
      <c r="LRX58" s="41"/>
      <c r="LRY58" s="41"/>
      <c r="LRZ58" s="41"/>
      <c r="LSA58" s="41"/>
      <c r="LSB58" s="41"/>
      <c r="LSC58" s="41"/>
      <c r="LSD58" s="41"/>
      <c r="LSE58" s="41"/>
      <c r="LSF58" s="41"/>
      <c r="LSG58" s="41"/>
      <c r="LSH58" s="41"/>
      <c r="LSI58" s="41"/>
      <c r="LSJ58" s="41"/>
      <c r="LSK58" s="41"/>
      <c r="LSL58" s="41"/>
      <c r="LSM58" s="41"/>
      <c r="LSN58" s="41"/>
      <c r="LSO58" s="41"/>
      <c r="LSP58" s="41"/>
      <c r="LSQ58" s="41"/>
      <c r="LSR58" s="41"/>
      <c r="LSS58" s="41"/>
      <c r="LST58" s="41"/>
      <c r="LSU58" s="41"/>
      <c r="LSV58" s="41"/>
      <c r="LSW58" s="41"/>
      <c r="LSX58" s="41"/>
      <c r="LSY58" s="41"/>
      <c r="LSZ58" s="41"/>
      <c r="LTA58" s="41"/>
      <c r="LTB58" s="41"/>
      <c r="LTC58" s="41"/>
      <c r="LTD58" s="41"/>
      <c r="LTE58" s="41"/>
      <c r="LTF58" s="41"/>
      <c r="LTG58" s="41"/>
      <c r="LTH58" s="41"/>
      <c r="LTI58" s="41"/>
      <c r="LTJ58" s="41"/>
      <c r="LTK58" s="41"/>
      <c r="LTL58" s="41"/>
      <c r="LTM58" s="41"/>
      <c r="LTN58" s="41"/>
      <c r="LTO58" s="41"/>
      <c r="LTP58" s="41"/>
      <c r="LTQ58" s="41"/>
      <c r="LTR58" s="41"/>
      <c r="LTS58" s="41"/>
      <c r="LTT58" s="41"/>
      <c r="LTU58" s="41"/>
      <c r="LTV58" s="41"/>
      <c r="LTW58" s="41"/>
      <c r="LTX58" s="41"/>
      <c r="LTY58" s="41"/>
      <c r="LTZ58" s="41"/>
      <c r="LUA58" s="41"/>
      <c r="LUB58" s="41"/>
      <c r="LUC58" s="41"/>
      <c r="LUD58" s="41"/>
      <c r="LUE58" s="41"/>
      <c r="LUF58" s="41"/>
      <c r="LUG58" s="41"/>
      <c r="LUH58" s="41"/>
      <c r="LUI58" s="41"/>
      <c r="LUJ58" s="41"/>
      <c r="LUK58" s="41"/>
      <c r="LUL58" s="41"/>
      <c r="LUM58" s="41"/>
      <c r="LUN58" s="41"/>
      <c r="LUO58" s="41"/>
      <c r="LUP58" s="41"/>
      <c r="LUQ58" s="41"/>
      <c r="LUR58" s="41"/>
      <c r="LUS58" s="41"/>
      <c r="LUT58" s="41"/>
      <c r="LUU58" s="41"/>
      <c r="LUV58" s="41"/>
      <c r="LUW58" s="41"/>
      <c r="LUX58" s="41"/>
      <c r="LUY58" s="41"/>
      <c r="LUZ58" s="41"/>
      <c r="LVA58" s="41"/>
      <c r="LVB58" s="41"/>
      <c r="LVC58" s="41"/>
      <c r="LVD58" s="41"/>
      <c r="LVE58" s="41"/>
      <c r="LVF58" s="41"/>
      <c r="LVG58" s="41"/>
      <c r="LVH58" s="41"/>
      <c r="LVI58" s="41"/>
      <c r="LVJ58" s="41"/>
      <c r="LVK58" s="41"/>
      <c r="LVL58" s="41"/>
      <c r="LVM58" s="41"/>
      <c r="LVN58" s="41"/>
      <c r="LVO58" s="41"/>
      <c r="LVP58" s="41"/>
      <c r="LVQ58" s="41"/>
      <c r="LVR58" s="41"/>
      <c r="LVS58" s="41"/>
      <c r="LVT58" s="41"/>
      <c r="LVU58" s="41"/>
      <c r="LVV58" s="41"/>
      <c r="LVW58" s="41"/>
      <c r="LVX58" s="41"/>
      <c r="LVY58" s="41"/>
      <c r="LVZ58" s="41"/>
      <c r="LWA58" s="41"/>
      <c r="LWB58" s="41"/>
      <c r="LWC58" s="41"/>
      <c r="LWD58" s="41"/>
      <c r="LWE58" s="41"/>
      <c r="LWF58" s="41"/>
      <c r="LWG58" s="41"/>
      <c r="LWH58" s="41"/>
      <c r="LWI58" s="41"/>
      <c r="LWJ58" s="41"/>
      <c r="LWK58" s="41"/>
      <c r="LWL58" s="41"/>
      <c r="LWM58" s="41"/>
      <c r="LWN58" s="41"/>
      <c r="LWO58" s="41"/>
      <c r="LWP58" s="41"/>
      <c r="LWQ58" s="41"/>
      <c r="LWR58" s="41"/>
      <c r="LWS58" s="41"/>
      <c r="LWT58" s="41"/>
      <c r="LWU58" s="41"/>
      <c r="LWV58" s="41"/>
      <c r="LWW58" s="41"/>
      <c r="LWX58" s="41"/>
      <c r="LWY58" s="41"/>
      <c r="LWZ58" s="41"/>
      <c r="LXA58" s="41"/>
      <c r="LXB58" s="41"/>
      <c r="LXC58" s="41"/>
      <c r="LXD58" s="41"/>
      <c r="LXE58" s="41"/>
      <c r="LXF58" s="41"/>
      <c r="LXG58" s="41"/>
      <c r="LXH58" s="41"/>
      <c r="LXI58" s="41"/>
      <c r="LXJ58" s="41"/>
      <c r="LXK58" s="41"/>
      <c r="LXL58" s="41"/>
      <c r="LXM58" s="41"/>
      <c r="LXN58" s="41"/>
      <c r="LXO58" s="41"/>
      <c r="LXP58" s="41"/>
      <c r="LXQ58" s="41"/>
      <c r="LXR58" s="41"/>
      <c r="LXS58" s="41"/>
      <c r="LXT58" s="41"/>
      <c r="LXU58" s="41"/>
      <c r="LXV58" s="41"/>
      <c r="LXW58" s="41"/>
      <c r="LXX58" s="41"/>
      <c r="LXY58" s="41"/>
      <c r="LXZ58" s="41"/>
      <c r="LYA58" s="41"/>
      <c r="LYB58" s="41"/>
      <c r="LYC58" s="41"/>
      <c r="LYD58" s="41"/>
      <c r="LYE58" s="41"/>
      <c r="LYF58" s="41"/>
      <c r="LYG58" s="41"/>
      <c r="LYH58" s="41"/>
      <c r="LYI58" s="41"/>
      <c r="LYJ58" s="41"/>
      <c r="LYK58" s="41"/>
      <c r="LYL58" s="41"/>
      <c r="LYM58" s="41"/>
      <c r="LYN58" s="41"/>
      <c r="LYO58" s="41"/>
      <c r="LYP58" s="41"/>
      <c r="LYQ58" s="41"/>
      <c r="LYR58" s="41"/>
      <c r="LYS58" s="41"/>
      <c r="LYT58" s="41"/>
      <c r="LYU58" s="41"/>
      <c r="LYV58" s="41"/>
      <c r="LYW58" s="41"/>
      <c r="LYX58" s="41"/>
      <c r="LYY58" s="41"/>
      <c r="LYZ58" s="41"/>
      <c r="LZA58" s="41"/>
      <c r="LZB58" s="41"/>
      <c r="LZC58" s="41"/>
      <c r="LZD58" s="41"/>
      <c r="LZE58" s="41"/>
      <c r="LZF58" s="41"/>
      <c r="LZG58" s="41"/>
      <c r="LZH58" s="41"/>
      <c r="LZI58" s="41"/>
      <c r="LZJ58" s="41"/>
      <c r="LZK58" s="41"/>
      <c r="LZL58" s="41"/>
      <c r="LZM58" s="41"/>
      <c r="LZN58" s="41"/>
      <c r="LZO58" s="41"/>
      <c r="LZP58" s="41"/>
      <c r="LZQ58" s="41"/>
      <c r="LZR58" s="41"/>
      <c r="LZS58" s="41"/>
      <c r="LZT58" s="41"/>
      <c r="LZU58" s="41"/>
      <c r="LZV58" s="41"/>
      <c r="LZW58" s="41"/>
      <c r="LZX58" s="41"/>
      <c r="LZY58" s="41"/>
      <c r="LZZ58" s="41"/>
      <c r="MAA58" s="41"/>
      <c r="MAB58" s="41"/>
      <c r="MAC58" s="41"/>
      <c r="MAD58" s="41"/>
      <c r="MAE58" s="41"/>
      <c r="MAF58" s="41"/>
      <c r="MAG58" s="41"/>
      <c r="MAH58" s="41"/>
      <c r="MAI58" s="41"/>
      <c r="MAJ58" s="41"/>
      <c r="MAK58" s="41"/>
      <c r="MAL58" s="41"/>
      <c r="MAM58" s="41"/>
      <c r="MAN58" s="41"/>
      <c r="MAO58" s="41"/>
      <c r="MAP58" s="41"/>
      <c r="MAQ58" s="41"/>
      <c r="MAR58" s="41"/>
      <c r="MAS58" s="41"/>
      <c r="MAT58" s="41"/>
      <c r="MAU58" s="41"/>
      <c r="MAV58" s="41"/>
      <c r="MAW58" s="41"/>
      <c r="MAX58" s="41"/>
      <c r="MAY58" s="41"/>
      <c r="MAZ58" s="41"/>
      <c r="MBA58" s="41"/>
      <c r="MBB58" s="41"/>
      <c r="MBC58" s="41"/>
      <c r="MBD58" s="41"/>
      <c r="MBE58" s="41"/>
      <c r="MBF58" s="41"/>
      <c r="MBG58" s="41"/>
      <c r="MBH58" s="41"/>
      <c r="MBI58" s="41"/>
      <c r="MBJ58" s="41"/>
      <c r="MBK58" s="41"/>
      <c r="MBL58" s="41"/>
      <c r="MBM58" s="41"/>
      <c r="MBN58" s="41"/>
      <c r="MBO58" s="41"/>
      <c r="MBP58" s="41"/>
      <c r="MBQ58" s="41"/>
      <c r="MBR58" s="41"/>
      <c r="MBS58" s="41"/>
      <c r="MBT58" s="41"/>
      <c r="MBU58" s="41"/>
      <c r="MBV58" s="41"/>
      <c r="MBW58" s="41"/>
      <c r="MBX58" s="41"/>
      <c r="MBY58" s="41"/>
      <c r="MBZ58" s="41"/>
      <c r="MCA58" s="41"/>
      <c r="MCB58" s="41"/>
      <c r="MCC58" s="41"/>
      <c r="MCD58" s="41"/>
      <c r="MCE58" s="41"/>
      <c r="MCF58" s="41"/>
      <c r="MCG58" s="41"/>
      <c r="MCH58" s="41"/>
      <c r="MCI58" s="41"/>
      <c r="MCJ58" s="41"/>
      <c r="MCK58" s="41"/>
      <c r="MCL58" s="41"/>
      <c r="MCM58" s="41"/>
      <c r="MCN58" s="41"/>
      <c r="MCO58" s="41"/>
      <c r="MCP58" s="41"/>
      <c r="MCQ58" s="41"/>
      <c r="MCR58" s="41"/>
      <c r="MCS58" s="41"/>
      <c r="MCT58" s="41"/>
      <c r="MCU58" s="41"/>
      <c r="MCV58" s="41"/>
      <c r="MCW58" s="41"/>
      <c r="MCX58" s="41"/>
      <c r="MCY58" s="41"/>
      <c r="MCZ58" s="41"/>
      <c r="MDA58" s="41"/>
      <c r="MDB58" s="41"/>
      <c r="MDC58" s="41"/>
      <c r="MDD58" s="41"/>
      <c r="MDE58" s="41"/>
      <c r="MDF58" s="41"/>
      <c r="MDG58" s="41"/>
      <c r="MDH58" s="41"/>
      <c r="MDI58" s="41"/>
      <c r="MDJ58" s="41"/>
      <c r="MDK58" s="41"/>
      <c r="MDL58" s="41"/>
      <c r="MDM58" s="41"/>
      <c r="MDN58" s="41"/>
      <c r="MDO58" s="41"/>
      <c r="MDP58" s="41"/>
      <c r="MDQ58" s="41"/>
      <c r="MDR58" s="41"/>
      <c r="MDS58" s="41"/>
      <c r="MDT58" s="41"/>
      <c r="MDU58" s="41"/>
      <c r="MDV58" s="41"/>
      <c r="MDW58" s="41"/>
      <c r="MDX58" s="41"/>
      <c r="MDY58" s="41"/>
      <c r="MDZ58" s="41"/>
      <c r="MEA58" s="41"/>
      <c r="MEB58" s="41"/>
      <c r="MEC58" s="41"/>
      <c r="MED58" s="41"/>
      <c r="MEE58" s="41"/>
      <c r="MEF58" s="41"/>
      <c r="MEG58" s="41"/>
      <c r="MEH58" s="41"/>
      <c r="MEI58" s="41"/>
      <c r="MEJ58" s="41"/>
      <c r="MEK58" s="41"/>
      <c r="MEL58" s="41"/>
      <c r="MEM58" s="41"/>
      <c r="MEN58" s="41"/>
      <c r="MEO58" s="41"/>
      <c r="MEP58" s="41"/>
      <c r="MEQ58" s="41"/>
      <c r="MER58" s="41"/>
      <c r="MES58" s="41"/>
      <c r="MET58" s="41"/>
      <c r="MEU58" s="41"/>
      <c r="MEV58" s="41"/>
      <c r="MEW58" s="41"/>
      <c r="MEX58" s="41"/>
      <c r="MEY58" s="41"/>
      <c r="MEZ58" s="41"/>
      <c r="MFA58" s="41"/>
      <c r="MFB58" s="41"/>
      <c r="MFC58" s="41"/>
      <c r="MFD58" s="41"/>
      <c r="MFE58" s="41"/>
      <c r="MFF58" s="41"/>
      <c r="MFG58" s="41"/>
      <c r="MFH58" s="41"/>
      <c r="MFI58" s="41"/>
      <c r="MFJ58" s="41"/>
      <c r="MFK58" s="41"/>
      <c r="MFL58" s="41"/>
      <c r="MFM58" s="41"/>
      <c r="MFN58" s="41"/>
      <c r="MFO58" s="41"/>
      <c r="MFP58" s="41"/>
      <c r="MFQ58" s="41"/>
      <c r="MFR58" s="41"/>
      <c r="MFS58" s="41"/>
      <c r="MFT58" s="41"/>
      <c r="MFU58" s="41"/>
      <c r="MFV58" s="41"/>
      <c r="MFW58" s="41"/>
      <c r="MFX58" s="41"/>
      <c r="MFY58" s="41"/>
      <c r="MFZ58" s="41"/>
      <c r="MGA58" s="41"/>
      <c r="MGB58" s="41"/>
      <c r="MGC58" s="41"/>
      <c r="MGD58" s="41"/>
      <c r="MGE58" s="41"/>
      <c r="MGF58" s="41"/>
      <c r="MGG58" s="41"/>
      <c r="MGH58" s="41"/>
      <c r="MGI58" s="41"/>
      <c r="MGJ58" s="41"/>
      <c r="MGK58" s="41"/>
      <c r="MGL58" s="41"/>
      <c r="MGM58" s="41"/>
      <c r="MGN58" s="41"/>
      <c r="MGO58" s="41"/>
      <c r="MGP58" s="41"/>
      <c r="MGQ58" s="41"/>
      <c r="MGR58" s="41"/>
      <c r="MGS58" s="41"/>
      <c r="MGT58" s="41"/>
      <c r="MGU58" s="41"/>
      <c r="MGV58" s="41"/>
      <c r="MGW58" s="41"/>
      <c r="MGX58" s="41"/>
      <c r="MGY58" s="41"/>
      <c r="MGZ58" s="41"/>
      <c r="MHA58" s="41"/>
      <c r="MHB58" s="41"/>
      <c r="MHC58" s="41"/>
      <c r="MHD58" s="41"/>
      <c r="MHE58" s="41"/>
      <c r="MHF58" s="41"/>
      <c r="MHG58" s="41"/>
      <c r="MHH58" s="41"/>
      <c r="MHI58" s="41"/>
      <c r="MHJ58" s="41"/>
      <c r="MHK58" s="41"/>
      <c r="MHL58" s="41"/>
      <c r="MHM58" s="41"/>
      <c r="MHN58" s="41"/>
      <c r="MHO58" s="41"/>
      <c r="MHP58" s="41"/>
      <c r="MHQ58" s="41"/>
      <c r="MHR58" s="41"/>
      <c r="MHS58" s="41"/>
      <c r="MHT58" s="41"/>
      <c r="MHU58" s="41"/>
      <c r="MHV58" s="41"/>
      <c r="MHW58" s="41"/>
      <c r="MHX58" s="41"/>
      <c r="MHY58" s="41"/>
      <c r="MHZ58" s="41"/>
      <c r="MIA58" s="41"/>
      <c r="MIB58" s="41"/>
      <c r="MIC58" s="41"/>
      <c r="MID58" s="41"/>
      <c r="MIE58" s="41"/>
      <c r="MIF58" s="41"/>
      <c r="MIG58" s="41"/>
      <c r="MIH58" s="41"/>
      <c r="MII58" s="41"/>
      <c r="MIJ58" s="41"/>
      <c r="MIK58" s="41"/>
      <c r="MIL58" s="41"/>
      <c r="MIM58" s="41"/>
      <c r="MIN58" s="41"/>
      <c r="MIO58" s="41"/>
      <c r="MIP58" s="41"/>
      <c r="MIQ58" s="41"/>
      <c r="MIR58" s="41"/>
      <c r="MIS58" s="41"/>
      <c r="MIT58" s="41"/>
      <c r="MIU58" s="41"/>
      <c r="MIV58" s="41"/>
      <c r="MIW58" s="41"/>
      <c r="MIX58" s="41"/>
      <c r="MIY58" s="41"/>
      <c r="MIZ58" s="41"/>
      <c r="MJA58" s="41"/>
      <c r="MJB58" s="41"/>
      <c r="MJC58" s="41"/>
      <c r="MJD58" s="41"/>
      <c r="MJE58" s="41"/>
      <c r="MJF58" s="41"/>
      <c r="MJG58" s="41"/>
      <c r="MJH58" s="41"/>
      <c r="MJI58" s="41"/>
      <c r="MJJ58" s="41"/>
      <c r="MJK58" s="41"/>
      <c r="MJL58" s="41"/>
      <c r="MJM58" s="41"/>
      <c r="MJN58" s="41"/>
      <c r="MJO58" s="41"/>
      <c r="MJP58" s="41"/>
      <c r="MJQ58" s="41"/>
      <c r="MJR58" s="41"/>
      <c r="MJS58" s="41"/>
      <c r="MJT58" s="41"/>
      <c r="MJU58" s="41"/>
      <c r="MJV58" s="41"/>
      <c r="MJW58" s="41"/>
      <c r="MJX58" s="41"/>
      <c r="MJY58" s="41"/>
      <c r="MJZ58" s="41"/>
      <c r="MKA58" s="41"/>
      <c r="MKB58" s="41"/>
      <c r="MKC58" s="41"/>
      <c r="MKD58" s="41"/>
      <c r="MKE58" s="41"/>
      <c r="MKF58" s="41"/>
      <c r="MKG58" s="41"/>
      <c r="MKH58" s="41"/>
      <c r="MKI58" s="41"/>
      <c r="MKJ58" s="41"/>
      <c r="MKK58" s="41"/>
      <c r="MKL58" s="41"/>
      <c r="MKM58" s="41"/>
      <c r="MKN58" s="41"/>
      <c r="MKO58" s="41"/>
      <c r="MKP58" s="41"/>
      <c r="MKQ58" s="41"/>
      <c r="MKR58" s="41"/>
      <c r="MKS58" s="41"/>
      <c r="MKT58" s="41"/>
      <c r="MKU58" s="41"/>
      <c r="MKV58" s="41"/>
      <c r="MKW58" s="41"/>
      <c r="MKX58" s="41"/>
      <c r="MKY58" s="41"/>
      <c r="MKZ58" s="41"/>
      <c r="MLA58" s="41"/>
      <c r="MLB58" s="41"/>
      <c r="MLC58" s="41"/>
      <c r="MLD58" s="41"/>
      <c r="MLE58" s="41"/>
      <c r="MLF58" s="41"/>
      <c r="MLG58" s="41"/>
      <c r="MLH58" s="41"/>
      <c r="MLI58" s="41"/>
      <c r="MLJ58" s="41"/>
      <c r="MLK58" s="41"/>
      <c r="MLL58" s="41"/>
      <c r="MLM58" s="41"/>
      <c r="MLN58" s="41"/>
      <c r="MLO58" s="41"/>
      <c r="MLP58" s="41"/>
      <c r="MLQ58" s="41"/>
      <c r="MLR58" s="41"/>
      <c r="MLS58" s="41"/>
      <c r="MLT58" s="41"/>
      <c r="MLU58" s="41"/>
      <c r="MLV58" s="41"/>
      <c r="MLW58" s="41"/>
      <c r="MLX58" s="41"/>
      <c r="MLY58" s="41"/>
      <c r="MLZ58" s="41"/>
      <c r="MMA58" s="41"/>
      <c r="MMB58" s="41"/>
      <c r="MMC58" s="41"/>
      <c r="MMD58" s="41"/>
      <c r="MME58" s="41"/>
      <c r="MMF58" s="41"/>
      <c r="MMG58" s="41"/>
      <c r="MMH58" s="41"/>
      <c r="MMI58" s="41"/>
      <c r="MMJ58" s="41"/>
      <c r="MMK58" s="41"/>
      <c r="MML58" s="41"/>
      <c r="MMM58" s="41"/>
      <c r="MMN58" s="41"/>
      <c r="MMO58" s="41"/>
      <c r="MMP58" s="41"/>
      <c r="MMQ58" s="41"/>
      <c r="MMR58" s="41"/>
      <c r="MMS58" s="41"/>
      <c r="MMT58" s="41"/>
      <c r="MMU58" s="41"/>
      <c r="MMV58" s="41"/>
      <c r="MMW58" s="41"/>
      <c r="MMX58" s="41"/>
      <c r="MMY58" s="41"/>
      <c r="MMZ58" s="41"/>
      <c r="MNA58" s="41"/>
      <c r="MNB58" s="41"/>
      <c r="MNC58" s="41"/>
      <c r="MND58" s="41"/>
      <c r="MNE58" s="41"/>
      <c r="MNF58" s="41"/>
      <c r="MNG58" s="41"/>
      <c r="MNH58" s="41"/>
      <c r="MNI58" s="41"/>
      <c r="MNJ58" s="41"/>
      <c r="MNK58" s="41"/>
      <c r="MNL58" s="41"/>
      <c r="MNM58" s="41"/>
      <c r="MNN58" s="41"/>
      <c r="MNO58" s="41"/>
      <c r="MNP58" s="41"/>
      <c r="MNQ58" s="41"/>
      <c r="MNR58" s="41"/>
      <c r="MNS58" s="41"/>
      <c r="MNT58" s="41"/>
      <c r="MNU58" s="41"/>
      <c r="MNV58" s="41"/>
      <c r="MNW58" s="41"/>
      <c r="MNX58" s="41"/>
      <c r="MNY58" s="41"/>
      <c r="MNZ58" s="41"/>
      <c r="MOA58" s="41"/>
      <c r="MOB58" s="41"/>
      <c r="MOC58" s="41"/>
      <c r="MOD58" s="41"/>
      <c r="MOE58" s="41"/>
      <c r="MOF58" s="41"/>
      <c r="MOG58" s="41"/>
      <c r="MOH58" s="41"/>
      <c r="MOI58" s="41"/>
      <c r="MOJ58" s="41"/>
      <c r="MOK58" s="41"/>
      <c r="MOL58" s="41"/>
      <c r="MOM58" s="41"/>
      <c r="MON58" s="41"/>
      <c r="MOO58" s="41"/>
      <c r="MOP58" s="41"/>
      <c r="MOQ58" s="41"/>
      <c r="MOR58" s="41"/>
      <c r="MOS58" s="41"/>
      <c r="MOT58" s="41"/>
      <c r="MOU58" s="41"/>
      <c r="MOV58" s="41"/>
      <c r="MOW58" s="41"/>
      <c r="MOX58" s="41"/>
      <c r="MOY58" s="41"/>
      <c r="MOZ58" s="41"/>
      <c r="MPA58" s="41"/>
      <c r="MPB58" s="41"/>
      <c r="MPC58" s="41"/>
      <c r="MPD58" s="41"/>
      <c r="MPE58" s="41"/>
      <c r="MPF58" s="41"/>
      <c r="MPG58" s="41"/>
      <c r="MPH58" s="41"/>
      <c r="MPI58" s="41"/>
      <c r="MPJ58" s="41"/>
      <c r="MPK58" s="41"/>
      <c r="MPL58" s="41"/>
      <c r="MPM58" s="41"/>
      <c r="MPN58" s="41"/>
      <c r="MPO58" s="41"/>
      <c r="MPP58" s="41"/>
      <c r="MPQ58" s="41"/>
      <c r="MPR58" s="41"/>
      <c r="MPS58" s="41"/>
      <c r="MPT58" s="41"/>
      <c r="MPU58" s="41"/>
      <c r="MPV58" s="41"/>
      <c r="MPW58" s="41"/>
      <c r="MPX58" s="41"/>
      <c r="MPY58" s="41"/>
      <c r="MPZ58" s="41"/>
      <c r="MQA58" s="41"/>
      <c r="MQB58" s="41"/>
      <c r="MQC58" s="41"/>
      <c r="MQD58" s="41"/>
      <c r="MQE58" s="41"/>
      <c r="MQF58" s="41"/>
      <c r="MQG58" s="41"/>
      <c r="MQH58" s="41"/>
      <c r="MQI58" s="41"/>
      <c r="MQJ58" s="41"/>
      <c r="MQK58" s="41"/>
      <c r="MQL58" s="41"/>
      <c r="MQM58" s="41"/>
      <c r="MQN58" s="41"/>
      <c r="MQO58" s="41"/>
      <c r="MQP58" s="41"/>
      <c r="MQQ58" s="41"/>
      <c r="MQR58" s="41"/>
      <c r="MQS58" s="41"/>
      <c r="MQT58" s="41"/>
      <c r="MQU58" s="41"/>
      <c r="MQV58" s="41"/>
      <c r="MQW58" s="41"/>
      <c r="MQX58" s="41"/>
      <c r="MQY58" s="41"/>
      <c r="MQZ58" s="41"/>
      <c r="MRA58" s="41"/>
      <c r="MRB58" s="41"/>
      <c r="MRC58" s="41"/>
      <c r="MRD58" s="41"/>
      <c r="MRE58" s="41"/>
      <c r="MRF58" s="41"/>
      <c r="MRG58" s="41"/>
      <c r="MRH58" s="41"/>
      <c r="MRI58" s="41"/>
      <c r="MRJ58" s="41"/>
      <c r="MRK58" s="41"/>
      <c r="MRL58" s="41"/>
      <c r="MRM58" s="41"/>
      <c r="MRN58" s="41"/>
      <c r="MRO58" s="41"/>
      <c r="MRP58" s="41"/>
      <c r="MRQ58" s="41"/>
      <c r="MRR58" s="41"/>
      <c r="MRS58" s="41"/>
      <c r="MRT58" s="41"/>
      <c r="MRU58" s="41"/>
      <c r="MRV58" s="41"/>
      <c r="MRW58" s="41"/>
      <c r="MRX58" s="41"/>
      <c r="MRY58" s="41"/>
      <c r="MRZ58" s="41"/>
      <c r="MSA58" s="41"/>
      <c r="MSB58" s="41"/>
      <c r="MSC58" s="41"/>
      <c r="MSD58" s="41"/>
      <c r="MSE58" s="41"/>
      <c r="MSF58" s="41"/>
      <c r="MSG58" s="41"/>
      <c r="MSH58" s="41"/>
      <c r="MSI58" s="41"/>
      <c r="MSJ58" s="41"/>
      <c r="MSK58" s="41"/>
      <c r="MSL58" s="41"/>
      <c r="MSM58" s="41"/>
      <c r="MSN58" s="41"/>
      <c r="MSO58" s="41"/>
      <c r="MSP58" s="41"/>
      <c r="MSQ58" s="41"/>
      <c r="MSR58" s="41"/>
      <c r="MSS58" s="41"/>
      <c r="MST58" s="41"/>
      <c r="MSU58" s="41"/>
      <c r="MSV58" s="41"/>
      <c r="MSW58" s="41"/>
      <c r="MSX58" s="41"/>
      <c r="MSY58" s="41"/>
      <c r="MSZ58" s="41"/>
      <c r="MTA58" s="41"/>
      <c r="MTB58" s="41"/>
      <c r="MTC58" s="41"/>
      <c r="MTD58" s="41"/>
      <c r="MTE58" s="41"/>
      <c r="MTF58" s="41"/>
      <c r="MTG58" s="41"/>
      <c r="MTH58" s="41"/>
      <c r="MTI58" s="41"/>
      <c r="MTJ58" s="41"/>
      <c r="MTK58" s="41"/>
      <c r="MTL58" s="41"/>
      <c r="MTM58" s="41"/>
      <c r="MTN58" s="41"/>
      <c r="MTO58" s="41"/>
      <c r="MTP58" s="41"/>
      <c r="MTQ58" s="41"/>
      <c r="MTR58" s="41"/>
      <c r="MTS58" s="41"/>
      <c r="MTT58" s="41"/>
      <c r="MTU58" s="41"/>
      <c r="MTV58" s="41"/>
      <c r="MTW58" s="41"/>
      <c r="MTX58" s="41"/>
      <c r="MTY58" s="41"/>
      <c r="MTZ58" s="41"/>
      <c r="MUA58" s="41"/>
      <c r="MUB58" s="41"/>
      <c r="MUC58" s="41"/>
      <c r="MUD58" s="41"/>
      <c r="MUE58" s="41"/>
      <c r="MUF58" s="41"/>
      <c r="MUG58" s="41"/>
      <c r="MUH58" s="41"/>
      <c r="MUI58" s="41"/>
      <c r="MUJ58" s="41"/>
      <c r="MUK58" s="41"/>
      <c r="MUL58" s="41"/>
      <c r="MUM58" s="41"/>
      <c r="MUN58" s="41"/>
      <c r="MUO58" s="41"/>
      <c r="MUP58" s="41"/>
      <c r="MUQ58" s="41"/>
      <c r="MUR58" s="41"/>
      <c r="MUS58" s="41"/>
      <c r="MUT58" s="41"/>
      <c r="MUU58" s="41"/>
      <c r="MUV58" s="41"/>
      <c r="MUW58" s="41"/>
      <c r="MUX58" s="41"/>
      <c r="MUY58" s="41"/>
      <c r="MUZ58" s="41"/>
      <c r="MVA58" s="41"/>
      <c r="MVB58" s="41"/>
      <c r="MVC58" s="41"/>
      <c r="MVD58" s="41"/>
      <c r="MVE58" s="41"/>
      <c r="MVF58" s="41"/>
      <c r="MVG58" s="41"/>
      <c r="MVH58" s="41"/>
      <c r="MVI58" s="41"/>
      <c r="MVJ58" s="41"/>
      <c r="MVK58" s="41"/>
      <c r="MVL58" s="41"/>
      <c r="MVM58" s="41"/>
      <c r="MVN58" s="41"/>
      <c r="MVO58" s="41"/>
      <c r="MVP58" s="41"/>
      <c r="MVQ58" s="41"/>
      <c r="MVR58" s="41"/>
      <c r="MVS58" s="41"/>
      <c r="MVT58" s="41"/>
      <c r="MVU58" s="41"/>
      <c r="MVV58" s="41"/>
      <c r="MVW58" s="41"/>
      <c r="MVX58" s="41"/>
      <c r="MVY58" s="41"/>
      <c r="MVZ58" s="41"/>
      <c r="MWA58" s="41"/>
      <c r="MWB58" s="41"/>
      <c r="MWC58" s="41"/>
      <c r="MWD58" s="41"/>
      <c r="MWE58" s="41"/>
      <c r="MWF58" s="41"/>
      <c r="MWG58" s="41"/>
      <c r="MWH58" s="41"/>
      <c r="MWI58" s="41"/>
      <c r="MWJ58" s="41"/>
      <c r="MWK58" s="41"/>
      <c r="MWL58" s="41"/>
      <c r="MWM58" s="41"/>
      <c r="MWN58" s="41"/>
      <c r="MWO58" s="41"/>
      <c r="MWP58" s="41"/>
      <c r="MWQ58" s="41"/>
      <c r="MWR58" s="41"/>
      <c r="MWS58" s="41"/>
      <c r="MWT58" s="41"/>
      <c r="MWU58" s="41"/>
      <c r="MWV58" s="41"/>
      <c r="MWW58" s="41"/>
      <c r="MWX58" s="41"/>
      <c r="MWY58" s="41"/>
      <c r="MWZ58" s="41"/>
      <c r="MXA58" s="41"/>
      <c r="MXB58" s="41"/>
      <c r="MXC58" s="41"/>
      <c r="MXD58" s="41"/>
      <c r="MXE58" s="41"/>
      <c r="MXF58" s="41"/>
      <c r="MXG58" s="41"/>
      <c r="MXH58" s="41"/>
      <c r="MXI58" s="41"/>
      <c r="MXJ58" s="41"/>
      <c r="MXK58" s="41"/>
      <c r="MXL58" s="41"/>
      <c r="MXM58" s="41"/>
      <c r="MXN58" s="41"/>
      <c r="MXO58" s="41"/>
      <c r="MXP58" s="41"/>
      <c r="MXQ58" s="41"/>
      <c r="MXR58" s="41"/>
      <c r="MXS58" s="41"/>
      <c r="MXT58" s="41"/>
      <c r="MXU58" s="41"/>
      <c r="MXV58" s="41"/>
      <c r="MXW58" s="41"/>
      <c r="MXX58" s="41"/>
      <c r="MXY58" s="41"/>
      <c r="MXZ58" s="41"/>
      <c r="MYA58" s="41"/>
      <c r="MYB58" s="41"/>
      <c r="MYC58" s="41"/>
      <c r="MYD58" s="41"/>
      <c r="MYE58" s="41"/>
      <c r="MYF58" s="41"/>
      <c r="MYG58" s="41"/>
      <c r="MYH58" s="41"/>
      <c r="MYI58" s="41"/>
      <c r="MYJ58" s="41"/>
      <c r="MYK58" s="41"/>
      <c r="MYL58" s="41"/>
      <c r="MYM58" s="41"/>
      <c r="MYN58" s="41"/>
      <c r="MYO58" s="41"/>
      <c r="MYP58" s="41"/>
      <c r="MYQ58" s="41"/>
      <c r="MYR58" s="41"/>
      <c r="MYS58" s="41"/>
      <c r="MYT58" s="41"/>
      <c r="MYU58" s="41"/>
      <c r="MYV58" s="41"/>
      <c r="MYW58" s="41"/>
      <c r="MYX58" s="41"/>
      <c r="MYY58" s="41"/>
      <c r="MYZ58" s="41"/>
      <c r="MZA58" s="41"/>
      <c r="MZB58" s="41"/>
      <c r="MZC58" s="41"/>
      <c r="MZD58" s="41"/>
      <c r="MZE58" s="41"/>
      <c r="MZF58" s="41"/>
      <c r="MZG58" s="41"/>
      <c r="MZH58" s="41"/>
      <c r="MZI58" s="41"/>
      <c r="MZJ58" s="41"/>
      <c r="MZK58" s="41"/>
      <c r="MZL58" s="41"/>
      <c r="MZM58" s="41"/>
      <c r="MZN58" s="41"/>
      <c r="MZO58" s="41"/>
      <c r="MZP58" s="41"/>
      <c r="MZQ58" s="41"/>
      <c r="MZR58" s="41"/>
      <c r="MZS58" s="41"/>
      <c r="MZT58" s="41"/>
      <c r="MZU58" s="41"/>
      <c r="MZV58" s="41"/>
      <c r="MZW58" s="41"/>
      <c r="MZX58" s="41"/>
      <c r="MZY58" s="41"/>
      <c r="MZZ58" s="41"/>
      <c r="NAA58" s="41"/>
      <c r="NAB58" s="41"/>
      <c r="NAC58" s="41"/>
      <c r="NAD58" s="41"/>
      <c r="NAE58" s="41"/>
      <c r="NAF58" s="41"/>
      <c r="NAG58" s="41"/>
      <c r="NAH58" s="41"/>
      <c r="NAI58" s="41"/>
      <c r="NAJ58" s="41"/>
      <c r="NAK58" s="41"/>
      <c r="NAL58" s="41"/>
      <c r="NAM58" s="41"/>
      <c r="NAN58" s="41"/>
      <c r="NAO58" s="41"/>
      <c r="NAP58" s="41"/>
      <c r="NAQ58" s="41"/>
      <c r="NAR58" s="41"/>
      <c r="NAS58" s="41"/>
      <c r="NAT58" s="41"/>
      <c r="NAU58" s="41"/>
      <c r="NAV58" s="41"/>
      <c r="NAW58" s="41"/>
      <c r="NAX58" s="41"/>
      <c r="NAY58" s="41"/>
      <c r="NAZ58" s="41"/>
      <c r="NBA58" s="41"/>
      <c r="NBB58" s="41"/>
      <c r="NBC58" s="41"/>
      <c r="NBD58" s="41"/>
      <c r="NBE58" s="41"/>
      <c r="NBF58" s="41"/>
      <c r="NBG58" s="41"/>
      <c r="NBH58" s="41"/>
      <c r="NBI58" s="41"/>
      <c r="NBJ58" s="41"/>
      <c r="NBK58" s="41"/>
      <c r="NBL58" s="41"/>
      <c r="NBM58" s="41"/>
      <c r="NBN58" s="41"/>
      <c r="NBO58" s="41"/>
      <c r="NBP58" s="41"/>
      <c r="NBQ58" s="41"/>
      <c r="NBR58" s="41"/>
      <c r="NBS58" s="41"/>
      <c r="NBT58" s="41"/>
      <c r="NBU58" s="41"/>
      <c r="NBV58" s="41"/>
      <c r="NBW58" s="41"/>
      <c r="NBX58" s="41"/>
      <c r="NBY58" s="41"/>
      <c r="NBZ58" s="41"/>
      <c r="NCA58" s="41"/>
      <c r="NCB58" s="41"/>
      <c r="NCC58" s="41"/>
      <c r="NCD58" s="41"/>
      <c r="NCE58" s="41"/>
      <c r="NCF58" s="41"/>
      <c r="NCG58" s="41"/>
      <c r="NCH58" s="41"/>
      <c r="NCI58" s="41"/>
      <c r="NCJ58" s="41"/>
      <c r="NCK58" s="41"/>
      <c r="NCL58" s="41"/>
      <c r="NCM58" s="41"/>
      <c r="NCN58" s="41"/>
      <c r="NCO58" s="41"/>
      <c r="NCP58" s="41"/>
      <c r="NCQ58" s="41"/>
      <c r="NCR58" s="41"/>
      <c r="NCS58" s="41"/>
      <c r="NCT58" s="41"/>
      <c r="NCU58" s="41"/>
      <c r="NCV58" s="41"/>
      <c r="NCW58" s="41"/>
      <c r="NCX58" s="41"/>
      <c r="NCY58" s="41"/>
      <c r="NCZ58" s="41"/>
      <c r="NDA58" s="41"/>
      <c r="NDB58" s="41"/>
      <c r="NDC58" s="41"/>
      <c r="NDD58" s="41"/>
      <c r="NDE58" s="41"/>
      <c r="NDF58" s="41"/>
      <c r="NDG58" s="41"/>
      <c r="NDH58" s="41"/>
      <c r="NDI58" s="41"/>
      <c r="NDJ58" s="41"/>
      <c r="NDK58" s="41"/>
      <c r="NDL58" s="41"/>
      <c r="NDM58" s="41"/>
      <c r="NDN58" s="41"/>
      <c r="NDO58" s="41"/>
      <c r="NDP58" s="41"/>
      <c r="NDQ58" s="41"/>
      <c r="NDR58" s="41"/>
      <c r="NDS58" s="41"/>
      <c r="NDT58" s="41"/>
      <c r="NDU58" s="41"/>
      <c r="NDV58" s="41"/>
      <c r="NDW58" s="41"/>
      <c r="NDX58" s="41"/>
      <c r="NDY58" s="41"/>
      <c r="NDZ58" s="41"/>
      <c r="NEA58" s="41"/>
      <c r="NEB58" s="41"/>
      <c r="NEC58" s="41"/>
      <c r="NED58" s="41"/>
      <c r="NEE58" s="41"/>
      <c r="NEF58" s="41"/>
      <c r="NEG58" s="41"/>
      <c r="NEH58" s="41"/>
      <c r="NEI58" s="41"/>
      <c r="NEJ58" s="41"/>
      <c r="NEK58" s="41"/>
      <c r="NEL58" s="41"/>
      <c r="NEM58" s="41"/>
      <c r="NEN58" s="41"/>
      <c r="NEO58" s="41"/>
      <c r="NEP58" s="41"/>
      <c r="NEQ58" s="41"/>
      <c r="NER58" s="41"/>
      <c r="NES58" s="41"/>
      <c r="NET58" s="41"/>
      <c r="NEU58" s="41"/>
      <c r="NEV58" s="41"/>
      <c r="NEW58" s="41"/>
      <c r="NEX58" s="41"/>
      <c r="NEY58" s="41"/>
      <c r="NEZ58" s="41"/>
      <c r="NFA58" s="41"/>
      <c r="NFB58" s="41"/>
      <c r="NFC58" s="41"/>
      <c r="NFD58" s="41"/>
      <c r="NFE58" s="41"/>
      <c r="NFF58" s="41"/>
      <c r="NFG58" s="41"/>
      <c r="NFH58" s="41"/>
      <c r="NFI58" s="41"/>
      <c r="NFJ58" s="41"/>
      <c r="NFK58" s="41"/>
      <c r="NFL58" s="41"/>
      <c r="NFM58" s="41"/>
      <c r="NFN58" s="41"/>
      <c r="NFO58" s="41"/>
      <c r="NFP58" s="41"/>
      <c r="NFQ58" s="41"/>
      <c r="NFR58" s="41"/>
      <c r="NFS58" s="41"/>
      <c r="NFT58" s="41"/>
      <c r="NFU58" s="41"/>
      <c r="NFV58" s="41"/>
      <c r="NFW58" s="41"/>
      <c r="NFX58" s="41"/>
      <c r="NFY58" s="41"/>
      <c r="NFZ58" s="41"/>
      <c r="NGA58" s="41"/>
      <c r="NGB58" s="41"/>
      <c r="NGC58" s="41"/>
      <c r="NGD58" s="41"/>
      <c r="NGE58" s="41"/>
      <c r="NGF58" s="41"/>
      <c r="NGG58" s="41"/>
      <c r="NGH58" s="41"/>
      <c r="NGI58" s="41"/>
      <c r="NGJ58" s="41"/>
      <c r="NGK58" s="41"/>
      <c r="NGL58" s="41"/>
      <c r="NGM58" s="41"/>
      <c r="NGN58" s="41"/>
      <c r="NGO58" s="41"/>
      <c r="NGP58" s="41"/>
      <c r="NGQ58" s="41"/>
      <c r="NGR58" s="41"/>
      <c r="NGS58" s="41"/>
      <c r="NGT58" s="41"/>
      <c r="NGU58" s="41"/>
      <c r="NGV58" s="41"/>
      <c r="NGW58" s="41"/>
      <c r="NGX58" s="41"/>
      <c r="NGY58" s="41"/>
      <c r="NGZ58" s="41"/>
      <c r="NHA58" s="41"/>
      <c r="NHB58" s="41"/>
      <c r="NHC58" s="41"/>
      <c r="NHD58" s="41"/>
      <c r="NHE58" s="41"/>
      <c r="NHF58" s="41"/>
      <c r="NHG58" s="41"/>
      <c r="NHH58" s="41"/>
      <c r="NHI58" s="41"/>
      <c r="NHJ58" s="41"/>
      <c r="NHK58" s="41"/>
      <c r="NHL58" s="41"/>
      <c r="NHM58" s="41"/>
      <c r="NHN58" s="41"/>
      <c r="NHO58" s="41"/>
      <c r="NHP58" s="41"/>
      <c r="NHQ58" s="41"/>
      <c r="NHR58" s="41"/>
      <c r="NHS58" s="41"/>
      <c r="NHT58" s="41"/>
      <c r="NHU58" s="41"/>
      <c r="NHV58" s="41"/>
      <c r="NHW58" s="41"/>
      <c r="NHX58" s="41"/>
      <c r="NHY58" s="41"/>
      <c r="NHZ58" s="41"/>
      <c r="NIA58" s="41"/>
      <c r="NIB58" s="41"/>
      <c r="NIC58" s="41"/>
      <c r="NID58" s="41"/>
      <c r="NIE58" s="41"/>
      <c r="NIF58" s="41"/>
      <c r="NIG58" s="41"/>
      <c r="NIH58" s="41"/>
      <c r="NII58" s="41"/>
      <c r="NIJ58" s="41"/>
      <c r="NIK58" s="41"/>
      <c r="NIL58" s="41"/>
      <c r="NIM58" s="41"/>
      <c r="NIN58" s="41"/>
      <c r="NIO58" s="41"/>
      <c r="NIP58" s="41"/>
      <c r="NIQ58" s="41"/>
      <c r="NIR58" s="41"/>
      <c r="NIS58" s="41"/>
      <c r="NIT58" s="41"/>
      <c r="NIU58" s="41"/>
      <c r="NIV58" s="41"/>
      <c r="NIW58" s="41"/>
      <c r="NIX58" s="41"/>
      <c r="NIY58" s="41"/>
      <c r="NIZ58" s="41"/>
      <c r="NJA58" s="41"/>
      <c r="NJB58" s="41"/>
      <c r="NJC58" s="41"/>
      <c r="NJD58" s="41"/>
      <c r="NJE58" s="41"/>
      <c r="NJF58" s="41"/>
      <c r="NJG58" s="41"/>
      <c r="NJH58" s="41"/>
      <c r="NJI58" s="41"/>
      <c r="NJJ58" s="41"/>
      <c r="NJK58" s="41"/>
      <c r="NJL58" s="41"/>
      <c r="NJM58" s="41"/>
      <c r="NJN58" s="41"/>
      <c r="NJO58" s="41"/>
      <c r="NJP58" s="41"/>
      <c r="NJQ58" s="41"/>
      <c r="NJR58" s="41"/>
      <c r="NJS58" s="41"/>
      <c r="NJT58" s="41"/>
      <c r="NJU58" s="41"/>
      <c r="NJV58" s="41"/>
      <c r="NJW58" s="41"/>
      <c r="NJX58" s="41"/>
      <c r="NJY58" s="41"/>
      <c r="NJZ58" s="41"/>
      <c r="NKA58" s="41"/>
      <c r="NKB58" s="41"/>
      <c r="NKC58" s="41"/>
      <c r="NKD58" s="41"/>
      <c r="NKE58" s="41"/>
      <c r="NKF58" s="41"/>
      <c r="NKG58" s="41"/>
      <c r="NKH58" s="41"/>
      <c r="NKI58" s="41"/>
      <c r="NKJ58" s="41"/>
      <c r="NKK58" s="41"/>
      <c r="NKL58" s="41"/>
      <c r="NKM58" s="41"/>
      <c r="NKN58" s="41"/>
      <c r="NKO58" s="41"/>
      <c r="NKP58" s="41"/>
      <c r="NKQ58" s="41"/>
      <c r="NKR58" s="41"/>
      <c r="NKS58" s="41"/>
      <c r="NKT58" s="41"/>
      <c r="NKU58" s="41"/>
      <c r="NKV58" s="41"/>
      <c r="NKW58" s="41"/>
      <c r="NKX58" s="41"/>
      <c r="NKY58" s="41"/>
      <c r="NKZ58" s="41"/>
      <c r="NLA58" s="41"/>
      <c r="NLB58" s="41"/>
      <c r="NLC58" s="41"/>
      <c r="NLD58" s="41"/>
      <c r="NLE58" s="41"/>
      <c r="NLF58" s="41"/>
      <c r="NLG58" s="41"/>
      <c r="NLH58" s="41"/>
      <c r="NLI58" s="41"/>
      <c r="NLJ58" s="41"/>
      <c r="NLK58" s="41"/>
      <c r="NLL58" s="41"/>
      <c r="NLM58" s="41"/>
      <c r="NLN58" s="41"/>
      <c r="NLO58" s="41"/>
      <c r="NLP58" s="41"/>
      <c r="NLQ58" s="41"/>
      <c r="NLR58" s="41"/>
      <c r="NLS58" s="41"/>
      <c r="NLT58" s="41"/>
      <c r="NLU58" s="41"/>
      <c r="NLV58" s="41"/>
      <c r="NLW58" s="41"/>
      <c r="NLX58" s="41"/>
      <c r="NLY58" s="41"/>
      <c r="NLZ58" s="41"/>
      <c r="NMA58" s="41"/>
      <c r="NMB58" s="41"/>
      <c r="NMC58" s="41"/>
      <c r="NMD58" s="41"/>
      <c r="NME58" s="41"/>
      <c r="NMF58" s="41"/>
      <c r="NMG58" s="41"/>
      <c r="NMH58" s="41"/>
      <c r="NMI58" s="41"/>
      <c r="NMJ58" s="41"/>
      <c r="NMK58" s="41"/>
      <c r="NML58" s="41"/>
      <c r="NMM58" s="41"/>
      <c r="NMN58" s="41"/>
      <c r="NMO58" s="41"/>
      <c r="NMP58" s="41"/>
      <c r="NMQ58" s="41"/>
      <c r="NMR58" s="41"/>
      <c r="NMS58" s="41"/>
      <c r="NMT58" s="41"/>
      <c r="NMU58" s="41"/>
      <c r="NMV58" s="41"/>
      <c r="NMW58" s="41"/>
      <c r="NMX58" s="41"/>
      <c r="NMY58" s="41"/>
      <c r="NMZ58" s="41"/>
      <c r="NNA58" s="41"/>
      <c r="NNB58" s="41"/>
      <c r="NNC58" s="41"/>
      <c r="NND58" s="41"/>
      <c r="NNE58" s="41"/>
      <c r="NNF58" s="41"/>
      <c r="NNG58" s="41"/>
      <c r="NNH58" s="41"/>
      <c r="NNI58" s="41"/>
      <c r="NNJ58" s="41"/>
      <c r="NNK58" s="41"/>
      <c r="NNL58" s="41"/>
      <c r="NNM58" s="41"/>
      <c r="NNN58" s="41"/>
      <c r="NNO58" s="41"/>
      <c r="NNP58" s="41"/>
      <c r="NNQ58" s="41"/>
      <c r="NNR58" s="41"/>
      <c r="NNS58" s="41"/>
      <c r="NNT58" s="41"/>
      <c r="NNU58" s="41"/>
      <c r="NNV58" s="41"/>
      <c r="NNW58" s="41"/>
      <c r="NNX58" s="41"/>
      <c r="NNY58" s="41"/>
      <c r="NNZ58" s="41"/>
      <c r="NOA58" s="41"/>
      <c r="NOB58" s="41"/>
      <c r="NOC58" s="41"/>
      <c r="NOD58" s="41"/>
      <c r="NOE58" s="41"/>
      <c r="NOF58" s="41"/>
      <c r="NOG58" s="41"/>
      <c r="NOH58" s="41"/>
      <c r="NOI58" s="41"/>
      <c r="NOJ58" s="41"/>
      <c r="NOK58" s="41"/>
      <c r="NOL58" s="41"/>
      <c r="NOM58" s="41"/>
      <c r="NON58" s="41"/>
      <c r="NOO58" s="41"/>
      <c r="NOP58" s="41"/>
      <c r="NOQ58" s="41"/>
      <c r="NOR58" s="41"/>
      <c r="NOS58" s="41"/>
      <c r="NOT58" s="41"/>
      <c r="NOU58" s="41"/>
      <c r="NOV58" s="41"/>
      <c r="NOW58" s="41"/>
      <c r="NOX58" s="41"/>
      <c r="NOY58" s="41"/>
      <c r="NOZ58" s="41"/>
      <c r="NPA58" s="41"/>
      <c r="NPB58" s="41"/>
      <c r="NPC58" s="41"/>
      <c r="NPD58" s="41"/>
      <c r="NPE58" s="41"/>
      <c r="NPF58" s="41"/>
      <c r="NPG58" s="41"/>
      <c r="NPH58" s="41"/>
      <c r="NPI58" s="41"/>
      <c r="NPJ58" s="41"/>
      <c r="NPK58" s="41"/>
      <c r="NPL58" s="41"/>
      <c r="NPM58" s="41"/>
      <c r="NPN58" s="41"/>
      <c r="NPO58" s="41"/>
      <c r="NPP58" s="41"/>
      <c r="NPQ58" s="41"/>
      <c r="NPR58" s="41"/>
      <c r="NPS58" s="41"/>
      <c r="NPT58" s="41"/>
      <c r="NPU58" s="41"/>
      <c r="NPV58" s="41"/>
      <c r="NPW58" s="41"/>
      <c r="NPX58" s="41"/>
      <c r="NPY58" s="41"/>
      <c r="NPZ58" s="41"/>
      <c r="NQA58" s="41"/>
      <c r="NQB58" s="41"/>
      <c r="NQC58" s="41"/>
      <c r="NQD58" s="41"/>
      <c r="NQE58" s="41"/>
      <c r="NQF58" s="41"/>
      <c r="NQG58" s="41"/>
      <c r="NQH58" s="41"/>
      <c r="NQI58" s="41"/>
      <c r="NQJ58" s="41"/>
      <c r="NQK58" s="41"/>
      <c r="NQL58" s="41"/>
      <c r="NQM58" s="41"/>
      <c r="NQN58" s="41"/>
      <c r="NQO58" s="41"/>
      <c r="NQP58" s="41"/>
      <c r="NQQ58" s="41"/>
      <c r="NQR58" s="41"/>
      <c r="NQS58" s="41"/>
      <c r="NQT58" s="41"/>
      <c r="NQU58" s="41"/>
      <c r="NQV58" s="41"/>
      <c r="NQW58" s="41"/>
      <c r="NQX58" s="41"/>
      <c r="NQY58" s="41"/>
      <c r="NQZ58" s="41"/>
      <c r="NRA58" s="41"/>
      <c r="NRB58" s="41"/>
      <c r="NRC58" s="41"/>
      <c r="NRD58" s="41"/>
      <c r="NRE58" s="41"/>
      <c r="NRF58" s="41"/>
      <c r="NRG58" s="41"/>
      <c r="NRH58" s="41"/>
      <c r="NRI58" s="41"/>
      <c r="NRJ58" s="41"/>
      <c r="NRK58" s="41"/>
      <c r="NRL58" s="41"/>
      <c r="NRM58" s="41"/>
      <c r="NRN58" s="41"/>
      <c r="NRO58" s="41"/>
      <c r="NRP58" s="41"/>
      <c r="NRQ58" s="41"/>
      <c r="NRR58" s="41"/>
      <c r="NRS58" s="41"/>
      <c r="NRT58" s="41"/>
      <c r="NRU58" s="41"/>
      <c r="NRV58" s="41"/>
      <c r="NRW58" s="41"/>
      <c r="NRX58" s="41"/>
      <c r="NRY58" s="41"/>
      <c r="NRZ58" s="41"/>
      <c r="NSA58" s="41"/>
      <c r="NSB58" s="41"/>
      <c r="NSC58" s="41"/>
      <c r="NSD58" s="41"/>
      <c r="NSE58" s="41"/>
      <c r="NSF58" s="41"/>
      <c r="NSG58" s="41"/>
      <c r="NSH58" s="41"/>
      <c r="NSI58" s="41"/>
      <c r="NSJ58" s="41"/>
      <c r="NSK58" s="41"/>
      <c r="NSL58" s="41"/>
      <c r="NSM58" s="41"/>
      <c r="NSN58" s="41"/>
      <c r="NSO58" s="41"/>
      <c r="NSP58" s="41"/>
      <c r="NSQ58" s="41"/>
      <c r="NSR58" s="41"/>
      <c r="NSS58" s="41"/>
      <c r="NST58" s="41"/>
      <c r="NSU58" s="41"/>
      <c r="NSV58" s="41"/>
      <c r="NSW58" s="41"/>
      <c r="NSX58" s="41"/>
      <c r="NSY58" s="41"/>
      <c r="NSZ58" s="41"/>
      <c r="NTA58" s="41"/>
      <c r="NTB58" s="41"/>
      <c r="NTC58" s="41"/>
      <c r="NTD58" s="41"/>
      <c r="NTE58" s="41"/>
      <c r="NTF58" s="41"/>
      <c r="NTG58" s="41"/>
      <c r="NTH58" s="41"/>
      <c r="NTI58" s="41"/>
      <c r="NTJ58" s="41"/>
      <c r="NTK58" s="41"/>
      <c r="NTL58" s="41"/>
      <c r="NTM58" s="41"/>
      <c r="NTN58" s="41"/>
      <c r="NTO58" s="41"/>
      <c r="NTP58" s="41"/>
      <c r="NTQ58" s="41"/>
      <c r="NTR58" s="41"/>
      <c r="NTS58" s="41"/>
      <c r="NTT58" s="41"/>
      <c r="NTU58" s="41"/>
      <c r="NTV58" s="41"/>
      <c r="NTW58" s="41"/>
      <c r="NTX58" s="41"/>
      <c r="NTY58" s="41"/>
      <c r="NTZ58" s="41"/>
      <c r="NUA58" s="41"/>
      <c r="NUB58" s="41"/>
      <c r="NUC58" s="41"/>
      <c r="NUD58" s="41"/>
      <c r="NUE58" s="41"/>
      <c r="NUF58" s="41"/>
      <c r="NUG58" s="41"/>
      <c r="NUH58" s="41"/>
      <c r="NUI58" s="41"/>
      <c r="NUJ58" s="41"/>
      <c r="NUK58" s="41"/>
      <c r="NUL58" s="41"/>
      <c r="NUM58" s="41"/>
      <c r="NUN58" s="41"/>
      <c r="NUO58" s="41"/>
      <c r="NUP58" s="41"/>
      <c r="NUQ58" s="41"/>
      <c r="NUR58" s="41"/>
      <c r="NUS58" s="41"/>
      <c r="NUT58" s="41"/>
      <c r="NUU58" s="41"/>
      <c r="NUV58" s="41"/>
      <c r="NUW58" s="41"/>
      <c r="NUX58" s="41"/>
      <c r="NUY58" s="41"/>
      <c r="NUZ58" s="41"/>
      <c r="NVA58" s="41"/>
      <c r="NVB58" s="41"/>
      <c r="NVC58" s="41"/>
      <c r="NVD58" s="41"/>
      <c r="NVE58" s="41"/>
      <c r="NVF58" s="41"/>
      <c r="NVG58" s="41"/>
      <c r="NVH58" s="41"/>
      <c r="NVI58" s="41"/>
      <c r="NVJ58" s="41"/>
      <c r="NVK58" s="41"/>
      <c r="NVL58" s="41"/>
      <c r="NVM58" s="41"/>
      <c r="NVN58" s="41"/>
      <c r="NVO58" s="41"/>
      <c r="NVP58" s="41"/>
      <c r="NVQ58" s="41"/>
      <c r="NVR58" s="41"/>
      <c r="NVS58" s="41"/>
      <c r="NVT58" s="41"/>
      <c r="NVU58" s="41"/>
      <c r="NVV58" s="41"/>
      <c r="NVW58" s="41"/>
      <c r="NVX58" s="41"/>
      <c r="NVY58" s="41"/>
      <c r="NVZ58" s="41"/>
      <c r="NWA58" s="41"/>
      <c r="NWB58" s="41"/>
      <c r="NWC58" s="41"/>
      <c r="NWD58" s="41"/>
      <c r="NWE58" s="41"/>
      <c r="NWF58" s="41"/>
      <c r="NWG58" s="41"/>
      <c r="NWH58" s="41"/>
      <c r="NWI58" s="41"/>
      <c r="NWJ58" s="41"/>
      <c r="NWK58" s="41"/>
      <c r="NWL58" s="41"/>
      <c r="NWM58" s="41"/>
      <c r="NWN58" s="41"/>
      <c r="NWO58" s="41"/>
      <c r="NWP58" s="41"/>
      <c r="NWQ58" s="41"/>
      <c r="NWR58" s="41"/>
      <c r="NWS58" s="41"/>
      <c r="NWT58" s="41"/>
      <c r="NWU58" s="41"/>
      <c r="NWV58" s="41"/>
      <c r="NWW58" s="41"/>
      <c r="NWX58" s="41"/>
      <c r="NWY58" s="41"/>
      <c r="NWZ58" s="41"/>
      <c r="NXA58" s="41"/>
      <c r="NXB58" s="41"/>
      <c r="NXC58" s="41"/>
      <c r="NXD58" s="41"/>
      <c r="NXE58" s="41"/>
      <c r="NXF58" s="41"/>
      <c r="NXG58" s="41"/>
      <c r="NXH58" s="41"/>
      <c r="NXI58" s="41"/>
      <c r="NXJ58" s="41"/>
      <c r="NXK58" s="41"/>
      <c r="NXL58" s="41"/>
      <c r="NXM58" s="41"/>
      <c r="NXN58" s="41"/>
      <c r="NXO58" s="41"/>
      <c r="NXP58" s="41"/>
      <c r="NXQ58" s="41"/>
      <c r="NXR58" s="41"/>
      <c r="NXS58" s="41"/>
      <c r="NXT58" s="41"/>
      <c r="NXU58" s="41"/>
      <c r="NXV58" s="41"/>
      <c r="NXW58" s="41"/>
      <c r="NXX58" s="41"/>
      <c r="NXY58" s="41"/>
      <c r="NXZ58" s="41"/>
      <c r="NYA58" s="41"/>
      <c r="NYB58" s="41"/>
      <c r="NYC58" s="41"/>
      <c r="NYD58" s="41"/>
      <c r="NYE58" s="41"/>
      <c r="NYF58" s="41"/>
      <c r="NYG58" s="41"/>
      <c r="NYH58" s="41"/>
      <c r="NYI58" s="41"/>
      <c r="NYJ58" s="41"/>
      <c r="NYK58" s="41"/>
      <c r="NYL58" s="41"/>
      <c r="NYM58" s="41"/>
      <c r="NYN58" s="41"/>
      <c r="NYO58" s="41"/>
      <c r="NYP58" s="41"/>
      <c r="NYQ58" s="41"/>
      <c r="NYR58" s="41"/>
      <c r="NYS58" s="41"/>
      <c r="NYT58" s="41"/>
      <c r="NYU58" s="41"/>
      <c r="NYV58" s="41"/>
      <c r="NYW58" s="41"/>
      <c r="NYX58" s="41"/>
      <c r="NYY58" s="41"/>
      <c r="NYZ58" s="41"/>
      <c r="NZA58" s="41"/>
      <c r="NZB58" s="41"/>
      <c r="NZC58" s="41"/>
      <c r="NZD58" s="41"/>
      <c r="NZE58" s="41"/>
      <c r="NZF58" s="41"/>
      <c r="NZG58" s="41"/>
      <c r="NZH58" s="41"/>
      <c r="NZI58" s="41"/>
      <c r="NZJ58" s="41"/>
      <c r="NZK58" s="41"/>
      <c r="NZL58" s="41"/>
      <c r="NZM58" s="41"/>
      <c r="NZN58" s="41"/>
      <c r="NZO58" s="41"/>
      <c r="NZP58" s="41"/>
      <c r="NZQ58" s="41"/>
      <c r="NZR58" s="41"/>
      <c r="NZS58" s="41"/>
      <c r="NZT58" s="41"/>
      <c r="NZU58" s="41"/>
      <c r="NZV58" s="41"/>
      <c r="NZW58" s="41"/>
      <c r="NZX58" s="41"/>
      <c r="NZY58" s="41"/>
      <c r="NZZ58" s="41"/>
      <c r="OAA58" s="41"/>
      <c r="OAB58" s="41"/>
      <c r="OAC58" s="41"/>
      <c r="OAD58" s="41"/>
      <c r="OAE58" s="41"/>
      <c r="OAF58" s="41"/>
      <c r="OAG58" s="41"/>
      <c r="OAH58" s="41"/>
      <c r="OAI58" s="41"/>
      <c r="OAJ58" s="41"/>
      <c r="OAK58" s="41"/>
      <c r="OAL58" s="41"/>
      <c r="OAM58" s="41"/>
      <c r="OAN58" s="41"/>
      <c r="OAO58" s="41"/>
      <c r="OAP58" s="41"/>
      <c r="OAQ58" s="41"/>
      <c r="OAR58" s="41"/>
      <c r="OAS58" s="41"/>
      <c r="OAT58" s="41"/>
      <c r="OAU58" s="41"/>
      <c r="OAV58" s="41"/>
      <c r="OAW58" s="41"/>
      <c r="OAX58" s="41"/>
      <c r="OAY58" s="41"/>
      <c r="OAZ58" s="41"/>
      <c r="OBA58" s="41"/>
      <c r="OBB58" s="41"/>
      <c r="OBC58" s="41"/>
      <c r="OBD58" s="41"/>
      <c r="OBE58" s="41"/>
      <c r="OBF58" s="41"/>
      <c r="OBG58" s="41"/>
      <c r="OBH58" s="41"/>
      <c r="OBI58" s="41"/>
      <c r="OBJ58" s="41"/>
      <c r="OBK58" s="41"/>
      <c r="OBL58" s="41"/>
      <c r="OBM58" s="41"/>
      <c r="OBN58" s="41"/>
      <c r="OBO58" s="41"/>
      <c r="OBP58" s="41"/>
      <c r="OBQ58" s="41"/>
      <c r="OBR58" s="41"/>
      <c r="OBS58" s="41"/>
      <c r="OBT58" s="41"/>
      <c r="OBU58" s="41"/>
      <c r="OBV58" s="41"/>
      <c r="OBW58" s="41"/>
      <c r="OBX58" s="41"/>
      <c r="OBY58" s="41"/>
      <c r="OBZ58" s="41"/>
      <c r="OCA58" s="41"/>
      <c r="OCB58" s="41"/>
      <c r="OCC58" s="41"/>
      <c r="OCD58" s="41"/>
      <c r="OCE58" s="41"/>
      <c r="OCF58" s="41"/>
      <c r="OCG58" s="41"/>
      <c r="OCH58" s="41"/>
      <c r="OCI58" s="41"/>
      <c r="OCJ58" s="41"/>
      <c r="OCK58" s="41"/>
      <c r="OCL58" s="41"/>
      <c r="OCM58" s="41"/>
      <c r="OCN58" s="41"/>
      <c r="OCO58" s="41"/>
      <c r="OCP58" s="41"/>
      <c r="OCQ58" s="41"/>
      <c r="OCR58" s="41"/>
      <c r="OCS58" s="41"/>
      <c r="OCT58" s="41"/>
      <c r="OCU58" s="41"/>
      <c r="OCV58" s="41"/>
      <c r="OCW58" s="41"/>
      <c r="OCX58" s="41"/>
      <c r="OCY58" s="41"/>
      <c r="OCZ58" s="41"/>
      <c r="ODA58" s="41"/>
      <c r="ODB58" s="41"/>
      <c r="ODC58" s="41"/>
      <c r="ODD58" s="41"/>
      <c r="ODE58" s="41"/>
      <c r="ODF58" s="41"/>
      <c r="ODG58" s="41"/>
      <c r="ODH58" s="41"/>
      <c r="ODI58" s="41"/>
      <c r="ODJ58" s="41"/>
      <c r="ODK58" s="41"/>
      <c r="ODL58" s="41"/>
      <c r="ODM58" s="41"/>
      <c r="ODN58" s="41"/>
      <c r="ODO58" s="41"/>
      <c r="ODP58" s="41"/>
      <c r="ODQ58" s="41"/>
      <c r="ODR58" s="41"/>
      <c r="ODS58" s="41"/>
      <c r="ODT58" s="41"/>
      <c r="ODU58" s="41"/>
      <c r="ODV58" s="41"/>
      <c r="ODW58" s="41"/>
      <c r="ODX58" s="41"/>
      <c r="ODY58" s="41"/>
      <c r="ODZ58" s="41"/>
      <c r="OEA58" s="41"/>
      <c r="OEB58" s="41"/>
      <c r="OEC58" s="41"/>
      <c r="OED58" s="41"/>
      <c r="OEE58" s="41"/>
      <c r="OEF58" s="41"/>
      <c r="OEG58" s="41"/>
      <c r="OEH58" s="41"/>
      <c r="OEI58" s="41"/>
      <c r="OEJ58" s="41"/>
      <c r="OEK58" s="41"/>
      <c r="OEL58" s="41"/>
      <c r="OEM58" s="41"/>
      <c r="OEN58" s="41"/>
      <c r="OEO58" s="41"/>
      <c r="OEP58" s="41"/>
      <c r="OEQ58" s="41"/>
      <c r="OER58" s="41"/>
      <c r="OES58" s="41"/>
      <c r="OET58" s="41"/>
      <c r="OEU58" s="41"/>
      <c r="OEV58" s="41"/>
      <c r="OEW58" s="41"/>
      <c r="OEX58" s="41"/>
      <c r="OEY58" s="41"/>
      <c r="OEZ58" s="41"/>
      <c r="OFA58" s="41"/>
      <c r="OFB58" s="41"/>
      <c r="OFC58" s="41"/>
      <c r="OFD58" s="41"/>
      <c r="OFE58" s="41"/>
      <c r="OFF58" s="41"/>
      <c r="OFG58" s="41"/>
      <c r="OFH58" s="41"/>
      <c r="OFI58" s="41"/>
      <c r="OFJ58" s="41"/>
      <c r="OFK58" s="41"/>
      <c r="OFL58" s="41"/>
      <c r="OFM58" s="41"/>
      <c r="OFN58" s="41"/>
      <c r="OFO58" s="41"/>
      <c r="OFP58" s="41"/>
      <c r="OFQ58" s="41"/>
      <c r="OFR58" s="41"/>
      <c r="OFS58" s="41"/>
      <c r="OFT58" s="41"/>
      <c r="OFU58" s="41"/>
      <c r="OFV58" s="41"/>
      <c r="OFW58" s="41"/>
      <c r="OFX58" s="41"/>
      <c r="OFY58" s="41"/>
      <c r="OFZ58" s="41"/>
      <c r="OGA58" s="41"/>
      <c r="OGB58" s="41"/>
      <c r="OGC58" s="41"/>
      <c r="OGD58" s="41"/>
      <c r="OGE58" s="41"/>
      <c r="OGF58" s="41"/>
      <c r="OGG58" s="41"/>
      <c r="OGH58" s="41"/>
      <c r="OGI58" s="41"/>
      <c r="OGJ58" s="41"/>
      <c r="OGK58" s="41"/>
      <c r="OGL58" s="41"/>
      <c r="OGM58" s="41"/>
      <c r="OGN58" s="41"/>
      <c r="OGO58" s="41"/>
      <c r="OGP58" s="41"/>
      <c r="OGQ58" s="41"/>
      <c r="OGR58" s="41"/>
      <c r="OGS58" s="41"/>
      <c r="OGT58" s="41"/>
      <c r="OGU58" s="41"/>
      <c r="OGV58" s="41"/>
      <c r="OGW58" s="41"/>
      <c r="OGX58" s="41"/>
      <c r="OGY58" s="41"/>
      <c r="OGZ58" s="41"/>
      <c r="OHA58" s="41"/>
      <c r="OHB58" s="41"/>
      <c r="OHC58" s="41"/>
      <c r="OHD58" s="41"/>
      <c r="OHE58" s="41"/>
      <c r="OHF58" s="41"/>
      <c r="OHG58" s="41"/>
      <c r="OHH58" s="41"/>
      <c r="OHI58" s="41"/>
      <c r="OHJ58" s="41"/>
      <c r="OHK58" s="41"/>
      <c r="OHL58" s="41"/>
      <c r="OHM58" s="41"/>
      <c r="OHN58" s="41"/>
      <c r="OHO58" s="41"/>
      <c r="OHP58" s="41"/>
      <c r="OHQ58" s="41"/>
      <c r="OHR58" s="41"/>
      <c r="OHS58" s="41"/>
      <c r="OHT58" s="41"/>
      <c r="OHU58" s="41"/>
      <c r="OHV58" s="41"/>
      <c r="OHW58" s="41"/>
      <c r="OHX58" s="41"/>
      <c r="OHY58" s="41"/>
      <c r="OHZ58" s="41"/>
      <c r="OIA58" s="41"/>
      <c r="OIB58" s="41"/>
      <c r="OIC58" s="41"/>
      <c r="OID58" s="41"/>
      <c r="OIE58" s="41"/>
      <c r="OIF58" s="41"/>
      <c r="OIG58" s="41"/>
      <c r="OIH58" s="41"/>
      <c r="OII58" s="41"/>
      <c r="OIJ58" s="41"/>
      <c r="OIK58" s="41"/>
      <c r="OIL58" s="41"/>
      <c r="OIM58" s="41"/>
      <c r="OIN58" s="41"/>
      <c r="OIO58" s="41"/>
      <c r="OIP58" s="41"/>
      <c r="OIQ58" s="41"/>
      <c r="OIR58" s="41"/>
      <c r="OIS58" s="41"/>
      <c r="OIT58" s="41"/>
      <c r="OIU58" s="41"/>
      <c r="OIV58" s="41"/>
      <c r="OIW58" s="41"/>
      <c r="OIX58" s="41"/>
      <c r="OIY58" s="41"/>
      <c r="OIZ58" s="41"/>
      <c r="OJA58" s="41"/>
      <c r="OJB58" s="41"/>
      <c r="OJC58" s="41"/>
      <c r="OJD58" s="41"/>
      <c r="OJE58" s="41"/>
      <c r="OJF58" s="41"/>
      <c r="OJG58" s="41"/>
      <c r="OJH58" s="41"/>
      <c r="OJI58" s="41"/>
      <c r="OJJ58" s="41"/>
      <c r="OJK58" s="41"/>
      <c r="OJL58" s="41"/>
      <c r="OJM58" s="41"/>
      <c r="OJN58" s="41"/>
      <c r="OJO58" s="41"/>
      <c r="OJP58" s="41"/>
      <c r="OJQ58" s="41"/>
      <c r="OJR58" s="41"/>
      <c r="OJS58" s="41"/>
      <c r="OJT58" s="41"/>
      <c r="OJU58" s="41"/>
      <c r="OJV58" s="41"/>
      <c r="OJW58" s="41"/>
      <c r="OJX58" s="41"/>
      <c r="OJY58" s="41"/>
      <c r="OJZ58" s="41"/>
      <c r="OKA58" s="41"/>
      <c r="OKB58" s="41"/>
      <c r="OKC58" s="41"/>
      <c r="OKD58" s="41"/>
      <c r="OKE58" s="41"/>
      <c r="OKF58" s="41"/>
      <c r="OKG58" s="41"/>
      <c r="OKH58" s="41"/>
      <c r="OKI58" s="41"/>
      <c r="OKJ58" s="41"/>
      <c r="OKK58" s="41"/>
      <c r="OKL58" s="41"/>
      <c r="OKM58" s="41"/>
      <c r="OKN58" s="41"/>
      <c r="OKO58" s="41"/>
      <c r="OKP58" s="41"/>
      <c r="OKQ58" s="41"/>
      <c r="OKR58" s="41"/>
      <c r="OKS58" s="41"/>
      <c r="OKT58" s="41"/>
      <c r="OKU58" s="41"/>
      <c r="OKV58" s="41"/>
      <c r="OKW58" s="41"/>
      <c r="OKX58" s="41"/>
      <c r="OKY58" s="41"/>
      <c r="OKZ58" s="41"/>
      <c r="OLA58" s="41"/>
      <c r="OLB58" s="41"/>
      <c r="OLC58" s="41"/>
      <c r="OLD58" s="41"/>
      <c r="OLE58" s="41"/>
      <c r="OLF58" s="41"/>
      <c r="OLG58" s="41"/>
      <c r="OLH58" s="41"/>
      <c r="OLI58" s="41"/>
      <c r="OLJ58" s="41"/>
      <c r="OLK58" s="41"/>
      <c r="OLL58" s="41"/>
      <c r="OLM58" s="41"/>
      <c r="OLN58" s="41"/>
      <c r="OLO58" s="41"/>
      <c r="OLP58" s="41"/>
      <c r="OLQ58" s="41"/>
      <c r="OLR58" s="41"/>
      <c r="OLS58" s="41"/>
      <c r="OLT58" s="41"/>
      <c r="OLU58" s="41"/>
      <c r="OLV58" s="41"/>
      <c r="OLW58" s="41"/>
      <c r="OLX58" s="41"/>
      <c r="OLY58" s="41"/>
      <c r="OLZ58" s="41"/>
      <c r="OMA58" s="41"/>
      <c r="OMB58" s="41"/>
      <c r="OMC58" s="41"/>
      <c r="OMD58" s="41"/>
      <c r="OME58" s="41"/>
      <c r="OMF58" s="41"/>
      <c r="OMG58" s="41"/>
      <c r="OMH58" s="41"/>
      <c r="OMI58" s="41"/>
      <c r="OMJ58" s="41"/>
      <c r="OMK58" s="41"/>
      <c r="OML58" s="41"/>
      <c r="OMM58" s="41"/>
      <c r="OMN58" s="41"/>
      <c r="OMO58" s="41"/>
      <c r="OMP58" s="41"/>
      <c r="OMQ58" s="41"/>
      <c r="OMR58" s="41"/>
      <c r="OMS58" s="41"/>
      <c r="OMT58" s="41"/>
      <c r="OMU58" s="41"/>
      <c r="OMV58" s="41"/>
      <c r="OMW58" s="41"/>
      <c r="OMX58" s="41"/>
      <c r="OMY58" s="41"/>
      <c r="OMZ58" s="41"/>
      <c r="ONA58" s="41"/>
      <c r="ONB58" s="41"/>
      <c r="ONC58" s="41"/>
      <c r="OND58" s="41"/>
      <c r="ONE58" s="41"/>
      <c r="ONF58" s="41"/>
      <c r="ONG58" s="41"/>
      <c r="ONH58" s="41"/>
      <c r="ONI58" s="41"/>
      <c r="ONJ58" s="41"/>
      <c r="ONK58" s="41"/>
      <c r="ONL58" s="41"/>
      <c r="ONM58" s="41"/>
      <c r="ONN58" s="41"/>
      <c r="ONO58" s="41"/>
      <c r="ONP58" s="41"/>
      <c r="ONQ58" s="41"/>
      <c r="ONR58" s="41"/>
      <c r="ONS58" s="41"/>
      <c r="ONT58" s="41"/>
      <c r="ONU58" s="41"/>
      <c r="ONV58" s="41"/>
      <c r="ONW58" s="41"/>
      <c r="ONX58" s="41"/>
      <c r="ONY58" s="41"/>
      <c r="ONZ58" s="41"/>
      <c r="OOA58" s="41"/>
      <c r="OOB58" s="41"/>
      <c r="OOC58" s="41"/>
      <c r="OOD58" s="41"/>
      <c r="OOE58" s="41"/>
      <c r="OOF58" s="41"/>
      <c r="OOG58" s="41"/>
      <c r="OOH58" s="41"/>
      <c r="OOI58" s="41"/>
      <c r="OOJ58" s="41"/>
      <c r="OOK58" s="41"/>
      <c r="OOL58" s="41"/>
      <c r="OOM58" s="41"/>
      <c r="OON58" s="41"/>
      <c r="OOO58" s="41"/>
      <c r="OOP58" s="41"/>
      <c r="OOQ58" s="41"/>
      <c r="OOR58" s="41"/>
      <c r="OOS58" s="41"/>
      <c r="OOT58" s="41"/>
      <c r="OOU58" s="41"/>
      <c r="OOV58" s="41"/>
      <c r="OOW58" s="41"/>
      <c r="OOX58" s="41"/>
      <c r="OOY58" s="41"/>
      <c r="OOZ58" s="41"/>
      <c r="OPA58" s="41"/>
      <c r="OPB58" s="41"/>
      <c r="OPC58" s="41"/>
      <c r="OPD58" s="41"/>
      <c r="OPE58" s="41"/>
      <c r="OPF58" s="41"/>
      <c r="OPG58" s="41"/>
      <c r="OPH58" s="41"/>
      <c r="OPI58" s="41"/>
      <c r="OPJ58" s="41"/>
      <c r="OPK58" s="41"/>
      <c r="OPL58" s="41"/>
      <c r="OPM58" s="41"/>
      <c r="OPN58" s="41"/>
      <c r="OPO58" s="41"/>
      <c r="OPP58" s="41"/>
      <c r="OPQ58" s="41"/>
      <c r="OPR58" s="41"/>
      <c r="OPS58" s="41"/>
      <c r="OPT58" s="41"/>
      <c r="OPU58" s="41"/>
      <c r="OPV58" s="41"/>
      <c r="OPW58" s="41"/>
      <c r="OPX58" s="41"/>
      <c r="OPY58" s="41"/>
      <c r="OPZ58" s="41"/>
      <c r="OQA58" s="41"/>
      <c r="OQB58" s="41"/>
      <c r="OQC58" s="41"/>
      <c r="OQD58" s="41"/>
      <c r="OQE58" s="41"/>
      <c r="OQF58" s="41"/>
      <c r="OQG58" s="41"/>
      <c r="OQH58" s="41"/>
      <c r="OQI58" s="41"/>
      <c r="OQJ58" s="41"/>
      <c r="OQK58" s="41"/>
      <c r="OQL58" s="41"/>
      <c r="OQM58" s="41"/>
      <c r="OQN58" s="41"/>
      <c r="OQO58" s="41"/>
      <c r="OQP58" s="41"/>
      <c r="OQQ58" s="41"/>
      <c r="OQR58" s="41"/>
      <c r="OQS58" s="41"/>
      <c r="OQT58" s="41"/>
      <c r="OQU58" s="41"/>
      <c r="OQV58" s="41"/>
      <c r="OQW58" s="41"/>
      <c r="OQX58" s="41"/>
      <c r="OQY58" s="41"/>
      <c r="OQZ58" s="41"/>
      <c r="ORA58" s="41"/>
      <c r="ORB58" s="41"/>
      <c r="ORC58" s="41"/>
      <c r="ORD58" s="41"/>
      <c r="ORE58" s="41"/>
      <c r="ORF58" s="41"/>
      <c r="ORG58" s="41"/>
      <c r="ORH58" s="41"/>
      <c r="ORI58" s="41"/>
      <c r="ORJ58" s="41"/>
      <c r="ORK58" s="41"/>
      <c r="ORL58" s="41"/>
      <c r="ORM58" s="41"/>
      <c r="ORN58" s="41"/>
      <c r="ORO58" s="41"/>
      <c r="ORP58" s="41"/>
      <c r="ORQ58" s="41"/>
      <c r="ORR58" s="41"/>
      <c r="ORS58" s="41"/>
      <c r="ORT58" s="41"/>
      <c r="ORU58" s="41"/>
      <c r="ORV58" s="41"/>
      <c r="ORW58" s="41"/>
      <c r="ORX58" s="41"/>
      <c r="ORY58" s="41"/>
      <c r="ORZ58" s="41"/>
      <c r="OSA58" s="41"/>
      <c r="OSB58" s="41"/>
      <c r="OSC58" s="41"/>
      <c r="OSD58" s="41"/>
      <c r="OSE58" s="41"/>
      <c r="OSF58" s="41"/>
      <c r="OSG58" s="41"/>
      <c r="OSH58" s="41"/>
      <c r="OSI58" s="41"/>
      <c r="OSJ58" s="41"/>
      <c r="OSK58" s="41"/>
      <c r="OSL58" s="41"/>
      <c r="OSM58" s="41"/>
      <c r="OSN58" s="41"/>
      <c r="OSO58" s="41"/>
      <c r="OSP58" s="41"/>
      <c r="OSQ58" s="41"/>
      <c r="OSR58" s="41"/>
      <c r="OSS58" s="41"/>
      <c r="OST58" s="41"/>
      <c r="OSU58" s="41"/>
      <c r="OSV58" s="41"/>
      <c r="OSW58" s="41"/>
      <c r="OSX58" s="41"/>
      <c r="OSY58" s="41"/>
      <c r="OSZ58" s="41"/>
      <c r="OTA58" s="41"/>
      <c r="OTB58" s="41"/>
      <c r="OTC58" s="41"/>
      <c r="OTD58" s="41"/>
      <c r="OTE58" s="41"/>
      <c r="OTF58" s="41"/>
      <c r="OTG58" s="41"/>
      <c r="OTH58" s="41"/>
      <c r="OTI58" s="41"/>
      <c r="OTJ58" s="41"/>
      <c r="OTK58" s="41"/>
      <c r="OTL58" s="41"/>
      <c r="OTM58" s="41"/>
      <c r="OTN58" s="41"/>
      <c r="OTO58" s="41"/>
      <c r="OTP58" s="41"/>
      <c r="OTQ58" s="41"/>
      <c r="OTR58" s="41"/>
      <c r="OTS58" s="41"/>
      <c r="OTT58" s="41"/>
      <c r="OTU58" s="41"/>
      <c r="OTV58" s="41"/>
      <c r="OTW58" s="41"/>
      <c r="OTX58" s="41"/>
      <c r="OTY58" s="41"/>
      <c r="OTZ58" s="41"/>
      <c r="OUA58" s="41"/>
      <c r="OUB58" s="41"/>
      <c r="OUC58" s="41"/>
      <c r="OUD58" s="41"/>
      <c r="OUE58" s="41"/>
      <c r="OUF58" s="41"/>
      <c r="OUG58" s="41"/>
      <c r="OUH58" s="41"/>
      <c r="OUI58" s="41"/>
      <c r="OUJ58" s="41"/>
      <c r="OUK58" s="41"/>
      <c r="OUL58" s="41"/>
      <c r="OUM58" s="41"/>
      <c r="OUN58" s="41"/>
      <c r="OUO58" s="41"/>
      <c r="OUP58" s="41"/>
      <c r="OUQ58" s="41"/>
      <c r="OUR58" s="41"/>
      <c r="OUS58" s="41"/>
      <c r="OUT58" s="41"/>
      <c r="OUU58" s="41"/>
      <c r="OUV58" s="41"/>
      <c r="OUW58" s="41"/>
      <c r="OUX58" s="41"/>
      <c r="OUY58" s="41"/>
      <c r="OUZ58" s="41"/>
      <c r="OVA58" s="41"/>
      <c r="OVB58" s="41"/>
      <c r="OVC58" s="41"/>
      <c r="OVD58" s="41"/>
      <c r="OVE58" s="41"/>
      <c r="OVF58" s="41"/>
      <c r="OVG58" s="41"/>
      <c r="OVH58" s="41"/>
      <c r="OVI58" s="41"/>
      <c r="OVJ58" s="41"/>
      <c r="OVK58" s="41"/>
      <c r="OVL58" s="41"/>
      <c r="OVM58" s="41"/>
      <c r="OVN58" s="41"/>
      <c r="OVO58" s="41"/>
      <c r="OVP58" s="41"/>
      <c r="OVQ58" s="41"/>
      <c r="OVR58" s="41"/>
      <c r="OVS58" s="41"/>
      <c r="OVT58" s="41"/>
      <c r="OVU58" s="41"/>
      <c r="OVV58" s="41"/>
      <c r="OVW58" s="41"/>
      <c r="OVX58" s="41"/>
      <c r="OVY58" s="41"/>
      <c r="OVZ58" s="41"/>
      <c r="OWA58" s="41"/>
      <c r="OWB58" s="41"/>
      <c r="OWC58" s="41"/>
      <c r="OWD58" s="41"/>
      <c r="OWE58" s="41"/>
      <c r="OWF58" s="41"/>
      <c r="OWG58" s="41"/>
      <c r="OWH58" s="41"/>
      <c r="OWI58" s="41"/>
      <c r="OWJ58" s="41"/>
      <c r="OWK58" s="41"/>
      <c r="OWL58" s="41"/>
      <c r="OWM58" s="41"/>
      <c r="OWN58" s="41"/>
      <c r="OWO58" s="41"/>
      <c r="OWP58" s="41"/>
      <c r="OWQ58" s="41"/>
      <c r="OWR58" s="41"/>
      <c r="OWS58" s="41"/>
      <c r="OWT58" s="41"/>
      <c r="OWU58" s="41"/>
      <c r="OWV58" s="41"/>
      <c r="OWW58" s="41"/>
      <c r="OWX58" s="41"/>
      <c r="OWY58" s="41"/>
      <c r="OWZ58" s="41"/>
      <c r="OXA58" s="41"/>
      <c r="OXB58" s="41"/>
      <c r="OXC58" s="41"/>
      <c r="OXD58" s="41"/>
      <c r="OXE58" s="41"/>
      <c r="OXF58" s="41"/>
      <c r="OXG58" s="41"/>
      <c r="OXH58" s="41"/>
      <c r="OXI58" s="41"/>
      <c r="OXJ58" s="41"/>
      <c r="OXK58" s="41"/>
      <c r="OXL58" s="41"/>
      <c r="OXM58" s="41"/>
      <c r="OXN58" s="41"/>
      <c r="OXO58" s="41"/>
      <c r="OXP58" s="41"/>
      <c r="OXQ58" s="41"/>
      <c r="OXR58" s="41"/>
      <c r="OXS58" s="41"/>
      <c r="OXT58" s="41"/>
      <c r="OXU58" s="41"/>
      <c r="OXV58" s="41"/>
      <c r="OXW58" s="41"/>
      <c r="OXX58" s="41"/>
      <c r="OXY58" s="41"/>
      <c r="OXZ58" s="41"/>
      <c r="OYA58" s="41"/>
      <c r="OYB58" s="41"/>
      <c r="OYC58" s="41"/>
      <c r="OYD58" s="41"/>
      <c r="OYE58" s="41"/>
      <c r="OYF58" s="41"/>
      <c r="OYG58" s="41"/>
      <c r="OYH58" s="41"/>
      <c r="OYI58" s="41"/>
      <c r="OYJ58" s="41"/>
      <c r="OYK58" s="41"/>
      <c r="OYL58" s="41"/>
      <c r="OYM58" s="41"/>
      <c r="OYN58" s="41"/>
      <c r="OYO58" s="41"/>
      <c r="OYP58" s="41"/>
      <c r="OYQ58" s="41"/>
      <c r="OYR58" s="41"/>
      <c r="OYS58" s="41"/>
      <c r="OYT58" s="41"/>
      <c r="OYU58" s="41"/>
      <c r="OYV58" s="41"/>
      <c r="OYW58" s="41"/>
      <c r="OYX58" s="41"/>
      <c r="OYY58" s="41"/>
      <c r="OYZ58" s="41"/>
      <c r="OZA58" s="41"/>
      <c r="OZB58" s="41"/>
      <c r="OZC58" s="41"/>
      <c r="OZD58" s="41"/>
      <c r="OZE58" s="41"/>
      <c r="OZF58" s="41"/>
      <c r="OZG58" s="41"/>
      <c r="OZH58" s="41"/>
      <c r="OZI58" s="41"/>
      <c r="OZJ58" s="41"/>
      <c r="OZK58" s="41"/>
      <c r="OZL58" s="41"/>
      <c r="OZM58" s="41"/>
      <c r="OZN58" s="41"/>
      <c r="OZO58" s="41"/>
      <c r="OZP58" s="41"/>
      <c r="OZQ58" s="41"/>
      <c r="OZR58" s="41"/>
      <c r="OZS58" s="41"/>
      <c r="OZT58" s="41"/>
      <c r="OZU58" s="41"/>
      <c r="OZV58" s="41"/>
      <c r="OZW58" s="41"/>
      <c r="OZX58" s="41"/>
      <c r="OZY58" s="41"/>
      <c r="OZZ58" s="41"/>
      <c r="PAA58" s="41"/>
      <c r="PAB58" s="41"/>
      <c r="PAC58" s="41"/>
      <c r="PAD58" s="41"/>
      <c r="PAE58" s="41"/>
      <c r="PAF58" s="41"/>
      <c r="PAG58" s="41"/>
      <c r="PAH58" s="41"/>
      <c r="PAI58" s="41"/>
      <c r="PAJ58" s="41"/>
      <c r="PAK58" s="41"/>
      <c r="PAL58" s="41"/>
      <c r="PAM58" s="41"/>
      <c r="PAN58" s="41"/>
      <c r="PAO58" s="41"/>
      <c r="PAP58" s="41"/>
      <c r="PAQ58" s="41"/>
      <c r="PAR58" s="41"/>
      <c r="PAS58" s="41"/>
      <c r="PAT58" s="41"/>
      <c r="PAU58" s="41"/>
      <c r="PAV58" s="41"/>
      <c r="PAW58" s="41"/>
      <c r="PAX58" s="41"/>
      <c r="PAY58" s="41"/>
      <c r="PAZ58" s="41"/>
      <c r="PBA58" s="41"/>
      <c r="PBB58" s="41"/>
      <c r="PBC58" s="41"/>
      <c r="PBD58" s="41"/>
      <c r="PBE58" s="41"/>
      <c r="PBF58" s="41"/>
      <c r="PBG58" s="41"/>
      <c r="PBH58" s="41"/>
      <c r="PBI58" s="41"/>
      <c r="PBJ58" s="41"/>
      <c r="PBK58" s="41"/>
      <c r="PBL58" s="41"/>
      <c r="PBM58" s="41"/>
      <c r="PBN58" s="41"/>
      <c r="PBO58" s="41"/>
      <c r="PBP58" s="41"/>
      <c r="PBQ58" s="41"/>
      <c r="PBR58" s="41"/>
      <c r="PBS58" s="41"/>
      <c r="PBT58" s="41"/>
      <c r="PBU58" s="41"/>
      <c r="PBV58" s="41"/>
      <c r="PBW58" s="41"/>
      <c r="PBX58" s="41"/>
      <c r="PBY58" s="41"/>
      <c r="PBZ58" s="41"/>
      <c r="PCA58" s="41"/>
      <c r="PCB58" s="41"/>
      <c r="PCC58" s="41"/>
      <c r="PCD58" s="41"/>
      <c r="PCE58" s="41"/>
      <c r="PCF58" s="41"/>
      <c r="PCG58" s="41"/>
      <c r="PCH58" s="41"/>
      <c r="PCI58" s="41"/>
      <c r="PCJ58" s="41"/>
      <c r="PCK58" s="41"/>
      <c r="PCL58" s="41"/>
      <c r="PCM58" s="41"/>
      <c r="PCN58" s="41"/>
      <c r="PCO58" s="41"/>
      <c r="PCP58" s="41"/>
      <c r="PCQ58" s="41"/>
      <c r="PCR58" s="41"/>
      <c r="PCS58" s="41"/>
      <c r="PCT58" s="41"/>
      <c r="PCU58" s="41"/>
      <c r="PCV58" s="41"/>
      <c r="PCW58" s="41"/>
      <c r="PCX58" s="41"/>
      <c r="PCY58" s="41"/>
      <c r="PCZ58" s="41"/>
      <c r="PDA58" s="41"/>
      <c r="PDB58" s="41"/>
      <c r="PDC58" s="41"/>
      <c r="PDD58" s="41"/>
      <c r="PDE58" s="41"/>
      <c r="PDF58" s="41"/>
      <c r="PDG58" s="41"/>
      <c r="PDH58" s="41"/>
      <c r="PDI58" s="41"/>
      <c r="PDJ58" s="41"/>
      <c r="PDK58" s="41"/>
      <c r="PDL58" s="41"/>
      <c r="PDM58" s="41"/>
      <c r="PDN58" s="41"/>
      <c r="PDO58" s="41"/>
      <c r="PDP58" s="41"/>
      <c r="PDQ58" s="41"/>
      <c r="PDR58" s="41"/>
      <c r="PDS58" s="41"/>
      <c r="PDT58" s="41"/>
      <c r="PDU58" s="41"/>
      <c r="PDV58" s="41"/>
      <c r="PDW58" s="41"/>
      <c r="PDX58" s="41"/>
      <c r="PDY58" s="41"/>
      <c r="PDZ58" s="41"/>
      <c r="PEA58" s="41"/>
      <c r="PEB58" s="41"/>
      <c r="PEC58" s="41"/>
      <c r="PED58" s="41"/>
      <c r="PEE58" s="41"/>
      <c r="PEF58" s="41"/>
      <c r="PEG58" s="41"/>
      <c r="PEH58" s="41"/>
      <c r="PEI58" s="41"/>
      <c r="PEJ58" s="41"/>
      <c r="PEK58" s="41"/>
      <c r="PEL58" s="41"/>
      <c r="PEM58" s="41"/>
      <c r="PEN58" s="41"/>
      <c r="PEO58" s="41"/>
      <c r="PEP58" s="41"/>
      <c r="PEQ58" s="41"/>
      <c r="PER58" s="41"/>
      <c r="PES58" s="41"/>
      <c r="PET58" s="41"/>
      <c r="PEU58" s="41"/>
      <c r="PEV58" s="41"/>
      <c r="PEW58" s="41"/>
      <c r="PEX58" s="41"/>
      <c r="PEY58" s="41"/>
      <c r="PEZ58" s="41"/>
      <c r="PFA58" s="41"/>
      <c r="PFB58" s="41"/>
      <c r="PFC58" s="41"/>
      <c r="PFD58" s="41"/>
      <c r="PFE58" s="41"/>
      <c r="PFF58" s="41"/>
      <c r="PFG58" s="41"/>
      <c r="PFH58" s="41"/>
      <c r="PFI58" s="41"/>
      <c r="PFJ58" s="41"/>
      <c r="PFK58" s="41"/>
      <c r="PFL58" s="41"/>
      <c r="PFM58" s="41"/>
      <c r="PFN58" s="41"/>
      <c r="PFO58" s="41"/>
      <c r="PFP58" s="41"/>
      <c r="PFQ58" s="41"/>
      <c r="PFR58" s="41"/>
      <c r="PFS58" s="41"/>
      <c r="PFT58" s="41"/>
      <c r="PFU58" s="41"/>
      <c r="PFV58" s="41"/>
      <c r="PFW58" s="41"/>
      <c r="PFX58" s="41"/>
      <c r="PFY58" s="41"/>
      <c r="PFZ58" s="41"/>
      <c r="PGA58" s="41"/>
      <c r="PGB58" s="41"/>
      <c r="PGC58" s="41"/>
      <c r="PGD58" s="41"/>
      <c r="PGE58" s="41"/>
      <c r="PGF58" s="41"/>
      <c r="PGG58" s="41"/>
      <c r="PGH58" s="41"/>
      <c r="PGI58" s="41"/>
      <c r="PGJ58" s="41"/>
      <c r="PGK58" s="41"/>
      <c r="PGL58" s="41"/>
      <c r="PGM58" s="41"/>
      <c r="PGN58" s="41"/>
      <c r="PGO58" s="41"/>
      <c r="PGP58" s="41"/>
      <c r="PGQ58" s="41"/>
      <c r="PGR58" s="41"/>
      <c r="PGS58" s="41"/>
      <c r="PGT58" s="41"/>
      <c r="PGU58" s="41"/>
      <c r="PGV58" s="41"/>
      <c r="PGW58" s="41"/>
      <c r="PGX58" s="41"/>
      <c r="PGY58" s="41"/>
      <c r="PGZ58" s="41"/>
      <c r="PHA58" s="41"/>
      <c r="PHB58" s="41"/>
      <c r="PHC58" s="41"/>
      <c r="PHD58" s="41"/>
      <c r="PHE58" s="41"/>
      <c r="PHF58" s="41"/>
      <c r="PHG58" s="41"/>
      <c r="PHH58" s="41"/>
      <c r="PHI58" s="41"/>
      <c r="PHJ58" s="41"/>
      <c r="PHK58" s="41"/>
      <c r="PHL58" s="41"/>
      <c r="PHM58" s="41"/>
      <c r="PHN58" s="41"/>
      <c r="PHO58" s="41"/>
      <c r="PHP58" s="41"/>
      <c r="PHQ58" s="41"/>
      <c r="PHR58" s="41"/>
      <c r="PHS58" s="41"/>
      <c r="PHT58" s="41"/>
      <c r="PHU58" s="41"/>
      <c r="PHV58" s="41"/>
      <c r="PHW58" s="41"/>
      <c r="PHX58" s="41"/>
      <c r="PHY58" s="41"/>
      <c r="PHZ58" s="41"/>
      <c r="PIA58" s="41"/>
      <c r="PIB58" s="41"/>
      <c r="PIC58" s="41"/>
      <c r="PID58" s="41"/>
      <c r="PIE58" s="41"/>
      <c r="PIF58" s="41"/>
      <c r="PIG58" s="41"/>
      <c r="PIH58" s="41"/>
      <c r="PII58" s="41"/>
      <c r="PIJ58" s="41"/>
      <c r="PIK58" s="41"/>
      <c r="PIL58" s="41"/>
      <c r="PIM58" s="41"/>
      <c r="PIN58" s="41"/>
      <c r="PIO58" s="41"/>
      <c r="PIP58" s="41"/>
      <c r="PIQ58" s="41"/>
      <c r="PIR58" s="41"/>
      <c r="PIS58" s="41"/>
      <c r="PIT58" s="41"/>
      <c r="PIU58" s="41"/>
      <c r="PIV58" s="41"/>
      <c r="PIW58" s="41"/>
      <c r="PIX58" s="41"/>
      <c r="PIY58" s="41"/>
      <c r="PIZ58" s="41"/>
      <c r="PJA58" s="41"/>
      <c r="PJB58" s="41"/>
      <c r="PJC58" s="41"/>
      <c r="PJD58" s="41"/>
      <c r="PJE58" s="41"/>
      <c r="PJF58" s="41"/>
      <c r="PJG58" s="41"/>
      <c r="PJH58" s="41"/>
      <c r="PJI58" s="41"/>
      <c r="PJJ58" s="41"/>
      <c r="PJK58" s="41"/>
      <c r="PJL58" s="41"/>
      <c r="PJM58" s="41"/>
      <c r="PJN58" s="41"/>
      <c r="PJO58" s="41"/>
      <c r="PJP58" s="41"/>
      <c r="PJQ58" s="41"/>
      <c r="PJR58" s="41"/>
      <c r="PJS58" s="41"/>
      <c r="PJT58" s="41"/>
      <c r="PJU58" s="41"/>
      <c r="PJV58" s="41"/>
      <c r="PJW58" s="41"/>
      <c r="PJX58" s="41"/>
      <c r="PJY58" s="41"/>
      <c r="PJZ58" s="41"/>
      <c r="PKA58" s="41"/>
      <c r="PKB58" s="41"/>
      <c r="PKC58" s="41"/>
      <c r="PKD58" s="41"/>
      <c r="PKE58" s="41"/>
      <c r="PKF58" s="41"/>
      <c r="PKG58" s="41"/>
      <c r="PKH58" s="41"/>
      <c r="PKI58" s="41"/>
      <c r="PKJ58" s="41"/>
      <c r="PKK58" s="41"/>
      <c r="PKL58" s="41"/>
      <c r="PKM58" s="41"/>
      <c r="PKN58" s="41"/>
      <c r="PKO58" s="41"/>
      <c r="PKP58" s="41"/>
      <c r="PKQ58" s="41"/>
      <c r="PKR58" s="41"/>
      <c r="PKS58" s="41"/>
      <c r="PKT58" s="41"/>
      <c r="PKU58" s="41"/>
      <c r="PKV58" s="41"/>
      <c r="PKW58" s="41"/>
      <c r="PKX58" s="41"/>
      <c r="PKY58" s="41"/>
      <c r="PKZ58" s="41"/>
      <c r="PLA58" s="41"/>
      <c r="PLB58" s="41"/>
      <c r="PLC58" s="41"/>
      <c r="PLD58" s="41"/>
      <c r="PLE58" s="41"/>
      <c r="PLF58" s="41"/>
      <c r="PLG58" s="41"/>
      <c r="PLH58" s="41"/>
      <c r="PLI58" s="41"/>
      <c r="PLJ58" s="41"/>
      <c r="PLK58" s="41"/>
      <c r="PLL58" s="41"/>
      <c r="PLM58" s="41"/>
      <c r="PLN58" s="41"/>
      <c r="PLO58" s="41"/>
      <c r="PLP58" s="41"/>
      <c r="PLQ58" s="41"/>
      <c r="PLR58" s="41"/>
      <c r="PLS58" s="41"/>
      <c r="PLT58" s="41"/>
      <c r="PLU58" s="41"/>
      <c r="PLV58" s="41"/>
      <c r="PLW58" s="41"/>
      <c r="PLX58" s="41"/>
      <c r="PLY58" s="41"/>
      <c r="PLZ58" s="41"/>
      <c r="PMA58" s="41"/>
      <c r="PMB58" s="41"/>
      <c r="PMC58" s="41"/>
      <c r="PMD58" s="41"/>
      <c r="PME58" s="41"/>
      <c r="PMF58" s="41"/>
      <c r="PMG58" s="41"/>
      <c r="PMH58" s="41"/>
      <c r="PMI58" s="41"/>
      <c r="PMJ58" s="41"/>
      <c r="PMK58" s="41"/>
      <c r="PML58" s="41"/>
      <c r="PMM58" s="41"/>
      <c r="PMN58" s="41"/>
      <c r="PMO58" s="41"/>
      <c r="PMP58" s="41"/>
      <c r="PMQ58" s="41"/>
      <c r="PMR58" s="41"/>
      <c r="PMS58" s="41"/>
      <c r="PMT58" s="41"/>
      <c r="PMU58" s="41"/>
      <c r="PMV58" s="41"/>
      <c r="PMW58" s="41"/>
      <c r="PMX58" s="41"/>
      <c r="PMY58" s="41"/>
      <c r="PMZ58" s="41"/>
      <c r="PNA58" s="41"/>
      <c r="PNB58" s="41"/>
      <c r="PNC58" s="41"/>
      <c r="PND58" s="41"/>
      <c r="PNE58" s="41"/>
      <c r="PNF58" s="41"/>
      <c r="PNG58" s="41"/>
      <c r="PNH58" s="41"/>
      <c r="PNI58" s="41"/>
      <c r="PNJ58" s="41"/>
      <c r="PNK58" s="41"/>
      <c r="PNL58" s="41"/>
      <c r="PNM58" s="41"/>
      <c r="PNN58" s="41"/>
      <c r="PNO58" s="41"/>
      <c r="PNP58" s="41"/>
      <c r="PNQ58" s="41"/>
      <c r="PNR58" s="41"/>
      <c r="PNS58" s="41"/>
      <c r="PNT58" s="41"/>
      <c r="PNU58" s="41"/>
      <c r="PNV58" s="41"/>
      <c r="PNW58" s="41"/>
      <c r="PNX58" s="41"/>
      <c r="PNY58" s="41"/>
      <c r="PNZ58" s="41"/>
      <c r="POA58" s="41"/>
      <c r="POB58" s="41"/>
      <c r="POC58" s="41"/>
      <c r="POD58" s="41"/>
      <c r="POE58" s="41"/>
      <c r="POF58" s="41"/>
      <c r="POG58" s="41"/>
      <c r="POH58" s="41"/>
      <c r="POI58" s="41"/>
      <c r="POJ58" s="41"/>
      <c r="POK58" s="41"/>
      <c r="POL58" s="41"/>
      <c r="POM58" s="41"/>
      <c r="PON58" s="41"/>
      <c r="POO58" s="41"/>
      <c r="POP58" s="41"/>
      <c r="POQ58" s="41"/>
      <c r="POR58" s="41"/>
      <c r="POS58" s="41"/>
      <c r="POT58" s="41"/>
      <c r="POU58" s="41"/>
      <c r="POV58" s="41"/>
      <c r="POW58" s="41"/>
      <c r="POX58" s="41"/>
      <c r="POY58" s="41"/>
      <c r="POZ58" s="41"/>
      <c r="PPA58" s="41"/>
      <c r="PPB58" s="41"/>
      <c r="PPC58" s="41"/>
      <c r="PPD58" s="41"/>
      <c r="PPE58" s="41"/>
      <c r="PPF58" s="41"/>
      <c r="PPG58" s="41"/>
      <c r="PPH58" s="41"/>
      <c r="PPI58" s="41"/>
      <c r="PPJ58" s="41"/>
      <c r="PPK58" s="41"/>
      <c r="PPL58" s="41"/>
      <c r="PPM58" s="41"/>
      <c r="PPN58" s="41"/>
      <c r="PPO58" s="41"/>
      <c r="PPP58" s="41"/>
      <c r="PPQ58" s="41"/>
      <c r="PPR58" s="41"/>
      <c r="PPS58" s="41"/>
      <c r="PPT58" s="41"/>
      <c r="PPU58" s="41"/>
      <c r="PPV58" s="41"/>
      <c r="PPW58" s="41"/>
      <c r="PPX58" s="41"/>
      <c r="PPY58" s="41"/>
      <c r="PPZ58" s="41"/>
      <c r="PQA58" s="41"/>
      <c r="PQB58" s="41"/>
      <c r="PQC58" s="41"/>
      <c r="PQD58" s="41"/>
      <c r="PQE58" s="41"/>
      <c r="PQF58" s="41"/>
      <c r="PQG58" s="41"/>
      <c r="PQH58" s="41"/>
      <c r="PQI58" s="41"/>
      <c r="PQJ58" s="41"/>
      <c r="PQK58" s="41"/>
      <c r="PQL58" s="41"/>
      <c r="PQM58" s="41"/>
      <c r="PQN58" s="41"/>
      <c r="PQO58" s="41"/>
      <c r="PQP58" s="41"/>
      <c r="PQQ58" s="41"/>
      <c r="PQR58" s="41"/>
      <c r="PQS58" s="41"/>
      <c r="PQT58" s="41"/>
      <c r="PQU58" s="41"/>
      <c r="PQV58" s="41"/>
      <c r="PQW58" s="41"/>
      <c r="PQX58" s="41"/>
      <c r="PQY58" s="41"/>
      <c r="PQZ58" s="41"/>
      <c r="PRA58" s="41"/>
      <c r="PRB58" s="41"/>
      <c r="PRC58" s="41"/>
      <c r="PRD58" s="41"/>
      <c r="PRE58" s="41"/>
      <c r="PRF58" s="41"/>
      <c r="PRG58" s="41"/>
      <c r="PRH58" s="41"/>
      <c r="PRI58" s="41"/>
      <c r="PRJ58" s="41"/>
      <c r="PRK58" s="41"/>
      <c r="PRL58" s="41"/>
      <c r="PRM58" s="41"/>
      <c r="PRN58" s="41"/>
      <c r="PRO58" s="41"/>
      <c r="PRP58" s="41"/>
      <c r="PRQ58" s="41"/>
      <c r="PRR58" s="41"/>
      <c r="PRS58" s="41"/>
      <c r="PRT58" s="41"/>
      <c r="PRU58" s="41"/>
      <c r="PRV58" s="41"/>
      <c r="PRW58" s="41"/>
      <c r="PRX58" s="41"/>
      <c r="PRY58" s="41"/>
      <c r="PRZ58" s="41"/>
      <c r="PSA58" s="41"/>
      <c r="PSB58" s="41"/>
      <c r="PSC58" s="41"/>
      <c r="PSD58" s="41"/>
      <c r="PSE58" s="41"/>
      <c r="PSF58" s="41"/>
      <c r="PSG58" s="41"/>
      <c r="PSH58" s="41"/>
      <c r="PSI58" s="41"/>
      <c r="PSJ58" s="41"/>
      <c r="PSK58" s="41"/>
      <c r="PSL58" s="41"/>
      <c r="PSM58" s="41"/>
      <c r="PSN58" s="41"/>
      <c r="PSO58" s="41"/>
      <c r="PSP58" s="41"/>
      <c r="PSQ58" s="41"/>
      <c r="PSR58" s="41"/>
      <c r="PSS58" s="41"/>
      <c r="PST58" s="41"/>
      <c r="PSU58" s="41"/>
      <c r="PSV58" s="41"/>
      <c r="PSW58" s="41"/>
      <c r="PSX58" s="41"/>
      <c r="PSY58" s="41"/>
      <c r="PSZ58" s="41"/>
      <c r="PTA58" s="41"/>
      <c r="PTB58" s="41"/>
      <c r="PTC58" s="41"/>
      <c r="PTD58" s="41"/>
      <c r="PTE58" s="41"/>
      <c r="PTF58" s="41"/>
      <c r="PTG58" s="41"/>
      <c r="PTH58" s="41"/>
      <c r="PTI58" s="41"/>
      <c r="PTJ58" s="41"/>
      <c r="PTK58" s="41"/>
      <c r="PTL58" s="41"/>
      <c r="PTM58" s="41"/>
      <c r="PTN58" s="41"/>
      <c r="PTO58" s="41"/>
      <c r="PTP58" s="41"/>
      <c r="PTQ58" s="41"/>
      <c r="PTR58" s="41"/>
      <c r="PTS58" s="41"/>
      <c r="PTT58" s="41"/>
      <c r="PTU58" s="41"/>
      <c r="PTV58" s="41"/>
      <c r="PTW58" s="41"/>
      <c r="PTX58" s="41"/>
      <c r="PTY58" s="41"/>
      <c r="PTZ58" s="41"/>
      <c r="PUA58" s="41"/>
      <c r="PUB58" s="41"/>
      <c r="PUC58" s="41"/>
      <c r="PUD58" s="41"/>
      <c r="PUE58" s="41"/>
      <c r="PUF58" s="41"/>
      <c r="PUG58" s="41"/>
      <c r="PUH58" s="41"/>
      <c r="PUI58" s="41"/>
      <c r="PUJ58" s="41"/>
      <c r="PUK58" s="41"/>
      <c r="PUL58" s="41"/>
      <c r="PUM58" s="41"/>
      <c r="PUN58" s="41"/>
      <c r="PUO58" s="41"/>
      <c r="PUP58" s="41"/>
      <c r="PUQ58" s="41"/>
      <c r="PUR58" s="41"/>
      <c r="PUS58" s="41"/>
      <c r="PUT58" s="41"/>
      <c r="PUU58" s="41"/>
      <c r="PUV58" s="41"/>
      <c r="PUW58" s="41"/>
      <c r="PUX58" s="41"/>
      <c r="PUY58" s="41"/>
      <c r="PUZ58" s="41"/>
      <c r="PVA58" s="41"/>
      <c r="PVB58" s="41"/>
      <c r="PVC58" s="41"/>
      <c r="PVD58" s="41"/>
      <c r="PVE58" s="41"/>
      <c r="PVF58" s="41"/>
      <c r="PVG58" s="41"/>
      <c r="PVH58" s="41"/>
      <c r="PVI58" s="41"/>
      <c r="PVJ58" s="41"/>
      <c r="PVK58" s="41"/>
      <c r="PVL58" s="41"/>
      <c r="PVM58" s="41"/>
      <c r="PVN58" s="41"/>
      <c r="PVO58" s="41"/>
      <c r="PVP58" s="41"/>
      <c r="PVQ58" s="41"/>
      <c r="PVR58" s="41"/>
      <c r="PVS58" s="41"/>
      <c r="PVT58" s="41"/>
      <c r="PVU58" s="41"/>
      <c r="PVV58" s="41"/>
      <c r="PVW58" s="41"/>
      <c r="PVX58" s="41"/>
      <c r="PVY58" s="41"/>
      <c r="PVZ58" s="41"/>
      <c r="PWA58" s="41"/>
      <c r="PWB58" s="41"/>
      <c r="PWC58" s="41"/>
      <c r="PWD58" s="41"/>
      <c r="PWE58" s="41"/>
      <c r="PWF58" s="41"/>
      <c r="PWG58" s="41"/>
      <c r="PWH58" s="41"/>
      <c r="PWI58" s="41"/>
      <c r="PWJ58" s="41"/>
      <c r="PWK58" s="41"/>
      <c r="PWL58" s="41"/>
      <c r="PWM58" s="41"/>
      <c r="PWN58" s="41"/>
      <c r="PWO58" s="41"/>
      <c r="PWP58" s="41"/>
      <c r="PWQ58" s="41"/>
      <c r="PWR58" s="41"/>
      <c r="PWS58" s="41"/>
      <c r="PWT58" s="41"/>
      <c r="PWU58" s="41"/>
      <c r="PWV58" s="41"/>
      <c r="PWW58" s="41"/>
      <c r="PWX58" s="41"/>
      <c r="PWY58" s="41"/>
      <c r="PWZ58" s="41"/>
      <c r="PXA58" s="41"/>
      <c r="PXB58" s="41"/>
      <c r="PXC58" s="41"/>
      <c r="PXD58" s="41"/>
      <c r="PXE58" s="41"/>
      <c r="PXF58" s="41"/>
      <c r="PXG58" s="41"/>
      <c r="PXH58" s="41"/>
      <c r="PXI58" s="41"/>
      <c r="PXJ58" s="41"/>
      <c r="PXK58" s="41"/>
      <c r="PXL58" s="41"/>
      <c r="PXM58" s="41"/>
      <c r="PXN58" s="41"/>
      <c r="PXO58" s="41"/>
      <c r="PXP58" s="41"/>
      <c r="PXQ58" s="41"/>
      <c r="PXR58" s="41"/>
      <c r="PXS58" s="41"/>
      <c r="PXT58" s="41"/>
      <c r="PXU58" s="41"/>
      <c r="PXV58" s="41"/>
      <c r="PXW58" s="41"/>
      <c r="PXX58" s="41"/>
      <c r="PXY58" s="41"/>
      <c r="PXZ58" s="41"/>
      <c r="PYA58" s="41"/>
      <c r="PYB58" s="41"/>
      <c r="PYC58" s="41"/>
      <c r="PYD58" s="41"/>
      <c r="PYE58" s="41"/>
      <c r="PYF58" s="41"/>
      <c r="PYG58" s="41"/>
      <c r="PYH58" s="41"/>
      <c r="PYI58" s="41"/>
      <c r="PYJ58" s="41"/>
      <c r="PYK58" s="41"/>
      <c r="PYL58" s="41"/>
      <c r="PYM58" s="41"/>
      <c r="PYN58" s="41"/>
      <c r="PYO58" s="41"/>
      <c r="PYP58" s="41"/>
      <c r="PYQ58" s="41"/>
      <c r="PYR58" s="41"/>
      <c r="PYS58" s="41"/>
      <c r="PYT58" s="41"/>
      <c r="PYU58" s="41"/>
      <c r="PYV58" s="41"/>
      <c r="PYW58" s="41"/>
      <c r="PYX58" s="41"/>
      <c r="PYY58" s="41"/>
      <c r="PYZ58" s="41"/>
      <c r="PZA58" s="41"/>
      <c r="PZB58" s="41"/>
      <c r="PZC58" s="41"/>
      <c r="PZD58" s="41"/>
      <c r="PZE58" s="41"/>
      <c r="PZF58" s="41"/>
      <c r="PZG58" s="41"/>
      <c r="PZH58" s="41"/>
      <c r="PZI58" s="41"/>
      <c r="PZJ58" s="41"/>
      <c r="PZK58" s="41"/>
      <c r="PZL58" s="41"/>
      <c r="PZM58" s="41"/>
      <c r="PZN58" s="41"/>
      <c r="PZO58" s="41"/>
      <c r="PZP58" s="41"/>
      <c r="PZQ58" s="41"/>
      <c r="PZR58" s="41"/>
      <c r="PZS58" s="41"/>
      <c r="PZT58" s="41"/>
      <c r="PZU58" s="41"/>
      <c r="PZV58" s="41"/>
      <c r="PZW58" s="41"/>
      <c r="PZX58" s="41"/>
      <c r="PZY58" s="41"/>
      <c r="PZZ58" s="41"/>
      <c r="QAA58" s="41"/>
      <c r="QAB58" s="41"/>
      <c r="QAC58" s="41"/>
      <c r="QAD58" s="41"/>
      <c r="QAE58" s="41"/>
      <c r="QAF58" s="41"/>
      <c r="QAG58" s="41"/>
      <c r="QAH58" s="41"/>
      <c r="QAI58" s="41"/>
      <c r="QAJ58" s="41"/>
      <c r="QAK58" s="41"/>
      <c r="QAL58" s="41"/>
      <c r="QAM58" s="41"/>
      <c r="QAN58" s="41"/>
      <c r="QAO58" s="41"/>
      <c r="QAP58" s="41"/>
      <c r="QAQ58" s="41"/>
      <c r="QAR58" s="41"/>
      <c r="QAS58" s="41"/>
      <c r="QAT58" s="41"/>
      <c r="QAU58" s="41"/>
      <c r="QAV58" s="41"/>
      <c r="QAW58" s="41"/>
      <c r="QAX58" s="41"/>
      <c r="QAY58" s="41"/>
      <c r="QAZ58" s="41"/>
      <c r="QBA58" s="41"/>
      <c r="QBB58" s="41"/>
      <c r="QBC58" s="41"/>
      <c r="QBD58" s="41"/>
      <c r="QBE58" s="41"/>
      <c r="QBF58" s="41"/>
      <c r="QBG58" s="41"/>
      <c r="QBH58" s="41"/>
      <c r="QBI58" s="41"/>
      <c r="QBJ58" s="41"/>
      <c r="QBK58" s="41"/>
      <c r="QBL58" s="41"/>
      <c r="QBM58" s="41"/>
      <c r="QBN58" s="41"/>
      <c r="QBO58" s="41"/>
      <c r="QBP58" s="41"/>
      <c r="QBQ58" s="41"/>
      <c r="QBR58" s="41"/>
      <c r="QBS58" s="41"/>
      <c r="QBT58" s="41"/>
      <c r="QBU58" s="41"/>
      <c r="QBV58" s="41"/>
      <c r="QBW58" s="41"/>
      <c r="QBX58" s="41"/>
      <c r="QBY58" s="41"/>
      <c r="QBZ58" s="41"/>
      <c r="QCA58" s="41"/>
      <c r="QCB58" s="41"/>
      <c r="QCC58" s="41"/>
      <c r="QCD58" s="41"/>
      <c r="QCE58" s="41"/>
      <c r="QCF58" s="41"/>
      <c r="QCG58" s="41"/>
      <c r="QCH58" s="41"/>
      <c r="QCI58" s="41"/>
      <c r="QCJ58" s="41"/>
      <c r="QCK58" s="41"/>
      <c r="QCL58" s="41"/>
      <c r="QCM58" s="41"/>
      <c r="QCN58" s="41"/>
      <c r="QCO58" s="41"/>
      <c r="QCP58" s="41"/>
      <c r="QCQ58" s="41"/>
      <c r="QCR58" s="41"/>
      <c r="QCS58" s="41"/>
      <c r="QCT58" s="41"/>
      <c r="QCU58" s="41"/>
      <c r="QCV58" s="41"/>
      <c r="QCW58" s="41"/>
      <c r="QCX58" s="41"/>
      <c r="QCY58" s="41"/>
      <c r="QCZ58" s="41"/>
      <c r="QDA58" s="41"/>
      <c r="QDB58" s="41"/>
      <c r="QDC58" s="41"/>
      <c r="QDD58" s="41"/>
      <c r="QDE58" s="41"/>
      <c r="QDF58" s="41"/>
      <c r="QDG58" s="41"/>
      <c r="QDH58" s="41"/>
      <c r="QDI58" s="41"/>
      <c r="QDJ58" s="41"/>
      <c r="QDK58" s="41"/>
      <c r="QDL58" s="41"/>
      <c r="QDM58" s="41"/>
      <c r="QDN58" s="41"/>
      <c r="QDO58" s="41"/>
      <c r="QDP58" s="41"/>
      <c r="QDQ58" s="41"/>
      <c r="QDR58" s="41"/>
      <c r="QDS58" s="41"/>
      <c r="QDT58" s="41"/>
      <c r="QDU58" s="41"/>
      <c r="QDV58" s="41"/>
      <c r="QDW58" s="41"/>
      <c r="QDX58" s="41"/>
      <c r="QDY58" s="41"/>
      <c r="QDZ58" s="41"/>
      <c r="QEA58" s="41"/>
      <c r="QEB58" s="41"/>
      <c r="QEC58" s="41"/>
      <c r="QED58" s="41"/>
      <c r="QEE58" s="41"/>
      <c r="QEF58" s="41"/>
      <c r="QEG58" s="41"/>
      <c r="QEH58" s="41"/>
      <c r="QEI58" s="41"/>
      <c r="QEJ58" s="41"/>
      <c r="QEK58" s="41"/>
      <c r="QEL58" s="41"/>
      <c r="QEM58" s="41"/>
      <c r="QEN58" s="41"/>
      <c r="QEO58" s="41"/>
      <c r="QEP58" s="41"/>
      <c r="QEQ58" s="41"/>
      <c r="QER58" s="41"/>
      <c r="QES58" s="41"/>
      <c r="QET58" s="41"/>
      <c r="QEU58" s="41"/>
      <c r="QEV58" s="41"/>
      <c r="QEW58" s="41"/>
      <c r="QEX58" s="41"/>
      <c r="QEY58" s="41"/>
      <c r="QEZ58" s="41"/>
      <c r="QFA58" s="41"/>
      <c r="QFB58" s="41"/>
      <c r="QFC58" s="41"/>
      <c r="QFD58" s="41"/>
      <c r="QFE58" s="41"/>
      <c r="QFF58" s="41"/>
      <c r="QFG58" s="41"/>
      <c r="QFH58" s="41"/>
      <c r="QFI58" s="41"/>
      <c r="QFJ58" s="41"/>
      <c r="QFK58" s="41"/>
      <c r="QFL58" s="41"/>
      <c r="QFM58" s="41"/>
      <c r="QFN58" s="41"/>
      <c r="QFO58" s="41"/>
      <c r="QFP58" s="41"/>
      <c r="QFQ58" s="41"/>
      <c r="QFR58" s="41"/>
      <c r="QFS58" s="41"/>
      <c r="QFT58" s="41"/>
      <c r="QFU58" s="41"/>
      <c r="QFV58" s="41"/>
      <c r="QFW58" s="41"/>
      <c r="QFX58" s="41"/>
      <c r="QFY58" s="41"/>
      <c r="QFZ58" s="41"/>
      <c r="QGA58" s="41"/>
      <c r="QGB58" s="41"/>
      <c r="QGC58" s="41"/>
      <c r="QGD58" s="41"/>
      <c r="QGE58" s="41"/>
      <c r="QGF58" s="41"/>
      <c r="QGG58" s="41"/>
      <c r="QGH58" s="41"/>
      <c r="QGI58" s="41"/>
      <c r="QGJ58" s="41"/>
      <c r="QGK58" s="41"/>
      <c r="QGL58" s="41"/>
      <c r="QGM58" s="41"/>
      <c r="QGN58" s="41"/>
      <c r="QGO58" s="41"/>
      <c r="QGP58" s="41"/>
      <c r="QGQ58" s="41"/>
      <c r="QGR58" s="41"/>
      <c r="QGS58" s="41"/>
      <c r="QGT58" s="41"/>
      <c r="QGU58" s="41"/>
      <c r="QGV58" s="41"/>
      <c r="QGW58" s="41"/>
      <c r="QGX58" s="41"/>
      <c r="QGY58" s="41"/>
      <c r="QGZ58" s="41"/>
      <c r="QHA58" s="41"/>
      <c r="QHB58" s="41"/>
      <c r="QHC58" s="41"/>
      <c r="QHD58" s="41"/>
      <c r="QHE58" s="41"/>
      <c r="QHF58" s="41"/>
      <c r="QHG58" s="41"/>
      <c r="QHH58" s="41"/>
      <c r="QHI58" s="41"/>
      <c r="QHJ58" s="41"/>
      <c r="QHK58" s="41"/>
      <c r="QHL58" s="41"/>
      <c r="QHM58" s="41"/>
      <c r="QHN58" s="41"/>
      <c r="QHO58" s="41"/>
      <c r="QHP58" s="41"/>
      <c r="QHQ58" s="41"/>
      <c r="QHR58" s="41"/>
      <c r="QHS58" s="41"/>
      <c r="QHT58" s="41"/>
      <c r="QHU58" s="41"/>
      <c r="QHV58" s="41"/>
      <c r="QHW58" s="41"/>
      <c r="QHX58" s="41"/>
      <c r="QHY58" s="41"/>
      <c r="QHZ58" s="41"/>
      <c r="QIA58" s="41"/>
      <c r="QIB58" s="41"/>
      <c r="QIC58" s="41"/>
      <c r="QID58" s="41"/>
      <c r="QIE58" s="41"/>
      <c r="QIF58" s="41"/>
      <c r="QIG58" s="41"/>
      <c r="QIH58" s="41"/>
      <c r="QII58" s="41"/>
      <c r="QIJ58" s="41"/>
      <c r="QIK58" s="41"/>
      <c r="QIL58" s="41"/>
      <c r="QIM58" s="41"/>
      <c r="QIN58" s="41"/>
      <c r="QIO58" s="41"/>
      <c r="QIP58" s="41"/>
      <c r="QIQ58" s="41"/>
      <c r="QIR58" s="41"/>
      <c r="QIS58" s="41"/>
      <c r="QIT58" s="41"/>
      <c r="QIU58" s="41"/>
      <c r="QIV58" s="41"/>
      <c r="QIW58" s="41"/>
      <c r="QIX58" s="41"/>
      <c r="QIY58" s="41"/>
      <c r="QIZ58" s="41"/>
      <c r="QJA58" s="41"/>
      <c r="QJB58" s="41"/>
      <c r="QJC58" s="41"/>
      <c r="QJD58" s="41"/>
      <c r="QJE58" s="41"/>
      <c r="QJF58" s="41"/>
      <c r="QJG58" s="41"/>
      <c r="QJH58" s="41"/>
      <c r="QJI58" s="41"/>
      <c r="QJJ58" s="41"/>
      <c r="QJK58" s="41"/>
      <c r="QJL58" s="41"/>
      <c r="QJM58" s="41"/>
      <c r="QJN58" s="41"/>
      <c r="QJO58" s="41"/>
      <c r="QJP58" s="41"/>
      <c r="QJQ58" s="41"/>
      <c r="QJR58" s="41"/>
      <c r="QJS58" s="41"/>
      <c r="QJT58" s="41"/>
      <c r="QJU58" s="41"/>
      <c r="QJV58" s="41"/>
      <c r="QJW58" s="41"/>
      <c r="QJX58" s="41"/>
      <c r="QJY58" s="41"/>
      <c r="QJZ58" s="41"/>
      <c r="QKA58" s="41"/>
      <c r="QKB58" s="41"/>
      <c r="QKC58" s="41"/>
      <c r="QKD58" s="41"/>
      <c r="QKE58" s="41"/>
      <c r="QKF58" s="41"/>
      <c r="QKG58" s="41"/>
      <c r="QKH58" s="41"/>
      <c r="QKI58" s="41"/>
      <c r="QKJ58" s="41"/>
      <c r="QKK58" s="41"/>
      <c r="QKL58" s="41"/>
      <c r="QKM58" s="41"/>
      <c r="QKN58" s="41"/>
      <c r="QKO58" s="41"/>
      <c r="QKP58" s="41"/>
      <c r="QKQ58" s="41"/>
      <c r="QKR58" s="41"/>
      <c r="QKS58" s="41"/>
      <c r="QKT58" s="41"/>
      <c r="QKU58" s="41"/>
      <c r="QKV58" s="41"/>
      <c r="QKW58" s="41"/>
      <c r="QKX58" s="41"/>
      <c r="QKY58" s="41"/>
      <c r="QKZ58" s="41"/>
      <c r="QLA58" s="41"/>
      <c r="QLB58" s="41"/>
      <c r="QLC58" s="41"/>
      <c r="QLD58" s="41"/>
      <c r="QLE58" s="41"/>
      <c r="QLF58" s="41"/>
      <c r="QLG58" s="41"/>
      <c r="QLH58" s="41"/>
      <c r="QLI58" s="41"/>
      <c r="QLJ58" s="41"/>
      <c r="QLK58" s="41"/>
      <c r="QLL58" s="41"/>
      <c r="QLM58" s="41"/>
      <c r="QLN58" s="41"/>
      <c r="QLO58" s="41"/>
      <c r="QLP58" s="41"/>
      <c r="QLQ58" s="41"/>
      <c r="QLR58" s="41"/>
      <c r="QLS58" s="41"/>
      <c r="QLT58" s="41"/>
      <c r="QLU58" s="41"/>
      <c r="QLV58" s="41"/>
      <c r="QLW58" s="41"/>
      <c r="QLX58" s="41"/>
      <c r="QLY58" s="41"/>
      <c r="QLZ58" s="41"/>
      <c r="QMA58" s="41"/>
      <c r="QMB58" s="41"/>
      <c r="QMC58" s="41"/>
      <c r="QMD58" s="41"/>
      <c r="QME58" s="41"/>
      <c r="QMF58" s="41"/>
      <c r="QMG58" s="41"/>
      <c r="QMH58" s="41"/>
      <c r="QMI58" s="41"/>
      <c r="QMJ58" s="41"/>
      <c r="QMK58" s="41"/>
      <c r="QML58" s="41"/>
      <c r="QMM58" s="41"/>
      <c r="QMN58" s="41"/>
      <c r="QMO58" s="41"/>
      <c r="QMP58" s="41"/>
      <c r="QMQ58" s="41"/>
      <c r="QMR58" s="41"/>
      <c r="QMS58" s="41"/>
      <c r="QMT58" s="41"/>
      <c r="QMU58" s="41"/>
      <c r="QMV58" s="41"/>
      <c r="QMW58" s="41"/>
      <c r="QMX58" s="41"/>
      <c r="QMY58" s="41"/>
      <c r="QMZ58" s="41"/>
      <c r="QNA58" s="41"/>
      <c r="QNB58" s="41"/>
      <c r="QNC58" s="41"/>
      <c r="QND58" s="41"/>
      <c r="QNE58" s="41"/>
      <c r="QNF58" s="41"/>
      <c r="QNG58" s="41"/>
      <c r="QNH58" s="41"/>
      <c r="QNI58" s="41"/>
      <c r="QNJ58" s="41"/>
      <c r="QNK58" s="41"/>
      <c r="QNL58" s="41"/>
      <c r="QNM58" s="41"/>
      <c r="QNN58" s="41"/>
      <c r="QNO58" s="41"/>
      <c r="QNP58" s="41"/>
      <c r="QNQ58" s="41"/>
      <c r="QNR58" s="41"/>
      <c r="QNS58" s="41"/>
      <c r="QNT58" s="41"/>
      <c r="QNU58" s="41"/>
      <c r="QNV58" s="41"/>
      <c r="QNW58" s="41"/>
      <c r="QNX58" s="41"/>
      <c r="QNY58" s="41"/>
      <c r="QNZ58" s="41"/>
      <c r="QOA58" s="41"/>
      <c r="QOB58" s="41"/>
      <c r="QOC58" s="41"/>
      <c r="QOD58" s="41"/>
      <c r="QOE58" s="41"/>
      <c r="QOF58" s="41"/>
      <c r="QOG58" s="41"/>
      <c r="QOH58" s="41"/>
      <c r="QOI58" s="41"/>
      <c r="QOJ58" s="41"/>
      <c r="QOK58" s="41"/>
      <c r="QOL58" s="41"/>
      <c r="QOM58" s="41"/>
      <c r="QON58" s="41"/>
      <c r="QOO58" s="41"/>
      <c r="QOP58" s="41"/>
      <c r="QOQ58" s="41"/>
      <c r="QOR58" s="41"/>
      <c r="QOS58" s="41"/>
      <c r="QOT58" s="41"/>
      <c r="QOU58" s="41"/>
      <c r="QOV58" s="41"/>
      <c r="QOW58" s="41"/>
      <c r="QOX58" s="41"/>
      <c r="QOY58" s="41"/>
      <c r="QOZ58" s="41"/>
      <c r="QPA58" s="41"/>
      <c r="QPB58" s="41"/>
      <c r="QPC58" s="41"/>
      <c r="QPD58" s="41"/>
      <c r="QPE58" s="41"/>
      <c r="QPF58" s="41"/>
      <c r="QPG58" s="41"/>
      <c r="QPH58" s="41"/>
      <c r="QPI58" s="41"/>
      <c r="QPJ58" s="41"/>
      <c r="QPK58" s="41"/>
      <c r="QPL58" s="41"/>
      <c r="QPM58" s="41"/>
      <c r="QPN58" s="41"/>
      <c r="QPO58" s="41"/>
      <c r="QPP58" s="41"/>
      <c r="QPQ58" s="41"/>
      <c r="QPR58" s="41"/>
      <c r="QPS58" s="41"/>
      <c r="QPT58" s="41"/>
      <c r="QPU58" s="41"/>
      <c r="QPV58" s="41"/>
      <c r="QPW58" s="41"/>
      <c r="QPX58" s="41"/>
      <c r="QPY58" s="41"/>
      <c r="QPZ58" s="41"/>
      <c r="QQA58" s="41"/>
      <c r="QQB58" s="41"/>
      <c r="QQC58" s="41"/>
      <c r="QQD58" s="41"/>
      <c r="QQE58" s="41"/>
      <c r="QQF58" s="41"/>
      <c r="QQG58" s="41"/>
      <c r="QQH58" s="41"/>
      <c r="QQI58" s="41"/>
      <c r="QQJ58" s="41"/>
      <c r="QQK58" s="41"/>
      <c r="QQL58" s="41"/>
      <c r="QQM58" s="41"/>
      <c r="QQN58" s="41"/>
      <c r="QQO58" s="41"/>
      <c r="QQP58" s="41"/>
      <c r="QQQ58" s="41"/>
      <c r="QQR58" s="41"/>
      <c r="QQS58" s="41"/>
      <c r="QQT58" s="41"/>
      <c r="QQU58" s="41"/>
      <c r="QQV58" s="41"/>
      <c r="QQW58" s="41"/>
      <c r="QQX58" s="41"/>
      <c r="QQY58" s="41"/>
      <c r="QQZ58" s="41"/>
      <c r="QRA58" s="41"/>
      <c r="QRB58" s="41"/>
      <c r="QRC58" s="41"/>
      <c r="QRD58" s="41"/>
      <c r="QRE58" s="41"/>
      <c r="QRF58" s="41"/>
      <c r="QRG58" s="41"/>
      <c r="QRH58" s="41"/>
      <c r="QRI58" s="41"/>
      <c r="QRJ58" s="41"/>
      <c r="QRK58" s="41"/>
      <c r="QRL58" s="41"/>
      <c r="QRM58" s="41"/>
      <c r="QRN58" s="41"/>
      <c r="QRO58" s="41"/>
      <c r="QRP58" s="41"/>
      <c r="QRQ58" s="41"/>
      <c r="QRR58" s="41"/>
      <c r="QRS58" s="41"/>
      <c r="QRT58" s="41"/>
      <c r="QRU58" s="41"/>
      <c r="QRV58" s="41"/>
      <c r="QRW58" s="41"/>
      <c r="QRX58" s="41"/>
      <c r="QRY58" s="41"/>
      <c r="QRZ58" s="41"/>
      <c r="QSA58" s="41"/>
      <c r="QSB58" s="41"/>
      <c r="QSC58" s="41"/>
      <c r="QSD58" s="41"/>
      <c r="QSE58" s="41"/>
      <c r="QSF58" s="41"/>
      <c r="QSG58" s="41"/>
      <c r="QSH58" s="41"/>
      <c r="QSI58" s="41"/>
      <c r="QSJ58" s="41"/>
      <c r="QSK58" s="41"/>
      <c r="QSL58" s="41"/>
      <c r="QSM58" s="41"/>
      <c r="QSN58" s="41"/>
      <c r="QSO58" s="41"/>
      <c r="QSP58" s="41"/>
      <c r="QSQ58" s="41"/>
      <c r="QSR58" s="41"/>
      <c r="QSS58" s="41"/>
      <c r="QST58" s="41"/>
      <c r="QSU58" s="41"/>
      <c r="QSV58" s="41"/>
      <c r="QSW58" s="41"/>
      <c r="QSX58" s="41"/>
      <c r="QSY58" s="41"/>
      <c r="QSZ58" s="41"/>
      <c r="QTA58" s="41"/>
      <c r="QTB58" s="41"/>
      <c r="QTC58" s="41"/>
      <c r="QTD58" s="41"/>
      <c r="QTE58" s="41"/>
      <c r="QTF58" s="41"/>
      <c r="QTG58" s="41"/>
      <c r="QTH58" s="41"/>
      <c r="QTI58" s="41"/>
      <c r="QTJ58" s="41"/>
      <c r="QTK58" s="41"/>
      <c r="QTL58" s="41"/>
      <c r="QTM58" s="41"/>
      <c r="QTN58" s="41"/>
      <c r="QTO58" s="41"/>
      <c r="QTP58" s="41"/>
      <c r="QTQ58" s="41"/>
      <c r="QTR58" s="41"/>
      <c r="QTS58" s="41"/>
      <c r="QTT58" s="41"/>
      <c r="QTU58" s="41"/>
      <c r="QTV58" s="41"/>
      <c r="QTW58" s="41"/>
      <c r="QTX58" s="41"/>
      <c r="QTY58" s="41"/>
      <c r="QTZ58" s="41"/>
      <c r="QUA58" s="41"/>
      <c r="QUB58" s="41"/>
      <c r="QUC58" s="41"/>
      <c r="QUD58" s="41"/>
      <c r="QUE58" s="41"/>
      <c r="QUF58" s="41"/>
      <c r="QUG58" s="41"/>
      <c r="QUH58" s="41"/>
      <c r="QUI58" s="41"/>
      <c r="QUJ58" s="41"/>
      <c r="QUK58" s="41"/>
      <c r="QUL58" s="41"/>
      <c r="QUM58" s="41"/>
      <c r="QUN58" s="41"/>
      <c r="QUO58" s="41"/>
      <c r="QUP58" s="41"/>
      <c r="QUQ58" s="41"/>
      <c r="QUR58" s="41"/>
      <c r="QUS58" s="41"/>
      <c r="QUT58" s="41"/>
      <c r="QUU58" s="41"/>
      <c r="QUV58" s="41"/>
      <c r="QUW58" s="41"/>
      <c r="QUX58" s="41"/>
      <c r="QUY58" s="41"/>
      <c r="QUZ58" s="41"/>
      <c r="QVA58" s="41"/>
      <c r="QVB58" s="41"/>
      <c r="QVC58" s="41"/>
      <c r="QVD58" s="41"/>
      <c r="QVE58" s="41"/>
      <c r="QVF58" s="41"/>
      <c r="QVG58" s="41"/>
      <c r="QVH58" s="41"/>
      <c r="QVI58" s="41"/>
      <c r="QVJ58" s="41"/>
      <c r="QVK58" s="41"/>
      <c r="QVL58" s="41"/>
      <c r="QVM58" s="41"/>
      <c r="QVN58" s="41"/>
      <c r="QVO58" s="41"/>
      <c r="QVP58" s="41"/>
      <c r="QVQ58" s="41"/>
      <c r="QVR58" s="41"/>
      <c r="QVS58" s="41"/>
      <c r="QVT58" s="41"/>
      <c r="QVU58" s="41"/>
      <c r="QVV58" s="41"/>
      <c r="QVW58" s="41"/>
      <c r="QVX58" s="41"/>
      <c r="QVY58" s="41"/>
      <c r="QVZ58" s="41"/>
      <c r="QWA58" s="41"/>
      <c r="QWB58" s="41"/>
      <c r="QWC58" s="41"/>
      <c r="QWD58" s="41"/>
      <c r="QWE58" s="41"/>
      <c r="QWF58" s="41"/>
      <c r="QWG58" s="41"/>
      <c r="QWH58" s="41"/>
      <c r="QWI58" s="41"/>
      <c r="QWJ58" s="41"/>
      <c r="QWK58" s="41"/>
      <c r="QWL58" s="41"/>
      <c r="QWM58" s="41"/>
      <c r="QWN58" s="41"/>
      <c r="QWO58" s="41"/>
      <c r="QWP58" s="41"/>
      <c r="QWQ58" s="41"/>
      <c r="QWR58" s="41"/>
      <c r="QWS58" s="41"/>
      <c r="QWT58" s="41"/>
      <c r="QWU58" s="41"/>
      <c r="QWV58" s="41"/>
      <c r="QWW58" s="41"/>
      <c r="QWX58" s="41"/>
      <c r="QWY58" s="41"/>
      <c r="QWZ58" s="41"/>
      <c r="QXA58" s="41"/>
      <c r="QXB58" s="41"/>
      <c r="QXC58" s="41"/>
      <c r="QXD58" s="41"/>
      <c r="QXE58" s="41"/>
      <c r="QXF58" s="41"/>
      <c r="QXG58" s="41"/>
      <c r="QXH58" s="41"/>
      <c r="QXI58" s="41"/>
      <c r="QXJ58" s="41"/>
      <c r="QXK58" s="41"/>
      <c r="QXL58" s="41"/>
      <c r="QXM58" s="41"/>
      <c r="QXN58" s="41"/>
      <c r="QXO58" s="41"/>
      <c r="QXP58" s="41"/>
      <c r="QXQ58" s="41"/>
      <c r="QXR58" s="41"/>
      <c r="QXS58" s="41"/>
      <c r="QXT58" s="41"/>
      <c r="QXU58" s="41"/>
      <c r="QXV58" s="41"/>
      <c r="QXW58" s="41"/>
      <c r="QXX58" s="41"/>
      <c r="QXY58" s="41"/>
      <c r="QXZ58" s="41"/>
      <c r="QYA58" s="41"/>
      <c r="QYB58" s="41"/>
      <c r="QYC58" s="41"/>
      <c r="QYD58" s="41"/>
      <c r="QYE58" s="41"/>
      <c r="QYF58" s="41"/>
      <c r="QYG58" s="41"/>
      <c r="QYH58" s="41"/>
      <c r="QYI58" s="41"/>
      <c r="QYJ58" s="41"/>
      <c r="QYK58" s="41"/>
      <c r="QYL58" s="41"/>
      <c r="QYM58" s="41"/>
      <c r="QYN58" s="41"/>
      <c r="QYO58" s="41"/>
      <c r="QYP58" s="41"/>
      <c r="QYQ58" s="41"/>
      <c r="QYR58" s="41"/>
      <c r="QYS58" s="41"/>
      <c r="QYT58" s="41"/>
      <c r="QYU58" s="41"/>
      <c r="QYV58" s="41"/>
      <c r="QYW58" s="41"/>
      <c r="QYX58" s="41"/>
      <c r="QYY58" s="41"/>
      <c r="QYZ58" s="41"/>
      <c r="QZA58" s="41"/>
      <c r="QZB58" s="41"/>
      <c r="QZC58" s="41"/>
      <c r="QZD58" s="41"/>
      <c r="QZE58" s="41"/>
      <c r="QZF58" s="41"/>
      <c r="QZG58" s="41"/>
      <c r="QZH58" s="41"/>
      <c r="QZI58" s="41"/>
      <c r="QZJ58" s="41"/>
      <c r="QZK58" s="41"/>
      <c r="QZL58" s="41"/>
      <c r="QZM58" s="41"/>
      <c r="QZN58" s="41"/>
      <c r="QZO58" s="41"/>
      <c r="QZP58" s="41"/>
      <c r="QZQ58" s="41"/>
      <c r="QZR58" s="41"/>
      <c r="QZS58" s="41"/>
      <c r="QZT58" s="41"/>
      <c r="QZU58" s="41"/>
      <c r="QZV58" s="41"/>
      <c r="QZW58" s="41"/>
      <c r="QZX58" s="41"/>
      <c r="QZY58" s="41"/>
      <c r="QZZ58" s="41"/>
      <c r="RAA58" s="41"/>
      <c r="RAB58" s="41"/>
      <c r="RAC58" s="41"/>
      <c r="RAD58" s="41"/>
      <c r="RAE58" s="41"/>
      <c r="RAF58" s="41"/>
      <c r="RAG58" s="41"/>
      <c r="RAH58" s="41"/>
      <c r="RAI58" s="41"/>
      <c r="RAJ58" s="41"/>
      <c r="RAK58" s="41"/>
      <c r="RAL58" s="41"/>
      <c r="RAM58" s="41"/>
      <c r="RAN58" s="41"/>
      <c r="RAO58" s="41"/>
      <c r="RAP58" s="41"/>
      <c r="RAQ58" s="41"/>
      <c r="RAR58" s="41"/>
      <c r="RAS58" s="41"/>
      <c r="RAT58" s="41"/>
      <c r="RAU58" s="41"/>
      <c r="RAV58" s="41"/>
      <c r="RAW58" s="41"/>
      <c r="RAX58" s="41"/>
      <c r="RAY58" s="41"/>
      <c r="RAZ58" s="41"/>
      <c r="RBA58" s="41"/>
      <c r="RBB58" s="41"/>
      <c r="RBC58" s="41"/>
      <c r="RBD58" s="41"/>
      <c r="RBE58" s="41"/>
      <c r="RBF58" s="41"/>
      <c r="RBG58" s="41"/>
      <c r="RBH58" s="41"/>
      <c r="RBI58" s="41"/>
      <c r="RBJ58" s="41"/>
      <c r="RBK58" s="41"/>
      <c r="RBL58" s="41"/>
      <c r="RBM58" s="41"/>
      <c r="RBN58" s="41"/>
      <c r="RBO58" s="41"/>
      <c r="RBP58" s="41"/>
      <c r="RBQ58" s="41"/>
      <c r="RBR58" s="41"/>
      <c r="RBS58" s="41"/>
      <c r="RBT58" s="41"/>
      <c r="RBU58" s="41"/>
      <c r="RBV58" s="41"/>
      <c r="RBW58" s="41"/>
      <c r="RBX58" s="41"/>
      <c r="RBY58" s="41"/>
      <c r="RBZ58" s="41"/>
      <c r="RCA58" s="41"/>
      <c r="RCB58" s="41"/>
      <c r="RCC58" s="41"/>
      <c r="RCD58" s="41"/>
      <c r="RCE58" s="41"/>
      <c r="RCF58" s="41"/>
      <c r="RCG58" s="41"/>
      <c r="RCH58" s="41"/>
      <c r="RCI58" s="41"/>
      <c r="RCJ58" s="41"/>
      <c r="RCK58" s="41"/>
      <c r="RCL58" s="41"/>
      <c r="RCM58" s="41"/>
      <c r="RCN58" s="41"/>
      <c r="RCO58" s="41"/>
      <c r="RCP58" s="41"/>
      <c r="RCQ58" s="41"/>
      <c r="RCR58" s="41"/>
      <c r="RCS58" s="41"/>
      <c r="RCT58" s="41"/>
      <c r="RCU58" s="41"/>
      <c r="RCV58" s="41"/>
      <c r="RCW58" s="41"/>
      <c r="RCX58" s="41"/>
      <c r="RCY58" s="41"/>
      <c r="RCZ58" s="41"/>
      <c r="RDA58" s="41"/>
      <c r="RDB58" s="41"/>
      <c r="RDC58" s="41"/>
      <c r="RDD58" s="41"/>
      <c r="RDE58" s="41"/>
      <c r="RDF58" s="41"/>
      <c r="RDG58" s="41"/>
      <c r="RDH58" s="41"/>
      <c r="RDI58" s="41"/>
      <c r="RDJ58" s="41"/>
      <c r="RDK58" s="41"/>
      <c r="RDL58" s="41"/>
      <c r="RDM58" s="41"/>
      <c r="RDN58" s="41"/>
      <c r="RDO58" s="41"/>
      <c r="RDP58" s="41"/>
      <c r="RDQ58" s="41"/>
      <c r="RDR58" s="41"/>
      <c r="RDS58" s="41"/>
      <c r="RDT58" s="41"/>
      <c r="RDU58" s="41"/>
      <c r="RDV58" s="41"/>
      <c r="RDW58" s="41"/>
      <c r="RDX58" s="41"/>
      <c r="RDY58" s="41"/>
      <c r="RDZ58" s="41"/>
      <c r="REA58" s="41"/>
      <c r="REB58" s="41"/>
      <c r="REC58" s="41"/>
      <c r="RED58" s="41"/>
      <c r="REE58" s="41"/>
      <c r="REF58" s="41"/>
      <c r="REG58" s="41"/>
      <c r="REH58" s="41"/>
      <c r="REI58" s="41"/>
      <c r="REJ58" s="41"/>
      <c r="REK58" s="41"/>
      <c r="REL58" s="41"/>
      <c r="REM58" s="41"/>
      <c r="REN58" s="41"/>
      <c r="REO58" s="41"/>
      <c r="REP58" s="41"/>
      <c r="REQ58" s="41"/>
      <c r="RER58" s="41"/>
      <c r="RES58" s="41"/>
      <c r="RET58" s="41"/>
      <c r="REU58" s="41"/>
      <c r="REV58" s="41"/>
      <c r="REW58" s="41"/>
      <c r="REX58" s="41"/>
      <c r="REY58" s="41"/>
      <c r="REZ58" s="41"/>
      <c r="RFA58" s="41"/>
      <c r="RFB58" s="41"/>
      <c r="RFC58" s="41"/>
      <c r="RFD58" s="41"/>
      <c r="RFE58" s="41"/>
      <c r="RFF58" s="41"/>
      <c r="RFG58" s="41"/>
      <c r="RFH58" s="41"/>
      <c r="RFI58" s="41"/>
      <c r="RFJ58" s="41"/>
      <c r="RFK58" s="41"/>
      <c r="RFL58" s="41"/>
      <c r="RFM58" s="41"/>
      <c r="RFN58" s="41"/>
      <c r="RFO58" s="41"/>
      <c r="RFP58" s="41"/>
      <c r="RFQ58" s="41"/>
      <c r="RFR58" s="41"/>
      <c r="RFS58" s="41"/>
      <c r="RFT58" s="41"/>
      <c r="RFU58" s="41"/>
      <c r="RFV58" s="41"/>
      <c r="RFW58" s="41"/>
      <c r="RFX58" s="41"/>
      <c r="RFY58" s="41"/>
      <c r="RFZ58" s="41"/>
      <c r="RGA58" s="41"/>
      <c r="RGB58" s="41"/>
      <c r="RGC58" s="41"/>
      <c r="RGD58" s="41"/>
      <c r="RGE58" s="41"/>
      <c r="RGF58" s="41"/>
      <c r="RGG58" s="41"/>
      <c r="RGH58" s="41"/>
      <c r="RGI58" s="41"/>
      <c r="RGJ58" s="41"/>
      <c r="RGK58" s="41"/>
      <c r="RGL58" s="41"/>
      <c r="RGM58" s="41"/>
      <c r="RGN58" s="41"/>
      <c r="RGO58" s="41"/>
      <c r="RGP58" s="41"/>
      <c r="RGQ58" s="41"/>
      <c r="RGR58" s="41"/>
      <c r="RGS58" s="41"/>
      <c r="RGT58" s="41"/>
      <c r="RGU58" s="41"/>
      <c r="RGV58" s="41"/>
      <c r="RGW58" s="41"/>
      <c r="RGX58" s="41"/>
      <c r="RGY58" s="41"/>
      <c r="RGZ58" s="41"/>
      <c r="RHA58" s="41"/>
      <c r="RHB58" s="41"/>
      <c r="RHC58" s="41"/>
      <c r="RHD58" s="41"/>
      <c r="RHE58" s="41"/>
      <c r="RHF58" s="41"/>
      <c r="RHG58" s="41"/>
      <c r="RHH58" s="41"/>
      <c r="RHI58" s="41"/>
      <c r="RHJ58" s="41"/>
      <c r="RHK58" s="41"/>
      <c r="RHL58" s="41"/>
      <c r="RHM58" s="41"/>
      <c r="RHN58" s="41"/>
      <c r="RHO58" s="41"/>
      <c r="RHP58" s="41"/>
      <c r="RHQ58" s="41"/>
      <c r="RHR58" s="41"/>
      <c r="RHS58" s="41"/>
      <c r="RHT58" s="41"/>
      <c r="RHU58" s="41"/>
      <c r="RHV58" s="41"/>
      <c r="RHW58" s="41"/>
      <c r="RHX58" s="41"/>
      <c r="RHY58" s="41"/>
      <c r="RHZ58" s="41"/>
      <c r="RIA58" s="41"/>
      <c r="RIB58" s="41"/>
      <c r="RIC58" s="41"/>
      <c r="RID58" s="41"/>
      <c r="RIE58" s="41"/>
      <c r="RIF58" s="41"/>
      <c r="RIG58" s="41"/>
      <c r="RIH58" s="41"/>
      <c r="RII58" s="41"/>
      <c r="RIJ58" s="41"/>
      <c r="RIK58" s="41"/>
      <c r="RIL58" s="41"/>
      <c r="RIM58" s="41"/>
      <c r="RIN58" s="41"/>
      <c r="RIO58" s="41"/>
      <c r="RIP58" s="41"/>
      <c r="RIQ58" s="41"/>
      <c r="RIR58" s="41"/>
      <c r="RIS58" s="41"/>
      <c r="RIT58" s="41"/>
      <c r="RIU58" s="41"/>
      <c r="RIV58" s="41"/>
      <c r="RIW58" s="41"/>
      <c r="RIX58" s="41"/>
      <c r="RIY58" s="41"/>
      <c r="RIZ58" s="41"/>
      <c r="RJA58" s="41"/>
      <c r="RJB58" s="41"/>
      <c r="RJC58" s="41"/>
      <c r="RJD58" s="41"/>
      <c r="RJE58" s="41"/>
      <c r="RJF58" s="41"/>
      <c r="RJG58" s="41"/>
      <c r="RJH58" s="41"/>
      <c r="RJI58" s="41"/>
      <c r="RJJ58" s="41"/>
      <c r="RJK58" s="41"/>
      <c r="RJL58" s="41"/>
      <c r="RJM58" s="41"/>
      <c r="RJN58" s="41"/>
      <c r="RJO58" s="41"/>
      <c r="RJP58" s="41"/>
      <c r="RJQ58" s="41"/>
      <c r="RJR58" s="41"/>
      <c r="RJS58" s="41"/>
      <c r="RJT58" s="41"/>
      <c r="RJU58" s="41"/>
      <c r="RJV58" s="41"/>
      <c r="RJW58" s="41"/>
      <c r="RJX58" s="41"/>
      <c r="RJY58" s="41"/>
      <c r="RJZ58" s="41"/>
      <c r="RKA58" s="41"/>
      <c r="RKB58" s="41"/>
      <c r="RKC58" s="41"/>
      <c r="RKD58" s="41"/>
      <c r="RKE58" s="41"/>
      <c r="RKF58" s="41"/>
      <c r="RKG58" s="41"/>
      <c r="RKH58" s="41"/>
      <c r="RKI58" s="41"/>
      <c r="RKJ58" s="41"/>
      <c r="RKK58" s="41"/>
      <c r="RKL58" s="41"/>
      <c r="RKM58" s="41"/>
      <c r="RKN58" s="41"/>
      <c r="RKO58" s="41"/>
      <c r="RKP58" s="41"/>
      <c r="RKQ58" s="41"/>
      <c r="RKR58" s="41"/>
      <c r="RKS58" s="41"/>
      <c r="RKT58" s="41"/>
      <c r="RKU58" s="41"/>
      <c r="RKV58" s="41"/>
      <c r="RKW58" s="41"/>
      <c r="RKX58" s="41"/>
      <c r="RKY58" s="41"/>
      <c r="RKZ58" s="41"/>
      <c r="RLA58" s="41"/>
      <c r="RLB58" s="41"/>
      <c r="RLC58" s="41"/>
      <c r="RLD58" s="41"/>
      <c r="RLE58" s="41"/>
      <c r="RLF58" s="41"/>
      <c r="RLG58" s="41"/>
      <c r="RLH58" s="41"/>
      <c r="RLI58" s="41"/>
      <c r="RLJ58" s="41"/>
      <c r="RLK58" s="41"/>
      <c r="RLL58" s="41"/>
      <c r="RLM58" s="41"/>
      <c r="RLN58" s="41"/>
      <c r="RLO58" s="41"/>
      <c r="RLP58" s="41"/>
      <c r="RLQ58" s="41"/>
      <c r="RLR58" s="41"/>
      <c r="RLS58" s="41"/>
      <c r="RLT58" s="41"/>
      <c r="RLU58" s="41"/>
      <c r="RLV58" s="41"/>
      <c r="RLW58" s="41"/>
      <c r="RLX58" s="41"/>
      <c r="RLY58" s="41"/>
      <c r="RLZ58" s="41"/>
      <c r="RMA58" s="41"/>
      <c r="RMB58" s="41"/>
      <c r="RMC58" s="41"/>
      <c r="RMD58" s="41"/>
      <c r="RME58" s="41"/>
      <c r="RMF58" s="41"/>
      <c r="RMG58" s="41"/>
      <c r="RMH58" s="41"/>
      <c r="RMI58" s="41"/>
      <c r="RMJ58" s="41"/>
      <c r="RMK58" s="41"/>
      <c r="RML58" s="41"/>
      <c r="RMM58" s="41"/>
      <c r="RMN58" s="41"/>
      <c r="RMO58" s="41"/>
      <c r="RMP58" s="41"/>
      <c r="RMQ58" s="41"/>
      <c r="RMR58" s="41"/>
      <c r="RMS58" s="41"/>
      <c r="RMT58" s="41"/>
      <c r="RMU58" s="41"/>
      <c r="RMV58" s="41"/>
      <c r="RMW58" s="41"/>
      <c r="RMX58" s="41"/>
      <c r="RMY58" s="41"/>
      <c r="RMZ58" s="41"/>
      <c r="RNA58" s="41"/>
      <c r="RNB58" s="41"/>
      <c r="RNC58" s="41"/>
      <c r="RND58" s="41"/>
      <c r="RNE58" s="41"/>
      <c r="RNF58" s="41"/>
      <c r="RNG58" s="41"/>
      <c r="RNH58" s="41"/>
      <c r="RNI58" s="41"/>
      <c r="RNJ58" s="41"/>
      <c r="RNK58" s="41"/>
      <c r="RNL58" s="41"/>
      <c r="RNM58" s="41"/>
      <c r="RNN58" s="41"/>
      <c r="RNO58" s="41"/>
      <c r="RNP58" s="41"/>
      <c r="RNQ58" s="41"/>
      <c r="RNR58" s="41"/>
      <c r="RNS58" s="41"/>
      <c r="RNT58" s="41"/>
      <c r="RNU58" s="41"/>
      <c r="RNV58" s="41"/>
      <c r="RNW58" s="41"/>
      <c r="RNX58" s="41"/>
      <c r="RNY58" s="41"/>
      <c r="RNZ58" s="41"/>
      <c r="ROA58" s="41"/>
      <c r="ROB58" s="41"/>
      <c r="ROC58" s="41"/>
      <c r="ROD58" s="41"/>
      <c r="ROE58" s="41"/>
      <c r="ROF58" s="41"/>
      <c r="ROG58" s="41"/>
      <c r="ROH58" s="41"/>
      <c r="ROI58" s="41"/>
      <c r="ROJ58" s="41"/>
      <c r="ROK58" s="41"/>
      <c r="ROL58" s="41"/>
      <c r="ROM58" s="41"/>
      <c r="RON58" s="41"/>
      <c r="ROO58" s="41"/>
      <c r="ROP58" s="41"/>
      <c r="ROQ58" s="41"/>
      <c r="ROR58" s="41"/>
      <c r="ROS58" s="41"/>
      <c r="ROT58" s="41"/>
      <c r="ROU58" s="41"/>
      <c r="ROV58" s="41"/>
      <c r="ROW58" s="41"/>
      <c r="ROX58" s="41"/>
      <c r="ROY58" s="41"/>
      <c r="ROZ58" s="41"/>
      <c r="RPA58" s="41"/>
      <c r="RPB58" s="41"/>
      <c r="RPC58" s="41"/>
      <c r="RPD58" s="41"/>
      <c r="RPE58" s="41"/>
      <c r="RPF58" s="41"/>
      <c r="RPG58" s="41"/>
      <c r="RPH58" s="41"/>
      <c r="RPI58" s="41"/>
      <c r="RPJ58" s="41"/>
      <c r="RPK58" s="41"/>
      <c r="RPL58" s="41"/>
      <c r="RPM58" s="41"/>
      <c r="RPN58" s="41"/>
      <c r="RPO58" s="41"/>
      <c r="RPP58" s="41"/>
      <c r="RPQ58" s="41"/>
      <c r="RPR58" s="41"/>
      <c r="RPS58" s="41"/>
      <c r="RPT58" s="41"/>
      <c r="RPU58" s="41"/>
      <c r="RPV58" s="41"/>
      <c r="RPW58" s="41"/>
      <c r="RPX58" s="41"/>
      <c r="RPY58" s="41"/>
      <c r="RPZ58" s="41"/>
      <c r="RQA58" s="41"/>
      <c r="RQB58" s="41"/>
      <c r="RQC58" s="41"/>
      <c r="RQD58" s="41"/>
      <c r="RQE58" s="41"/>
      <c r="RQF58" s="41"/>
      <c r="RQG58" s="41"/>
      <c r="RQH58" s="41"/>
      <c r="RQI58" s="41"/>
      <c r="RQJ58" s="41"/>
      <c r="RQK58" s="41"/>
      <c r="RQL58" s="41"/>
      <c r="RQM58" s="41"/>
      <c r="RQN58" s="41"/>
      <c r="RQO58" s="41"/>
      <c r="RQP58" s="41"/>
      <c r="RQQ58" s="41"/>
      <c r="RQR58" s="41"/>
      <c r="RQS58" s="41"/>
      <c r="RQT58" s="41"/>
      <c r="RQU58" s="41"/>
      <c r="RQV58" s="41"/>
      <c r="RQW58" s="41"/>
      <c r="RQX58" s="41"/>
      <c r="RQY58" s="41"/>
      <c r="RQZ58" s="41"/>
      <c r="RRA58" s="41"/>
      <c r="RRB58" s="41"/>
      <c r="RRC58" s="41"/>
      <c r="RRD58" s="41"/>
      <c r="RRE58" s="41"/>
      <c r="RRF58" s="41"/>
      <c r="RRG58" s="41"/>
      <c r="RRH58" s="41"/>
      <c r="RRI58" s="41"/>
      <c r="RRJ58" s="41"/>
      <c r="RRK58" s="41"/>
      <c r="RRL58" s="41"/>
      <c r="RRM58" s="41"/>
      <c r="RRN58" s="41"/>
      <c r="RRO58" s="41"/>
      <c r="RRP58" s="41"/>
      <c r="RRQ58" s="41"/>
      <c r="RRR58" s="41"/>
      <c r="RRS58" s="41"/>
      <c r="RRT58" s="41"/>
      <c r="RRU58" s="41"/>
      <c r="RRV58" s="41"/>
      <c r="RRW58" s="41"/>
      <c r="RRX58" s="41"/>
      <c r="RRY58" s="41"/>
      <c r="RRZ58" s="41"/>
      <c r="RSA58" s="41"/>
      <c r="RSB58" s="41"/>
      <c r="RSC58" s="41"/>
      <c r="RSD58" s="41"/>
      <c r="RSE58" s="41"/>
      <c r="RSF58" s="41"/>
      <c r="RSG58" s="41"/>
      <c r="RSH58" s="41"/>
      <c r="RSI58" s="41"/>
      <c r="RSJ58" s="41"/>
      <c r="RSK58" s="41"/>
      <c r="RSL58" s="41"/>
      <c r="RSM58" s="41"/>
      <c r="RSN58" s="41"/>
      <c r="RSO58" s="41"/>
      <c r="RSP58" s="41"/>
      <c r="RSQ58" s="41"/>
      <c r="RSR58" s="41"/>
      <c r="RSS58" s="41"/>
      <c r="RST58" s="41"/>
      <c r="RSU58" s="41"/>
      <c r="RSV58" s="41"/>
      <c r="RSW58" s="41"/>
      <c r="RSX58" s="41"/>
      <c r="RSY58" s="41"/>
      <c r="RSZ58" s="41"/>
      <c r="RTA58" s="41"/>
      <c r="RTB58" s="41"/>
      <c r="RTC58" s="41"/>
      <c r="RTD58" s="41"/>
      <c r="RTE58" s="41"/>
      <c r="RTF58" s="41"/>
      <c r="RTG58" s="41"/>
      <c r="RTH58" s="41"/>
      <c r="RTI58" s="41"/>
      <c r="RTJ58" s="41"/>
      <c r="RTK58" s="41"/>
      <c r="RTL58" s="41"/>
      <c r="RTM58" s="41"/>
      <c r="RTN58" s="41"/>
      <c r="RTO58" s="41"/>
      <c r="RTP58" s="41"/>
      <c r="RTQ58" s="41"/>
      <c r="RTR58" s="41"/>
      <c r="RTS58" s="41"/>
      <c r="RTT58" s="41"/>
      <c r="RTU58" s="41"/>
      <c r="RTV58" s="41"/>
      <c r="RTW58" s="41"/>
      <c r="RTX58" s="41"/>
      <c r="RTY58" s="41"/>
      <c r="RTZ58" s="41"/>
      <c r="RUA58" s="41"/>
      <c r="RUB58" s="41"/>
      <c r="RUC58" s="41"/>
      <c r="RUD58" s="41"/>
      <c r="RUE58" s="41"/>
      <c r="RUF58" s="41"/>
      <c r="RUG58" s="41"/>
      <c r="RUH58" s="41"/>
      <c r="RUI58" s="41"/>
      <c r="RUJ58" s="41"/>
      <c r="RUK58" s="41"/>
      <c r="RUL58" s="41"/>
      <c r="RUM58" s="41"/>
      <c r="RUN58" s="41"/>
      <c r="RUO58" s="41"/>
      <c r="RUP58" s="41"/>
      <c r="RUQ58" s="41"/>
      <c r="RUR58" s="41"/>
      <c r="RUS58" s="41"/>
      <c r="RUT58" s="41"/>
      <c r="RUU58" s="41"/>
      <c r="RUV58" s="41"/>
      <c r="RUW58" s="41"/>
      <c r="RUX58" s="41"/>
      <c r="RUY58" s="41"/>
      <c r="RUZ58" s="41"/>
      <c r="RVA58" s="41"/>
      <c r="RVB58" s="41"/>
      <c r="RVC58" s="41"/>
      <c r="RVD58" s="41"/>
      <c r="RVE58" s="41"/>
      <c r="RVF58" s="41"/>
      <c r="RVG58" s="41"/>
      <c r="RVH58" s="41"/>
      <c r="RVI58" s="41"/>
      <c r="RVJ58" s="41"/>
      <c r="RVK58" s="41"/>
      <c r="RVL58" s="41"/>
      <c r="RVM58" s="41"/>
      <c r="RVN58" s="41"/>
      <c r="RVO58" s="41"/>
      <c r="RVP58" s="41"/>
      <c r="RVQ58" s="41"/>
      <c r="RVR58" s="41"/>
      <c r="RVS58" s="41"/>
      <c r="RVT58" s="41"/>
      <c r="RVU58" s="41"/>
      <c r="RVV58" s="41"/>
      <c r="RVW58" s="41"/>
      <c r="RVX58" s="41"/>
      <c r="RVY58" s="41"/>
      <c r="RVZ58" s="41"/>
      <c r="RWA58" s="41"/>
      <c r="RWB58" s="41"/>
      <c r="RWC58" s="41"/>
      <c r="RWD58" s="41"/>
      <c r="RWE58" s="41"/>
      <c r="RWF58" s="41"/>
      <c r="RWG58" s="41"/>
      <c r="RWH58" s="41"/>
      <c r="RWI58" s="41"/>
      <c r="RWJ58" s="41"/>
      <c r="RWK58" s="41"/>
      <c r="RWL58" s="41"/>
      <c r="RWM58" s="41"/>
      <c r="RWN58" s="41"/>
      <c r="RWO58" s="41"/>
      <c r="RWP58" s="41"/>
      <c r="RWQ58" s="41"/>
      <c r="RWR58" s="41"/>
      <c r="RWS58" s="41"/>
      <c r="RWT58" s="41"/>
      <c r="RWU58" s="41"/>
      <c r="RWV58" s="41"/>
      <c r="RWW58" s="41"/>
      <c r="RWX58" s="41"/>
      <c r="RWY58" s="41"/>
      <c r="RWZ58" s="41"/>
      <c r="RXA58" s="41"/>
      <c r="RXB58" s="41"/>
      <c r="RXC58" s="41"/>
      <c r="RXD58" s="41"/>
      <c r="RXE58" s="41"/>
      <c r="RXF58" s="41"/>
      <c r="RXG58" s="41"/>
      <c r="RXH58" s="41"/>
      <c r="RXI58" s="41"/>
      <c r="RXJ58" s="41"/>
      <c r="RXK58" s="41"/>
      <c r="RXL58" s="41"/>
      <c r="RXM58" s="41"/>
      <c r="RXN58" s="41"/>
      <c r="RXO58" s="41"/>
      <c r="RXP58" s="41"/>
      <c r="RXQ58" s="41"/>
      <c r="RXR58" s="41"/>
      <c r="RXS58" s="41"/>
      <c r="RXT58" s="41"/>
      <c r="RXU58" s="41"/>
      <c r="RXV58" s="41"/>
      <c r="RXW58" s="41"/>
      <c r="RXX58" s="41"/>
      <c r="RXY58" s="41"/>
      <c r="RXZ58" s="41"/>
      <c r="RYA58" s="41"/>
      <c r="RYB58" s="41"/>
      <c r="RYC58" s="41"/>
      <c r="RYD58" s="41"/>
      <c r="RYE58" s="41"/>
      <c r="RYF58" s="41"/>
      <c r="RYG58" s="41"/>
      <c r="RYH58" s="41"/>
      <c r="RYI58" s="41"/>
      <c r="RYJ58" s="41"/>
      <c r="RYK58" s="41"/>
      <c r="RYL58" s="41"/>
      <c r="RYM58" s="41"/>
      <c r="RYN58" s="41"/>
      <c r="RYO58" s="41"/>
      <c r="RYP58" s="41"/>
      <c r="RYQ58" s="41"/>
      <c r="RYR58" s="41"/>
      <c r="RYS58" s="41"/>
      <c r="RYT58" s="41"/>
      <c r="RYU58" s="41"/>
      <c r="RYV58" s="41"/>
      <c r="RYW58" s="41"/>
      <c r="RYX58" s="41"/>
      <c r="RYY58" s="41"/>
      <c r="RYZ58" s="41"/>
      <c r="RZA58" s="41"/>
      <c r="RZB58" s="41"/>
      <c r="RZC58" s="41"/>
      <c r="RZD58" s="41"/>
      <c r="RZE58" s="41"/>
      <c r="RZF58" s="41"/>
      <c r="RZG58" s="41"/>
      <c r="RZH58" s="41"/>
      <c r="RZI58" s="41"/>
      <c r="RZJ58" s="41"/>
      <c r="RZK58" s="41"/>
      <c r="RZL58" s="41"/>
      <c r="RZM58" s="41"/>
      <c r="RZN58" s="41"/>
      <c r="RZO58" s="41"/>
      <c r="RZP58" s="41"/>
      <c r="RZQ58" s="41"/>
      <c r="RZR58" s="41"/>
      <c r="RZS58" s="41"/>
      <c r="RZT58" s="41"/>
      <c r="RZU58" s="41"/>
      <c r="RZV58" s="41"/>
      <c r="RZW58" s="41"/>
      <c r="RZX58" s="41"/>
      <c r="RZY58" s="41"/>
      <c r="RZZ58" s="41"/>
      <c r="SAA58" s="41"/>
      <c r="SAB58" s="41"/>
      <c r="SAC58" s="41"/>
      <c r="SAD58" s="41"/>
      <c r="SAE58" s="41"/>
      <c r="SAF58" s="41"/>
      <c r="SAG58" s="41"/>
      <c r="SAH58" s="41"/>
      <c r="SAI58" s="41"/>
      <c r="SAJ58" s="41"/>
      <c r="SAK58" s="41"/>
      <c r="SAL58" s="41"/>
      <c r="SAM58" s="41"/>
      <c r="SAN58" s="41"/>
      <c r="SAO58" s="41"/>
      <c r="SAP58" s="41"/>
      <c r="SAQ58" s="41"/>
      <c r="SAR58" s="41"/>
      <c r="SAS58" s="41"/>
      <c r="SAT58" s="41"/>
      <c r="SAU58" s="41"/>
      <c r="SAV58" s="41"/>
      <c r="SAW58" s="41"/>
      <c r="SAX58" s="41"/>
      <c r="SAY58" s="41"/>
      <c r="SAZ58" s="41"/>
      <c r="SBA58" s="41"/>
      <c r="SBB58" s="41"/>
      <c r="SBC58" s="41"/>
      <c r="SBD58" s="41"/>
      <c r="SBE58" s="41"/>
      <c r="SBF58" s="41"/>
      <c r="SBG58" s="41"/>
      <c r="SBH58" s="41"/>
      <c r="SBI58" s="41"/>
      <c r="SBJ58" s="41"/>
      <c r="SBK58" s="41"/>
      <c r="SBL58" s="41"/>
      <c r="SBM58" s="41"/>
      <c r="SBN58" s="41"/>
      <c r="SBO58" s="41"/>
      <c r="SBP58" s="41"/>
      <c r="SBQ58" s="41"/>
      <c r="SBR58" s="41"/>
      <c r="SBS58" s="41"/>
      <c r="SBT58" s="41"/>
      <c r="SBU58" s="41"/>
      <c r="SBV58" s="41"/>
      <c r="SBW58" s="41"/>
      <c r="SBX58" s="41"/>
      <c r="SBY58" s="41"/>
      <c r="SBZ58" s="41"/>
      <c r="SCA58" s="41"/>
      <c r="SCB58" s="41"/>
      <c r="SCC58" s="41"/>
      <c r="SCD58" s="41"/>
      <c r="SCE58" s="41"/>
      <c r="SCF58" s="41"/>
      <c r="SCG58" s="41"/>
      <c r="SCH58" s="41"/>
      <c r="SCI58" s="41"/>
      <c r="SCJ58" s="41"/>
      <c r="SCK58" s="41"/>
      <c r="SCL58" s="41"/>
      <c r="SCM58" s="41"/>
      <c r="SCN58" s="41"/>
      <c r="SCO58" s="41"/>
      <c r="SCP58" s="41"/>
      <c r="SCQ58" s="41"/>
      <c r="SCR58" s="41"/>
      <c r="SCS58" s="41"/>
      <c r="SCT58" s="41"/>
      <c r="SCU58" s="41"/>
      <c r="SCV58" s="41"/>
      <c r="SCW58" s="41"/>
      <c r="SCX58" s="41"/>
      <c r="SCY58" s="41"/>
      <c r="SCZ58" s="41"/>
      <c r="SDA58" s="41"/>
      <c r="SDB58" s="41"/>
      <c r="SDC58" s="41"/>
      <c r="SDD58" s="41"/>
      <c r="SDE58" s="41"/>
      <c r="SDF58" s="41"/>
      <c r="SDG58" s="41"/>
      <c r="SDH58" s="41"/>
      <c r="SDI58" s="41"/>
      <c r="SDJ58" s="41"/>
      <c r="SDK58" s="41"/>
      <c r="SDL58" s="41"/>
      <c r="SDM58" s="41"/>
      <c r="SDN58" s="41"/>
      <c r="SDO58" s="41"/>
      <c r="SDP58" s="41"/>
      <c r="SDQ58" s="41"/>
      <c r="SDR58" s="41"/>
      <c r="SDS58" s="41"/>
      <c r="SDT58" s="41"/>
      <c r="SDU58" s="41"/>
      <c r="SDV58" s="41"/>
      <c r="SDW58" s="41"/>
      <c r="SDX58" s="41"/>
      <c r="SDY58" s="41"/>
      <c r="SDZ58" s="41"/>
      <c r="SEA58" s="41"/>
      <c r="SEB58" s="41"/>
      <c r="SEC58" s="41"/>
      <c r="SED58" s="41"/>
      <c r="SEE58" s="41"/>
      <c r="SEF58" s="41"/>
      <c r="SEG58" s="41"/>
      <c r="SEH58" s="41"/>
      <c r="SEI58" s="41"/>
      <c r="SEJ58" s="41"/>
      <c r="SEK58" s="41"/>
      <c r="SEL58" s="41"/>
      <c r="SEM58" s="41"/>
      <c r="SEN58" s="41"/>
      <c r="SEO58" s="41"/>
      <c r="SEP58" s="41"/>
      <c r="SEQ58" s="41"/>
      <c r="SER58" s="41"/>
      <c r="SES58" s="41"/>
      <c r="SET58" s="41"/>
      <c r="SEU58" s="41"/>
      <c r="SEV58" s="41"/>
      <c r="SEW58" s="41"/>
      <c r="SEX58" s="41"/>
      <c r="SEY58" s="41"/>
      <c r="SEZ58" s="41"/>
      <c r="SFA58" s="41"/>
      <c r="SFB58" s="41"/>
      <c r="SFC58" s="41"/>
      <c r="SFD58" s="41"/>
      <c r="SFE58" s="41"/>
      <c r="SFF58" s="41"/>
      <c r="SFG58" s="41"/>
      <c r="SFH58" s="41"/>
      <c r="SFI58" s="41"/>
      <c r="SFJ58" s="41"/>
      <c r="SFK58" s="41"/>
      <c r="SFL58" s="41"/>
      <c r="SFM58" s="41"/>
      <c r="SFN58" s="41"/>
      <c r="SFO58" s="41"/>
      <c r="SFP58" s="41"/>
      <c r="SFQ58" s="41"/>
      <c r="SFR58" s="41"/>
      <c r="SFS58" s="41"/>
      <c r="SFT58" s="41"/>
      <c r="SFU58" s="41"/>
      <c r="SFV58" s="41"/>
      <c r="SFW58" s="41"/>
      <c r="SFX58" s="41"/>
      <c r="SFY58" s="41"/>
      <c r="SFZ58" s="41"/>
      <c r="SGA58" s="41"/>
      <c r="SGB58" s="41"/>
      <c r="SGC58" s="41"/>
      <c r="SGD58" s="41"/>
      <c r="SGE58" s="41"/>
      <c r="SGF58" s="41"/>
      <c r="SGG58" s="41"/>
      <c r="SGH58" s="41"/>
      <c r="SGI58" s="41"/>
      <c r="SGJ58" s="41"/>
      <c r="SGK58" s="41"/>
      <c r="SGL58" s="41"/>
      <c r="SGM58" s="41"/>
      <c r="SGN58" s="41"/>
      <c r="SGO58" s="41"/>
      <c r="SGP58" s="41"/>
      <c r="SGQ58" s="41"/>
      <c r="SGR58" s="41"/>
      <c r="SGS58" s="41"/>
      <c r="SGT58" s="41"/>
      <c r="SGU58" s="41"/>
      <c r="SGV58" s="41"/>
      <c r="SGW58" s="41"/>
      <c r="SGX58" s="41"/>
      <c r="SGY58" s="41"/>
      <c r="SGZ58" s="41"/>
      <c r="SHA58" s="41"/>
      <c r="SHB58" s="41"/>
      <c r="SHC58" s="41"/>
      <c r="SHD58" s="41"/>
      <c r="SHE58" s="41"/>
      <c r="SHF58" s="41"/>
      <c r="SHG58" s="41"/>
      <c r="SHH58" s="41"/>
      <c r="SHI58" s="41"/>
      <c r="SHJ58" s="41"/>
      <c r="SHK58" s="41"/>
      <c r="SHL58" s="41"/>
      <c r="SHM58" s="41"/>
      <c r="SHN58" s="41"/>
      <c r="SHO58" s="41"/>
      <c r="SHP58" s="41"/>
      <c r="SHQ58" s="41"/>
      <c r="SHR58" s="41"/>
      <c r="SHS58" s="41"/>
      <c r="SHT58" s="41"/>
      <c r="SHU58" s="41"/>
      <c r="SHV58" s="41"/>
      <c r="SHW58" s="41"/>
      <c r="SHX58" s="41"/>
      <c r="SHY58" s="41"/>
      <c r="SHZ58" s="41"/>
      <c r="SIA58" s="41"/>
      <c r="SIB58" s="41"/>
      <c r="SIC58" s="41"/>
      <c r="SID58" s="41"/>
      <c r="SIE58" s="41"/>
      <c r="SIF58" s="41"/>
      <c r="SIG58" s="41"/>
      <c r="SIH58" s="41"/>
      <c r="SII58" s="41"/>
      <c r="SIJ58" s="41"/>
      <c r="SIK58" s="41"/>
      <c r="SIL58" s="41"/>
      <c r="SIM58" s="41"/>
      <c r="SIN58" s="41"/>
      <c r="SIO58" s="41"/>
      <c r="SIP58" s="41"/>
      <c r="SIQ58" s="41"/>
      <c r="SIR58" s="41"/>
      <c r="SIS58" s="41"/>
      <c r="SIT58" s="41"/>
      <c r="SIU58" s="41"/>
      <c r="SIV58" s="41"/>
      <c r="SIW58" s="41"/>
      <c r="SIX58" s="41"/>
      <c r="SIY58" s="41"/>
      <c r="SIZ58" s="41"/>
      <c r="SJA58" s="41"/>
      <c r="SJB58" s="41"/>
      <c r="SJC58" s="41"/>
      <c r="SJD58" s="41"/>
      <c r="SJE58" s="41"/>
      <c r="SJF58" s="41"/>
      <c r="SJG58" s="41"/>
      <c r="SJH58" s="41"/>
      <c r="SJI58" s="41"/>
      <c r="SJJ58" s="41"/>
      <c r="SJK58" s="41"/>
      <c r="SJL58" s="41"/>
      <c r="SJM58" s="41"/>
      <c r="SJN58" s="41"/>
      <c r="SJO58" s="41"/>
      <c r="SJP58" s="41"/>
      <c r="SJQ58" s="41"/>
      <c r="SJR58" s="41"/>
      <c r="SJS58" s="41"/>
      <c r="SJT58" s="41"/>
      <c r="SJU58" s="41"/>
      <c r="SJV58" s="41"/>
      <c r="SJW58" s="41"/>
      <c r="SJX58" s="41"/>
      <c r="SJY58" s="41"/>
      <c r="SJZ58" s="41"/>
      <c r="SKA58" s="41"/>
      <c r="SKB58" s="41"/>
      <c r="SKC58" s="41"/>
      <c r="SKD58" s="41"/>
      <c r="SKE58" s="41"/>
      <c r="SKF58" s="41"/>
      <c r="SKG58" s="41"/>
      <c r="SKH58" s="41"/>
      <c r="SKI58" s="41"/>
      <c r="SKJ58" s="41"/>
      <c r="SKK58" s="41"/>
      <c r="SKL58" s="41"/>
      <c r="SKM58" s="41"/>
      <c r="SKN58" s="41"/>
      <c r="SKO58" s="41"/>
      <c r="SKP58" s="41"/>
      <c r="SKQ58" s="41"/>
      <c r="SKR58" s="41"/>
      <c r="SKS58" s="41"/>
      <c r="SKT58" s="41"/>
      <c r="SKU58" s="41"/>
      <c r="SKV58" s="41"/>
      <c r="SKW58" s="41"/>
      <c r="SKX58" s="41"/>
      <c r="SKY58" s="41"/>
      <c r="SKZ58" s="41"/>
      <c r="SLA58" s="41"/>
      <c r="SLB58" s="41"/>
      <c r="SLC58" s="41"/>
      <c r="SLD58" s="41"/>
      <c r="SLE58" s="41"/>
      <c r="SLF58" s="41"/>
      <c r="SLG58" s="41"/>
      <c r="SLH58" s="41"/>
      <c r="SLI58" s="41"/>
      <c r="SLJ58" s="41"/>
      <c r="SLK58" s="41"/>
      <c r="SLL58" s="41"/>
      <c r="SLM58" s="41"/>
      <c r="SLN58" s="41"/>
      <c r="SLO58" s="41"/>
      <c r="SLP58" s="41"/>
      <c r="SLQ58" s="41"/>
      <c r="SLR58" s="41"/>
      <c r="SLS58" s="41"/>
      <c r="SLT58" s="41"/>
      <c r="SLU58" s="41"/>
      <c r="SLV58" s="41"/>
      <c r="SLW58" s="41"/>
      <c r="SLX58" s="41"/>
      <c r="SLY58" s="41"/>
      <c r="SLZ58" s="41"/>
      <c r="SMA58" s="41"/>
      <c r="SMB58" s="41"/>
      <c r="SMC58" s="41"/>
      <c r="SMD58" s="41"/>
      <c r="SME58" s="41"/>
      <c r="SMF58" s="41"/>
      <c r="SMG58" s="41"/>
      <c r="SMH58" s="41"/>
      <c r="SMI58" s="41"/>
      <c r="SMJ58" s="41"/>
      <c r="SMK58" s="41"/>
      <c r="SML58" s="41"/>
      <c r="SMM58" s="41"/>
      <c r="SMN58" s="41"/>
      <c r="SMO58" s="41"/>
      <c r="SMP58" s="41"/>
      <c r="SMQ58" s="41"/>
      <c r="SMR58" s="41"/>
      <c r="SMS58" s="41"/>
      <c r="SMT58" s="41"/>
      <c r="SMU58" s="41"/>
      <c r="SMV58" s="41"/>
      <c r="SMW58" s="41"/>
      <c r="SMX58" s="41"/>
      <c r="SMY58" s="41"/>
      <c r="SMZ58" s="41"/>
      <c r="SNA58" s="41"/>
      <c r="SNB58" s="41"/>
      <c r="SNC58" s="41"/>
      <c r="SND58" s="41"/>
      <c r="SNE58" s="41"/>
      <c r="SNF58" s="41"/>
      <c r="SNG58" s="41"/>
      <c r="SNH58" s="41"/>
      <c r="SNI58" s="41"/>
      <c r="SNJ58" s="41"/>
      <c r="SNK58" s="41"/>
      <c r="SNL58" s="41"/>
      <c r="SNM58" s="41"/>
      <c r="SNN58" s="41"/>
      <c r="SNO58" s="41"/>
      <c r="SNP58" s="41"/>
      <c r="SNQ58" s="41"/>
      <c r="SNR58" s="41"/>
      <c r="SNS58" s="41"/>
      <c r="SNT58" s="41"/>
      <c r="SNU58" s="41"/>
      <c r="SNV58" s="41"/>
      <c r="SNW58" s="41"/>
      <c r="SNX58" s="41"/>
      <c r="SNY58" s="41"/>
      <c r="SNZ58" s="41"/>
      <c r="SOA58" s="41"/>
      <c r="SOB58" s="41"/>
      <c r="SOC58" s="41"/>
      <c r="SOD58" s="41"/>
      <c r="SOE58" s="41"/>
      <c r="SOF58" s="41"/>
      <c r="SOG58" s="41"/>
      <c r="SOH58" s="41"/>
      <c r="SOI58" s="41"/>
      <c r="SOJ58" s="41"/>
      <c r="SOK58" s="41"/>
      <c r="SOL58" s="41"/>
      <c r="SOM58" s="41"/>
      <c r="SON58" s="41"/>
      <c r="SOO58" s="41"/>
      <c r="SOP58" s="41"/>
      <c r="SOQ58" s="41"/>
      <c r="SOR58" s="41"/>
      <c r="SOS58" s="41"/>
      <c r="SOT58" s="41"/>
      <c r="SOU58" s="41"/>
      <c r="SOV58" s="41"/>
      <c r="SOW58" s="41"/>
      <c r="SOX58" s="41"/>
      <c r="SOY58" s="41"/>
      <c r="SOZ58" s="41"/>
      <c r="SPA58" s="41"/>
      <c r="SPB58" s="41"/>
      <c r="SPC58" s="41"/>
      <c r="SPD58" s="41"/>
      <c r="SPE58" s="41"/>
      <c r="SPF58" s="41"/>
      <c r="SPG58" s="41"/>
      <c r="SPH58" s="41"/>
      <c r="SPI58" s="41"/>
      <c r="SPJ58" s="41"/>
      <c r="SPK58" s="41"/>
      <c r="SPL58" s="41"/>
      <c r="SPM58" s="41"/>
      <c r="SPN58" s="41"/>
      <c r="SPO58" s="41"/>
      <c r="SPP58" s="41"/>
      <c r="SPQ58" s="41"/>
      <c r="SPR58" s="41"/>
      <c r="SPS58" s="41"/>
      <c r="SPT58" s="41"/>
      <c r="SPU58" s="41"/>
      <c r="SPV58" s="41"/>
      <c r="SPW58" s="41"/>
      <c r="SPX58" s="41"/>
      <c r="SPY58" s="41"/>
      <c r="SPZ58" s="41"/>
      <c r="SQA58" s="41"/>
      <c r="SQB58" s="41"/>
      <c r="SQC58" s="41"/>
      <c r="SQD58" s="41"/>
      <c r="SQE58" s="41"/>
      <c r="SQF58" s="41"/>
      <c r="SQG58" s="41"/>
      <c r="SQH58" s="41"/>
      <c r="SQI58" s="41"/>
      <c r="SQJ58" s="41"/>
      <c r="SQK58" s="41"/>
      <c r="SQL58" s="41"/>
      <c r="SQM58" s="41"/>
      <c r="SQN58" s="41"/>
      <c r="SQO58" s="41"/>
      <c r="SQP58" s="41"/>
      <c r="SQQ58" s="41"/>
      <c r="SQR58" s="41"/>
      <c r="SQS58" s="41"/>
      <c r="SQT58" s="41"/>
      <c r="SQU58" s="41"/>
      <c r="SQV58" s="41"/>
      <c r="SQW58" s="41"/>
      <c r="SQX58" s="41"/>
      <c r="SQY58" s="41"/>
      <c r="SQZ58" s="41"/>
      <c r="SRA58" s="41"/>
      <c r="SRB58" s="41"/>
      <c r="SRC58" s="41"/>
      <c r="SRD58" s="41"/>
      <c r="SRE58" s="41"/>
      <c r="SRF58" s="41"/>
      <c r="SRG58" s="41"/>
      <c r="SRH58" s="41"/>
      <c r="SRI58" s="41"/>
      <c r="SRJ58" s="41"/>
      <c r="SRK58" s="41"/>
      <c r="SRL58" s="41"/>
      <c r="SRM58" s="41"/>
      <c r="SRN58" s="41"/>
      <c r="SRO58" s="41"/>
      <c r="SRP58" s="41"/>
      <c r="SRQ58" s="41"/>
      <c r="SRR58" s="41"/>
      <c r="SRS58" s="41"/>
      <c r="SRT58" s="41"/>
      <c r="SRU58" s="41"/>
      <c r="SRV58" s="41"/>
      <c r="SRW58" s="41"/>
      <c r="SRX58" s="41"/>
      <c r="SRY58" s="41"/>
      <c r="SRZ58" s="41"/>
      <c r="SSA58" s="41"/>
      <c r="SSB58" s="41"/>
      <c r="SSC58" s="41"/>
      <c r="SSD58" s="41"/>
      <c r="SSE58" s="41"/>
      <c r="SSF58" s="41"/>
      <c r="SSG58" s="41"/>
      <c r="SSH58" s="41"/>
      <c r="SSI58" s="41"/>
      <c r="SSJ58" s="41"/>
      <c r="SSK58" s="41"/>
      <c r="SSL58" s="41"/>
      <c r="SSM58" s="41"/>
      <c r="SSN58" s="41"/>
      <c r="SSO58" s="41"/>
      <c r="SSP58" s="41"/>
      <c r="SSQ58" s="41"/>
      <c r="SSR58" s="41"/>
      <c r="SSS58" s="41"/>
      <c r="SST58" s="41"/>
      <c r="SSU58" s="41"/>
      <c r="SSV58" s="41"/>
      <c r="SSW58" s="41"/>
      <c r="SSX58" s="41"/>
      <c r="SSY58" s="41"/>
      <c r="SSZ58" s="41"/>
      <c r="STA58" s="41"/>
      <c r="STB58" s="41"/>
      <c r="STC58" s="41"/>
      <c r="STD58" s="41"/>
      <c r="STE58" s="41"/>
      <c r="STF58" s="41"/>
      <c r="STG58" s="41"/>
      <c r="STH58" s="41"/>
      <c r="STI58" s="41"/>
      <c r="STJ58" s="41"/>
      <c r="STK58" s="41"/>
      <c r="STL58" s="41"/>
      <c r="STM58" s="41"/>
      <c r="STN58" s="41"/>
      <c r="STO58" s="41"/>
      <c r="STP58" s="41"/>
      <c r="STQ58" s="41"/>
      <c r="STR58" s="41"/>
      <c r="STS58" s="41"/>
      <c r="STT58" s="41"/>
      <c r="STU58" s="41"/>
      <c r="STV58" s="41"/>
      <c r="STW58" s="41"/>
      <c r="STX58" s="41"/>
      <c r="STY58" s="41"/>
      <c r="STZ58" s="41"/>
      <c r="SUA58" s="41"/>
      <c r="SUB58" s="41"/>
      <c r="SUC58" s="41"/>
      <c r="SUD58" s="41"/>
      <c r="SUE58" s="41"/>
      <c r="SUF58" s="41"/>
      <c r="SUG58" s="41"/>
      <c r="SUH58" s="41"/>
      <c r="SUI58" s="41"/>
      <c r="SUJ58" s="41"/>
      <c r="SUK58" s="41"/>
      <c r="SUL58" s="41"/>
      <c r="SUM58" s="41"/>
      <c r="SUN58" s="41"/>
      <c r="SUO58" s="41"/>
      <c r="SUP58" s="41"/>
      <c r="SUQ58" s="41"/>
      <c r="SUR58" s="41"/>
      <c r="SUS58" s="41"/>
      <c r="SUT58" s="41"/>
      <c r="SUU58" s="41"/>
      <c r="SUV58" s="41"/>
      <c r="SUW58" s="41"/>
      <c r="SUX58" s="41"/>
      <c r="SUY58" s="41"/>
      <c r="SUZ58" s="41"/>
      <c r="SVA58" s="41"/>
      <c r="SVB58" s="41"/>
      <c r="SVC58" s="41"/>
      <c r="SVD58" s="41"/>
      <c r="SVE58" s="41"/>
      <c r="SVF58" s="41"/>
      <c r="SVG58" s="41"/>
      <c r="SVH58" s="41"/>
      <c r="SVI58" s="41"/>
      <c r="SVJ58" s="41"/>
      <c r="SVK58" s="41"/>
      <c r="SVL58" s="41"/>
      <c r="SVM58" s="41"/>
      <c r="SVN58" s="41"/>
      <c r="SVO58" s="41"/>
      <c r="SVP58" s="41"/>
      <c r="SVQ58" s="41"/>
      <c r="SVR58" s="41"/>
      <c r="SVS58" s="41"/>
      <c r="SVT58" s="41"/>
      <c r="SVU58" s="41"/>
      <c r="SVV58" s="41"/>
      <c r="SVW58" s="41"/>
      <c r="SVX58" s="41"/>
      <c r="SVY58" s="41"/>
      <c r="SVZ58" s="41"/>
      <c r="SWA58" s="41"/>
      <c r="SWB58" s="41"/>
      <c r="SWC58" s="41"/>
      <c r="SWD58" s="41"/>
      <c r="SWE58" s="41"/>
      <c r="SWF58" s="41"/>
      <c r="SWG58" s="41"/>
      <c r="SWH58" s="41"/>
      <c r="SWI58" s="41"/>
      <c r="SWJ58" s="41"/>
      <c r="SWK58" s="41"/>
      <c r="SWL58" s="41"/>
      <c r="SWM58" s="41"/>
      <c r="SWN58" s="41"/>
      <c r="SWO58" s="41"/>
      <c r="SWP58" s="41"/>
      <c r="SWQ58" s="41"/>
      <c r="SWR58" s="41"/>
      <c r="SWS58" s="41"/>
      <c r="SWT58" s="41"/>
      <c r="SWU58" s="41"/>
      <c r="SWV58" s="41"/>
      <c r="SWW58" s="41"/>
      <c r="SWX58" s="41"/>
      <c r="SWY58" s="41"/>
      <c r="SWZ58" s="41"/>
      <c r="SXA58" s="41"/>
      <c r="SXB58" s="41"/>
      <c r="SXC58" s="41"/>
      <c r="SXD58" s="41"/>
      <c r="SXE58" s="41"/>
      <c r="SXF58" s="41"/>
      <c r="SXG58" s="41"/>
      <c r="SXH58" s="41"/>
      <c r="SXI58" s="41"/>
      <c r="SXJ58" s="41"/>
      <c r="SXK58" s="41"/>
      <c r="SXL58" s="41"/>
      <c r="SXM58" s="41"/>
      <c r="SXN58" s="41"/>
      <c r="SXO58" s="41"/>
      <c r="SXP58" s="41"/>
      <c r="SXQ58" s="41"/>
      <c r="SXR58" s="41"/>
      <c r="SXS58" s="41"/>
      <c r="SXT58" s="41"/>
      <c r="SXU58" s="41"/>
      <c r="SXV58" s="41"/>
      <c r="SXW58" s="41"/>
      <c r="SXX58" s="41"/>
      <c r="SXY58" s="41"/>
      <c r="SXZ58" s="41"/>
      <c r="SYA58" s="41"/>
      <c r="SYB58" s="41"/>
      <c r="SYC58" s="41"/>
      <c r="SYD58" s="41"/>
      <c r="SYE58" s="41"/>
      <c r="SYF58" s="41"/>
      <c r="SYG58" s="41"/>
      <c r="SYH58" s="41"/>
      <c r="SYI58" s="41"/>
      <c r="SYJ58" s="41"/>
      <c r="SYK58" s="41"/>
      <c r="SYL58" s="41"/>
      <c r="SYM58" s="41"/>
      <c r="SYN58" s="41"/>
      <c r="SYO58" s="41"/>
      <c r="SYP58" s="41"/>
      <c r="SYQ58" s="41"/>
      <c r="SYR58" s="41"/>
      <c r="SYS58" s="41"/>
      <c r="SYT58" s="41"/>
      <c r="SYU58" s="41"/>
      <c r="SYV58" s="41"/>
      <c r="SYW58" s="41"/>
      <c r="SYX58" s="41"/>
      <c r="SYY58" s="41"/>
      <c r="SYZ58" s="41"/>
      <c r="SZA58" s="41"/>
      <c r="SZB58" s="41"/>
      <c r="SZC58" s="41"/>
      <c r="SZD58" s="41"/>
      <c r="SZE58" s="41"/>
      <c r="SZF58" s="41"/>
      <c r="SZG58" s="41"/>
      <c r="SZH58" s="41"/>
      <c r="SZI58" s="41"/>
      <c r="SZJ58" s="41"/>
      <c r="SZK58" s="41"/>
      <c r="SZL58" s="41"/>
      <c r="SZM58" s="41"/>
      <c r="SZN58" s="41"/>
      <c r="SZO58" s="41"/>
      <c r="SZP58" s="41"/>
      <c r="SZQ58" s="41"/>
      <c r="SZR58" s="41"/>
      <c r="SZS58" s="41"/>
      <c r="SZT58" s="41"/>
      <c r="SZU58" s="41"/>
      <c r="SZV58" s="41"/>
      <c r="SZW58" s="41"/>
      <c r="SZX58" s="41"/>
      <c r="SZY58" s="41"/>
      <c r="SZZ58" s="41"/>
      <c r="TAA58" s="41"/>
      <c r="TAB58" s="41"/>
      <c r="TAC58" s="41"/>
      <c r="TAD58" s="41"/>
      <c r="TAE58" s="41"/>
      <c r="TAF58" s="41"/>
      <c r="TAG58" s="41"/>
      <c r="TAH58" s="41"/>
      <c r="TAI58" s="41"/>
      <c r="TAJ58" s="41"/>
      <c r="TAK58" s="41"/>
      <c r="TAL58" s="41"/>
      <c r="TAM58" s="41"/>
      <c r="TAN58" s="41"/>
      <c r="TAO58" s="41"/>
      <c r="TAP58" s="41"/>
      <c r="TAQ58" s="41"/>
      <c r="TAR58" s="41"/>
      <c r="TAS58" s="41"/>
      <c r="TAT58" s="41"/>
      <c r="TAU58" s="41"/>
      <c r="TAV58" s="41"/>
      <c r="TAW58" s="41"/>
      <c r="TAX58" s="41"/>
      <c r="TAY58" s="41"/>
      <c r="TAZ58" s="41"/>
      <c r="TBA58" s="41"/>
      <c r="TBB58" s="41"/>
      <c r="TBC58" s="41"/>
      <c r="TBD58" s="41"/>
      <c r="TBE58" s="41"/>
      <c r="TBF58" s="41"/>
      <c r="TBG58" s="41"/>
      <c r="TBH58" s="41"/>
      <c r="TBI58" s="41"/>
      <c r="TBJ58" s="41"/>
      <c r="TBK58" s="41"/>
      <c r="TBL58" s="41"/>
      <c r="TBM58" s="41"/>
      <c r="TBN58" s="41"/>
      <c r="TBO58" s="41"/>
      <c r="TBP58" s="41"/>
      <c r="TBQ58" s="41"/>
      <c r="TBR58" s="41"/>
      <c r="TBS58" s="41"/>
      <c r="TBT58" s="41"/>
      <c r="TBU58" s="41"/>
      <c r="TBV58" s="41"/>
      <c r="TBW58" s="41"/>
      <c r="TBX58" s="41"/>
      <c r="TBY58" s="41"/>
      <c r="TBZ58" s="41"/>
      <c r="TCA58" s="41"/>
      <c r="TCB58" s="41"/>
      <c r="TCC58" s="41"/>
      <c r="TCD58" s="41"/>
      <c r="TCE58" s="41"/>
      <c r="TCF58" s="41"/>
      <c r="TCG58" s="41"/>
      <c r="TCH58" s="41"/>
      <c r="TCI58" s="41"/>
      <c r="TCJ58" s="41"/>
      <c r="TCK58" s="41"/>
      <c r="TCL58" s="41"/>
      <c r="TCM58" s="41"/>
      <c r="TCN58" s="41"/>
      <c r="TCO58" s="41"/>
      <c r="TCP58" s="41"/>
      <c r="TCQ58" s="41"/>
      <c r="TCR58" s="41"/>
      <c r="TCS58" s="41"/>
      <c r="TCT58" s="41"/>
      <c r="TCU58" s="41"/>
      <c r="TCV58" s="41"/>
      <c r="TCW58" s="41"/>
      <c r="TCX58" s="41"/>
      <c r="TCY58" s="41"/>
      <c r="TCZ58" s="41"/>
      <c r="TDA58" s="41"/>
      <c r="TDB58" s="41"/>
      <c r="TDC58" s="41"/>
      <c r="TDD58" s="41"/>
      <c r="TDE58" s="41"/>
      <c r="TDF58" s="41"/>
      <c r="TDG58" s="41"/>
      <c r="TDH58" s="41"/>
      <c r="TDI58" s="41"/>
      <c r="TDJ58" s="41"/>
      <c r="TDK58" s="41"/>
      <c r="TDL58" s="41"/>
      <c r="TDM58" s="41"/>
      <c r="TDN58" s="41"/>
      <c r="TDO58" s="41"/>
      <c r="TDP58" s="41"/>
      <c r="TDQ58" s="41"/>
      <c r="TDR58" s="41"/>
      <c r="TDS58" s="41"/>
      <c r="TDT58" s="41"/>
      <c r="TDU58" s="41"/>
      <c r="TDV58" s="41"/>
      <c r="TDW58" s="41"/>
      <c r="TDX58" s="41"/>
      <c r="TDY58" s="41"/>
      <c r="TDZ58" s="41"/>
      <c r="TEA58" s="41"/>
      <c r="TEB58" s="41"/>
      <c r="TEC58" s="41"/>
      <c r="TED58" s="41"/>
      <c r="TEE58" s="41"/>
      <c r="TEF58" s="41"/>
      <c r="TEG58" s="41"/>
      <c r="TEH58" s="41"/>
      <c r="TEI58" s="41"/>
      <c r="TEJ58" s="41"/>
      <c r="TEK58" s="41"/>
      <c r="TEL58" s="41"/>
      <c r="TEM58" s="41"/>
      <c r="TEN58" s="41"/>
      <c r="TEO58" s="41"/>
      <c r="TEP58" s="41"/>
      <c r="TEQ58" s="41"/>
      <c r="TER58" s="41"/>
      <c r="TES58" s="41"/>
      <c r="TET58" s="41"/>
      <c r="TEU58" s="41"/>
      <c r="TEV58" s="41"/>
      <c r="TEW58" s="41"/>
      <c r="TEX58" s="41"/>
      <c r="TEY58" s="41"/>
      <c r="TEZ58" s="41"/>
      <c r="TFA58" s="41"/>
      <c r="TFB58" s="41"/>
      <c r="TFC58" s="41"/>
      <c r="TFD58" s="41"/>
      <c r="TFE58" s="41"/>
      <c r="TFF58" s="41"/>
      <c r="TFG58" s="41"/>
      <c r="TFH58" s="41"/>
      <c r="TFI58" s="41"/>
      <c r="TFJ58" s="41"/>
      <c r="TFK58" s="41"/>
      <c r="TFL58" s="41"/>
      <c r="TFM58" s="41"/>
      <c r="TFN58" s="41"/>
      <c r="TFO58" s="41"/>
      <c r="TFP58" s="41"/>
      <c r="TFQ58" s="41"/>
      <c r="TFR58" s="41"/>
      <c r="TFS58" s="41"/>
      <c r="TFT58" s="41"/>
      <c r="TFU58" s="41"/>
      <c r="TFV58" s="41"/>
      <c r="TFW58" s="41"/>
      <c r="TFX58" s="41"/>
      <c r="TFY58" s="41"/>
      <c r="TFZ58" s="41"/>
      <c r="TGA58" s="41"/>
      <c r="TGB58" s="41"/>
      <c r="TGC58" s="41"/>
      <c r="TGD58" s="41"/>
      <c r="TGE58" s="41"/>
      <c r="TGF58" s="41"/>
      <c r="TGG58" s="41"/>
      <c r="TGH58" s="41"/>
      <c r="TGI58" s="41"/>
      <c r="TGJ58" s="41"/>
      <c r="TGK58" s="41"/>
      <c r="TGL58" s="41"/>
      <c r="TGM58" s="41"/>
      <c r="TGN58" s="41"/>
      <c r="TGO58" s="41"/>
      <c r="TGP58" s="41"/>
      <c r="TGQ58" s="41"/>
      <c r="TGR58" s="41"/>
      <c r="TGS58" s="41"/>
      <c r="TGT58" s="41"/>
      <c r="TGU58" s="41"/>
      <c r="TGV58" s="41"/>
      <c r="TGW58" s="41"/>
      <c r="TGX58" s="41"/>
      <c r="TGY58" s="41"/>
      <c r="TGZ58" s="41"/>
      <c r="THA58" s="41"/>
      <c r="THB58" s="41"/>
      <c r="THC58" s="41"/>
      <c r="THD58" s="41"/>
      <c r="THE58" s="41"/>
      <c r="THF58" s="41"/>
      <c r="THG58" s="41"/>
      <c r="THH58" s="41"/>
      <c r="THI58" s="41"/>
      <c r="THJ58" s="41"/>
      <c r="THK58" s="41"/>
      <c r="THL58" s="41"/>
      <c r="THM58" s="41"/>
      <c r="THN58" s="41"/>
      <c r="THO58" s="41"/>
      <c r="THP58" s="41"/>
      <c r="THQ58" s="41"/>
      <c r="THR58" s="41"/>
      <c r="THS58" s="41"/>
      <c r="THT58" s="41"/>
      <c r="THU58" s="41"/>
      <c r="THV58" s="41"/>
      <c r="THW58" s="41"/>
      <c r="THX58" s="41"/>
      <c r="THY58" s="41"/>
      <c r="THZ58" s="41"/>
      <c r="TIA58" s="41"/>
      <c r="TIB58" s="41"/>
      <c r="TIC58" s="41"/>
      <c r="TID58" s="41"/>
      <c r="TIE58" s="41"/>
      <c r="TIF58" s="41"/>
      <c r="TIG58" s="41"/>
      <c r="TIH58" s="41"/>
      <c r="TII58" s="41"/>
      <c r="TIJ58" s="41"/>
      <c r="TIK58" s="41"/>
      <c r="TIL58" s="41"/>
      <c r="TIM58" s="41"/>
      <c r="TIN58" s="41"/>
      <c r="TIO58" s="41"/>
      <c r="TIP58" s="41"/>
      <c r="TIQ58" s="41"/>
      <c r="TIR58" s="41"/>
      <c r="TIS58" s="41"/>
      <c r="TIT58" s="41"/>
      <c r="TIU58" s="41"/>
      <c r="TIV58" s="41"/>
      <c r="TIW58" s="41"/>
      <c r="TIX58" s="41"/>
      <c r="TIY58" s="41"/>
      <c r="TIZ58" s="41"/>
      <c r="TJA58" s="41"/>
      <c r="TJB58" s="41"/>
      <c r="TJC58" s="41"/>
      <c r="TJD58" s="41"/>
      <c r="TJE58" s="41"/>
      <c r="TJF58" s="41"/>
      <c r="TJG58" s="41"/>
      <c r="TJH58" s="41"/>
      <c r="TJI58" s="41"/>
      <c r="TJJ58" s="41"/>
      <c r="TJK58" s="41"/>
      <c r="TJL58" s="41"/>
      <c r="TJM58" s="41"/>
      <c r="TJN58" s="41"/>
      <c r="TJO58" s="41"/>
      <c r="TJP58" s="41"/>
      <c r="TJQ58" s="41"/>
      <c r="TJR58" s="41"/>
      <c r="TJS58" s="41"/>
      <c r="TJT58" s="41"/>
      <c r="TJU58" s="41"/>
      <c r="TJV58" s="41"/>
      <c r="TJW58" s="41"/>
      <c r="TJX58" s="41"/>
      <c r="TJY58" s="41"/>
      <c r="TJZ58" s="41"/>
      <c r="TKA58" s="41"/>
      <c r="TKB58" s="41"/>
      <c r="TKC58" s="41"/>
      <c r="TKD58" s="41"/>
      <c r="TKE58" s="41"/>
      <c r="TKF58" s="41"/>
      <c r="TKG58" s="41"/>
      <c r="TKH58" s="41"/>
      <c r="TKI58" s="41"/>
      <c r="TKJ58" s="41"/>
      <c r="TKK58" s="41"/>
      <c r="TKL58" s="41"/>
      <c r="TKM58" s="41"/>
      <c r="TKN58" s="41"/>
      <c r="TKO58" s="41"/>
      <c r="TKP58" s="41"/>
      <c r="TKQ58" s="41"/>
      <c r="TKR58" s="41"/>
      <c r="TKS58" s="41"/>
      <c r="TKT58" s="41"/>
      <c r="TKU58" s="41"/>
      <c r="TKV58" s="41"/>
      <c r="TKW58" s="41"/>
      <c r="TKX58" s="41"/>
      <c r="TKY58" s="41"/>
      <c r="TKZ58" s="41"/>
      <c r="TLA58" s="41"/>
      <c r="TLB58" s="41"/>
      <c r="TLC58" s="41"/>
      <c r="TLD58" s="41"/>
      <c r="TLE58" s="41"/>
      <c r="TLF58" s="41"/>
      <c r="TLG58" s="41"/>
      <c r="TLH58" s="41"/>
      <c r="TLI58" s="41"/>
      <c r="TLJ58" s="41"/>
      <c r="TLK58" s="41"/>
      <c r="TLL58" s="41"/>
      <c r="TLM58" s="41"/>
      <c r="TLN58" s="41"/>
      <c r="TLO58" s="41"/>
      <c r="TLP58" s="41"/>
      <c r="TLQ58" s="41"/>
      <c r="TLR58" s="41"/>
      <c r="TLS58" s="41"/>
      <c r="TLT58" s="41"/>
      <c r="TLU58" s="41"/>
      <c r="TLV58" s="41"/>
      <c r="TLW58" s="41"/>
      <c r="TLX58" s="41"/>
      <c r="TLY58" s="41"/>
      <c r="TLZ58" s="41"/>
      <c r="TMA58" s="41"/>
      <c r="TMB58" s="41"/>
      <c r="TMC58" s="41"/>
      <c r="TMD58" s="41"/>
      <c r="TME58" s="41"/>
      <c r="TMF58" s="41"/>
      <c r="TMG58" s="41"/>
      <c r="TMH58" s="41"/>
      <c r="TMI58" s="41"/>
      <c r="TMJ58" s="41"/>
      <c r="TMK58" s="41"/>
      <c r="TML58" s="41"/>
      <c r="TMM58" s="41"/>
      <c r="TMN58" s="41"/>
      <c r="TMO58" s="41"/>
      <c r="TMP58" s="41"/>
      <c r="TMQ58" s="41"/>
      <c r="TMR58" s="41"/>
      <c r="TMS58" s="41"/>
      <c r="TMT58" s="41"/>
      <c r="TMU58" s="41"/>
      <c r="TMV58" s="41"/>
      <c r="TMW58" s="41"/>
      <c r="TMX58" s="41"/>
      <c r="TMY58" s="41"/>
      <c r="TMZ58" s="41"/>
      <c r="TNA58" s="41"/>
      <c r="TNB58" s="41"/>
      <c r="TNC58" s="41"/>
      <c r="TND58" s="41"/>
      <c r="TNE58" s="41"/>
      <c r="TNF58" s="41"/>
      <c r="TNG58" s="41"/>
      <c r="TNH58" s="41"/>
      <c r="TNI58" s="41"/>
      <c r="TNJ58" s="41"/>
      <c r="TNK58" s="41"/>
      <c r="TNL58" s="41"/>
      <c r="TNM58" s="41"/>
      <c r="TNN58" s="41"/>
      <c r="TNO58" s="41"/>
      <c r="TNP58" s="41"/>
      <c r="TNQ58" s="41"/>
      <c r="TNR58" s="41"/>
      <c r="TNS58" s="41"/>
      <c r="TNT58" s="41"/>
      <c r="TNU58" s="41"/>
      <c r="TNV58" s="41"/>
      <c r="TNW58" s="41"/>
      <c r="TNX58" s="41"/>
      <c r="TNY58" s="41"/>
      <c r="TNZ58" s="41"/>
      <c r="TOA58" s="41"/>
      <c r="TOB58" s="41"/>
      <c r="TOC58" s="41"/>
      <c r="TOD58" s="41"/>
      <c r="TOE58" s="41"/>
      <c r="TOF58" s="41"/>
      <c r="TOG58" s="41"/>
      <c r="TOH58" s="41"/>
      <c r="TOI58" s="41"/>
      <c r="TOJ58" s="41"/>
      <c r="TOK58" s="41"/>
      <c r="TOL58" s="41"/>
      <c r="TOM58" s="41"/>
      <c r="TON58" s="41"/>
      <c r="TOO58" s="41"/>
      <c r="TOP58" s="41"/>
      <c r="TOQ58" s="41"/>
      <c r="TOR58" s="41"/>
      <c r="TOS58" s="41"/>
      <c r="TOT58" s="41"/>
      <c r="TOU58" s="41"/>
      <c r="TOV58" s="41"/>
      <c r="TOW58" s="41"/>
      <c r="TOX58" s="41"/>
      <c r="TOY58" s="41"/>
      <c r="TOZ58" s="41"/>
      <c r="TPA58" s="41"/>
      <c r="TPB58" s="41"/>
      <c r="TPC58" s="41"/>
      <c r="TPD58" s="41"/>
      <c r="TPE58" s="41"/>
      <c r="TPF58" s="41"/>
      <c r="TPG58" s="41"/>
      <c r="TPH58" s="41"/>
      <c r="TPI58" s="41"/>
      <c r="TPJ58" s="41"/>
      <c r="TPK58" s="41"/>
      <c r="TPL58" s="41"/>
      <c r="TPM58" s="41"/>
      <c r="TPN58" s="41"/>
      <c r="TPO58" s="41"/>
      <c r="TPP58" s="41"/>
      <c r="TPQ58" s="41"/>
      <c r="TPR58" s="41"/>
      <c r="TPS58" s="41"/>
      <c r="TPT58" s="41"/>
      <c r="TPU58" s="41"/>
      <c r="TPV58" s="41"/>
      <c r="TPW58" s="41"/>
      <c r="TPX58" s="41"/>
      <c r="TPY58" s="41"/>
      <c r="TPZ58" s="41"/>
      <c r="TQA58" s="41"/>
      <c r="TQB58" s="41"/>
      <c r="TQC58" s="41"/>
      <c r="TQD58" s="41"/>
      <c r="TQE58" s="41"/>
      <c r="TQF58" s="41"/>
      <c r="TQG58" s="41"/>
      <c r="TQH58" s="41"/>
      <c r="TQI58" s="41"/>
      <c r="TQJ58" s="41"/>
      <c r="TQK58" s="41"/>
      <c r="TQL58" s="41"/>
      <c r="TQM58" s="41"/>
      <c r="TQN58" s="41"/>
      <c r="TQO58" s="41"/>
      <c r="TQP58" s="41"/>
      <c r="TQQ58" s="41"/>
      <c r="TQR58" s="41"/>
      <c r="TQS58" s="41"/>
      <c r="TQT58" s="41"/>
      <c r="TQU58" s="41"/>
      <c r="TQV58" s="41"/>
      <c r="TQW58" s="41"/>
      <c r="TQX58" s="41"/>
      <c r="TQY58" s="41"/>
      <c r="TQZ58" s="41"/>
      <c r="TRA58" s="41"/>
      <c r="TRB58" s="41"/>
      <c r="TRC58" s="41"/>
      <c r="TRD58" s="41"/>
      <c r="TRE58" s="41"/>
      <c r="TRF58" s="41"/>
      <c r="TRG58" s="41"/>
      <c r="TRH58" s="41"/>
      <c r="TRI58" s="41"/>
      <c r="TRJ58" s="41"/>
      <c r="TRK58" s="41"/>
      <c r="TRL58" s="41"/>
      <c r="TRM58" s="41"/>
      <c r="TRN58" s="41"/>
      <c r="TRO58" s="41"/>
      <c r="TRP58" s="41"/>
      <c r="TRQ58" s="41"/>
      <c r="TRR58" s="41"/>
      <c r="TRS58" s="41"/>
      <c r="TRT58" s="41"/>
      <c r="TRU58" s="41"/>
      <c r="TRV58" s="41"/>
      <c r="TRW58" s="41"/>
      <c r="TRX58" s="41"/>
      <c r="TRY58" s="41"/>
      <c r="TRZ58" s="41"/>
      <c r="TSA58" s="41"/>
      <c r="TSB58" s="41"/>
      <c r="TSC58" s="41"/>
      <c r="TSD58" s="41"/>
      <c r="TSE58" s="41"/>
      <c r="TSF58" s="41"/>
      <c r="TSG58" s="41"/>
      <c r="TSH58" s="41"/>
      <c r="TSI58" s="41"/>
      <c r="TSJ58" s="41"/>
      <c r="TSK58" s="41"/>
      <c r="TSL58" s="41"/>
      <c r="TSM58" s="41"/>
      <c r="TSN58" s="41"/>
      <c r="TSO58" s="41"/>
      <c r="TSP58" s="41"/>
      <c r="TSQ58" s="41"/>
      <c r="TSR58" s="41"/>
      <c r="TSS58" s="41"/>
      <c r="TST58" s="41"/>
      <c r="TSU58" s="41"/>
      <c r="TSV58" s="41"/>
      <c r="TSW58" s="41"/>
      <c r="TSX58" s="41"/>
      <c r="TSY58" s="41"/>
      <c r="TSZ58" s="41"/>
      <c r="TTA58" s="41"/>
      <c r="TTB58" s="41"/>
      <c r="TTC58" s="41"/>
      <c r="TTD58" s="41"/>
      <c r="TTE58" s="41"/>
      <c r="TTF58" s="41"/>
      <c r="TTG58" s="41"/>
      <c r="TTH58" s="41"/>
      <c r="TTI58" s="41"/>
      <c r="TTJ58" s="41"/>
      <c r="TTK58" s="41"/>
      <c r="TTL58" s="41"/>
      <c r="TTM58" s="41"/>
      <c r="TTN58" s="41"/>
      <c r="TTO58" s="41"/>
      <c r="TTP58" s="41"/>
      <c r="TTQ58" s="41"/>
      <c r="TTR58" s="41"/>
      <c r="TTS58" s="41"/>
      <c r="TTT58" s="41"/>
      <c r="TTU58" s="41"/>
      <c r="TTV58" s="41"/>
      <c r="TTW58" s="41"/>
      <c r="TTX58" s="41"/>
      <c r="TTY58" s="41"/>
      <c r="TTZ58" s="41"/>
      <c r="TUA58" s="41"/>
      <c r="TUB58" s="41"/>
      <c r="TUC58" s="41"/>
      <c r="TUD58" s="41"/>
      <c r="TUE58" s="41"/>
      <c r="TUF58" s="41"/>
      <c r="TUG58" s="41"/>
      <c r="TUH58" s="41"/>
      <c r="TUI58" s="41"/>
      <c r="TUJ58" s="41"/>
      <c r="TUK58" s="41"/>
      <c r="TUL58" s="41"/>
      <c r="TUM58" s="41"/>
      <c r="TUN58" s="41"/>
      <c r="TUO58" s="41"/>
      <c r="TUP58" s="41"/>
      <c r="TUQ58" s="41"/>
      <c r="TUR58" s="41"/>
      <c r="TUS58" s="41"/>
      <c r="TUT58" s="41"/>
      <c r="TUU58" s="41"/>
      <c r="TUV58" s="41"/>
      <c r="TUW58" s="41"/>
      <c r="TUX58" s="41"/>
      <c r="TUY58" s="41"/>
      <c r="TUZ58" s="41"/>
      <c r="TVA58" s="41"/>
      <c r="TVB58" s="41"/>
      <c r="TVC58" s="41"/>
      <c r="TVD58" s="41"/>
      <c r="TVE58" s="41"/>
      <c r="TVF58" s="41"/>
      <c r="TVG58" s="41"/>
      <c r="TVH58" s="41"/>
      <c r="TVI58" s="41"/>
      <c r="TVJ58" s="41"/>
      <c r="TVK58" s="41"/>
      <c r="TVL58" s="41"/>
      <c r="TVM58" s="41"/>
      <c r="TVN58" s="41"/>
      <c r="TVO58" s="41"/>
      <c r="TVP58" s="41"/>
      <c r="TVQ58" s="41"/>
      <c r="TVR58" s="41"/>
      <c r="TVS58" s="41"/>
      <c r="TVT58" s="41"/>
      <c r="TVU58" s="41"/>
      <c r="TVV58" s="41"/>
      <c r="TVW58" s="41"/>
      <c r="TVX58" s="41"/>
      <c r="TVY58" s="41"/>
      <c r="TVZ58" s="41"/>
      <c r="TWA58" s="41"/>
      <c r="TWB58" s="41"/>
      <c r="TWC58" s="41"/>
      <c r="TWD58" s="41"/>
      <c r="TWE58" s="41"/>
      <c r="TWF58" s="41"/>
      <c r="TWG58" s="41"/>
      <c r="TWH58" s="41"/>
      <c r="TWI58" s="41"/>
      <c r="TWJ58" s="41"/>
      <c r="TWK58" s="41"/>
      <c r="TWL58" s="41"/>
      <c r="TWM58" s="41"/>
      <c r="TWN58" s="41"/>
      <c r="TWO58" s="41"/>
      <c r="TWP58" s="41"/>
      <c r="TWQ58" s="41"/>
      <c r="TWR58" s="41"/>
      <c r="TWS58" s="41"/>
      <c r="TWT58" s="41"/>
      <c r="TWU58" s="41"/>
      <c r="TWV58" s="41"/>
      <c r="TWW58" s="41"/>
      <c r="TWX58" s="41"/>
      <c r="TWY58" s="41"/>
      <c r="TWZ58" s="41"/>
      <c r="TXA58" s="41"/>
      <c r="TXB58" s="41"/>
      <c r="TXC58" s="41"/>
      <c r="TXD58" s="41"/>
      <c r="TXE58" s="41"/>
      <c r="TXF58" s="41"/>
      <c r="TXG58" s="41"/>
      <c r="TXH58" s="41"/>
      <c r="TXI58" s="41"/>
      <c r="TXJ58" s="41"/>
      <c r="TXK58" s="41"/>
      <c r="TXL58" s="41"/>
      <c r="TXM58" s="41"/>
      <c r="TXN58" s="41"/>
      <c r="TXO58" s="41"/>
      <c r="TXP58" s="41"/>
      <c r="TXQ58" s="41"/>
      <c r="TXR58" s="41"/>
      <c r="TXS58" s="41"/>
      <c r="TXT58" s="41"/>
      <c r="TXU58" s="41"/>
      <c r="TXV58" s="41"/>
      <c r="TXW58" s="41"/>
      <c r="TXX58" s="41"/>
      <c r="TXY58" s="41"/>
      <c r="TXZ58" s="41"/>
      <c r="TYA58" s="41"/>
      <c r="TYB58" s="41"/>
      <c r="TYC58" s="41"/>
      <c r="TYD58" s="41"/>
      <c r="TYE58" s="41"/>
      <c r="TYF58" s="41"/>
      <c r="TYG58" s="41"/>
      <c r="TYH58" s="41"/>
      <c r="TYI58" s="41"/>
      <c r="TYJ58" s="41"/>
      <c r="TYK58" s="41"/>
      <c r="TYL58" s="41"/>
      <c r="TYM58" s="41"/>
      <c r="TYN58" s="41"/>
      <c r="TYO58" s="41"/>
      <c r="TYP58" s="41"/>
      <c r="TYQ58" s="41"/>
      <c r="TYR58" s="41"/>
      <c r="TYS58" s="41"/>
      <c r="TYT58" s="41"/>
      <c r="TYU58" s="41"/>
      <c r="TYV58" s="41"/>
      <c r="TYW58" s="41"/>
      <c r="TYX58" s="41"/>
      <c r="TYY58" s="41"/>
      <c r="TYZ58" s="41"/>
      <c r="TZA58" s="41"/>
      <c r="TZB58" s="41"/>
      <c r="TZC58" s="41"/>
      <c r="TZD58" s="41"/>
      <c r="TZE58" s="41"/>
      <c r="TZF58" s="41"/>
      <c r="TZG58" s="41"/>
      <c r="TZH58" s="41"/>
      <c r="TZI58" s="41"/>
      <c r="TZJ58" s="41"/>
      <c r="TZK58" s="41"/>
      <c r="TZL58" s="41"/>
      <c r="TZM58" s="41"/>
      <c r="TZN58" s="41"/>
      <c r="TZO58" s="41"/>
      <c r="TZP58" s="41"/>
      <c r="TZQ58" s="41"/>
      <c r="TZR58" s="41"/>
      <c r="TZS58" s="41"/>
      <c r="TZT58" s="41"/>
      <c r="TZU58" s="41"/>
      <c r="TZV58" s="41"/>
      <c r="TZW58" s="41"/>
      <c r="TZX58" s="41"/>
      <c r="TZY58" s="41"/>
      <c r="TZZ58" s="41"/>
      <c r="UAA58" s="41"/>
      <c r="UAB58" s="41"/>
      <c r="UAC58" s="41"/>
      <c r="UAD58" s="41"/>
      <c r="UAE58" s="41"/>
      <c r="UAF58" s="41"/>
      <c r="UAG58" s="41"/>
      <c r="UAH58" s="41"/>
      <c r="UAI58" s="41"/>
      <c r="UAJ58" s="41"/>
      <c r="UAK58" s="41"/>
      <c r="UAL58" s="41"/>
      <c r="UAM58" s="41"/>
      <c r="UAN58" s="41"/>
      <c r="UAO58" s="41"/>
      <c r="UAP58" s="41"/>
      <c r="UAQ58" s="41"/>
      <c r="UAR58" s="41"/>
      <c r="UAS58" s="41"/>
      <c r="UAT58" s="41"/>
      <c r="UAU58" s="41"/>
      <c r="UAV58" s="41"/>
      <c r="UAW58" s="41"/>
      <c r="UAX58" s="41"/>
      <c r="UAY58" s="41"/>
      <c r="UAZ58" s="41"/>
      <c r="UBA58" s="41"/>
      <c r="UBB58" s="41"/>
      <c r="UBC58" s="41"/>
      <c r="UBD58" s="41"/>
      <c r="UBE58" s="41"/>
      <c r="UBF58" s="41"/>
      <c r="UBG58" s="41"/>
      <c r="UBH58" s="41"/>
      <c r="UBI58" s="41"/>
      <c r="UBJ58" s="41"/>
      <c r="UBK58" s="41"/>
      <c r="UBL58" s="41"/>
      <c r="UBM58" s="41"/>
      <c r="UBN58" s="41"/>
      <c r="UBO58" s="41"/>
      <c r="UBP58" s="41"/>
      <c r="UBQ58" s="41"/>
      <c r="UBR58" s="41"/>
      <c r="UBS58" s="41"/>
      <c r="UBT58" s="41"/>
      <c r="UBU58" s="41"/>
      <c r="UBV58" s="41"/>
      <c r="UBW58" s="41"/>
      <c r="UBX58" s="41"/>
      <c r="UBY58" s="41"/>
      <c r="UBZ58" s="41"/>
      <c r="UCA58" s="41"/>
      <c r="UCB58" s="41"/>
      <c r="UCC58" s="41"/>
      <c r="UCD58" s="41"/>
      <c r="UCE58" s="41"/>
      <c r="UCF58" s="41"/>
      <c r="UCG58" s="41"/>
      <c r="UCH58" s="41"/>
      <c r="UCI58" s="41"/>
      <c r="UCJ58" s="41"/>
      <c r="UCK58" s="41"/>
      <c r="UCL58" s="41"/>
      <c r="UCM58" s="41"/>
      <c r="UCN58" s="41"/>
      <c r="UCO58" s="41"/>
      <c r="UCP58" s="41"/>
      <c r="UCQ58" s="41"/>
      <c r="UCR58" s="41"/>
      <c r="UCS58" s="41"/>
      <c r="UCT58" s="41"/>
      <c r="UCU58" s="41"/>
      <c r="UCV58" s="41"/>
      <c r="UCW58" s="41"/>
      <c r="UCX58" s="41"/>
      <c r="UCY58" s="41"/>
      <c r="UCZ58" s="41"/>
      <c r="UDA58" s="41"/>
      <c r="UDB58" s="41"/>
      <c r="UDC58" s="41"/>
      <c r="UDD58" s="41"/>
      <c r="UDE58" s="41"/>
      <c r="UDF58" s="41"/>
      <c r="UDG58" s="41"/>
      <c r="UDH58" s="41"/>
      <c r="UDI58" s="41"/>
      <c r="UDJ58" s="41"/>
      <c r="UDK58" s="41"/>
      <c r="UDL58" s="41"/>
      <c r="UDM58" s="41"/>
      <c r="UDN58" s="41"/>
      <c r="UDO58" s="41"/>
      <c r="UDP58" s="41"/>
      <c r="UDQ58" s="41"/>
      <c r="UDR58" s="41"/>
      <c r="UDS58" s="41"/>
      <c r="UDT58" s="41"/>
      <c r="UDU58" s="41"/>
      <c r="UDV58" s="41"/>
      <c r="UDW58" s="41"/>
      <c r="UDX58" s="41"/>
      <c r="UDY58" s="41"/>
      <c r="UDZ58" s="41"/>
      <c r="UEA58" s="41"/>
      <c r="UEB58" s="41"/>
      <c r="UEC58" s="41"/>
      <c r="UED58" s="41"/>
      <c r="UEE58" s="41"/>
      <c r="UEF58" s="41"/>
      <c r="UEG58" s="41"/>
      <c r="UEH58" s="41"/>
      <c r="UEI58" s="41"/>
      <c r="UEJ58" s="41"/>
      <c r="UEK58" s="41"/>
      <c r="UEL58" s="41"/>
      <c r="UEM58" s="41"/>
      <c r="UEN58" s="41"/>
      <c r="UEO58" s="41"/>
      <c r="UEP58" s="41"/>
      <c r="UEQ58" s="41"/>
      <c r="UER58" s="41"/>
      <c r="UES58" s="41"/>
      <c r="UET58" s="41"/>
      <c r="UEU58" s="41"/>
      <c r="UEV58" s="41"/>
      <c r="UEW58" s="41"/>
      <c r="UEX58" s="41"/>
      <c r="UEY58" s="41"/>
      <c r="UEZ58" s="41"/>
      <c r="UFA58" s="41"/>
      <c r="UFB58" s="41"/>
      <c r="UFC58" s="41"/>
      <c r="UFD58" s="41"/>
      <c r="UFE58" s="41"/>
      <c r="UFF58" s="41"/>
      <c r="UFG58" s="41"/>
      <c r="UFH58" s="41"/>
      <c r="UFI58" s="41"/>
      <c r="UFJ58" s="41"/>
      <c r="UFK58" s="41"/>
      <c r="UFL58" s="41"/>
      <c r="UFM58" s="41"/>
      <c r="UFN58" s="41"/>
      <c r="UFO58" s="41"/>
      <c r="UFP58" s="41"/>
      <c r="UFQ58" s="41"/>
      <c r="UFR58" s="41"/>
      <c r="UFS58" s="41"/>
      <c r="UFT58" s="41"/>
      <c r="UFU58" s="41"/>
      <c r="UFV58" s="41"/>
      <c r="UFW58" s="41"/>
      <c r="UFX58" s="41"/>
      <c r="UFY58" s="41"/>
      <c r="UFZ58" s="41"/>
      <c r="UGA58" s="41"/>
      <c r="UGB58" s="41"/>
      <c r="UGC58" s="41"/>
      <c r="UGD58" s="41"/>
      <c r="UGE58" s="41"/>
      <c r="UGF58" s="41"/>
      <c r="UGG58" s="41"/>
      <c r="UGH58" s="41"/>
      <c r="UGI58" s="41"/>
      <c r="UGJ58" s="41"/>
      <c r="UGK58" s="41"/>
      <c r="UGL58" s="41"/>
      <c r="UGM58" s="41"/>
      <c r="UGN58" s="41"/>
      <c r="UGO58" s="41"/>
      <c r="UGP58" s="41"/>
      <c r="UGQ58" s="41"/>
      <c r="UGR58" s="41"/>
      <c r="UGS58" s="41"/>
      <c r="UGT58" s="41"/>
      <c r="UGU58" s="41"/>
      <c r="UGV58" s="41"/>
      <c r="UGW58" s="41"/>
      <c r="UGX58" s="41"/>
      <c r="UGY58" s="41"/>
      <c r="UGZ58" s="41"/>
      <c r="UHA58" s="41"/>
      <c r="UHB58" s="41"/>
      <c r="UHC58" s="41"/>
      <c r="UHD58" s="41"/>
      <c r="UHE58" s="41"/>
      <c r="UHF58" s="41"/>
      <c r="UHG58" s="41"/>
      <c r="UHH58" s="41"/>
      <c r="UHI58" s="41"/>
      <c r="UHJ58" s="41"/>
      <c r="UHK58" s="41"/>
      <c r="UHL58" s="41"/>
      <c r="UHM58" s="41"/>
      <c r="UHN58" s="41"/>
      <c r="UHO58" s="41"/>
      <c r="UHP58" s="41"/>
      <c r="UHQ58" s="41"/>
      <c r="UHR58" s="41"/>
      <c r="UHS58" s="41"/>
      <c r="UHT58" s="41"/>
      <c r="UHU58" s="41"/>
      <c r="UHV58" s="41"/>
      <c r="UHW58" s="41"/>
      <c r="UHX58" s="41"/>
      <c r="UHY58" s="41"/>
      <c r="UHZ58" s="41"/>
      <c r="UIA58" s="41"/>
      <c r="UIB58" s="41"/>
      <c r="UIC58" s="41"/>
      <c r="UID58" s="41"/>
      <c r="UIE58" s="41"/>
      <c r="UIF58" s="41"/>
      <c r="UIG58" s="41"/>
      <c r="UIH58" s="41"/>
      <c r="UII58" s="41"/>
      <c r="UIJ58" s="41"/>
      <c r="UIK58" s="41"/>
      <c r="UIL58" s="41"/>
      <c r="UIM58" s="41"/>
      <c r="UIN58" s="41"/>
      <c r="UIO58" s="41"/>
      <c r="UIP58" s="41"/>
      <c r="UIQ58" s="41"/>
      <c r="UIR58" s="41"/>
      <c r="UIS58" s="41"/>
      <c r="UIT58" s="41"/>
      <c r="UIU58" s="41"/>
      <c r="UIV58" s="41"/>
      <c r="UIW58" s="41"/>
      <c r="UIX58" s="41"/>
      <c r="UIY58" s="41"/>
      <c r="UIZ58" s="41"/>
      <c r="UJA58" s="41"/>
      <c r="UJB58" s="41"/>
      <c r="UJC58" s="41"/>
      <c r="UJD58" s="41"/>
      <c r="UJE58" s="41"/>
      <c r="UJF58" s="41"/>
      <c r="UJG58" s="41"/>
      <c r="UJH58" s="41"/>
      <c r="UJI58" s="41"/>
      <c r="UJJ58" s="41"/>
      <c r="UJK58" s="41"/>
      <c r="UJL58" s="41"/>
      <c r="UJM58" s="41"/>
      <c r="UJN58" s="41"/>
      <c r="UJO58" s="41"/>
      <c r="UJP58" s="41"/>
      <c r="UJQ58" s="41"/>
      <c r="UJR58" s="41"/>
      <c r="UJS58" s="41"/>
      <c r="UJT58" s="41"/>
      <c r="UJU58" s="41"/>
      <c r="UJV58" s="41"/>
      <c r="UJW58" s="41"/>
      <c r="UJX58" s="41"/>
      <c r="UJY58" s="41"/>
      <c r="UJZ58" s="41"/>
      <c r="UKA58" s="41"/>
      <c r="UKB58" s="41"/>
      <c r="UKC58" s="41"/>
      <c r="UKD58" s="41"/>
      <c r="UKE58" s="41"/>
      <c r="UKF58" s="41"/>
      <c r="UKG58" s="41"/>
      <c r="UKH58" s="41"/>
      <c r="UKI58" s="41"/>
      <c r="UKJ58" s="41"/>
      <c r="UKK58" s="41"/>
      <c r="UKL58" s="41"/>
      <c r="UKM58" s="41"/>
      <c r="UKN58" s="41"/>
      <c r="UKO58" s="41"/>
      <c r="UKP58" s="41"/>
      <c r="UKQ58" s="41"/>
      <c r="UKR58" s="41"/>
      <c r="UKS58" s="41"/>
      <c r="UKT58" s="41"/>
      <c r="UKU58" s="41"/>
      <c r="UKV58" s="41"/>
      <c r="UKW58" s="41"/>
      <c r="UKX58" s="41"/>
      <c r="UKY58" s="41"/>
      <c r="UKZ58" s="41"/>
      <c r="ULA58" s="41"/>
      <c r="ULB58" s="41"/>
      <c r="ULC58" s="41"/>
      <c r="ULD58" s="41"/>
      <c r="ULE58" s="41"/>
      <c r="ULF58" s="41"/>
      <c r="ULG58" s="41"/>
      <c r="ULH58" s="41"/>
      <c r="ULI58" s="41"/>
      <c r="ULJ58" s="41"/>
      <c r="ULK58" s="41"/>
      <c r="ULL58" s="41"/>
      <c r="ULM58" s="41"/>
      <c r="ULN58" s="41"/>
      <c r="ULO58" s="41"/>
      <c r="ULP58" s="41"/>
      <c r="ULQ58" s="41"/>
      <c r="ULR58" s="41"/>
      <c r="ULS58" s="41"/>
      <c r="ULT58" s="41"/>
      <c r="ULU58" s="41"/>
      <c r="ULV58" s="41"/>
      <c r="ULW58" s="41"/>
      <c r="ULX58" s="41"/>
      <c r="ULY58" s="41"/>
      <c r="ULZ58" s="41"/>
      <c r="UMA58" s="41"/>
      <c r="UMB58" s="41"/>
      <c r="UMC58" s="41"/>
      <c r="UMD58" s="41"/>
      <c r="UME58" s="41"/>
      <c r="UMF58" s="41"/>
      <c r="UMG58" s="41"/>
      <c r="UMH58" s="41"/>
      <c r="UMI58" s="41"/>
      <c r="UMJ58" s="41"/>
      <c r="UMK58" s="41"/>
      <c r="UML58" s="41"/>
      <c r="UMM58" s="41"/>
      <c r="UMN58" s="41"/>
      <c r="UMO58" s="41"/>
      <c r="UMP58" s="41"/>
      <c r="UMQ58" s="41"/>
      <c r="UMR58" s="41"/>
      <c r="UMS58" s="41"/>
      <c r="UMT58" s="41"/>
      <c r="UMU58" s="41"/>
      <c r="UMV58" s="41"/>
      <c r="UMW58" s="41"/>
      <c r="UMX58" s="41"/>
      <c r="UMY58" s="41"/>
      <c r="UMZ58" s="41"/>
      <c r="UNA58" s="41"/>
      <c r="UNB58" s="41"/>
      <c r="UNC58" s="41"/>
      <c r="UND58" s="41"/>
      <c r="UNE58" s="41"/>
      <c r="UNF58" s="41"/>
      <c r="UNG58" s="41"/>
      <c r="UNH58" s="41"/>
      <c r="UNI58" s="41"/>
      <c r="UNJ58" s="41"/>
      <c r="UNK58" s="41"/>
      <c r="UNL58" s="41"/>
      <c r="UNM58" s="41"/>
      <c r="UNN58" s="41"/>
      <c r="UNO58" s="41"/>
      <c r="UNP58" s="41"/>
      <c r="UNQ58" s="41"/>
      <c r="UNR58" s="41"/>
      <c r="UNS58" s="41"/>
      <c r="UNT58" s="41"/>
      <c r="UNU58" s="41"/>
      <c r="UNV58" s="41"/>
      <c r="UNW58" s="41"/>
      <c r="UNX58" s="41"/>
      <c r="UNY58" s="41"/>
      <c r="UNZ58" s="41"/>
      <c r="UOA58" s="41"/>
      <c r="UOB58" s="41"/>
      <c r="UOC58" s="41"/>
      <c r="UOD58" s="41"/>
      <c r="UOE58" s="41"/>
      <c r="UOF58" s="41"/>
      <c r="UOG58" s="41"/>
      <c r="UOH58" s="41"/>
      <c r="UOI58" s="41"/>
      <c r="UOJ58" s="41"/>
      <c r="UOK58" s="41"/>
      <c r="UOL58" s="41"/>
      <c r="UOM58" s="41"/>
      <c r="UON58" s="41"/>
      <c r="UOO58" s="41"/>
      <c r="UOP58" s="41"/>
      <c r="UOQ58" s="41"/>
      <c r="UOR58" s="41"/>
      <c r="UOS58" s="41"/>
      <c r="UOT58" s="41"/>
      <c r="UOU58" s="41"/>
      <c r="UOV58" s="41"/>
      <c r="UOW58" s="41"/>
      <c r="UOX58" s="41"/>
      <c r="UOY58" s="41"/>
      <c r="UOZ58" s="41"/>
      <c r="UPA58" s="41"/>
      <c r="UPB58" s="41"/>
      <c r="UPC58" s="41"/>
      <c r="UPD58" s="41"/>
      <c r="UPE58" s="41"/>
      <c r="UPF58" s="41"/>
      <c r="UPG58" s="41"/>
      <c r="UPH58" s="41"/>
      <c r="UPI58" s="41"/>
      <c r="UPJ58" s="41"/>
      <c r="UPK58" s="41"/>
      <c r="UPL58" s="41"/>
      <c r="UPM58" s="41"/>
      <c r="UPN58" s="41"/>
      <c r="UPO58" s="41"/>
      <c r="UPP58" s="41"/>
      <c r="UPQ58" s="41"/>
      <c r="UPR58" s="41"/>
      <c r="UPS58" s="41"/>
      <c r="UPT58" s="41"/>
      <c r="UPU58" s="41"/>
      <c r="UPV58" s="41"/>
      <c r="UPW58" s="41"/>
      <c r="UPX58" s="41"/>
      <c r="UPY58" s="41"/>
      <c r="UPZ58" s="41"/>
      <c r="UQA58" s="41"/>
      <c r="UQB58" s="41"/>
      <c r="UQC58" s="41"/>
      <c r="UQD58" s="41"/>
      <c r="UQE58" s="41"/>
      <c r="UQF58" s="41"/>
      <c r="UQG58" s="41"/>
      <c r="UQH58" s="41"/>
      <c r="UQI58" s="41"/>
      <c r="UQJ58" s="41"/>
      <c r="UQK58" s="41"/>
      <c r="UQL58" s="41"/>
      <c r="UQM58" s="41"/>
      <c r="UQN58" s="41"/>
      <c r="UQO58" s="41"/>
      <c r="UQP58" s="41"/>
      <c r="UQQ58" s="41"/>
      <c r="UQR58" s="41"/>
      <c r="UQS58" s="41"/>
      <c r="UQT58" s="41"/>
      <c r="UQU58" s="41"/>
      <c r="UQV58" s="41"/>
      <c r="UQW58" s="41"/>
      <c r="UQX58" s="41"/>
      <c r="UQY58" s="41"/>
      <c r="UQZ58" s="41"/>
      <c r="URA58" s="41"/>
      <c r="URB58" s="41"/>
      <c r="URC58" s="41"/>
      <c r="URD58" s="41"/>
      <c r="URE58" s="41"/>
      <c r="URF58" s="41"/>
      <c r="URG58" s="41"/>
      <c r="URH58" s="41"/>
      <c r="URI58" s="41"/>
      <c r="URJ58" s="41"/>
      <c r="URK58" s="41"/>
      <c r="URL58" s="41"/>
      <c r="URM58" s="41"/>
      <c r="URN58" s="41"/>
      <c r="URO58" s="41"/>
      <c r="URP58" s="41"/>
      <c r="URQ58" s="41"/>
      <c r="URR58" s="41"/>
      <c r="URS58" s="41"/>
      <c r="URT58" s="41"/>
      <c r="URU58" s="41"/>
      <c r="URV58" s="41"/>
      <c r="URW58" s="41"/>
      <c r="URX58" s="41"/>
      <c r="URY58" s="41"/>
      <c r="URZ58" s="41"/>
      <c r="USA58" s="41"/>
      <c r="USB58" s="41"/>
      <c r="USC58" s="41"/>
      <c r="USD58" s="41"/>
      <c r="USE58" s="41"/>
      <c r="USF58" s="41"/>
      <c r="USG58" s="41"/>
      <c r="USH58" s="41"/>
      <c r="USI58" s="41"/>
      <c r="USJ58" s="41"/>
      <c r="USK58" s="41"/>
      <c r="USL58" s="41"/>
      <c r="USM58" s="41"/>
      <c r="USN58" s="41"/>
      <c r="USO58" s="41"/>
      <c r="USP58" s="41"/>
      <c r="USQ58" s="41"/>
      <c r="USR58" s="41"/>
      <c r="USS58" s="41"/>
      <c r="UST58" s="41"/>
      <c r="USU58" s="41"/>
      <c r="USV58" s="41"/>
      <c r="USW58" s="41"/>
      <c r="USX58" s="41"/>
      <c r="USY58" s="41"/>
      <c r="USZ58" s="41"/>
      <c r="UTA58" s="41"/>
      <c r="UTB58" s="41"/>
      <c r="UTC58" s="41"/>
      <c r="UTD58" s="41"/>
      <c r="UTE58" s="41"/>
      <c r="UTF58" s="41"/>
      <c r="UTG58" s="41"/>
      <c r="UTH58" s="41"/>
      <c r="UTI58" s="41"/>
      <c r="UTJ58" s="41"/>
      <c r="UTK58" s="41"/>
      <c r="UTL58" s="41"/>
      <c r="UTM58" s="41"/>
      <c r="UTN58" s="41"/>
      <c r="UTO58" s="41"/>
      <c r="UTP58" s="41"/>
      <c r="UTQ58" s="41"/>
      <c r="UTR58" s="41"/>
      <c r="UTS58" s="41"/>
      <c r="UTT58" s="41"/>
      <c r="UTU58" s="41"/>
      <c r="UTV58" s="41"/>
      <c r="UTW58" s="41"/>
      <c r="UTX58" s="41"/>
      <c r="UTY58" s="41"/>
      <c r="UTZ58" s="41"/>
      <c r="UUA58" s="41"/>
      <c r="UUB58" s="41"/>
      <c r="UUC58" s="41"/>
      <c r="UUD58" s="41"/>
      <c r="UUE58" s="41"/>
      <c r="UUF58" s="41"/>
      <c r="UUG58" s="41"/>
      <c r="UUH58" s="41"/>
      <c r="UUI58" s="41"/>
      <c r="UUJ58" s="41"/>
      <c r="UUK58" s="41"/>
      <c r="UUL58" s="41"/>
      <c r="UUM58" s="41"/>
      <c r="UUN58" s="41"/>
      <c r="UUO58" s="41"/>
      <c r="UUP58" s="41"/>
      <c r="UUQ58" s="41"/>
      <c r="UUR58" s="41"/>
      <c r="UUS58" s="41"/>
      <c r="UUT58" s="41"/>
      <c r="UUU58" s="41"/>
      <c r="UUV58" s="41"/>
      <c r="UUW58" s="41"/>
      <c r="UUX58" s="41"/>
      <c r="UUY58" s="41"/>
      <c r="UUZ58" s="41"/>
      <c r="UVA58" s="41"/>
      <c r="UVB58" s="41"/>
      <c r="UVC58" s="41"/>
      <c r="UVD58" s="41"/>
      <c r="UVE58" s="41"/>
      <c r="UVF58" s="41"/>
      <c r="UVG58" s="41"/>
      <c r="UVH58" s="41"/>
      <c r="UVI58" s="41"/>
      <c r="UVJ58" s="41"/>
      <c r="UVK58" s="41"/>
      <c r="UVL58" s="41"/>
      <c r="UVM58" s="41"/>
      <c r="UVN58" s="41"/>
      <c r="UVO58" s="41"/>
      <c r="UVP58" s="41"/>
      <c r="UVQ58" s="41"/>
      <c r="UVR58" s="41"/>
      <c r="UVS58" s="41"/>
      <c r="UVT58" s="41"/>
      <c r="UVU58" s="41"/>
      <c r="UVV58" s="41"/>
      <c r="UVW58" s="41"/>
      <c r="UVX58" s="41"/>
      <c r="UVY58" s="41"/>
      <c r="UVZ58" s="41"/>
      <c r="UWA58" s="41"/>
      <c r="UWB58" s="41"/>
      <c r="UWC58" s="41"/>
      <c r="UWD58" s="41"/>
      <c r="UWE58" s="41"/>
      <c r="UWF58" s="41"/>
      <c r="UWG58" s="41"/>
      <c r="UWH58" s="41"/>
      <c r="UWI58" s="41"/>
      <c r="UWJ58" s="41"/>
      <c r="UWK58" s="41"/>
      <c r="UWL58" s="41"/>
      <c r="UWM58" s="41"/>
      <c r="UWN58" s="41"/>
      <c r="UWO58" s="41"/>
      <c r="UWP58" s="41"/>
      <c r="UWQ58" s="41"/>
      <c r="UWR58" s="41"/>
      <c r="UWS58" s="41"/>
      <c r="UWT58" s="41"/>
      <c r="UWU58" s="41"/>
      <c r="UWV58" s="41"/>
      <c r="UWW58" s="41"/>
      <c r="UWX58" s="41"/>
      <c r="UWY58" s="41"/>
      <c r="UWZ58" s="41"/>
      <c r="UXA58" s="41"/>
      <c r="UXB58" s="41"/>
      <c r="UXC58" s="41"/>
      <c r="UXD58" s="41"/>
      <c r="UXE58" s="41"/>
      <c r="UXF58" s="41"/>
      <c r="UXG58" s="41"/>
      <c r="UXH58" s="41"/>
      <c r="UXI58" s="41"/>
      <c r="UXJ58" s="41"/>
      <c r="UXK58" s="41"/>
      <c r="UXL58" s="41"/>
      <c r="UXM58" s="41"/>
      <c r="UXN58" s="41"/>
      <c r="UXO58" s="41"/>
      <c r="UXP58" s="41"/>
      <c r="UXQ58" s="41"/>
      <c r="UXR58" s="41"/>
      <c r="UXS58" s="41"/>
      <c r="UXT58" s="41"/>
      <c r="UXU58" s="41"/>
      <c r="UXV58" s="41"/>
      <c r="UXW58" s="41"/>
      <c r="UXX58" s="41"/>
      <c r="UXY58" s="41"/>
      <c r="UXZ58" s="41"/>
      <c r="UYA58" s="41"/>
      <c r="UYB58" s="41"/>
      <c r="UYC58" s="41"/>
      <c r="UYD58" s="41"/>
      <c r="UYE58" s="41"/>
      <c r="UYF58" s="41"/>
      <c r="UYG58" s="41"/>
      <c r="UYH58" s="41"/>
      <c r="UYI58" s="41"/>
      <c r="UYJ58" s="41"/>
      <c r="UYK58" s="41"/>
      <c r="UYL58" s="41"/>
      <c r="UYM58" s="41"/>
      <c r="UYN58" s="41"/>
      <c r="UYO58" s="41"/>
      <c r="UYP58" s="41"/>
      <c r="UYQ58" s="41"/>
      <c r="UYR58" s="41"/>
      <c r="UYS58" s="41"/>
      <c r="UYT58" s="41"/>
      <c r="UYU58" s="41"/>
      <c r="UYV58" s="41"/>
      <c r="UYW58" s="41"/>
      <c r="UYX58" s="41"/>
      <c r="UYY58" s="41"/>
      <c r="UYZ58" s="41"/>
      <c r="UZA58" s="41"/>
      <c r="UZB58" s="41"/>
      <c r="UZC58" s="41"/>
      <c r="UZD58" s="41"/>
      <c r="UZE58" s="41"/>
      <c r="UZF58" s="41"/>
      <c r="UZG58" s="41"/>
      <c r="UZH58" s="41"/>
      <c r="UZI58" s="41"/>
      <c r="UZJ58" s="41"/>
      <c r="UZK58" s="41"/>
      <c r="UZL58" s="41"/>
      <c r="UZM58" s="41"/>
      <c r="UZN58" s="41"/>
      <c r="UZO58" s="41"/>
      <c r="UZP58" s="41"/>
      <c r="UZQ58" s="41"/>
      <c r="UZR58" s="41"/>
      <c r="UZS58" s="41"/>
      <c r="UZT58" s="41"/>
      <c r="UZU58" s="41"/>
      <c r="UZV58" s="41"/>
      <c r="UZW58" s="41"/>
      <c r="UZX58" s="41"/>
      <c r="UZY58" s="41"/>
      <c r="UZZ58" s="41"/>
      <c r="VAA58" s="41"/>
      <c r="VAB58" s="41"/>
      <c r="VAC58" s="41"/>
      <c r="VAD58" s="41"/>
      <c r="VAE58" s="41"/>
      <c r="VAF58" s="41"/>
      <c r="VAG58" s="41"/>
      <c r="VAH58" s="41"/>
      <c r="VAI58" s="41"/>
      <c r="VAJ58" s="41"/>
      <c r="VAK58" s="41"/>
      <c r="VAL58" s="41"/>
      <c r="VAM58" s="41"/>
      <c r="VAN58" s="41"/>
      <c r="VAO58" s="41"/>
      <c r="VAP58" s="41"/>
      <c r="VAQ58" s="41"/>
      <c r="VAR58" s="41"/>
      <c r="VAS58" s="41"/>
      <c r="VAT58" s="41"/>
      <c r="VAU58" s="41"/>
      <c r="VAV58" s="41"/>
      <c r="VAW58" s="41"/>
      <c r="VAX58" s="41"/>
      <c r="VAY58" s="41"/>
      <c r="VAZ58" s="41"/>
      <c r="VBA58" s="41"/>
      <c r="VBB58" s="41"/>
      <c r="VBC58" s="41"/>
      <c r="VBD58" s="41"/>
      <c r="VBE58" s="41"/>
      <c r="VBF58" s="41"/>
      <c r="VBG58" s="41"/>
      <c r="VBH58" s="41"/>
      <c r="VBI58" s="41"/>
      <c r="VBJ58" s="41"/>
      <c r="VBK58" s="41"/>
      <c r="VBL58" s="41"/>
      <c r="VBM58" s="41"/>
      <c r="VBN58" s="41"/>
      <c r="VBO58" s="41"/>
      <c r="VBP58" s="41"/>
      <c r="VBQ58" s="41"/>
      <c r="VBR58" s="41"/>
      <c r="VBS58" s="41"/>
      <c r="VBT58" s="41"/>
      <c r="VBU58" s="41"/>
      <c r="VBV58" s="41"/>
      <c r="VBW58" s="41"/>
      <c r="VBX58" s="41"/>
      <c r="VBY58" s="41"/>
      <c r="VBZ58" s="41"/>
      <c r="VCA58" s="41"/>
      <c r="VCB58" s="41"/>
      <c r="VCC58" s="41"/>
      <c r="VCD58" s="41"/>
      <c r="VCE58" s="41"/>
      <c r="VCF58" s="41"/>
      <c r="VCG58" s="41"/>
      <c r="VCH58" s="41"/>
      <c r="VCI58" s="41"/>
      <c r="VCJ58" s="41"/>
      <c r="VCK58" s="41"/>
      <c r="VCL58" s="41"/>
      <c r="VCM58" s="41"/>
      <c r="VCN58" s="41"/>
      <c r="VCO58" s="41"/>
      <c r="VCP58" s="41"/>
      <c r="VCQ58" s="41"/>
      <c r="VCR58" s="41"/>
      <c r="VCS58" s="41"/>
      <c r="VCT58" s="41"/>
      <c r="VCU58" s="41"/>
      <c r="VCV58" s="41"/>
      <c r="VCW58" s="41"/>
      <c r="VCX58" s="41"/>
      <c r="VCY58" s="41"/>
      <c r="VCZ58" s="41"/>
      <c r="VDA58" s="41"/>
      <c r="VDB58" s="41"/>
      <c r="VDC58" s="41"/>
      <c r="VDD58" s="41"/>
      <c r="VDE58" s="41"/>
      <c r="VDF58" s="41"/>
      <c r="VDG58" s="41"/>
      <c r="VDH58" s="41"/>
      <c r="VDI58" s="41"/>
      <c r="VDJ58" s="41"/>
      <c r="VDK58" s="41"/>
      <c r="VDL58" s="41"/>
      <c r="VDM58" s="41"/>
      <c r="VDN58" s="41"/>
      <c r="VDO58" s="41"/>
      <c r="VDP58" s="41"/>
      <c r="VDQ58" s="41"/>
      <c r="VDR58" s="41"/>
      <c r="VDS58" s="41"/>
      <c r="VDT58" s="41"/>
      <c r="VDU58" s="41"/>
      <c r="VDV58" s="41"/>
      <c r="VDW58" s="41"/>
      <c r="VDX58" s="41"/>
      <c r="VDY58" s="41"/>
      <c r="VDZ58" s="41"/>
      <c r="VEA58" s="41"/>
      <c r="VEB58" s="41"/>
      <c r="VEC58" s="41"/>
      <c r="VED58" s="41"/>
      <c r="VEE58" s="41"/>
      <c r="VEF58" s="41"/>
      <c r="VEG58" s="41"/>
      <c r="VEH58" s="41"/>
      <c r="VEI58" s="41"/>
      <c r="VEJ58" s="41"/>
      <c r="VEK58" s="41"/>
      <c r="VEL58" s="41"/>
      <c r="VEM58" s="41"/>
      <c r="VEN58" s="41"/>
      <c r="VEO58" s="41"/>
      <c r="VEP58" s="41"/>
      <c r="VEQ58" s="41"/>
      <c r="VER58" s="41"/>
      <c r="VES58" s="41"/>
      <c r="VET58" s="41"/>
      <c r="VEU58" s="41"/>
      <c r="VEV58" s="41"/>
      <c r="VEW58" s="41"/>
      <c r="VEX58" s="41"/>
      <c r="VEY58" s="41"/>
      <c r="VEZ58" s="41"/>
      <c r="VFA58" s="41"/>
      <c r="VFB58" s="41"/>
      <c r="VFC58" s="41"/>
      <c r="VFD58" s="41"/>
      <c r="VFE58" s="41"/>
      <c r="VFF58" s="41"/>
      <c r="VFG58" s="41"/>
      <c r="VFH58" s="41"/>
      <c r="VFI58" s="41"/>
      <c r="VFJ58" s="41"/>
      <c r="VFK58" s="41"/>
      <c r="VFL58" s="41"/>
      <c r="VFM58" s="41"/>
      <c r="VFN58" s="41"/>
      <c r="VFO58" s="41"/>
      <c r="VFP58" s="41"/>
      <c r="VFQ58" s="41"/>
      <c r="VFR58" s="41"/>
      <c r="VFS58" s="41"/>
      <c r="VFT58" s="41"/>
      <c r="VFU58" s="41"/>
      <c r="VFV58" s="41"/>
      <c r="VFW58" s="41"/>
      <c r="VFX58" s="41"/>
      <c r="VFY58" s="41"/>
      <c r="VFZ58" s="41"/>
      <c r="VGA58" s="41"/>
      <c r="VGB58" s="41"/>
      <c r="VGC58" s="41"/>
      <c r="VGD58" s="41"/>
      <c r="VGE58" s="41"/>
      <c r="VGF58" s="41"/>
      <c r="VGG58" s="41"/>
      <c r="VGH58" s="41"/>
      <c r="VGI58" s="41"/>
      <c r="VGJ58" s="41"/>
      <c r="VGK58" s="41"/>
      <c r="VGL58" s="41"/>
      <c r="VGM58" s="41"/>
      <c r="VGN58" s="41"/>
      <c r="VGO58" s="41"/>
      <c r="VGP58" s="41"/>
      <c r="VGQ58" s="41"/>
      <c r="VGR58" s="41"/>
      <c r="VGS58" s="41"/>
      <c r="VGT58" s="41"/>
      <c r="VGU58" s="41"/>
      <c r="VGV58" s="41"/>
      <c r="VGW58" s="41"/>
      <c r="VGX58" s="41"/>
      <c r="VGY58" s="41"/>
      <c r="VGZ58" s="41"/>
      <c r="VHA58" s="41"/>
      <c r="VHB58" s="41"/>
      <c r="VHC58" s="41"/>
      <c r="VHD58" s="41"/>
      <c r="VHE58" s="41"/>
      <c r="VHF58" s="41"/>
      <c r="VHG58" s="41"/>
      <c r="VHH58" s="41"/>
      <c r="VHI58" s="41"/>
      <c r="VHJ58" s="41"/>
      <c r="VHK58" s="41"/>
      <c r="VHL58" s="41"/>
      <c r="VHM58" s="41"/>
      <c r="VHN58" s="41"/>
      <c r="VHO58" s="41"/>
      <c r="VHP58" s="41"/>
      <c r="VHQ58" s="41"/>
      <c r="VHR58" s="41"/>
      <c r="VHS58" s="41"/>
      <c r="VHT58" s="41"/>
      <c r="VHU58" s="41"/>
      <c r="VHV58" s="41"/>
      <c r="VHW58" s="41"/>
      <c r="VHX58" s="41"/>
      <c r="VHY58" s="41"/>
      <c r="VHZ58" s="41"/>
      <c r="VIA58" s="41"/>
      <c r="VIB58" s="41"/>
      <c r="VIC58" s="41"/>
      <c r="VID58" s="41"/>
      <c r="VIE58" s="41"/>
      <c r="VIF58" s="41"/>
      <c r="VIG58" s="41"/>
      <c r="VIH58" s="41"/>
      <c r="VII58" s="41"/>
      <c r="VIJ58" s="41"/>
      <c r="VIK58" s="41"/>
      <c r="VIL58" s="41"/>
      <c r="VIM58" s="41"/>
      <c r="VIN58" s="41"/>
      <c r="VIO58" s="41"/>
      <c r="VIP58" s="41"/>
      <c r="VIQ58" s="41"/>
      <c r="VIR58" s="41"/>
      <c r="VIS58" s="41"/>
      <c r="VIT58" s="41"/>
      <c r="VIU58" s="41"/>
      <c r="VIV58" s="41"/>
      <c r="VIW58" s="41"/>
      <c r="VIX58" s="41"/>
      <c r="VIY58" s="41"/>
      <c r="VIZ58" s="41"/>
      <c r="VJA58" s="41"/>
      <c r="VJB58" s="41"/>
      <c r="VJC58" s="41"/>
      <c r="VJD58" s="41"/>
      <c r="VJE58" s="41"/>
      <c r="VJF58" s="41"/>
      <c r="VJG58" s="41"/>
      <c r="VJH58" s="41"/>
      <c r="VJI58" s="41"/>
      <c r="VJJ58" s="41"/>
      <c r="VJK58" s="41"/>
      <c r="VJL58" s="41"/>
      <c r="VJM58" s="41"/>
      <c r="VJN58" s="41"/>
      <c r="VJO58" s="41"/>
      <c r="VJP58" s="41"/>
      <c r="VJQ58" s="41"/>
      <c r="VJR58" s="41"/>
      <c r="VJS58" s="41"/>
      <c r="VJT58" s="41"/>
      <c r="VJU58" s="41"/>
      <c r="VJV58" s="41"/>
      <c r="VJW58" s="41"/>
      <c r="VJX58" s="41"/>
      <c r="VJY58" s="41"/>
      <c r="VJZ58" s="41"/>
      <c r="VKA58" s="41"/>
      <c r="VKB58" s="41"/>
      <c r="VKC58" s="41"/>
      <c r="VKD58" s="41"/>
      <c r="VKE58" s="41"/>
      <c r="VKF58" s="41"/>
      <c r="VKG58" s="41"/>
      <c r="VKH58" s="41"/>
      <c r="VKI58" s="41"/>
      <c r="VKJ58" s="41"/>
      <c r="VKK58" s="41"/>
      <c r="VKL58" s="41"/>
      <c r="VKM58" s="41"/>
      <c r="VKN58" s="41"/>
      <c r="VKO58" s="41"/>
      <c r="VKP58" s="41"/>
      <c r="VKQ58" s="41"/>
      <c r="VKR58" s="41"/>
      <c r="VKS58" s="41"/>
      <c r="VKT58" s="41"/>
      <c r="VKU58" s="41"/>
      <c r="VKV58" s="41"/>
      <c r="VKW58" s="41"/>
      <c r="VKX58" s="41"/>
      <c r="VKY58" s="41"/>
      <c r="VKZ58" s="41"/>
      <c r="VLA58" s="41"/>
      <c r="VLB58" s="41"/>
      <c r="VLC58" s="41"/>
      <c r="VLD58" s="41"/>
      <c r="VLE58" s="41"/>
      <c r="VLF58" s="41"/>
      <c r="VLG58" s="41"/>
      <c r="VLH58" s="41"/>
      <c r="VLI58" s="41"/>
      <c r="VLJ58" s="41"/>
      <c r="VLK58" s="41"/>
      <c r="VLL58" s="41"/>
      <c r="VLM58" s="41"/>
      <c r="VLN58" s="41"/>
      <c r="VLO58" s="41"/>
      <c r="VLP58" s="41"/>
      <c r="VLQ58" s="41"/>
      <c r="VLR58" s="41"/>
      <c r="VLS58" s="41"/>
      <c r="VLT58" s="41"/>
      <c r="VLU58" s="41"/>
      <c r="VLV58" s="41"/>
      <c r="VLW58" s="41"/>
      <c r="VLX58" s="41"/>
      <c r="VLY58" s="41"/>
      <c r="VLZ58" s="41"/>
      <c r="VMA58" s="41"/>
      <c r="VMB58" s="41"/>
      <c r="VMC58" s="41"/>
      <c r="VMD58" s="41"/>
      <c r="VME58" s="41"/>
      <c r="VMF58" s="41"/>
      <c r="VMG58" s="41"/>
      <c r="VMH58" s="41"/>
      <c r="VMI58" s="41"/>
      <c r="VMJ58" s="41"/>
      <c r="VMK58" s="41"/>
      <c r="VML58" s="41"/>
      <c r="VMM58" s="41"/>
      <c r="VMN58" s="41"/>
      <c r="VMO58" s="41"/>
      <c r="VMP58" s="41"/>
      <c r="VMQ58" s="41"/>
      <c r="VMR58" s="41"/>
      <c r="VMS58" s="41"/>
      <c r="VMT58" s="41"/>
      <c r="VMU58" s="41"/>
      <c r="VMV58" s="41"/>
      <c r="VMW58" s="41"/>
      <c r="VMX58" s="41"/>
      <c r="VMY58" s="41"/>
      <c r="VMZ58" s="41"/>
      <c r="VNA58" s="41"/>
      <c r="VNB58" s="41"/>
      <c r="VNC58" s="41"/>
      <c r="VND58" s="41"/>
      <c r="VNE58" s="41"/>
      <c r="VNF58" s="41"/>
      <c r="VNG58" s="41"/>
      <c r="VNH58" s="41"/>
      <c r="VNI58" s="41"/>
      <c r="VNJ58" s="41"/>
      <c r="VNK58" s="41"/>
      <c r="VNL58" s="41"/>
      <c r="VNM58" s="41"/>
      <c r="VNN58" s="41"/>
      <c r="VNO58" s="41"/>
      <c r="VNP58" s="41"/>
      <c r="VNQ58" s="41"/>
      <c r="VNR58" s="41"/>
      <c r="VNS58" s="41"/>
      <c r="VNT58" s="41"/>
      <c r="VNU58" s="41"/>
      <c r="VNV58" s="41"/>
      <c r="VNW58" s="41"/>
      <c r="VNX58" s="41"/>
      <c r="VNY58" s="41"/>
      <c r="VNZ58" s="41"/>
      <c r="VOA58" s="41"/>
      <c r="VOB58" s="41"/>
      <c r="VOC58" s="41"/>
      <c r="VOD58" s="41"/>
      <c r="VOE58" s="41"/>
      <c r="VOF58" s="41"/>
      <c r="VOG58" s="41"/>
      <c r="VOH58" s="41"/>
      <c r="VOI58" s="41"/>
      <c r="VOJ58" s="41"/>
      <c r="VOK58" s="41"/>
      <c r="VOL58" s="41"/>
      <c r="VOM58" s="41"/>
      <c r="VON58" s="41"/>
      <c r="VOO58" s="41"/>
      <c r="VOP58" s="41"/>
      <c r="VOQ58" s="41"/>
      <c r="VOR58" s="41"/>
      <c r="VOS58" s="41"/>
      <c r="VOT58" s="41"/>
      <c r="VOU58" s="41"/>
      <c r="VOV58" s="41"/>
      <c r="VOW58" s="41"/>
      <c r="VOX58" s="41"/>
      <c r="VOY58" s="41"/>
      <c r="VOZ58" s="41"/>
      <c r="VPA58" s="41"/>
      <c r="VPB58" s="41"/>
      <c r="VPC58" s="41"/>
      <c r="VPD58" s="41"/>
      <c r="VPE58" s="41"/>
      <c r="VPF58" s="41"/>
      <c r="VPG58" s="41"/>
      <c r="VPH58" s="41"/>
      <c r="VPI58" s="41"/>
      <c r="VPJ58" s="41"/>
      <c r="VPK58" s="41"/>
      <c r="VPL58" s="41"/>
      <c r="VPM58" s="41"/>
      <c r="VPN58" s="41"/>
      <c r="VPO58" s="41"/>
      <c r="VPP58" s="41"/>
      <c r="VPQ58" s="41"/>
      <c r="VPR58" s="41"/>
      <c r="VPS58" s="41"/>
      <c r="VPT58" s="41"/>
      <c r="VPU58" s="41"/>
      <c r="VPV58" s="41"/>
      <c r="VPW58" s="41"/>
      <c r="VPX58" s="41"/>
      <c r="VPY58" s="41"/>
      <c r="VPZ58" s="41"/>
      <c r="VQA58" s="41"/>
      <c r="VQB58" s="41"/>
      <c r="VQC58" s="41"/>
      <c r="VQD58" s="41"/>
      <c r="VQE58" s="41"/>
      <c r="VQF58" s="41"/>
      <c r="VQG58" s="41"/>
      <c r="VQH58" s="41"/>
      <c r="VQI58" s="41"/>
      <c r="VQJ58" s="41"/>
      <c r="VQK58" s="41"/>
      <c r="VQL58" s="41"/>
      <c r="VQM58" s="41"/>
      <c r="VQN58" s="41"/>
      <c r="VQO58" s="41"/>
      <c r="VQP58" s="41"/>
      <c r="VQQ58" s="41"/>
      <c r="VQR58" s="41"/>
      <c r="VQS58" s="41"/>
      <c r="VQT58" s="41"/>
      <c r="VQU58" s="41"/>
      <c r="VQV58" s="41"/>
      <c r="VQW58" s="41"/>
      <c r="VQX58" s="41"/>
      <c r="VQY58" s="41"/>
      <c r="VQZ58" s="41"/>
      <c r="VRA58" s="41"/>
      <c r="VRB58" s="41"/>
      <c r="VRC58" s="41"/>
      <c r="VRD58" s="41"/>
      <c r="VRE58" s="41"/>
      <c r="VRF58" s="41"/>
      <c r="VRG58" s="41"/>
      <c r="VRH58" s="41"/>
      <c r="VRI58" s="41"/>
      <c r="VRJ58" s="41"/>
      <c r="VRK58" s="41"/>
      <c r="VRL58" s="41"/>
      <c r="VRM58" s="41"/>
      <c r="VRN58" s="41"/>
      <c r="VRO58" s="41"/>
      <c r="VRP58" s="41"/>
      <c r="VRQ58" s="41"/>
      <c r="VRR58" s="41"/>
      <c r="VRS58" s="41"/>
      <c r="VRT58" s="41"/>
      <c r="VRU58" s="41"/>
      <c r="VRV58" s="41"/>
      <c r="VRW58" s="41"/>
      <c r="VRX58" s="41"/>
      <c r="VRY58" s="41"/>
      <c r="VRZ58" s="41"/>
      <c r="VSA58" s="41"/>
      <c r="VSB58" s="41"/>
      <c r="VSC58" s="41"/>
      <c r="VSD58" s="41"/>
      <c r="VSE58" s="41"/>
      <c r="VSF58" s="41"/>
      <c r="VSG58" s="41"/>
      <c r="VSH58" s="41"/>
      <c r="VSI58" s="41"/>
      <c r="VSJ58" s="41"/>
      <c r="VSK58" s="41"/>
      <c r="VSL58" s="41"/>
      <c r="VSM58" s="41"/>
      <c r="VSN58" s="41"/>
      <c r="VSO58" s="41"/>
      <c r="VSP58" s="41"/>
      <c r="VSQ58" s="41"/>
      <c r="VSR58" s="41"/>
      <c r="VSS58" s="41"/>
      <c r="VST58" s="41"/>
      <c r="VSU58" s="41"/>
      <c r="VSV58" s="41"/>
      <c r="VSW58" s="41"/>
      <c r="VSX58" s="41"/>
      <c r="VSY58" s="41"/>
      <c r="VSZ58" s="41"/>
      <c r="VTA58" s="41"/>
      <c r="VTB58" s="41"/>
      <c r="VTC58" s="41"/>
      <c r="VTD58" s="41"/>
      <c r="VTE58" s="41"/>
      <c r="VTF58" s="41"/>
      <c r="VTG58" s="41"/>
      <c r="VTH58" s="41"/>
      <c r="VTI58" s="41"/>
      <c r="VTJ58" s="41"/>
      <c r="VTK58" s="41"/>
      <c r="VTL58" s="41"/>
      <c r="VTM58" s="41"/>
      <c r="VTN58" s="41"/>
      <c r="VTO58" s="41"/>
      <c r="VTP58" s="41"/>
      <c r="VTQ58" s="41"/>
      <c r="VTR58" s="41"/>
      <c r="VTS58" s="41"/>
      <c r="VTT58" s="41"/>
      <c r="VTU58" s="41"/>
      <c r="VTV58" s="41"/>
      <c r="VTW58" s="41"/>
      <c r="VTX58" s="41"/>
      <c r="VTY58" s="41"/>
      <c r="VTZ58" s="41"/>
      <c r="VUA58" s="41"/>
      <c r="VUB58" s="41"/>
      <c r="VUC58" s="41"/>
      <c r="VUD58" s="41"/>
      <c r="VUE58" s="41"/>
      <c r="VUF58" s="41"/>
      <c r="VUG58" s="41"/>
      <c r="VUH58" s="41"/>
      <c r="VUI58" s="41"/>
      <c r="VUJ58" s="41"/>
      <c r="VUK58" s="41"/>
      <c r="VUL58" s="41"/>
      <c r="VUM58" s="41"/>
      <c r="VUN58" s="41"/>
      <c r="VUO58" s="41"/>
      <c r="VUP58" s="41"/>
      <c r="VUQ58" s="41"/>
      <c r="VUR58" s="41"/>
      <c r="VUS58" s="41"/>
      <c r="VUT58" s="41"/>
      <c r="VUU58" s="41"/>
      <c r="VUV58" s="41"/>
      <c r="VUW58" s="41"/>
      <c r="VUX58" s="41"/>
      <c r="VUY58" s="41"/>
      <c r="VUZ58" s="41"/>
      <c r="VVA58" s="41"/>
      <c r="VVB58" s="41"/>
      <c r="VVC58" s="41"/>
      <c r="VVD58" s="41"/>
      <c r="VVE58" s="41"/>
      <c r="VVF58" s="41"/>
      <c r="VVG58" s="41"/>
      <c r="VVH58" s="41"/>
      <c r="VVI58" s="41"/>
      <c r="VVJ58" s="41"/>
      <c r="VVK58" s="41"/>
      <c r="VVL58" s="41"/>
      <c r="VVM58" s="41"/>
      <c r="VVN58" s="41"/>
      <c r="VVO58" s="41"/>
      <c r="VVP58" s="41"/>
      <c r="VVQ58" s="41"/>
      <c r="VVR58" s="41"/>
      <c r="VVS58" s="41"/>
      <c r="VVT58" s="41"/>
      <c r="VVU58" s="41"/>
      <c r="VVV58" s="41"/>
      <c r="VVW58" s="41"/>
      <c r="VVX58" s="41"/>
      <c r="VVY58" s="41"/>
      <c r="VVZ58" s="41"/>
      <c r="VWA58" s="41"/>
      <c r="VWB58" s="41"/>
      <c r="VWC58" s="41"/>
      <c r="VWD58" s="41"/>
      <c r="VWE58" s="41"/>
      <c r="VWF58" s="41"/>
      <c r="VWG58" s="41"/>
      <c r="VWH58" s="41"/>
      <c r="VWI58" s="41"/>
      <c r="VWJ58" s="41"/>
      <c r="VWK58" s="41"/>
      <c r="VWL58" s="41"/>
      <c r="VWM58" s="41"/>
      <c r="VWN58" s="41"/>
      <c r="VWO58" s="41"/>
      <c r="VWP58" s="41"/>
      <c r="VWQ58" s="41"/>
      <c r="VWR58" s="41"/>
      <c r="VWS58" s="41"/>
      <c r="VWT58" s="41"/>
      <c r="VWU58" s="41"/>
      <c r="VWV58" s="41"/>
      <c r="VWW58" s="41"/>
      <c r="VWX58" s="41"/>
      <c r="VWY58" s="41"/>
      <c r="VWZ58" s="41"/>
      <c r="VXA58" s="41"/>
      <c r="VXB58" s="41"/>
      <c r="VXC58" s="41"/>
      <c r="VXD58" s="41"/>
      <c r="VXE58" s="41"/>
      <c r="VXF58" s="41"/>
      <c r="VXG58" s="41"/>
      <c r="VXH58" s="41"/>
      <c r="VXI58" s="41"/>
      <c r="VXJ58" s="41"/>
      <c r="VXK58" s="41"/>
      <c r="VXL58" s="41"/>
      <c r="VXM58" s="41"/>
      <c r="VXN58" s="41"/>
      <c r="VXO58" s="41"/>
      <c r="VXP58" s="41"/>
      <c r="VXQ58" s="41"/>
      <c r="VXR58" s="41"/>
      <c r="VXS58" s="41"/>
      <c r="VXT58" s="41"/>
      <c r="VXU58" s="41"/>
      <c r="VXV58" s="41"/>
      <c r="VXW58" s="41"/>
      <c r="VXX58" s="41"/>
      <c r="VXY58" s="41"/>
      <c r="VXZ58" s="41"/>
      <c r="VYA58" s="41"/>
      <c r="VYB58" s="41"/>
      <c r="VYC58" s="41"/>
      <c r="VYD58" s="41"/>
      <c r="VYE58" s="41"/>
      <c r="VYF58" s="41"/>
      <c r="VYG58" s="41"/>
      <c r="VYH58" s="41"/>
      <c r="VYI58" s="41"/>
      <c r="VYJ58" s="41"/>
      <c r="VYK58" s="41"/>
      <c r="VYL58" s="41"/>
      <c r="VYM58" s="41"/>
      <c r="VYN58" s="41"/>
      <c r="VYO58" s="41"/>
      <c r="VYP58" s="41"/>
      <c r="VYQ58" s="41"/>
      <c r="VYR58" s="41"/>
      <c r="VYS58" s="41"/>
      <c r="VYT58" s="41"/>
      <c r="VYU58" s="41"/>
      <c r="VYV58" s="41"/>
      <c r="VYW58" s="41"/>
      <c r="VYX58" s="41"/>
      <c r="VYY58" s="41"/>
      <c r="VYZ58" s="41"/>
      <c r="VZA58" s="41"/>
      <c r="VZB58" s="41"/>
      <c r="VZC58" s="41"/>
      <c r="VZD58" s="41"/>
      <c r="VZE58" s="41"/>
      <c r="VZF58" s="41"/>
      <c r="VZG58" s="41"/>
      <c r="VZH58" s="41"/>
      <c r="VZI58" s="41"/>
      <c r="VZJ58" s="41"/>
      <c r="VZK58" s="41"/>
      <c r="VZL58" s="41"/>
      <c r="VZM58" s="41"/>
      <c r="VZN58" s="41"/>
      <c r="VZO58" s="41"/>
      <c r="VZP58" s="41"/>
      <c r="VZQ58" s="41"/>
      <c r="VZR58" s="41"/>
      <c r="VZS58" s="41"/>
      <c r="VZT58" s="41"/>
      <c r="VZU58" s="41"/>
      <c r="VZV58" s="41"/>
      <c r="VZW58" s="41"/>
      <c r="VZX58" s="41"/>
      <c r="VZY58" s="41"/>
      <c r="VZZ58" s="41"/>
      <c r="WAA58" s="41"/>
      <c r="WAB58" s="41"/>
      <c r="WAC58" s="41"/>
      <c r="WAD58" s="41"/>
      <c r="WAE58" s="41"/>
      <c r="WAF58" s="41"/>
      <c r="WAG58" s="41"/>
      <c r="WAH58" s="41"/>
      <c r="WAI58" s="41"/>
      <c r="WAJ58" s="41"/>
      <c r="WAK58" s="41"/>
      <c r="WAL58" s="41"/>
      <c r="WAM58" s="41"/>
      <c r="WAN58" s="41"/>
      <c r="WAO58" s="41"/>
      <c r="WAP58" s="41"/>
      <c r="WAQ58" s="41"/>
      <c r="WAR58" s="41"/>
      <c r="WAS58" s="41"/>
      <c r="WAT58" s="41"/>
      <c r="WAU58" s="41"/>
      <c r="WAV58" s="41"/>
      <c r="WAW58" s="41"/>
      <c r="WAX58" s="41"/>
      <c r="WAY58" s="41"/>
      <c r="WAZ58" s="41"/>
      <c r="WBA58" s="41"/>
      <c r="WBB58" s="41"/>
      <c r="WBC58" s="41"/>
      <c r="WBD58" s="41"/>
      <c r="WBE58" s="41"/>
      <c r="WBF58" s="41"/>
      <c r="WBG58" s="41"/>
      <c r="WBH58" s="41"/>
      <c r="WBI58" s="41"/>
      <c r="WBJ58" s="41"/>
      <c r="WBK58" s="41"/>
      <c r="WBL58" s="41"/>
      <c r="WBM58" s="41"/>
      <c r="WBN58" s="41"/>
      <c r="WBO58" s="41"/>
      <c r="WBP58" s="41"/>
      <c r="WBQ58" s="41"/>
      <c r="WBR58" s="41"/>
      <c r="WBS58" s="41"/>
      <c r="WBT58" s="41"/>
      <c r="WBU58" s="41"/>
      <c r="WBV58" s="41"/>
      <c r="WBW58" s="41"/>
      <c r="WBX58" s="41"/>
      <c r="WBY58" s="41"/>
      <c r="WBZ58" s="41"/>
      <c r="WCA58" s="41"/>
      <c r="WCB58" s="41"/>
      <c r="WCC58" s="41"/>
      <c r="WCD58" s="41"/>
      <c r="WCE58" s="41"/>
      <c r="WCF58" s="41"/>
      <c r="WCG58" s="41"/>
      <c r="WCH58" s="41"/>
      <c r="WCI58" s="41"/>
      <c r="WCJ58" s="41"/>
      <c r="WCK58" s="41"/>
      <c r="WCL58" s="41"/>
      <c r="WCM58" s="41"/>
      <c r="WCN58" s="41"/>
      <c r="WCO58" s="41"/>
      <c r="WCP58" s="41"/>
      <c r="WCQ58" s="41"/>
      <c r="WCR58" s="41"/>
      <c r="WCS58" s="41"/>
      <c r="WCT58" s="41"/>
      <c r="WCU58" s="41"/>
      <c r="WCV58" s="41"/>
      <c r="WCW58" s="41"/>
      <c r="WCX58" s="41"/>
      <c r="WCY58" s="41"/>
      <c r="WCZ58" s="41"/>
      <c r="WDA58" s="41"/>
      <c r="WDB58" s="41"/>
      <c r="WDC58" s="41"/>
      <c r="WDD58" s="41"/>
      <c r="WDE58" s="41"/>
      <c r="WDF58" s="41"/>
      <c r="WDG58" s="41"/>
      <c r="WDH58" s="41"/>
      <c r="WDI58" s="41"/>
      <c r="WDJ58" s="41"/>
      <c r="WDK58" s="41"/>
      <c r="WDL58" s="41"/>
      <c r="WDM58" s="41"/>
      <c r="WDN58" s="41"/>
      <c r="WDO58" s="41"/>
      <c r="WDP58" s="41"/>
      <c r="WDQ58" s="41"/>
      <c r="WDR58" s="41"/>
      <c r="WDS58" s="41"/>
      <c r="WDT58" s="41"/>
      <c r="WDU58" s="41"/>
      <c r="WDV58" s="41"/>
      <c r="WDW58" s="41"/>
      <c r="WDX58" s="41"/>
      <c r="WDY58" s="41"/>
      <c r="WDZ58" s="41"/>
      <c r="WEA58" s="41"/>
      <c r="WEB58" s="41"/>
      <c r="WEC58" s="41"/>
      <c r="WED58" s="41"/>
      <c r="WEE58" s="41"/>
      <c r="WEF58" s="41"/>
      <c r="WEG58" s="41"/>
      <c r="WEH58" s="41"/>
      <c r="WEI58" s="41"/>
      <c r="WEJ58" s="41"/>
      <c r="WEK58" s="41"/>
      <c r="WEL58" s="41"/>
      <c r="WEM58" s="41"/>
      <c r="WEN58" s="41"/>
      <c r="WEO58" s="41"/>
      <c r="WEP58" s="41"/>
      <c r="WEQ58" s="41"/>
      <c r="WER58" s="41"/>
      <c r="WES58" s="41"/>
      <c r="WET58" s="41"/>
      <c r="WEU58" s="41"/>
      <c r="WEV58" s="41"/>
      <c r="WEW58" s="41"/>
      <c r="WEX58" s="41"/>
      <c r="WEY58" s="41"/>
      <c r="WEZ58" s="41"/>
      <c r="WFA58" s="41"/>
      <c r="WFB58" s="41"/>
      <c r="WFC58" s="41"/>
      <c r="WFD58" s="41"/>
      <c r="WFE58" s="41"/>
      <c r="WFF58" s="41"/>
      <c r="WFG58" s="41"/>
      <c r="WFH58" s="41"/>
      <c r="WFI58" s="41"/>
      <c r="WFJ58" s="41"/>
      <c r="WFK58" s="41"/>
      <c r="WFL58" s="41"/>
      <c r="WFM58" s="41"/>
      <c r="WFN58" s="41"/>
      <c r="WFO58" s="41"/>
      <c r="WFP58" s="41"/>
      <c r="WFQ58" s="41"/>
      <c r="WFR58" s="41"/>
      <c r="WFS58" s="41"/>
      <c r="WFT58" s="41"/>
      <c r="WFU58" s="41"/>
      <c r="WFV58" s="41"/>
      <c r="WFW58" s="41"/>
      <c r="WFX58" s="41"/>
      <c r="WFY58" s="41"/>
      <c r="WFZ58" s="41"/>
      <c r="WGA58" s="41"/>
      <c r="WGB58" s="41"/>
      <c r="WGC58" s="41"/>
      <c r="WGD58" s="41"/>
      <c r="WGE58" s="41"/>
      <c r="WGF58" s="41"/>
      <c r="WGG58" s="41"/>
      <c r="WGH58" s="41"/>
      <c r="WGI58" s="41"/>
      <c r="WGJ58" s="41"/>
      <c r="WGK58" s="41"/>
      <c r="WGL58" s="41"/>
      <c r="WGM58" s="41"/>
      <c r="WGN58" s="41"/>
      <c r="WGO58" s="41"/>
      <c r="WGP58" s="41"/>
      <c r="WGQ58" s="41"/>
      <c r="WGR58" s="41"/>
      <c r="WGS58" s="41"/>
      <c r="WGT58" s="41"/>
      <c r="WGU58" s="41"/>
      <c r="WGV58" s="41"/>
      <c r="WGW58" s="41"/>
      <c r="WGX58" s="41"/>
      <c r="WGY58" s="41"/>
      <c r="WGZ58" s="41"/>
      <c r="WHA58" s="41"/>
      <c r="WHB58" s="41"/>
      <c r="WHC58" s="41"/>
      <c r="WHD58" s="41"/>
      <c r="WHE58" s="41"/>
      <c r="WHF58" s="41"/>
      <c r="WHG58" s="41"/>
      <c r="WHH58" s="41"/>
      <c r="WHI58" s="41"/>
      <c r="WHJ58" s="41"/>
      <c r="WHK58" s="41"/>
      <c r="WHL58" s="41"/>
      <c r="WHM58" s="41"/>
      <c r="WHN58" s="41"/>
      <c r="WHO58" s="41"/>
      <c r="WHP58" s="41"/>
      <c r="WHQ58" s="41"/>
      <c r="WHR58" s="41"/>
      <c r="WHS58" s="41"/>
      <c r="WHT58" s="41"/>
      <c r="WHU58" s="41"/>
      <c r="WHV58" s="41"/>
      <c r="WHW58" s="41"/>
      <c r="WHX58" s="41"/>
      <c r="WHY58" s="41"/>
      <c r="WHZ58" s="41"/>
      <c r="WIA58" s="41"/>
      <c r="WIB58" s="41"/>
      <c r="WIC58" s="41"/>
      <c r="WID58" s="41"/>
      <c r="WIE58" s="41"/>
      <c r="WIF58" s="41"/>
      <c r="WIG58" s="41"/>
      <c r="WIH58" s="41"/>
      <c r="WII58" s="41"/>
      <c r="WIJ58" s="41"/>
      <c r="WIK58" s="41"/>
      <c r="WIL58" s="41"/>
      <c r="WIM58" s="41"/>
      <c r="WIN58" s="41"/>
      <c r="WIO58" s="41"/>
      <c r="WIP58" s="41"/>
      <c r="WIQ58" s="41"/>
      <c r="WIR58" s="41"/>
      <c r="WIS58" s="41"/>
      <c r="WIT58" s="41"/>
      <c r="WIU58" s="41"/>
      <c r="WIV58" s="41"/>
      <c r="WIW58" s="41"/>
      <c r="WIX58" s="41"/>
      <c r="WIY58" s="41"/>
      <c r="WIZ58" s="41"/>
      <c r="WJA58" s="41"/>
      <c r="WJB58" s="41"/>
      <c r="WJC58" s="41"/>
      <c r="WJD58" s="41"/>
      <c r="WJE58" s="41"/>
      <c r="WJF58" s="41"/>
      <c r="WJG58" s="41"/>
      <c r="WJH58" s="41"/>
      <c r="WJI58" s="41"/>
      <c r="WJJ58" s="41"/>
      <c r="WJK58" s="41"/>
      <c r="WJL58" s="41"/>
      <c r="WJM58" s="41"/>
      <c r="WJN58" s="41"/>
      <c r="WJO58" s="41"/>
      <c r="WJP58" s="41"/>
      <c r="WJQ58" s="41"/>
      <c r="WJR58" s="41"/>
      <c r="WJS58" s="41"/>
      <c r="WJT58" s="41"/>
      <c r="WJU58" s="41"/>
      <c r="WJV58" s="41"/>
      <c r="WJW58" s="41"/>
      <c r="WJX58" s="41"/>
      <c r="WJY58" s="41"/>
      <c r="WJZ58" s="41"/>
      <c r="WKA58" s="41"/>
      <c r="WKB58" s="41"/>
      <c r="WKC58" s="41"/>
      <c r="WKD58" s="41"/>
      <c r="WKE58" s="41"/>
      <c r="WKF58" s="41"/>
      <c r="WKG58" s="41"/>
      <c r="WKH58" s="41"/>
      <c r="WKI58" s="41"/>
      <c r="WKJ58" s="41"/>
      <c r="WKK58" s="41"/>
      <c r="WKL58" s="41"/>
      <c r="WKM58" s="41"/>
      <c r="WKN58" s="41"/>
      <c r="WKO58" s="41"/>
      <c r="WKP58" s="41"/>
      <c r="WKQ58" s="41"/>
      <c r="WKR58" s="41"/>
      <c r="WKS58" s="41"/>
      <c r="WKT58" s="41"/>
      <c r="WKU58" s="41"/>
      <c r="WKV58" s="41"/>
      <c r="WKW58" s="41"/>
      <c r="WKX58" s="41"/>
      <c r="WKY58" s="41"/>
      <c r="WKZ58" s="41"/>
      <c r="WLA58" s="41"/>
      <c r="WLB58" s="41"/>
      <c r="WLC58" s="41"/>
      <c r="WLD58" s="41"/>
      <c r="WLE58" s="41"/>
      <c r="WLF58" s="41"/>
      <c r="WLG58" s="41"/>
      <c r="WLH58" s="41"/>
      <c r="WLI58" s="41"/>
      <c r="WLJ58" s="41"/>
      <c r="WLK58" s="41"/>
      <c r="WLL58" s="41"/>
      <c r="WLM58" s="41"/>
      <c r="WLN58" s="41"/>
      <c r="WLO58" s="41"/>
      <c r="WLP58" s="41"/>
      <c r="WLQ58" s="41"/>
      <c r="WLR58" s="41"/>
      <c r="WLS58" s="41"/>
      <c r="WLT58" s="41"/>
      <c r="WLU58" s="41"/>
      <c r="WLV58" s="41"/>
      <c r="WLW58" s="41"/>
      <c r="WLX58" s="41"/>
      <c r="WLY58" s="41"/>
      <c r="WLZ58" s="41"/>
      <c r="WMA58" s="41"/>
      <c r="WMB58" s="41"/>
      <c r="WMC58" s="41"/>
      <c r="WMD58" s="41"/>
      <c r="WME58" s="41"/>
      <c r="WMF58" s="41"/>
      <c r="WMG58" s="41"/>
      <c r="WMH58" s="41"/>
      <c r="WMI58" s="41"/>
      <c r="WMJ58" s="41"/>
      <c r="WMK58" s="41"/>
      <c r="WML58" s="41"/>
      <c r="WMM58" s="41"/>
      <c r="WMN58" s="41"/>
      <c r="WMO58" s="41"/>
      <c r="WMP58" s="41"/>
      <c r="WMQ58" s="41"/>
      <c r="WMR58" s="41"/>
      <c r="WMS58" s="41"/>
      <c r="WMT58" s="41"/>
      <c r="WMU58" s="41"/>
      <c r="WMV58" s="41"/>
      <c r="WMW58" s="41"/>
      <c r="WMX58" s="41"/>
      <c r="WMY58" s="41"/>
      <c r="WMZ58" s="41"/>
      <c r="WNA58" s="41"/>
      <c r="WNB58" s="41"/>
      <c r="WNC58" s="41"/>
      <c r="WND58" s="41"/>
      <c r="WNE58" s="41"/>
      <c r="WNF58" s="41"/>
      <c r="WNG58" s="41"/>
      <c r="WNH58" s="41"/>
      <c r="WNI58" s="41"/>
      <c r="WNJ58" s="41"/>
      <c r="WNK58" s="41"/>
      <c r="WNL58" s="41"/>
      <c r="WNM58" s="41"/>
      <c r="WNN58" s="41"/>
      <c r="WNO58" s="41"/>
      <c r="WNP58" s="41"/>
      <c r="WNQ58" s="41"/>
      <c r="WNR58" s="41"/>
      <c r="WNS58" s="41"/>
      <c r="WNT58" s="41"/>
      <c r="WNU58" s="41"/>
      <c r="WNV58" s="41"/>
      <c r="WNW58" s="41"/>
      <c r="WNX58" s="41"/>
      <c r="WNY58" s="41"/>
      <c r="WNZ58" s="41"/>
      <c r="WOA58" s="41"/>
      <c r="WOB58" s="41"/>
      <c r="WOC58" s="41"/>
      <c r="WOD58" s="41"/>
      <c r="WOE58" s="41"/>
      <c r="WOF58" s="41"/>
      <c r="WOG58" s="41"/>
      <c r="WOH58" s="41"/>
      <c r="WOI58" s="41"/>
      <c r="WOJ58" s="41"/>
      <c r="WOK58" s="41"/>
      <c r="WOL58" s="41"/>
      <c r="WOM58" s="41"/>
      <c r="WON58" s="41"/>
      <c r="WOO58" s="41"/>
      <c r="WOP58" s="41"/>
      <c r="WOQ58" s="41"/>
      <c r="WOR58" s="41"/>
      <c r="WOS58" s="41"/>
      <c r="WOT58" s="41"/>
      <c r="WOU58" s="41"/>
      <c r="WOV58" s="41"/>
      <c r="WOW58" s="41"/>
      <c r="WOX58" s="41"/>
      <c r="WOY58" s="41"/>
      <c r="WOZ58" s="41"/>
      <c r="WPA58" s="41"/>
      <c r="WPB58" s="41"/>
      <c r="WPC58" s="41"/>
      <c r="WPD58" s="41"/>
      <c r="WPE58" s="41"/>
      <c r="WPF58" s="41"/>
      <c r="WPG58" s="41"/>
      <c r="WPH58" s="41"/>
      <c r="WPI58" s="41"/>
      <c r="WPJ58" s="41"/>
      <c r="WPK58" s="41"/>
      <c r="WPL58" s="41"/>
      <c r="WPM58" s="41"/>
      <c r="WPN58" s="41"/>
      <c r="WPO58" s="41"/>
      <c r="WPP58" s="41"/>
      <c r="WPQ58" s="41"/>
      <c r="WPR58" s="41"/>
      <c r="WPS58" s="41"/>
      <c r="WPT58" s="41"/>
      <c r="WPU58" s="41"/>
      <c r="WPV58" s="41"/>
      <c r="WPW58" s="41"/>
      <c r="WPX58" s="41"/>
      <c r="WPY58" s="41"/>
      <c r="WPZ58" s="41"/>
      <c r="WQA58" s="41"/>
      <c r="WQB58" s="41"/>
      <c r="WQC58" s="41"/>
      <c r="WQD58" s="41"/>
      <c r="WQE58" s="41"/>
      <c r="WQF58" s="41"/>
      <c r="WQG58" s="41"/>
      <c r="WQH58" s="41"/>
      <c r="WQI58" s="41"/>
      <c r="WQJ58" s="41"/>
      <c r="WQK58" s="41"/>
      <c r="WQL58" s="41"/>
      <c r="WQM58" s="41"/>
      <c r="WQN58" s="41"/>
      <c r="WQO58" s="41"/>
      <c r="WQP58" s="41"/>
      <c r="WQQ58" s="41"/>
      <c r="WQR58" s="41"/>
      <c r="WQS58" s="41"/>
      <c r="WQT58" s="41"/>
      <c r="WQU58" s="41"/>
      <c r="WQV58" s="41"/>
      <c r="WQW58" s="41"/>
      <c r="WQX58" s="41"/>
      <c r="WQY58" s="41"/>
      <c r="WQZ58" s="41"/>
      <c r="WRA58" s="41"/>
      <c r="WRB58" s="41"/>
      <c r="WRC58" s="41"/>
      <c r="WRD58" s="41"/>
      <c r="WRE58" s="41"/>
      <c r="WRF58" s="41"/>
      <c r="WRG58" s="41"/>
      <c r="WRH58" s="41"/>
      <c r="WRI58" s="41"/>
      <c r="WRJ58" s="41"/>
      <c r="WRK58" s="41"/>
      <c r="WRL58" s="41"/>
      <c r="WRM58" s="41"/>
      <c r="WRN58" s="41"/>
      <c r="WRO58" s="41"/>
      <c r="WRP58" s="41"/>
      <c r="WRQ58" s="41"/>
      <c r="WRR58" s="41"/>
      <c r="WRS58" s="41"/>
      <c r="WRT58" s="41"/>
      <c r="WRU58" s="41"/>
      <c r="WRV58" s="41"/>
      <c r="WRW58" s="41"/>
      <c r="WRX58" s="41"/>
      <c r="WRY58" s="41"/>
      <c r="WRZ58" s="41"/>
      <c r="WSA58" s="41"/>
      <c r="WSB58" s="41"/>
      <c r="WSC58" s="41"/>
      <c r="WSD58" s="41"/>
      <c r="WSE58" s="41"/>
      <c r="WSF58" s="41"/>
      <c r="WSG58" s="41"/>
      <c r="WSH58" s="41"/>
      <c r="WSI58" s="41"/>
      <c r="WSJ58" s="41"/>
      <c r="WSK58" s="41"/>
      <c r="WSL58" s="41"/>
      <c r="WSM58" s="41"/>
      <c r="WSN58" s="41"/>
      <c r="WSO58" s="41"/>
      <c r="WSP58" s="41"/>
      <c r="WSQ58" s="41"/>
      <c r="WSR58" s="41"/>
      <c r="WSS58" s="41"/>
      <c r="WST58" s="41"/>
      <c r="WSU58" s="41"/>
      <c r="WSV58" s="41"/>
      <c r="WSW58" s="41"/>
      <c r="WSX58" s="41"/>
      <c r="WSY58" s="41"/>
      <c r="WSZ58" s="41"/>
      <c r="WTA58" s="41"/>
      <c r="WTB58" s="41"/>
      <c r="WTC58" s="41"/>
      <c r="WTD58" s="41"/>
      <c r="WTE58" s="41"/>
      <c r="WTF58" s="41"/>
      <c r="WTG58" s="41"/>
      <c r="WTH58" s="41"/>
      <c r="WTI58" s="41"/>
      <c r="WTJ58" s="41"/>
      <c r="WTK58" s="41"/>
      <c r="WTL58" s="41"/>
      <c r="WTM58" s="41"/>
      <c r="WTN58" s="41"/>
      <c r="WTO58" s="41"/>
      <c r="WTP58" s="41"/>
      <c r="WTQ58" s="41"/>
      <c r="WTR58" s="41"/>
      <c r="WTS58" s="41"/>
      <c r="WTT58" s="41"/>
      <c r="WTU58" s="41"/>
      <c r="WTV58" s="41"/>
      <c r="WTW58" s="41"/>
      <c r="WTX58" s="41"/>
      <c r="WTY58" s="41"/>
      <c r="WTZ58" s="41"/>
      <c r="WUA58" s="41"/>
      <c r="WUB58" s="41"/>
      <c r="WUC58" s="41"/>
      <c r="WUD58" s="41"/>
      <c r="WUE58" s="41"/>
      <c r="WUF58" s="41"/>
      <c r="WUG58" s="41"/>
      <c r="WUH58" s="41"/>
      <c r="WUI58" s="41"/>
      <c r="WUJ58" s="41"/>
      <c r="WUK58" s="41"/>
      <c r="WUL58" s="41"/>
      <c r="WUM58" s="41"/>
      <c r="WUN58" s="41"/>
      <c r="WUO58" s="41"/>
      <c r="WUP58" s="41"/>
      <c r="WUQ58" s="41"/>
      <c r="WUR58" s="41"/>
      <c r="WUS58" s="41"/>
      <c r="WUT58" s="41"/>
      <c r="WUU58" s="41"/>
      <c r="WUV58" s="41"/>
      <c r="WUW58" s="41"/>
      <c r="WUX58" s="41"/>
      <c r="WUY58" s="41"/>
      <c r="WUZ58" s="41"/>
      <c r="WVA58" s="41"/>
      <c r="WVB58" s="41"/>
      <c r="WVC58" s="41"/>
      <c r="WVD58" s="41"/>
      <c r="WVE58" s="41"/>
      <c r="WVF58" s="41"/>
      <c r="WVG58" s="41"/>
      <c r="WVH58" s="41"/>
      <c r="WVI58" s="41"/>
      <c r="WVJ58" s="41"/>
      <c r="WVK58" s="41"/>
      <c r="WVL58" s="41"/>
      <c r="WVM58" s="41"/>
      <c r="WVN58" s="41"/>
      <c r="WVO58" s="41"/>
      <c r="WVP58" s="41"/>
      <c r="WVQ58" s="41"/>
      <c r="WVR58" s="41"/>
      <c r="WVS58" s="41"/>
      <c r="WVT58" s="41"/>
      <c r="WVU58" s="41"/>
      <c r="WVV58" s="41"/>
      <c r="WVW58" s="41"/>
      <c r="WVX58" s="41"/>
      <c r="WVY58" s="41"/>
      <c r="WVZ58" s="41"/>
      <c r="WWA58" s="41"/>
      <c r="WWB58" s="41"/>
      <c r="WWC58" s="41"/>
      <c r="WWD58" s="41"/>
      <c r="WWE58" s="41"/>
      <c r="WWF58" s="41"/>
      <c r="WWG58" s="41"/>
      <c r="WWH58" s="41"/>
      <c r="WWI58" s="41"/>
      <c r="WWJ58" s="41"/>
      <c r="WWK58" s="41"/>
      <c r="WWL58" s="41"/>
      <c r="WWM58" s="41"/>
      <c r="WWN58" s="41"/>
      <c r="WWO58" s="41"/>
      <c r="WWP58" s="41"/>
      <c r="WWQ58" s="41"/>
      <c r="WWR58" s="41"/>
      <c r="WWS58" s="41"/>
      <c r="WWT58" s="41"/>
      <c r="WWU58" s="41"/>
      <c r="WWV58" s="41"/>
      <c r="WWW58" s="41"/>
      <c r="WWX58" s="41"/>
      <c r="WWY58" s="41"/>
      <c r="WWZ58" s="41"/>
      <c r="WXA58" s="41"/>
      <c r="WXB58" s="41"/>
      <c r="WXC58" s="41"/>
      <c r="WXD58" s="41"/>
      <c r="WXE58" s="41"/>
      <c r="WXF58" s="41"/>
      <c r="WXG58" s="41"/>
      <c r="WXH58" s="41"/>
      <c r="WXI58" s="41"/>
      <c r="WXJ58" s="41"/>
      <c r="WXK58" s="41"/>
      <c r="WXL58" s="41"/>
      <c r="WXM58" s="41"/>
      <c r="WXN58" s="41"/>
      <c r="WXO58" s="41"/>
      <c r="WXP58" s="41"/>
      <c r="WXQ58" s="41"/>
      <c r="WXR58" s="41"/>
      <c r="WXS58" s="41"/>
      <c r="WXT58" s="41"/>
      <c r="WXU58" s="41"/>
      <c r="WXV58" s="41"/>
      <c r="WXW58" s="41"/>
      <c r="WXX58" s="41"/>
      <c r="WXY58" s="41"/>
      <c r="WXZ58" s="41"/>
      <c r="WYA58" s="41"/>
      <c r="WYB58" s="41"/>
      <c r="WYC58" s="41"/>
      <c r="WYD58" s="41"/>
      <c r="WYE58" s="41"/>
      <c r="WYF58" s="41"/>
      <c r="WYG58" s="41"/>
      <c r="WYH58" s="41"/>
      <c r="WYI58" s="41"/>
      <c r="WYJ58" s="41"/>
      <c r="WYK58" s="41"/>
      <c r="WYL58" s="41"/>
      <c r="WYM58" s="41"/>
      <c r="WYN58" s="41"/>
      <c r="WYO58" s="41"/>
      <c r="WYP58" s="41"/>
      <c r="WYQ58" s="41"/>
      <c r="WYR58" s="41"/>
      <c r="WYS58" s="41"/>
      <c r="WYT58" s="41"/>
      <c r="WYU58" s="41"/>
      <c r="WYV58" s="41"/>
      <c r="WYW58" s="41"/>
      <c r="WYX58" s="41"/>
      <c r="WYY58" s="41"/>
      <c r="WYZ58" s="41"/>
      <c r="WZA58" s="41"/>
      <c r="WZB58" s="41"/>
      <c r="WZC58" s="41"/>
      <c r="WZD58" s="41"/>
      <c r="WZE58" s="41"/>
      <c r="WZF58" s="41"/>
      <c r="WZG58" s="41"/>
      <c r="WZH58" s="41"/>
      <c r="WZI58" s="41"/>
      <c r="WZJ58" s="41"/>
      <c r="WZK58" s="41"/>
      <c r="WZL58" s="41"/>
      <c r="WZM58" s="41"/>
      <c r="WZN58" s="41"/>
      <c r="WZO58" s="41"/>
      <c r="WZP58" s="41"/>
      <c r="WZQ58" s="41"/>
      <c r="WZR58" s="41"/>
      <c r="WZS58" s="41"/>
      <c r="WZT58" s="41"/>
      <c r="WZU58" s="41"/>
      <c r="WZV58" s="41"/>
      <c r="WZW58" s="41"/>
      <c r="WZX58" s="41"/>
      <c r="WZY58" s="41"/>
      <c r="WZZ58" s="41"/>
      <c r="XAA58" s="41"/>
      <c r="XAB58" s="41"/>
      <c r="XAC58" s="41"/>
      <c r="XAD58" s="41"/>
      <c r="XAE58" s="41"/>
      <c r="XAF58" s="41"/>
      <c r="XAG58" s="41"/>
      <c r="XAH58" s="41"/>
      <c r="XAI58" s="41"/>
      <c r="XAJ58" s="41"/>
      <c r="XAK58" s="41"/>
      <c r="XAL58" s="41"/>
      <c r="XAM58" s="41"/>
      <c r="XAN58" s="41"/>
      <c r="XAO58" s="41"/>
      <c r="XAP58" s="41"/>
      <c r="XAQ58" s="41"/>
      <c r="XAR58" s="41"/>
      <c r="XAS58" s="41"/>
      <c r="XAT58" s="41"/>
      <c r="XAU58" s="41"/>
      <c r="XAV58" s="41"/>
      <c r="XAW58" s="41"/>
      <c r="XAX58" s="41"/>
      <c r="XAY58" s="41"/>
      <c r="XAZ58" s="41"/>
      <c r="XBA58" s="41"/>
      <c r="XBB58" s="41"/>
      <c r="XBC58" s="41"/>
      <c r="XBD58" s="41"/>
      <c r="XBE58" s="41"/>
      <c r="XBF58" s="41"/>
      <c r="XBG58" s="41"/>
      <c r="XBH58" s="41"/>
      <c r="XBI58" s="41"/>
      <c r="XBJ58" s="41"/>
      <c r="XBK58" s="41"/>
      <c r="XBL58" s="41"/>
      <c r="XBM58" s="41"/>
      <c r="XBN58" s="41"/>
      <c r="XBO58" s="41"/>
      <c r="XBP58" s="41"/>
      <c r="XBQ58" s="41"/>
      <c r="XBR58" s="41"/>
      <c r="XBS58" s="41"/>
      <c r="XBT58" s="41"/>
      <c r="XBU58" s="41"/>
      <c r="XBV58" s="41"/>
      <c r="XBW58" s="41"/>
      <c r="XBX58" s="41"/>
      <c r="XBY58" s="41"/>
      <c r="XBZ58" s="41"/>
      <c r="XCA58" s="41"/>
      <c r="XCB58" s="41"/>
      <c r="XCC58" s="41"/>
      <c r="XCD58" s="41"/>
      <c r="XCE58" s="41"/>
      <c r="XCF58" s="41"/>
      <c r="XCG58" s="41"/>
      <c r="XCH58" s="41"/>
      <c r="XCI58" s="41"/>
      <c r="XCJ58" s="41"/>
      <c r="XCK58" s="41"/>
      <c r="XCL58" s="41"/>
      <c r="XCM58" s="41"/>
      <c r="XCN58" s="41"/>
      <c r="XCO58" s="41"/>
      <c r="XCP58" s="41"/>
      <c r="XCQ58" s="41"/>
      <c r="XCR58" s="41"/>
      <c r="XCS58" s="41"/>
      <c r="XCT58" s="41"/>
      <c r="XCU58" s="41"/>
      <c r="XCV58" s="41"/>
      <c r="XCW58" s="41"/>
      <c r="XCX58" s="41"/>
      <c r="XCY58" s="41"/>
      <c r="XCZ58" s="41"/>
      <c r="XDA58" s="41"/>
      <c r="XDB58" s="41"/>
      <c r="XDC58" s="41"/>
      <c r="XDD58" s="41"/>
      <c r="XDE58" s="41"/>
      <c r="XDF58" s="41"/>
      <c r="XDG58" s="41"/>
      <c r="XDH58" s="41"/>
      <c r="XDI58" s="41"/>
      <c r="XDJ58" s="41"/>
      <c r="XDK58" s="41"/>
      <c r="XDL58" s="41"/>
      <c r="XDM58" s="41"/>
      <c r="XDN58" s="41"/>
      <c r="XDO58" s="41"/>
      <c r="XDP58" s="41"/>
      <c r="XDQ58" s="41"/>
      <c r="XDR58" s="41"/>
      <c r="XDS58" s="41"/>
      <c r="XDT58" s="41"/>
      <c r="XDU58" s="41"/>
      <c r="XDV58" s="41"/>
      <c r="XDW58" s="41"/>
      <c r="XDX58" s="41"/>
      <c r="XDY58" s="41"/>
      <c r="XDZ58" s="41"/>
      <c r="XEA58" s="41"/>
      <c r="XEB58" s="41"/>
      <c r="XEC58" s="41"/>
      <c r="XED58" s="41"/>
      <c r="XEE58" s="41"/>
      <c r="XEF58" s="41"/>
      <c r="XEG58" s="41"/>
      <c r="XEH58" s="41"/>
    </row>
    <row r="59" spans="2:16362" x14ac:dyDescent="0.2">
      <c r="B59" s="42" t="s">
        <v>38</v>
      </c>
      <c r="C59" s="43" t="s">
        <v>167</v>
      </c>
      <c r="D59" s="43" t="s">
        <v>244</v>
      </c>
      <c r="E59" s="45" t="s">
        <v>344</v>
      </c>
      <c r="F59" s="45" t="s">
        <v>435</v>
      </c>
      <c r="G59" s="45">
        <v>1</v>
      </c>
      <c r="H59" s="47">
        <v>1</v>
      </c>
      <c r="I59" s="47" t="s">
        <v>456</v>
      </c>
      <c r="J59" s="51">
        <v>0</v>
      </c>
      <c r="K59" s="51" t="s">
        <v>483</v>
      </c>
      <c r="L59" s="51" t="s">
        <v>483</v>
      </c>
    </row>
    <row r="60" spans="2:16362" x14ac:dyDescent="0.2">
      <c r="B60" s="42" t="s">
        <v>40</v>
      </c>
      <c r="C60" s="43" t="s">
        <v>169</v>
      </c>
      <c r="D60" s="43" t="s">
        <v>246</v>
      </c>
      <c r="E60" s="45" t="s">
        <v>346</v>
      </c>
      <c r="F60" s="45" t="s">
        <v>435</v>
      </c>
      <c r="G60" s="45">
        <v>1</v>
      </c>
      <c r="H60" s="47">
        <v>1</v>
      </c>
      <c r="I60" s="47" t="s">
        <v>464</v>
      </c>
      <c r="J60" s="51">
        <v>0</v>
      </c>
      <c r="K60" s="51" t="s">
        <v>483</v>
      </c>
      <c r="L60" s="51" t="s">
        <v>483</v>
      </c>
    </row>
    <row r="61" spans="2:16362" x14ac:dyDescent="0.2">
      <c r="B61" s="42" t="s">
        <v>41</v>
      </c>
      <c r="C61" s="43" t="s">
        <v>170</v>
      </c>
      <c r="D61" s="43" t="s">
        <v>247</v>
      </c>
      <c r="E61" s="45" t="s">
        <v>347</v>
      </c>
      <c r="F61" s="45" t="s">
        <v>435</v>
      </c>
      <c r="G61" s="45">
        <v>1</v>
      </c>
      <c r="H61" s="47">
        <v>1</v>
      </c>
      <c r="I61" s="47" t="s">
        <v>510</v>
      </c>
      <c r="J61" s="51">
        <v>0</v>
      </c>
      <c r="K61" s="51" t="s">
        <v>483</v>
      </c>
      <c r="L61" s="51" t="s">
        <v>483</v>
      </c>
    </row>
    <row r="62" spans="2:16362" x14ac:dyDescent="0.2">
      <c r="B62" s="42" t="s">
        <v>48</v>
      </c>
      <c r="C62" s="43" t="s">
        <v>177</v>
      </c>
      <c r="D62" s="43" t="s">
        <v>254</v>
      </c>
      <c r="E62" s="45" t="s">
        <v>353</v>
      </c>
      <c r="F62" s="45" t="s">
        <v>435</v>
      </c>
      <c r="G62" s="45">
        <v>1</v>
      </c>
      <c r="H62" s="47">
        <v>1</v>
      </c>
      <c r="I62" s="47" t="s">
        <v>464</v>
      </c>
      <c r="J62" s="51">
        <v>0</v>
      </c>
      <c r="K62" s="51" t="s">
        <v>439</v>
      </c>
      <c r="L62" s="51" t="s">
        <v>439</v>
      </c>
    </row>
    <row r="63" spans="2:16362" x14ac:dyDescent="0.2">
      <c r="B63" s="42" t="s">
        <v>51</v>
      </c>
      <c r="C63" s="43" t="s">
        <v>180</v>
      </c>
      <c r="D63" s="43" t="s">
        <v>256</v>
      </c>
      <c r="E63" s="45" t="s">
        <v>356</v>
      </c>
      <c r="F63" s="45" t="s">
        <v>435</v>
      </c>
      <c r="G63" s="45">
        <v>1</v>
      </c>
      <c r="H63" s="47">
        <v>1</v>
      </c>
      <c r="I63" s="47" t="s">
        <v>464</v>
      </c>
      <c r="J63" s="51">
        <v>0</v>
      </c>
      <c r="K63" s="51" t="s">
        <v>483</v>
      </c>
      <c r="L63" s="51" t="s">
        <v>483</v>
      </c>
    </row>
    <row r="64" spans="2:16362" x14ac:dyDescent="0.2">
      <c r="B64" s="42" t="s">
        <v>64</v>
      </c>
      <c r="C64" s="43" t="s">
        <v>191</v>
      </c>
      <c r="D64" s="43" t="s">
        <v>269</v>
      </c>
      <c r="E64" s="45" t="s">
        <v>367</v>
      </c>
      <c r="F64" s="45" t="s">
        <v>522</v>
      </c>
      <c r="G64" s="45">
        <v>1</v>
      </c>
      <c r="H64" s="47">
        <v>2</v>
      </c>
      <c r="I64" s="47" t="s">
        <v>458</v>
      </c>
      <c r="J64" s="51">
        <v>0</v>
      </c>
      <c r="K64" s="51" t="s">
        <v>483</v>
      </c>
      <c r="L64" s="51" t="s">
        <v>483</v>
      </c>
    </row>
    <row r="65" spans="2:12" x14ac:dyDescent="0.2">
      <c r="B65" s="42" t="s">
        <v>71</v>
      </c>
      <c r="C65" s="43" t="s">
        <v>195</v>
      </c>
      <c r="D65" s="43" t="s">
        <v>524</v>
      </c>
      <c r="E65" s="45" t="s">
        <v>373</v>
      </c>
      <c r="F65" s="45" t="s">
        <v>435</v>
      </c>
      <c r="G65" s="45">
        <v>1</v>
      </c>
      <c r="H65" s="47">
        <v>1</v>
      </c>
      <c r="I65" s="47" t="s">
        <v>456</v>
      </c>
      <c r="J65" s="51">
        <v>0</v>
      </c>
      <c r="K65" s="51" t="s">
        <v>503</v>
      </c>
      <c r="L65" s="51" t="s">
        <v>497</v>
      </c>
    </row>
    <row r="66" spans="2:12" x14ac:dyDescent="0.2">
      <c r="B66" s="42" t="s">
        <v>94</v>
      </c>
      <c r="C66" s="43" t="s">
        <v>533</v>
      </c>
      <c r="D66" s="43" t="s">
        <v>295</v>
      </c>
      <c r="E66" s="45" t="s">
        <v>534</v>
      </c>
      <c r="F66" s="45" t="s">
        <v>695</v>
      </c>
      <c r="G66" s="45">
        <v>1</v>
      </c>
      <c r="H66" s="47">
        <v>0</v>
      </c>
      <c r="I66" s="47" t="s">
        <v>483</v>
      </c>
      <c r="J66" s="51">
        <v>0</v>
      </c>
      <c r="K66" s="51" t="s">
        <v>439</v>
      </c>
      <c r="L66" s="51" t="s">
        <v>439</v>
      </c>
    </row>
    <row r="67" spans="2:12" x14ac:dyDescent="0.2">
      <c r="B67" s="42" t="s">
        <v>132</v>
      </c>
      <c r="C67" s="43" t="s">
        <v>577</v>
      </c>
      <c r="D67" s="43" t="s">
        <v>568</v>
      </c>
      <c r="E67" s="45" t="s">
        <v>574</v>
      </c>
      <c r="F67" s="45" t="s">
        <v>435</v>
      </c>
      <c r="G67" s="45">
        <v>1</v>
      </c>
      <c r="H67" s="47">
        <v>1</v>
      </c>
      <c r="I67" s="47" t="s">
        <v>464</v>
      </c>
      <c r="J67" s="51">
        <v>0</v>
      </c>
      <c r="K67" s="51" t="s">
        <v>439</v>
      </c>
      <c r="L67" s="51" t="s">
        <v>439</v>
      </c>
    </row>
    <row r="68" spans="2:12" x14ac:dyDescent="0.2">
      <c r="B68" s="42" t="s">
        <v>133</v>
      </c>
      <c r="C68" s="43" t="s">
        <v>578</v>
      </c>
      <c r="D68" s="43" t="s">
        <v>569</v>
      </c>
      <c r="E68" s="45" t="s">
        <v>573</v>
      </c>
      <c r="F68" s="45" t="s">
        <v>435</v>
      </c>
      <c r="G68" s="45">
        <v>1</v>
      </c>
      <c r="H68" s="47">
        <v>1</v>
      </c>
      <c r="I68" s="47" t="s">
        <v>455</v>
      </c>
      <c r="J68" s="51">
        <v>0</v>
      </c>
      <c r="K68" s="51" t="s">
        <v>439</v>
      </c>
      <c r="L68" s="51" t="s">
        <v>439</v>
      </c>
    </row>
    <row r="69" spans="2:12" x14ac:dyDescent="0.2">
      <c r="B69" s="42" t="s">
        <v>145</v>
      </c>
      <c r="C69" s="43" t="s">
        <v>228</v>
      </c>
      <c r="D69" s="43" t="s">
        <v>319</v>
      </c>
      <c r="E69" s="45" t="s">
        <v>420</v>
      </c>
      <c r="F69" s="45" t="s">
        <v>435</v>
      </c>
      <c r="G69" s="45">
        <v>1</v>
      </c>
      <c r="H69" s="47">
        <v>1</v>
      </c>
      <c r="I69" s="47" t="s">
        <v>456</v>
      </c>
      <c r="J69" s="51">
        <v>0</v>
      </c>
      <c r="K69" s="51" t="s">
        <v>439</v>
      </c>
      <c r="L69" s="51" t="s">
        <v>439</v>
      </c>
    </row>
    <row r="70" spans="2:12" x14ac:dyDescent="0.2">
      <c r="B70" s="42" t="s">
        <v>148</v>
      </c>
      <c r="C70" s="43" t="s">
        <v>607</v>
      </c>
      <c r="D70" s="43" t="s">
        <v>606</v>
      </c>
      <c r="E70" s="45" t="s">
        <v>604</v>
      </c>
      <c r="F70" s="45" t="s">
        <v>435</v>
      </c>
      <c r="G70" s="45">
        <v>1</v>
      </c>
      <c r="H70" s="47">
        <v>0</v>
      </c>
      <c r="I70" s="47" t="s">
        <v>483</v>
      </c>
      <c r="J70" s="51">
        <v>0</v>
      </c>
      <c r="K70" s="51" t="s">
        <v>439</v>
      </c>
      <c r="L70" s="51" t="s">
        <v>439</v>
      </c>
    </row>
    <row r="71" spans="2:12" x14ac:dyDescent="0.2">
      <c r="B71" s="42" t="s">
        <v>154</v>
      </c>
      <c r="C71" s="43" t="s">
        <v>232</v>
      </c>
      <c r="D71" s="43" t="s">
        <v>324</v>
      </c>
      <c r="E71" s="45" t="s">
        <v>424</v>
      </c>
      <c r="F71" s="45" t="s">
        <v>435</v>
      </c>
      <c r="G71" s="45">
        <v>1</v>
      </c>
      <c r="H71" s="47">
        <v>1</v>
      </c>
      <c r="I71" s="47" t="s">
        <v>464</v>
      </c>
      <c r="J71" s="51">
        <v>1</v>
      </c>
      <c r="K71" s="51" t="s">
        <v>503</v>
      </c>
      <c r="L71" s="51" t="s">
        <v>498</v>
      </c>
    </row>
    <row r="72" spans="2:12" x14ac:dyDescent="0.2">
      <c r="B72" s="42" t="s">
        <v>639</v>
      </c>
      <c r="C72" s="43" t="s">
        <v>626</v>
      </c>
      <c r="D72" s="43" t="s">
        <v>628</v>
      </c>
      <c r="E72" s="45" t="s">
        <v>629</v>
      </c>
      <c r="F72" s="45" t="s">
        <v>435</v>
      </c>
      <c r="G72" s="45">
        <v>1</v>
      </c>
      <c r="H72" s="47">
        <v>1</v>
      </c>
      <c r="I72" s="47" t="s">
        <v>464</v>
      </c>
      <c r="J72" s="51">
        <v>1</v>
      </c>
      <c r="K72" s="51" t="s">
        <v>503</v>
      </c>
      <c r="L72" s="51" t="s">
        <v>497</v>
      </c>
    </row>
    <row r="73" spans="2:12" x14ac:dyDescent="0.2">
      <c r="B73" s="42" t="s">
        <v>667</v>
      </c>
      <c r="C73" s="43" t="s">
        <v>601</v>
      </c>
      <c r="D73" s="43" t="s">
        <v>328</v>
      </c>
      <c r="E73" s="45" t="s">
        <v>696</v>
      </c>
      <c r="F73" s="59" t="s">
        <v>435</v>
      </c>
      <c r="G73" s="45">
        <v>1</v>
      </c>
      <c r="H73" s="47">
        <v>0</v>
      </c>
      <c r="I73" s="47" t="s">
        <v>483</v>
      </c>
      <c r="J73" s="51">
        <v>1</v>
      </c>
      <c r="K73" s="51" t="s">
        <v>503</v>
      </c>
      <c r="L73" s="51" t="s">
        <v>497</v>
      </c>
    </row>
    <row r="74" spans="2:12" x14ac:dyDescent="0.2">
      <c r="B74" s="42" t="s">
        <v>671</v>
      </c>
      <c r="C74" s="43" t="s">
        <v>646</v>
      </c>
      <c r="D74" s="43" t="s">
        <v>648</v>
      </c>
      <c r="E74" s="45" t="s">
        <v>653</v>
      </c>
      <c r="F74" s="45" t="s">
        <v>435</v>
      </c>
      <c r="G74" s="45">
        <v>1</v>
      </c>
      <c r="H74" s="47">
        <v>1</v>
      </c>
      <c r="I74" s="47" t="s">
        <v>464</v>
      </c>
      <c r="J74" s="51">
        <v>0</v>
      </c>
      <c r="K74" s="51" t="s">
        <v>439</v>
      </c>
      <c r="L74" s="51" t="s">
        <v>439</v>
      </c>
    </row>
    <row r="75" spans="2:12" x14ac:dyDescent="0.2">
      <c r="B75" s="42" t="s">
        <v>673</v>
      </c>
      <c r="C75" s="43" t="s">
        <v>654</v>
      </c>
      <c r="D75" s="43" t="s">
        <v>331</v>
      </c>
      <c r="E75" s="45" t="s">
        <v>656</v>
      </c>
      <c r="F75" s="45" t="s">
        <v>435</v>
      </c>
      <c r="G75" s="45">
        <v>1</v>
      </c>
      <c r="H75" s="47">
        <v>1</v>
      </c>
      <c r="I75" s="47" t="s">
        <v>464</v>
      </c>
      <c r="J75" s="51">
        <v>1</v>
      </c>
      <c r="K75" s="51" t="s">
        <v>503</v>
      </c>
      <c r="L75" s="51" t="s">
        <v>498</v>
      </c>
    </row>
    <row r="76" spans="2:12" x14ac:dyDescent="0.2">
      <c r="B76" s="42" t="s">
        <v>674</v>
      </c>
      <c r="C76" s="43" t="s">
        <v>652</v>
      </c>
      <c r="D76" s="43" t="s">
        <v>655</v>
      </c>
      <c r="E76" s="45" t="s">
        <v>657</v>
      </c>
      <c r="F76" s="45" t="s">
        <v>435</v>
      </c>
      <c r="G76" s="45">
        <v>1</v>
      </c>
      <c r="H76" s="47">
        <v>1</v>
      </c>
      <c r="I76" s="47" t="s">
        <v>464</v>
      </c>
      <c r="J76" s="51">
        <v>0</v>
      </c>
      <c r="K76" s="51" t="s">
        <v>439</v>
      </c>
      <c r="L76" s="51" t="s">
        <v>439</v>
      </c>
    </row>
    <row r="77" spans="2:12" x14ac:dyDescent="0.2">
      <c r="B77" s="209" t="s">
        <v>687</v>
      </c>
      <c r="G77" s="207">
        <f>SUM(G59:G76)</f>
        <v>18</v>
      </c>
      <c r="H77" s="207">
        <f>SUM(H59:H76)</f>
        <v>16</v>
      </c>
      <c r="J77" s="207">
        <f>SUM(J59:J76)</f>
        <v>4</v>
      </c>
    </row>
    <row r="78" spans="2:12" x14ac:dyDescent="0.2">
      <c r="B78" s="209" t="s">
        <v>1031</v>
      </c>
      <c r="C78" s="207">
        <f>J77/G77</f>
        <v>0.22222222222222221</v>
      </c>
      <c r="G78" s="207">
        <f>18/154</f>
        <v>0.11688311688311688</v>
      </c>
    </row>
    <row r="79" spans="2:12" x14ac:dyDescent="0.2">
      <c r="B79" s="209" t="s">
        <v>1012</v>
      </c>
      <c r="C79" s="210">
        <f>H77/G77</f>
        <v>0.88888888888888884</v>
      </c>
    </row>
    <row r="80" spans="2:12" x14ac:dyDescent="0.2">
      <c r="B80" s="207" t="s">
        <v>1145</v>
      </c>
      <c r="C80" s="207">
        <f>132/135</f>
        <v>0.97777777777777775</v>
      </c>
    </row>
    <row r="81" spans="2:6" x14ac:dyDescent="0.2">
      <c r="B81" s="207" t="s">
        <v>1032</v>
      </c>
    </row>
    <row r="82" spans="2:6" x14ac:dyDescent="0.2">
      <c r="B82" s="207" t="s">
        <v>1033</v>
      </c>
      <c r="C82" s="207" t="s">
        <v>456</v>
      </c>
      <c r="D82" s="207" t="s">
        <v>464</v>
      </c>
      <c r="E82" s="207" t="s">
        <v>455</v>
      </c>
      <c r="F82" s="207" t="s">
        <v>687</v>
      </c>
    </row>
    <row r="83" spans="2:6" x14ac:dyDescent="0.2">
      <c r="C83" s="207">
        <v>70</v>
      </c>
      <c r="D83" s="207">
        <v>57</v>
      </c>
      <c r="E83" s="207">
        <v>20</v>
      </c>
      <c r="F83" s="207">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7C7CB6-B3DD-514D-9F60-2D1BED6037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Isopo</vt:lpstr>
      <vt:lpstr>Heike Chapter 2</vt:lpstr>
      <vt:lpstr>Prelim Analysis</vt:lpstr>
      <vt:lpstr>RD vs argument realisation</vt:lpstr>
      <vt:lpstr>Exaltation vs pro-drop</vt:lpstr>
      <vt:lpstr>LVC vs RD</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Artemii Kuznetsov</cp:lastModifiedBy>
  <dcterms:created xsi:type="dcterms:W3CDTF">2025-11-24T12:15:27Z</dcterms:created>
  <dcterms:modified xsi:type="dcterms:W3CDTF">2026-01-11T17:14:14Z</dcterms:modified>
</cp:coreProperties>
</file>